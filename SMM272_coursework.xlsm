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37f70a48c804b0/Desktop/SMU - MQF/12 - Jan term/SMM272 - Risk Analysis/0 - Coursework/Submission/"/>
    </mc:Choice>
  </mc:AlternateContent>
  <xr:revisionPtr revIDLastSave="0" documentId="13_ncr:1_{D4E7D8D3-4A9D-414B-B473-4CB910F5C7F1}" xr6:coauthVersionLast="47" xr6:coauthVersionMax="47" xr10:uidLastSave="{00000000-0000-0000-0000-000000000000}"/>
  <bookViews>
    <workbookView xWindow="-108" yWindow="-108" windowWidth="23256" windowHeight="12456" activeTab="11" xr2:uid="{00000000-000D-0000-FFFF-FFFF00000000}"/>
  </bookViews>
  <sheets>
    <sheet name="Outputs -&gt;" sheetId="79" r:id="rId1"/>
    <sheet name="1. Option Portfolio Overview" sheetId="81" r:id="rId2"/>
    <sheet name="2. Mean &amp; Cov" sheetId="80" r:id="rId3"/>
    <sheet name="3. Black-Scholes &amp; Volatility" sheetId="78" r:id="rId4"/>
    <sheet name="4. Matlab Outputs" sheetId="82" r:id="rId5"/>
    <sheet name="Inputs -&gt;" sheetId="72" r:id="rId6"/>
    <sheet name="AA" sheetId="74" r:id="rId7"/>
    <sheet name="INTC" sheetId="75" r:id="rId8"/>
    <sheet name="JPM" sheetId="76" r:id="rId9"/>
    <sheet name="PG" sheetId="77" r:id="rId10"/>
    <sheet name="Log-returns" sheetId="63" r:id="rId11"/>
    <sheet name="Tickers" sheetId="64" r:id="rId12"/>
    <sheet name="ExtractReturns" sheetId="65" r:id="rId13"/>
  </sheets>
  <functionGroups builtInGroupCount="19"/>
  <externalReferences>
    <externalReference r:id="rId14"/>
  </externalReferences>
  <definedNames>
    <definedName name="Cholesky">#REF!:OFFSET(#REF!,N-1,N-1)</definedName>
    <definedName name="CovarMatrix">#REF!:OFFSET(#REF!,N-1,N-1)</definedName>
    <definedName name="CVaR">OFFSET(#REF!,,,N)</definedName>
    <definedName name="ExpRet">#REF!:OFFSET(#REF!,N,0)</definedName>
    <definedName name="ExtractReturns">ExtractReturns!$B$2:$E$511</definedName>
    <definedName name="m">'[1]Estimating Mean and Cov'!$C$8:OFFSET('[1]Estimating Mean and Cov'!$C$7,[0]!N,0)</definedName>
    <definedName name="N">Tickers!$G$2</definedName>
    <definedName name="noo">#REF!</definedName>
    <definedName name="rfr">#REF!</definedName>
    <definedName name="SelectedStocks">Tickers!$G$3:OFFSET(Tickers!$G$1,Tickers!$G$2+1,0)</definedName>
    <definedName name="SelectedTickers">TRANSPOSE(INDEX(LogRetData[#Headers],1,TRANSPOSE(SelectedStocks)))</definedName>
    <definedName name="Weight">#REF!:OFFSET(#REF!,N,0)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80" l="1" a="1"/>
  <c r="F2" i="80" s="1"/>
  <c r="E3" i="80" s="1" a="1"/>
  <c r="E3" i="80" s="1"/>
  <c r="E3" i="81"/>
  <c r="D3" i="81"/>
  <c r="B3" i="81"/>
  <c r="C3" i="81"/>
  <c r="E5" i="81" l="1"/>
  <c r="D5" i="81"/>
  <c r="C5" i="81"/>
  <c r="B5" i="81"/>
  <c r="I2" i="74"/>
  <c r="D3" i="78"/>
  <c r="D4" i="78" s="1"/>
  <c r="E9" i="78"/>
  <c r="E15" i="78" s="1"/>
  <c r="D9" i="78"/>
  <c r="D15" i="78" s="1"/>
  <c r="C9" i="78"/>
  <c r="C15" i="78" s="1"/>
  <c r="B9" i="78"/>
  <c r="B15" i="78" s="1"/>
  <c r="I2566" i="76"/>
  <c r="I2565" i="76"/>
  <c r="I2564" i="76"/>
  <c r="I2563" i="76"/>
  <c r="I2562" i="76"/>
  <c r="I2561" i="76"/>
  <c r="I2560" i="76"/>
  <c r="I2559" i="76"/>
  <c r="I2558" i="76"/>
  <c r="I2557" i="76"/>
  <c r="I2556" i="76"/>
  <c r="I2555" i="76"/>
  <c r="I2554" i="76"/>
  <c r="I2553" i="76"/>
  <c r="I2552" i="76"/>
  <c r="I2551" i="76"/>
  <c r="I2550" i="76"/>
  <c r="I2549" i="76"/>
  <c r="I2548" i="76"/>
  <c r="I2547" i="76"/>
  <c r="I2546" i="76"/>
  <c r="I2545" i="76"/>
  <c r="I2544" i="76"/>
  <c r="I2543" i="76"/>
  <c r="I2542" i="76"/>
  <c r="I2541" i="76"/>
  <c r="I2540" i="76"/>
  <c r="I2539" i="76"/>
  <c r="I2538" i="76"/>
  <c r="I2537" i="76"/>
  <c r="I2536" i="76"/>
  <c r="I2535" i="76"/>
  <c r="I2534" i="76"/>
  <c r="I2533" i="76"/>
  <c r="I2532" i="76"/>
  <c r="I2531" i="76"/>
  <c r="I2530" i="76"/>
  <c r="I2529" i="76"/>
  <c r="I2528" i="76"/>
  <c r="I2527" i="76"/>
  <c r="I2526" i="76"/>
  <c r="I2525" i="76"/>
  <c r="I2524" i="76"/>
  <c r="I2523" i="76"/>
  <c r="I2522" i="76"/>
  <c r="I2521" i="76"/>
  <c r="I2520" i="76"/>
  <c r="I2519" i="76"/>
  <c r="I2518" i="76"/>
  <c r="I2517" i="76"/>
  <c r="I2516" i="76"/>
  <c r="I2515" i="76"/>
  <c r="I2514" i="76"/>
  <c r="I2513" i="76"/>
  <c r="I2512" i="76"/>
  <c r="I2511" i="76"/>
  <c r="I2510" i="76"/>
  <c r="I2509" i="76"/>
  <c r="I2508" i="76"/>
  <c r="I2507" i="76"/>
  <c r="I2506" i="76"/>
  <c r="I2505" i="76"/>
  <c r="I2504" i="76"/>
  <c r="I2503" i="76"/>
  <c r="I2502" i="76"/>
  <c r="I2501" i="76"/>
  <c r="I2500" i="76"/>
  <c r="I2499" i="76"/>
  <c r="I2498" i="76"/>
  <c r="I2497" i="76"/>
  <c r="I2496" i="76"/>
  <c r="I2495" i="76"/>
  <c r="I2494" i="76"/>
  <c r="I2493" i="76"/>
  <c r="I2492" i="76"/>
  <c r="I2491" i="76"/>
  <c r="I2490" i="76"/>
  <c r="I2489" i="76"/>
  <c r="I2488" i="76"/>
  <c r="I2487" i="76"/>
  <c r="I2486" i="76"/>
  <c r="I2485" i="76"/>
  <c r="I2484" i="76"/>
  <c r="I2483" i="76"/>
  <c r="I2482" i="76"/>
  <c r="I2481" i="76"/>
  <c r="I2480" i="76"/>
  <c r="I2479" i="76"/>
  <c r="I2478" i="76"/>
  <c r="I2477" i="76"/>
  <c r="I2476" i="76"/>
  <c r="I2475" i="76"/>
  <c r="I2474" i="76"/>
  <c r="I2473" i="76"/>
  <c r="I2472" i="76"/>
  <c r="I2471" i="76"/>
  <c r="I2470" i="76"/>
  <c r="I2469" i="76"/>
  <c r="I2468" i="76"/>
  <c r="I2467" i="76"/>
  <c r="I2466" i="76"/>
  <c r="I2465" i="76"/>
  <c r="I2464" i="76"/>
  <c r="I2463" i="76"/>
  <c r="I2462" i="76"/>
  <c r="I2461" i="76"/>
  <c r="I2460" i="76"/>
  <c r="I2459" i="76"/>
  <c r="I2458" i="76"/>
  <c r="I2457" i="76"/>
  <c r="I2456" i="76"/>
  <c r="I2455" i="76"/>
  <c r="I2454" i="76"/>
  <c r="I2453" i="76"/>
  <c r="I2452" i="76"/>
  <c r="I2451" i="76"/>
  <c r="I2450" i="76"/>
  <c r="I2449" i="76"/>
  <c r="I2448" i="76"/>
  <c r="I2447" i="76"/>
  <c r="I2446" i="76"/>
  <c r="I2445" i="76"/>
  <c r="I2444" i="76"/>
  <c r="I2443" i="76"/>
  <c r="I2442" i="76"/>
  <c r="I2441" i="76"/>
  <c r="I2440" i="76"/>
  <c r="I2439" i="76"/>
  <c r="I2438" i="76"/>
  <c r="I2437" i="76"/>
  <c r="I2436" i="76"/>
  <c r="I2435" i="76"/>
  <c r="I2434" i="76"/>
  <c r="I2433" i="76"/>
  <c r="I2432" i="76"/>
  <c r="I2431" i="76"/>
  <c r="I2430" i="76"/>
  <c r="I2429" i="76"/>
  <c r="I2428" i="76"/>
  <c r="I2427" i="76"/>
  <c r="I2426" i="76"/>
  <c r="I2425" i="76"/>
  <c r="I2424" i="76"/>
  <c r="I2423" i="76"/>
  <c r="I2422" i="76"/>
  <c r="I2421" i="76"/>
  <c r="I2420" i="76"/>
  <c r="I2419" i="76"/>
  <c r="I2418" i="76"/>
  <c r="I2417" i="76"/>
  <c r="I2416" i="76"/>
  <c r="I2415" i="76"/>
  <c r="I2414" i="76"/>
  <c r="I2413" i="76"/>
  <c r="I2412" i="76"/>
  <c r="I2411" i="76"/>
  <c r="I2410" i="76"/>
  <c r="I2409" i="76"/>
  <c r="I2408" i="76"/>
  <c r="I2407" i="76"/>
  <c r="I2406" i="76"/>
  <c r="I2405" i="76"/>
  <c r="I2404" i="76"/>
  <c r="I2403" i="76"/>
  <c r="I2402" i="76"/>
  <c r="I2401" i="76"/>
  <c r="I2400" i="76"/>
  <c r="I2399" i="76"/>
  <c r="I2398" i="76"/>
  <c r="I2397" i="76"/>
  <c r="I2396" i="76"/>
  <c r="I2395" i="76"/>
  <c r="I2394" i="76"/>
  <c r="I2393" i="76"/>
  <c r="I2392" i="76"/>
  <c r="I2391" i="76"/>
  <c r="I2390" i="76"/>
  <c r="I2389" i="76"/>
  <c r="I2388" i="76"/>
  <c r="I2387" i="76"/>
  <c r="I2386" i="76"/>
  <c r="I2385" i="76"/>
  <c r="I2384" i="76"/>
  <c r="I2383" i="76"/>
  <c r="I2382" i="76"/>
  <c r="I2381" i="76"/>
  <c r="I2380" i="76"/>
  <c r="I2379" i="76"/>
  <c r="I2378" i="76"/>
  <c r="I2377" i="76"/>
  <c r="I2376" i="76"/>
  <c r="I2375" i="76"/>
  <c r="I2374" i="76"/>
  <c r="I2373" i="76"/>
  <c r="I2372" i="76"/>
  <c r="I2371" i="76"/>
  <c r="I2370" i="76"/>
  <c r="I2369" i="76"/>
  <c r="I2368" i="76"/>
  <c r="I2367" i="76"/>
  <c r="I2366" i="76"/>
  <c r="I2365" i="76"/>
  <c r="I2364" i="76"/>
  <c r="I2363" i="76"/>
  <c r="I2362" i="76"/>
  <c r="I2361" i="76"/>
  <c r="I2360" i="76"/>
  <c r="I2359" i="76"/>
  <c r="I2358" i="76"/>
  <c r="I2357" i="76"/>
  <c r="I2356" i="76"/>
  <c r="I2355" i="76"/>
  <c r="I2354" i="76"/>
  <c r="I2353" i="76"/>
  <c r="I2352" i="76"/>
  <c r="I2351" i="76"/>
  <c r="I2350" i="76"/>
  <c r="I2349" i="76"/>
  <c r="I2348" i="76"/>
  <c r="I2347" i="76"/>
  <c r="I2346" i="76"/>
  <c r="I2345" i="76"/>
  <c r="I2344" i="76"/>
  <c r="I2343" i="76"/>
  <c r="I2342" i="76"/>
  <c r="I2341" i="76"/>
  <c r="I2340" i="76"/>
  <c r="I2339" i="76"/>
  <c r="I2338" i="76"/>
  <c r="I2337" i="76"/>
  <c r="I2336" i="76"/>
  <c r="I2335" i="76"/>
  <c r="I2334" i="76"/>
  <c r="I2333" i="76"/>
  <c r="I2332" i="76"/>
  <c r="I2331" i="76"/>
  <c r="I2330" i="76"/>
  <c r="I2329" i="76"/>
  <c r="I2328" i="76"/>
  <c r="I2327" i="76"/>
  <c r="I2326" i="76"/>
  <c r="I2325" i="76"/>
  <c r="I2324" i="76"/>
  <c r="I2323" i="76"/>
  <c r="I2322" i="76"/>
  <c r="I2321" i="76"/>
  <c r="I2320" i="76"/>
  <c r="I2319" i="76"/>
  <c r="I2318" i="76"/>
  <c r="I2317" i="76"/>
  <c r="I2316" i="76"/>
  <c r="I2315" i="76"/>
  <c r="I2314" i="76"/>
  <c r="I2313" i="76"/>
  <c r="I2312" i="76"/>
  <c r="I2311" i="76"/>
  <c r="I2310" i="76"/>
  <c r="I2309" i="76"/>
  <c r="I2308" i="76"/>
  <c r="I2307" i="76"/>
  <c r="I2306" i="76"/>
  <c r="I2305" i="76"/>
  <c r="I2304" i="76"/>
  <c r="I2303" i="76"/>
  <c r="I2302" i="76"/>
  <c r="I2301" i="76"/>
  <c r="I2300" i="76"/>
  <c r="I2299" i="76"/>
  <c r="I2298" i="76"/>
  <c r="I2297" i="76"/>
  <c r="I2296" i="76"/>
  <c r="I2295" i="76"/>
  <c r="I2294" i="76"/>
  <c r="I2293" i="76"/>
  <c r="I2292" i="76"/>
  <c r="I2291" i="76"/>
  <c r="I2290" i="76"/>
  <c r="I2289" i="76"/>
  <c r="I2288" i="76"/>
  <c r="I2287" i="76"/>
  <c r="I2286" i="76"/>
  <c r="I2285" i="76"/>
  <c r="I2284" i="76"/>
  <c r="I2283" i="76"/>
  <c r="I2282" i="76"/>
  <c r="I2281" i="76"/>
  <c r="I2280" i="76"/>
  <c r="I2279" i="76"/>
  <c r="I2278" i="76"/>
  <c r="I2277" i="76"/>
  <c r="I2276" i="76"/>
  <c r="I2275" i="76"/>
  <c r="I2274" i="76"/>
  <c r="I2273" i="76"/>
  <c r="I2272" i="76"/>
  <c r="I2271" i="76"/>
  <c r="I2270" i="76"/>
  <c r="I2269" i="76"/>
  <c r="I2268" i="76"/>
  <c r="I2267" i="76"/>
  <c r="I2266" i="76"/>
  <c r="I2265" i="76"/>
  <c r="I2264" i="76"/>
  <c r="I2263" i="76"/>
  <c r="I2262" i="76"/>
  <c r="I2261" i="76"/>
  <c r="I2260" i="76"/>
  <c r="I2259" i="76"/>
  <c r="I2258" i="76"/>
  <c r="I2257" i="76"/>
  <c r="I2256" i="76"/>
  <c r="I2255" i="76"/>
  <c r="I2254" i="76"/>
  <c r="I2253" i="76"/>
  <c r="I2252" i="76"/>
  <c r="I2251" i="76"/>
  <c r="I2250" i="76"/>
  <c r="I2249" i="76"/>
  <c r="I2248" i="76"/>
  <c r="I2247" i="76"/>
  <c r="I2246" i="76"/>
  <c r="I2245" i="76"/>
  <c r="I2244" i="76"/>
  <c r="I2243" i="76"/>
  <c r="I2242" i="76"/>
  <c r="I2241" i="76"/>
  <c r="I2240" i="76"/>
  <c r="I2239" i="76"/>
  <c r="I2238" i="76"/>
  <c r="I2237" i="76"/>
  <c r="I2236" i="76"/>
  <c r="I2235" i="76"/>
  <c r="I2234" i="76"/>
  <c r="I2233" i="76"/>
  <c r="I2232" i="76"/>
  <c r="I2231" i="76"/>
  <c r="I2230" i="76"/>
  <c r="I2229" i="76"/>
  <c r="I2228" i="76"/>
  <c r="I2227" i="76"/>
  <c r="I2226" i="76"/>
  <c r="I2225" i="76"/>
  <c r="I2224" i="76"/>
  <c r="I2223" i="76"/>
  <c r="I2222" i="76"/>
  <c r="I2221" i="76"/>
  <c r="I2220" i="76"/>
  <c r="I2219" i="76"/>
  <c r="I2218" i="76"/>
  <c r="I2217" i="76"/>
  <c r="I2216" i="76"/>
  <c r="I2215" i="76"/>
  <c r="I2214" i="76"/>
  <c r="I2213" i="76"/>
  <c r="I2212" i="76"/>
  <c r="I2211" i="76"/>
  <c r="I2210" i="76"/>
  <c r="I2209" i="76"/>
  <c r="I2208" i="76"/>
  <c r="I2207" i="76"/>
  <c r="I2206" i="76"/>
  <c r="I2205" i="76"/>
  <c r="I2204" i="76"/>
  <c r="I2203" i="76"/>
  <c r="I2202" i="76"/>
  <c r="I2201" i="76"/>
  <c r="I2200" i="76"/>
  <c r="I2199" i="76"/>
  <c r="I2198" i="76"/>
  <c r="I2197" i="76"/>
  <c r="I2196" i="76"/>
  <c r="I2195" i="76"/>
  <c r="I2194" i="76"/>
  <c r="I2193" i="76"/>
  <c r="I2192" i="76"/>
  <c r="I2191" i="76"/>
  <c r="I2190" i="76"/>
  <c r="I2189" i="76"/>
  <c r="I2188" i="76"/>
  <c r="I2187" i="76"/>
  <c r="I2186" i="76"/>
  <c r="I2185" i="76"/>
  <c r="I2184" i="76"/>
  <c r="I2183" i="76"/>
  <c r="I2182" i="76"/>
  <c r="I2181" i="76"/>
  <c r="I2180" i="76"/>
  <c r="I2179" i="76"/>
  <c r="I2178" i="76"/>
  <c r="I2177" i="76"/>
  <c r="I2176" i="76"/>
  <c r="I2175" i="76"/>
  <c r="I2174" i="76"/>
  <c r="I2173" i="76"/>
  <c r="I2172" i="76"/>
  <c r="I2171" i="76"/>
  <c r="I2170" i="76"/>
  <c r="I2169" i="76"/>
  <c r="I2168" i="76"/>
  <c r="I2167" i="76"/>
  <c r="I2166" i="76"/>
  <c r="I2165" i="76"/>
  <c r="I2164" i="76"/>
  <c r="I2163" i="76"/>
  <c r="I2162" i="76"/>
  <c r="I2161" i="76"/>
  <c r="I2160" i="76"/>
  <c r="I2159" i="76"/>
  <c r="I2158" i="76"/>
  <c r="I2157" i="76"/>
  <c r="I2156" i="76"/>
  <c r="I2155" i="76"/>
  <c r="I2154" i="76"/>
  <c r="I2153" i="76"/>
  <c r="I2152" i="76"/>
  <c r="I2151" i="76"/>
  <c r="I2150" i="76"/>
  <c r="I2149" i="76"/>
  <c r="I2148" i="76"/>
  <c r="I2147" i="76"/>
  <c r="I2146" i="76"/>
  <c r="I2145" i="76"/>
  <c r="I2144" i="76"/>
  <c r="I2143" i="76"/>
  <c r="I2142" i="76"/>
  <c r="I2141" i="76"/>
  <c r="I2140" i="76"/>
  <c r="I2139" i="76"/>
  <c r="I2138" i="76"/>
  <c r="I2137" i="76"/>
  <c r="I2136" i="76"/>
  <c r="I2135" i="76"/>
  <c r="I2134" i="76"/>
  <c r="I2133" i="76"/>
  <c r="I2132" i="76"/>
  <c r="I2131" i="76"/>
  <c r="I2130" i="76"/>
  <c r="I2129" i="76"/>
  <c r="I2128" i="76"/>
  <c r="I2127" i="76"/>
  <c r="I2126" i="76"/>
  <c r="I2125" i="76"/>
  <c r="I2124" i="76"/>
  <c r="I2123" i="76"/>
  <c r="I2122" i="76"/>
  <c r="I2121" i="76"/>
  <c r="I2120" i="76"/>
  <c r="I2119" i="76"/>
  <c r="I2118" i="76"/>
  <c r="I2117" i="76"/>
  <c r="I2116" i="76"/>
  <c r="I2115" i="76"/>
  <c r="I2114" i="76"/>
  <c r="I2113" i="76"/>
  <c r="I2112" i="76"/>
  <c r="I2111" i="76"/>
  <c r="I2110" i="76"/>
  <c r="I2109" i="76"/>
  <c r="I2108" i="76"/>
  <c r="I2107" i="76"/>
  <c r="I2106" i="76"/>
  <c r="I2105" i="76"/>
  <c r="I2104" i="76"/>
  <c r="I2103" i="76"/>
  <c r="I2102" i="76"/>
  <c r="I2101" i="76"/>
  <c r="I2100" i="76"/>
  <c r="I2099" i="76"/>
  <c r="I2098" i="76"/>
  <c r="I2097" i="76"/>
  <c r="I2096" i="76"/>
  <c r="I2095" i="76"/>
  <c r="I2094" i="76"/>
  <c r="I2093" i="76"/>
  <c r="I2092" i="76"/>
  <c r="I2091" i="76"/>
  <c r="I2090" i="76"/>
  <c r="I2089" i="76"/>
  <c r="I2088" i="76"/>
  <c r="I2087" i="76"/>
  <c r="I2086" i="76"/>
  <c r="I2085" i="76"/>
  <c r="I2084" i="76"/>
  <c r="I2083" i="76"/>
  <c r="I2082" i="76"/>
  <c r="I2081" i="76"/>
  <c r="I2080" i="76"/>
  <c r="I2079" i="76"/>
  <c r="I2078" i="76"/>
  <c r="I2077" i="76"/>
  <c r="I2076" i="76"/>
  <c r="I2075" i="76"/>
  <c r="I2074" i="76"/>
  <c r="I2073" i="76"/>
  <c r="I2072" i="76"/>
  <c r="I2071" i="76"/>
  <c r="I2070" i="76"/>
  <c r="I2069" i="76"/>
  <c r="I2068" i="76"/>
  <c r="I2067" i="76"/>
  <c r="I2066" i="76"/>
  <c r="I2065" i="76"/>
  <c r="I2064" i="76"/>
  <c r="I2063" i="76"/>
  <c r="I2062" i="76"/>
  <c r="I2061" i="76"/>
  <c r="I2060" i="76"/>
  <c r="I2059" i="76"/>
  <c r="I2058" i="76"/>
  <c r="I2057" i="76"/>
  <c r="I2056" i="76"/>
  <c r="I2055" i="76"/>
  <c r="I2054" i="76"/>
  <c r="I2053" i="76"/>
  <c r="I2052" i="76"/>
  <c r="I2051" i="76"/>
  <c r="I2050" i="76"/>
  <c r="I2049" i="76"/>
  <c r="I2048" i="76"/>
  <c r="I2047" i="76"/>
  <c r="I2046" i="76"/>
  <c r="I2045" i="76"/>
  <c r="I2044" i="76"/>
  <c r="I2043" i="76"/>
  <c r="I2042" i="76"/>
  <c r="I2041" i="76"/>
  <c r="I2040" i="76"/>
  <c r="I2039" i="76"/>
  <c r="I2038" i="76"/>
  <c r="I2037" i="76"/>
  <c r="I2036" i="76"/>
  <c r="I2035" i="76"/>
  <c r="I2034" i="76"/>
  <c r="I2033" i="76"/>
  <c r="I2032" i="76"/>
  <c r="I2031" i="76"/>
  <c r="I2030" i="76"/>
  <c r="I2029" i="76"/>
  <c r="I2028" i="76"/>
  <c r="I2027" i="76"/>
  <c r="I2026" i="76"/>
  <c r="I2025" i="76"/>
  <c r="I2024" i="76"/>
  <c r="I2023" i="76"/>
  <c r="I2022" i="76"/>
  <c r="I2021" i="76"/>
  <c r="I2020" i="76"/>
  <c r="I2019" i="76"/>
  <c r="I2018" i="76"/>
  <c r="I2017" i="76"/>
  <c r="I2016" i="76"/>
  <c r="I2015" i="76"/>
  <c r="I2014" i="76"/>
  <c r="I2013" i="76"/>
  <c r="I2012" i="76"/>
  <c r="I2011" i="76"/>
  <c r="I2010" i="76"/>
  <c r="I2009" i="76"/>
  <c r="I2008" i="76"/>
  <c r="I2007" i="76"/>
  <c r="I2006" i="76"/>
  <c r="I2005" i="76"/>
  <c r="I2004" i="76"/>
  <c r="I2003" i="76"/>
  <c r="I2002" i="76"/>
  <c r="I2001" i="76"/>
  <c r="I2000" i="76"/>
  <c r="I1999" i="76"/>
  <c r="I1998" i="76"/>
  <c r="I1997" i="76"/>
  <c r="I1996" i="76"/>
  <c r="I1995" i="76"/>
  <c r="I1994" i="76"/>
  <c r="I1993" i="76"/>
  <c r="I1992" i="76"/>
  <c r="I1991" i="76"/>
  <c r="I1990" i="76"/>
  <c r="I1989" i="76"/>
  <c r="I1988" i="76"/>
  <c r="I1987" i="76"/>
  <c r="I1986" i="76"/>
  <c r="I1985" i="76"/>
  <c r="I1984" i="76"/>
  <c r="I1983" i="76"/>
  <c r="I1982" i="76"/>
  <c r="I1981" i="76"/>
  <c r="I1980" i="76"/>
  <c r="I1979" i="76"/>
  <c r="I1978" i="76"/>
  <c r="I1977" i="76"/>
  <c r="I1976" i="76"/>
  <c r="I1975" i="76"/>
  <c r="I1974" i="76"/>
  <c r="I1973" i="76"/>
  <c r="I1972" i="76"/>
  <c r="I1971" i="76"/>
  <c r="I1970" i="76"/>
  <c r="I1969" i="76"/>
  <c r="I1968" i="76"/>
  <c r="I1967" i="76"/>
  <c r="I1966" i="76"/>
  <c r="I1965" i="76"/>
  <c r="I1964" i="76"/>
  <c r="I1963" i="76"/>
  <c r="I1962" i="76"/>
  <c r="I1961" i="76"/>
  <c r="I1960" i="76"/>
  <c r="I1959" i="76"/>
  <c r="I1958" i="76"/>
  <c r="I1957" i="76"/>
  <c r="I1956" i="76"/>
  <c r="I1955" i="76"/>
  <c r="I1954" i="76"/>
  <c r="I1953" i="76"/>
  <c r="I1952" i="76"/>
  <c r="I1951" i="76"/>
  <c r="I1950" i="76"/>
  <c r="I1949" i="76"/>
  <c r="I1948" i="76"/>
  <c r="I1947" i="76"/>
  <c r="I1946" i="76"/>
  <c r="I1945" i="76"/>
  <c r="I1944" i="76"/>
  <c r="I1943" i="76"/>
  <c r="I1942" i="76"/>
  <c r="I1941" i="76"/>
  <c r="I1940" i="76"/>
  <c r="I1939" i="76"/>
  <c r="I1938" i="76"/>
  <c r="I1937" i="76"/>
  <c r="I1936" i="76"/>
  <c r="I1935" i="76"/>
  <c r="I1934" i="76"/>
  <c r="I1933" i="76"/>
  <c r="I1932" i="76"/>
  <c r="I1931" i="76"/>
  <c r="I1930" i="76"/>
  <c r="I1929" i="76"/>
  <c r="I1928" i="76"/>
  <c r="I1927" i="76"/>
  <c r="I1926" i="76"/>
  <c r="I1925" i="76"/>
  <c r="I1924" i="76"/>
  <c r="I1923" i="76"/>
  <c r="I1922" i="76"/>
  <c r="I1921" i="76"/>
  <c r="I1920" i="76"/>
  <c r="I1919" i="76"/>
  <c r="I1918" i="76"/>
  <c r="I1917" i="76"/>
  <c r="I1916" i="76"/>
  <c r="I1915" i="76"/>
  <c r="I1914" i="76"/>
  <c r="I1913" i="76"/>
  <c r="I1912" i="76"/>
  <c r="I1911" i="76"/>
  <c r="I1910" i="76"/>
  <c r="I1909" i="76"/>
  <c r="I1908" i="76"/>
  <c r="I1907" i="76"/>
  <c r="I1906" i="76"/>
  <c r="I1905" i="76"/>
  <c r="I1904" i="76"/>
  <c r="I1903" i="76"/>
  <c r="I1902" i="76"/>
  <c r="I1901" i="76"/>
  <c r="I1900" i="76"/>
  <c r="I1899" i="76"/>
  <c r="I1898" i="76"/>
  <c r="I1897" i="76"/>
  <c r="I1896" i="76"/>
  <c r="I1895" i="76"/>
  <c r="I1894" i="76"/>
  <c r="I1893" i="76"/>
  <c r="I1892" i="76"/>
  <c r="I1891" i="76"/>
  <c r="I1890" i="76"/>
  <c r="I1889" i="76"/>
  <c r="I1888" i="76"/>
  <c r="I1887" i="76"/>
  <c r="I1886" i="76"/>
  <c r="I1885" i="76"/>
  <c r="I1884" i="76"/>
  <c r="I1883" i="76"/>
  <c r="I1882" i="76"/>
  <c r="I1881" i="76"/>
  <c r="I1880" i="76"/>
  <c r="I1879" i="76"/>
  <c r="I1878" i="76"/>
  <c r="I1877" i="76"/>
  <c r="I1876" i="76"/>
  <c r="I1875" i="76"/>
  <c r="I1874" i="76"/>
  <c r="I1873" i="76"/>
  <c r="I1872" i="76"/>
  <c r="I1871" i="76"/>
  <c r="I1870" i="76"/>
  <c r="I1869" i="76"/>
  <c r="I1868" i="76"/>
  <c r="I1867" i="76"/>
  <c r="I1866" i="76"/>
  <c r="I1865" i="76"/>
  <c r="I1864" i="76"/>
  <c r="I1863" i="76"/>
  <c r="I1862" i="76"/>
  <c r="I1861" i="76"/>
  <c r="I1860" i="76"/>
  <c r="I1859" i="76"/>
  <c r="I1858" i="76"/>
  <c r="I1857" i="76"/>
  <c r="I1856" i="76"/>
  <c r="I1855" i="76"/>
  <c r="I1854" i="76"/>
  <c r="I1853" i="76"/>
  <c r="I1852" i="76"/>
  <c r="I1851" i="76"/>
  <c r="I1850" i="76"/>
  <c r="I1849" i="76"/>
  <c r="I1848" i="76"/>
  <c r="I1847" i="76"/>
  <c r="I1846" i="76"/>
  <c r="I1845" i="76"/>
  <c r="I1844" i="76"/>
  <c r="I1843" i="76"/>
  <c r="I1842" i="76"/>
  <c r="I1841" i="76"/>
  <c r="I1840" i="76"/>
  <c r="I1839" i="76"/>
  <c r="I1838" i="76"/>
  <c r="I1837" i="76"/>
  <c r="I1836" i="76"/>
  <c r="I1835" i="76"/>
  <c r="I1834" i="76"/>
  <c r="I1833" i="76"/>
  <c r="I1832" i="76"/>
  <c r="I1831" i="76"/>
  <c r="I1830" i="76"/>
  <c r="I1829" i="76"/>
  <c r="I1828" i="76"/>
  <c r="I1827" i="76"/>
  <c r="I1826" i="76"/>
  <c r="I1825" i="76"/>
  <c r="I1824" i="76"/>
  <c r="I1823" i="76"/>
  <c r="I1822" i="76"/>
  <c r="I1821" i="76"/>
  <c r="I1820" i="76"/>
  <c r="I1819" i="76"/>
  <c r="I1818" i="76"/>
  <c r="I1817" i="76"/>
  <c r="I1816" i="76"/>
  <c r="I1815" i="76"/>
  <c r="I1814" i="76"/>
  <c r="I1813" i="76"/>
  <c r="I1812" i="76"/>
  <c r="I1811" i="76"/>
  <c r="I1810" i="76"/>
  <c r="I1809" i="76"/>
  <c r="I1808" i="76"/>
  <c r="I1807" i="76"/>
  <c r="I1806" i="76"/>
  <c r="I1805" i="76"/>
  <c r="I1804" i="76"/>
  <c r="I1803" i="76"/>
  <c r="I1802" i="76"/>
  <c r="I1801" i="76"/>
  <c r="I1800" i="76"/>
  <c r="I1799" i="76"/>
  <c r="I1798" i="76"/>
  <c r="I1797" i="76"/>
  <c r="I1796" i="76"/>
  <c r="I1795" i="76"/>
  <c r="I1794" i="76"/>
  <c r="I1793" i="76"/>
  <c r="I1792" i="76"/>
  <c r="I1791" i="76"/>
  <c r="I1790" i="76"/>
  <c r="I1789" i="76"/>
  <c r="I1788" i="76"/>
  <c r="I1787" i="76"/>
  <c r="I1786" i="76"/>
  <c r="I1785" i="76"/>
  <c r="I1784" i="76"/>
  <c r="I1783" i="76"/>
  <c r="I1782" i="76"/>
  <c r="I1781" i="76"/>
  <c r="I1780" i="76"/>
  <c r="I1779" i="76"/>
  <c r="I1778" i="76"/>
  <c r="I1777" i="76"/>
  <c r="I1776" i="76"/>
  <c r="I1775" i="76"/>
  <c r="I1774" i="76"/>
  <c r="I1773" i="76"/>
  <c r="I1772" i="76"/>
  <c r="I1771" i="76"/>
  <c r="I1770" i="76"/>
  <c r="I1769" i="76"/>
  <c r="I1768" i="76"/>
  <c r="I1767" i="76"/>
  <c r="I1766" i="76"/>
  <c r="I1765" i="76"/>
  <c r="I1764" i="76"/>
  <c r="I1763" i="76"/>
  <c r="I1762" i="76"/>
  <c r="I1761" i="76"/>
  <c r="I1760" i="76"/>
  <c r="I1759" i="76"/>
  <c r="I1758" i="76"/>
  <c r="I1757" i="76"/>
  <c r="I1756" i="76"/>
  <c r="I1755" i="76"/>
  <c r="I1754" i="76"/>
  <c r="I1753" i="76"/>
  <c r="I1752" i="76"/>
  <c r="I1751" i="76"/>
  <c r="I1750" i="76"/>
  <c r="I1749" i="76"/>
  <c r="I1748" i="76"/>
  <c r="I1747" i="76"/>
  <c r="I1746" i="76"/>
  <c r="I1745" i="76"/>
  <c r="I1744" i="76"/>
  <c r="I1743" i="76"/>
  <c r="I1742" i="76"/>
  <c r="I1741" i="76"/>
  <c r="I1740" i="76"/>
  <c r="I1739" i="76"/>
  <c r="I1738" i="76"/>
  <c r="I1737" i="76"/>
  <c r="I1736" i="76"/>
  <c r="I1735" i="76"/>
  <c r="I1734" i="76"/>
  <c r="I1733" i="76"/>
  <c r="I1732" i="76"/>
  <c r="I1731" i="76"/>
  <c r="I1730" i="76"/>
  <c r="I1729" i="76"/>
  <c r="I1728" i="76"/>
  <c r="I1727" i="76"/>
  <c r="I1726" i="76"/>
  <c r="I1725" i="76"/>
  <c r="I1724" i="76"/>
  <c r="I1723" i="76"/>
  <c r="I1722" i="76"/>
  <c r="I1721" i="76"/>
  <c r="I1720" i="76"/>
  <c r="I1719" i="76"/>
  <c r="I1718" i="76"/>
  <c r="I1717" i="76"/>
  <c r="I1716" i="76"/>
  <c r="I1715" i="76"/>
  <c r="I1714" i="76"/>
  <c r="I1713" i="76"/>
  <c r="I1712" i="76"/>
  <c r="I1711" i="76"/>
  <c r="I1710" i="76"/>
  <c r="I1709" i="76"/>
  <c r="I1708" i="76"/>
  <c r="I1707" i="76"/>
  <c r="I1706" i="76"/>
  <c r="I1705" i="76"/>
  <c r="I1704" i="76"/>
  <c r="I1703" i="76"/>
  <c r="I1702" i="76"/>
  <c r="I1701" i="76"/>
  <c r="I1700" i="76"/>
  <c r="I1699" i="76"/>
  <c r="I1698" i="76"/>
  <c r="I1697" i="76"/>
  <c r="I1696" i="76"/>
  <c r="I1695" i="76"/>
  <c r="I1694" i="76"/>
  <c r="I1693" i="76"/>
  <c r="I1692" i="76"/>
  <c r="I1691" i="76"/>
  <c r="I1690" i="76"/>
  <c r="I1689" i="76"/>
  <c r="I1688" i="76"/>
  <c r="I1687" i="76"/>
  <c r="I1686" i="76"/>
  <c r="I1685" i="76"/>
  <c r="I1684" i="76"/>
  <c r="I1683" i="76"/>
  <c r="I1682" i="76"/>
  <c r="I1681" i="76"/>
  <c r="I1680" i="76"/>
  <c r="I1679" i="76"/>
  <c r="I1678" i="76"/>
  <c r="I1677" i="76"/>
  <c r="I1676" i="76"/>
  <c r="I1675" i="76"/>
  <c r="I1674" i="76"/>
  <c r="I1673" i="76"/>
  <c r="I1672" i="76"/>
  <c r="I1671" i="76"/>
  <c r="I1670" i="76"/>
  <c r="I1669" i="76"/>
  <c r="I1668" i="76"/>
  <c r="I1667" i="76"/>
  <c r="I1666" i="76"/>
  <c r="I1665" i="76"/>
  <c r="I1664" i="76"/>
  <c r="I1663" i="76"/>
  <c r="I1662" i="76"/>
  <c r="I1661" i="76"/>
  <c r="I1660" i="76"/>
  <c r="I1659" i="76"/>
  <c r="I1658" i="76"/>
  <c r="I1657" i="76"/>
  <c r="I1656" i="76"/>
  <c r="I1655" i="76"/>
  <c r="I1654" i="76"/>
  <c r="I1653" i="76"/>
  <c r="I1652" i="76"/>
  <c r="I1651" i="76"/>
  <c r="I1650" i="76"/>
  <c r="I1649" i="76"/>
  <c r="I1648" i="76"/>
  <c r="I1647" i="76"/>
  <c r="I1646" i="76"/>
  <c r="I1645" i="76"/>
  <c r="I1644" i="76"/>
  <c r="I1643" i="76"/>
  <c r="I1642" i="76"/>
  <c r="I1641" i="76"/>
  <c r="I1640" i="76"/>
  <c r="I1639" i="76"/>
  <c r="I1638" i="76"/>
  <c r="I1637" i="76"/>
  <c r="I1636" i="76"/>
  <c r="I1635" i="76"/>
  <c r="I1634" i="76"/>
  <c r="I1633" i="76"/>
  <c r="I1632" i="76"/>
  <c r="I1631" i="76"/>
  <c r="I1630" i="76"/>
  <c r="I1629" i="76"/>
  <c r="I1628" i="76"/>
  <c r="I1627" i="76"/>
  <c r="I1626" i="76"/>
  <c r="I1625" i="76"/>
  <c r="I1624" i="76"/>
  <c r="I1623" i="76"/>
  <c r="I1622" i="76"/>
  <c r="I1621" i="76"/>
  <c r="I1620" i="76"/>
  <c r="I1619" i="76"/>
  <c r="I1618" i="76"/>
  <c r="I1617" i="76"/>
  <c r="I1616" i="76"/>
  <c r="I1615" i="76"/>
  <c r="I1614" i="76"/>
  <c r="I1613" i="76"/>
  <c r="I1612" i="76"/>
  <c r="I1611" i="76"/>
  <c r="I1610" i="76"/>
  <c r="I1609" i="76"/>
  <c r="I1608" i="76"/>
  <c r="I1607" i="76"/>
  <c r="I1606" i="76"/>
  <c r="I1605" i="76"/>
  <c r="I1604" i="76"/>
  <c r="I1603" i="76"/>
  <c r="I1602" i="76"/>
  <c r="I1601" i="76"/>
  <c r="I1600" i="76"/>
  <c r="I1599" i="76"/>
  <c r="I1598" i="76"/>
  <c r="I1597" i="76"/>
  <c r="I1596" i="76"/>
  <c r="I1595" i="76"/>
  <c r="I1594" i="76"/>
  <c r="I1593" i="76"/>
  <c r="I1592" i="76"/>
  <c r="I1591" i="76"/>
  <c r="I1590" i="76"/>
  <c r="I1589" i="76"/>
  <c r="I1588" i="76"/>
  <c r="I1587" i="76"/>
  <c r="I1586" i="76"/>
  <c r="I1585" i="76"/>
  <c r="I1584" i="76"/>
  <c r="I1583" i="76"/>
  <c r="I1582" i="76"/>
  <c r="I1581" i="76"/>
  <c r="I1580" i="76"/>
  <c r="I1579" i="76"/>
  <c r="I1578" i="76"/>
  <c r="I1577" i="76"/>
  <c r="I1576" i="76"/>
  <c r="I1575" i="76"/>
  <c r="I1574" i="76"/>
  <c r="I1573" i="76"/>
  <c r="I1572" i="76"/>
  <c r="I1571" i="76"/>
  <c r="I1570" i="76"/>
  <c r="I1569" i="76"/>
  <c r="I1568" i="76"/>
  <c r="I1567" i="76"/>
  <c r="I1566" i="76"/>
  <c r="I1565" i="76"/>
  <c r="I1564" i="76"/>
  <c r="I1563" i="76"/>
  <c r="I1562" i="76"/>
  <c r="I1561" i="76"/>
  <c r="I1560" i="76"/>
  <c r="I1559" i="76"/>
  <c r="I1558" i="76"/>
  <c r="I1557" i="76"/>
  <c r="I1556" i="76"/>
  <c r="I1555" i="76"/>
  <c r="I1554" i="76"/>
  <c r="I1553" i="76"/>
  <c r="I1552" i="76"/>
  <c r="I1551" i="76"/>
  <c r="I1550" i="76"/>
  <c r="I1549" i="76"/>
  <c r="I1548" i="76"/>
  <c r="I1547" i="76"/>
  <c r="I1546" i="76"/>
  <c r="I1545" i="76"/>
  <c r="I1544" i="76"/>
  <c r="I1543" i="76"/>
  <c r="I1542" i="76"/>
  <c r="I1541" i="76"/>
  <c r="I1540" i="76"/>
  <c r="I1539" i="76"/>
  <c r="I1538" i="76"/>
  <c r="I1537" i="76"/>
  <c r="I1536" i="76"/>
  <c r="I1535" i="76"/>
  <c r="I1534" i="76"/>
  <c r="I1533" i="76"/>
  <c r="I1532" i="76"/>
  <c r="I1531" i="76"/>
  <c r="I1530" i="76"/>
  <c r="I1529" i="76"/>
  <c r="I1528" i="76"/>
  <c r="I1527" i="76"/>
  <c r="I1526" i="76"/>
  <c r="I1525" i="76"/>
  <c r="I1524" i="76"/>
  <c r="I1523" i="76"/>
  <c r="I1522" i="76"/>
  <c r="I1521" i="76"/>
  <c r="I1520" i="76"/>
  <c r="I1519" i="76"/>
  <c r="I1518" i="76"/>
  <c r="I1517" i="76"/>
  <c r="I1516" i="76"/>
  <c r="I1515" i="76"/>
  <c r="I1514" i="76"/>
  <c r="I1513" i="76"/>
  <c r="I1512" i="76"/>
  <c r="I1511" i="76"/>
  <c r="I1510" i="76"/>
  <c r="I1509" i="76"/>
  <c r="I1508" i="76"/>
  <c r="I1507" i="76"/>
  <c r="I1506" i="76"/>
  <c r="I1505" i="76"/>
  <c r="I1504" i="76"/>
  <c r="I1503" i="76"/>
  <c r="I1502" i="76"/>
  <c r="I1501" i="76"/>
  <c r="I1500" i="76"/>
  <c r="I1499" i="76"/>
  <c r="I1498" i="76"/>
  <c r="I1497" i="76"/>
  <c r="I1496" i="76"/>
  <c r="I1495" i="76"/>
  <c r="I1494" i="76"/>
  <c r="I1493" i="76"/>
  <c r="I1492" i="76"/>
  <c r="I1491" i="76"/>
  <c r="I1490" i="76"/>
  <c r="I1489" i="76"/>
  <c r="I1488" i="76"/>
  <c r="I1487" i="76"/>
  <c r="I1486" i="76"/>
  <c r="I1485" i="76"/>
  <c r="I1484" i="76"/>
  <c r="I1483" i="76"/>
  <c r="I1482" i="76"/>
  <c r="I1481" i="76"/>
  <c r="I1480" i="76"/>
  <c r="I1479" i="76"/>
  <c r="I1478" i="76"/>
  <c r="I1477" i="76"/>
  <c r="I1476" i="76"/>
  <c r="I1475" i="76"/>
  <c r="I1474" i="76"/>
  <c r="I1473" i="76"/>
  <c r="I1472" i="76"/>
  <c r="I1471" i="76"/>
  <c r="I1470" i="76"/>
  <c r="I1469" i="76"/>
  <c r="I1468" i="76"/>
  <c r="I1467" i="76"/>
  <c r="I1466" i="76"/>
  <c r="I1465" i="76"/>
  <c r="I1464" i="76"/>
  <c r="I1463" i="76"/>
  <c r="I1462" i="76"/>
  <c r="I1461" i="76"/>
  <c r="I1460" i="76"/>
  <c r="I1459" i="76"/>
  <c r="I1458" i="76"/>
  <c r="I1457" i="76"/>
  <c r="I1456" i="76"/>
  <c r="I1455" i="76"/>
  <c r="I1454" i="76"/>
  <c r="I1453" i="76"/>
  <c r="I1452" i="76"/>
  <c r="I1451" i="76"/>
  <c r="I1450" i="76"/>
  <c r="I1449" i="76"/>
  <c r="I1448" i="76"/>
  <c r="I1447" i="76"/>
  <c r="I1446" i="76"/>
  <c r="I1445" i="76"/>
  <c r="I1444" i="76"/>
  <c r="I1443" i="76"/>
  <c r="I1442" i="76"/>
  <c r="I1441" i="76"/>
  <c r="I1440" i="76"/>
  <c r="I1439" i="76"/>
  <c r="I1438" i="76"/>
  <c r="I1437" i="76"/>
  <c r="I1436" i="76"/>
  <c r="I1435" i="76"/>
  <c r="I1434" i="76"/>
  <c r="I1433" i="76"/>
  <c r="I1432" i="76"/>
  <c r="I1431" i="76"/>
  <c r="I1430" i="76"/>
  <c r="I1429" i="76"/>
  <c r="I1428" i="76"/>
  <c r="I1427" i="76"/>
  <c r="I1426" i="76"/>
  <c r="I1425" i="76"/>
  <c r="I1424" i="76"/>
  <c r="I1423" i="76"/>
  <c r="I1422" i="76"/>
  <c r="I1421" i="76"/>
  <c r="I1420" i="76"/>
  <c r="I1419" i="76"/>
  <c r="I1418" i="76"/>
  <c r="I1417" i="76"/>
  <c r="I1416" i="76"/>
  <c r="I1415" i="76"/>
  <c r="I1414" i="76"/>
  <c r="I1413" i="76"/>
  <c r="I1412" i="76"/>
  <c r="I1411" i="76"/>
  <c r="I1410" i="76"/>
  <c r="I1409" i="76"/>
  <c r="I1408" i="76"/>
  <c r="I1407" i="76"/>
  <c r="I1406" i="76"/>
  <c r="I1405" i="76"/>
  <c r="I1404" i="76"/>
  <c r="I1403" i="76"/>
  <c r="I1402" i="76"/>
  <c r="I1401" i="76"/>
  <c r="I1400" i="76"/>
  <c r="I1399" i="76"/>
  <c r="I1398" i="76"/>
  <c r="I1397" i="76"/>
  <c r="I1396" i="76"/>
  <c r="I1395" i="76"/>
  <c r="I1394" i="76"/>
  <c r="I1393" i="76"/>
  <c r="I1392" i="76"/>
  <c r="I1391" i="76"/>
  <c r="I1390" i="76"/>
  <c r="I1389" i="76"/>
  <c r="I1388" i="76"/>
  <c r="I1387" i="76"/>
  <c r="I1386" i="76"/>
  <c r="I1385" i="76"/>
  <c r="I1384" i="76"/>
  <c r="I1383" i="76"/>
  <c r="I1382" i="76"/>
  <c r="I1381" i="76"/>
  <c r="I1380" i="76"/>
  <c r="I1379" i="76"/>
  <c r="I1378" i="76"/>
  <c r="I1377" i="76"/>
  <c r="I1376" i="76"/>
  <c r="I1375" i="76"/>
  <c r="I1374" i="76"/>
  <c r="I1373" i="76"/>
  <c r="I1372" i="76"/>
  <c r="I1371" i="76"/>
  <c r="I1370" i="76"/>
  <c r="I1369" i="76"/>
  <c r="I1368" i="76"/>
  <c r="I1367" i="76"/>
  <c r="I1366" i="76"/>
  <c r="I1365" i="76"/>
  <c r="I1364" i="76"/>
  <c r="I1363" i="76"/>
  <c r="I1362" i="76"/>
  <c r="I1361" i="76"/>
  <c r="I1360" i="76"/>
  <c r="I1359" i="76"/>
  <c r="I1358" i="76"/>
  <c r="I1357" i="76"/>
  <c r="I1356" i="76"/>
  <c r="I1355" i="76"/>
  <c r="I1354" i="76"/>
  <c r="I1353" i="76"/>
  <c r="I1352" i="76"/>
  <c r="I1351" i="76"/>
  <c r="I1350" i="76"/>
  <c r="I1349" i="76"/>
  <c r="I1348" i="76"/>
  <c r="I1347" i="76"/>
  <c r="I1346" i="76"/>
  <c r="I1345" i="76"/>
  <c r="I1344" i="76"/>
  <c r="I1343" i="76"/>
  <c r="I1342" i="76"/>
  <c r="I1341" i="76"/>
  <c r="I1340" i="76"/>
  <c r="I1339" i="76"/>
  <c r="I1338" i="76"/>
  <c r="I1337" i="76"/>
  <c r="I1336" i="76"/>
  <c r="I1335" i="76"/>
  <c r="I1334" i="76"/>
  <c r="I1333" i="76"/>
  <c r="I1332" i="76"/>
  <c r="I1331" i="76"/>
  <c r="I1330" i="76"/>
  <c r="I1329" i="76"/>
  <c r="I1328" i="76"/>
  <c r="I1327" i="76"/>
  <c r="I1326" i="76"/>
  <c r="I1325" i="76"/>
  <c r="I1324" i="76"/>
  <c r="I1323" i="76"/>
  <c r="I1322" i="76"/>
  <c r="I1321" i="76"/>
  <c r="I1320" i="76"/>
  <c r="I1319" i="76"/>
  <c r="I1318" i="76"/>
  <c r="I1317" i="76"/>
  <c r="I1316" i="76"/>
  <c r="I1315" i="76"/>
  <c r="I1314" i="76"/>
  <c r="I1313" i="76"/>
  <c r="I1312" i="76"/>
  <c r="I1311" i="76"/>
  <c r="I1310" i="76"/>
  <c r="I1309" i="76"/>
  <c r="I1308" i="76"/>
  <c r="I1307" i="76"/>
  <c r="I1306" i="76"/>
  <c r="I1305" i="76"/>
  <c r="I1304" i="76"/>
  <c r="I1303" i="76"/>
  <c r="I1302" i="76"/>
  <c r="I1301" i="76"/>
  <c r="I1300" i="76"/>
  <c r="I1299" i="76"/>
  <c r="I1298" i="76"/>
  <c r="I1297" i="76"/>
  <c r="I1296" i="76"/>
  <c r="I1295" i="76"/>
  <c r="I1294" i="76"/>
  <c r="I1293" i="76"/>
  <c r="I1292" i="76"/>
  <c r="I1291" i="76"/>
  <c r="I1290" i="76"/>
  <c r="I1289" i="76"/>
  <c r="I1288" i="76"/>
  <c r="I1287" i="76"/>
  <c r="I1286" i="76"/>
  <c r="I1285" i="76"/>
  <c r="I1284" i="76"/>
  <c r="I1283" i="76"/>
  <c r="I1282" i="76"/>
  <c r="I1281" i="76"/>
  <c r="I1280" i="76"/>
  <c r="I1279" i="76"/>
  <c r="I1278" i="76"/>
  <c r="I1277" i="76"/>
  <c r="I1276" i="76"/>
  <c r="I1275" i="76"/>
  <c r="I1274" i="76"/>
  <c r="I1273" i="76"/>
  <c r="I1272" i="76"/>
  <c r="I1271" i="76"/>
  <c r="I1270" i="76"/>
  <c r="I1269" i="76"/>
  <c r="I1268" i="76"/>
  <c r="I1267" i="76"/>
  <c r="I1266" i="76"/>
  <c r="I1265" i="76"/>
  <c r="I1264" i="76"/>
  <c r="I1263" i="76"/>
  <c r="I1262" i="76"/>
  <c r="I1261" i="76"/>
  <c r="I1260" i="76"/>
  <c r="I1259" i="76"/>
  <c r="I1258" i="76"/>
  <c r="I1257" i="76"/>
  <c r="I1256" i="76"/>
  <c r="I1255" i="76"/>
  <c r="I1254" i="76"/>
  <c r="I1253" i="76"/>
  <c r="I1252" i="76"/>
  <c r="I1251" i="76"/>
  <c r="I1250" i="76"/>
  <c r="I1249" i="76"/>
  <c r="I1248" i="76"/>
  <c r="I1247" i="76"/>
  <c r="I1246" i="76"/>
  <c r="I1245" i="76"/>
  <c r="I1244" i="76"/>
  <c r="I1243" i="76"/>
  <c r="I1242" i="76"/>
  <c r="I1241" i="76"/>
  <c r="I1240" i="76"/>
  <c r="I1239" i="76"/>
  <c r="I1238" i="76"/>
  <c r="I1237" i="76"/>
  <c r="I1236" i="76"/>
  <c r="I1235" i="76"/>
  <c r="I1234" i="76"/>
  <c r="I1233" i="76"/>
  <c r="I1232" i="76"/>
  <c r="I1231" i="76"/>
  <c r="I1230" i="76"/>
  <c r="I1229" i="76"/>
  <c r="I1228" i="76"/>
  <c r="I1227" i="76"/>
  <c r="I1226" i="76"/>
  <c r="I1225" i="76"/>
  <c r="I1224" i="76"/>
  <c r="I1223" i="76"/>
  <c r="I1222" i="76"/>
  <c r="I1221" i="76"/>
  <c r="I1220" i="76"/>
  <c r="I1219" i="76"/>
  <c r="I1218" i="76"/>
  <c r="I1217" i="76"/>
  <c r="I1216" i="76"/>
  <c r="I1215" i="76"/>
  <c r="I1214" i="76"/>
  <c r="I1213" i="76"/>
  <c r="I1212" i="76"/>
  <c r="I1211" i="76"/>
  <c r="I1210" i="76"/>
  <c r="I1209" i="76"/>
  <c r="I1208" i="76"/>
  <c r="I1207" i="76"/>
  <c r="I1206" i="76"/>
  <c r="I1205" i="76"/>
  <c r="I1204" i="76"/>
  <c r="I1203" i="76"/>
  <c r="I1202" i="76"/>
  <c r="I1201" i="76"/>
  <c r="I1200" i="76"/>
  <c r="I1199" i="76"/>
  <c r="I1198" i="76"/>
  <c r="I1197" i="76"/>
  <c r="I1196" i="76"/>
  <c r="I1195" i="76"/>
  <c r="I1194" i="76"/>
  <c r="I1193" i="76"/>
  <c r="I1192" i="76"/>
  <c r="I1191" i="76"/>
  <c r="I1190" i="76"/>
  <c r="I1189" i="76"/>
  <c r="I1188" i="76"/>
  <c r="I1187" i="76"/>
  <c r="I1186" i="76"/>
  <c r="I1185" i="76"/>
  <c r="I1184" i="76"/>
  <c r="I1183" i="76"/>
  <c r="I1182" i="76"/>
  <c r="I1181" i="76"/>
  <c r="I1180" i="76"/>
  <c r="I1179" i="76"/>
  <c r="I1178" i="76"/>
  <c r="I1177" i="76"/>
  <c r="I1176" i="76"/>
  <c r="I1175" i="76"/>
  <c r="I1174" i="76"/>
  <c r="I1173" i="76"/>
  <c r="I1172" i="76"/>
  <c r="I1171" i="76"/>
  <c r="I1170" i="76"/>
  <c r="I1169" i="76"/>
  <c r="I1168" i="76"/>
  <c r="I1167" i="76"/>
  <c r="I1166" i="76"/>
  <c r="I1165" i="76"/>
  <c r="I1164" i="76"/>
  <c r="I1163" i="76"/>
  <c r="I1162" i="76"/>
  <c r="I1161" i="76"/>
  <c r="I1160" i="76"/>
  <c r="I1159" i="76"/>
  <c r="I1158" i="76"/>
  <c r="I1157" i="76"/>
  <c r="I1156" i="76"/>
  <c r="I1155" i="76"/>
  <c r="I1154" i="76"/>
  <c r="I1153" i="76"/>
  <c r="I1152" i="76"/>
  <c r="I1151" i="76"/>
  <c r="I1150" i="76"/>
  <c r="I1149" i="76"/>
  <c r="I1148" i="76"/>
  <c r="I1147" i="76"/>
  <c r="I1146" i="76"/>
  <c r="I1145" i="76"/>
  <c r="I1144" i="76"/>
  <c r="I1143" i="76"/>
  <c r="I1142" i="76"/>
  <c r="I1141" i="76"/>
  <c r="I1140" i="76"/>
  <c r="I1139" i="76"/>
  <c r="I1138" i="76"/>
  <c r="I1137" i="76"/>
  <c r="I1136" i="76"/>
  <c r="I1135" i="76"/>
  <c r="I1134" i="76"/>
  <c r="I1133" i="76"/>
  <c r="I1132" i="76"/>
  <c r="I1131" i="76"/>
  <c r="I1130" i="76"/>
  <c r="I1129" i="76"/>
  <c r="I1128" i="76"/>
  <c r="I1127" i="76"/>
  <c r="I1126" i="76"/>
  <c r="I1125" i="76"/>
  <c r="I1124" i="76"/>
  <c r="I1123" i="76"/>
  <c r="I1122" i="76"/>
  <c r="I1121" i="76"/>
  <c r="I1120" i="76"/>
  <c r="I1119" i="76"/>
  <c r="I1118" i="76"/>
  <c r="I1117" i="76"/>
  <c r="I1116" i="76"/>
  <c r="I1115" i="76"/>
  <c r="I1114" i="76"/>
  <c r="I1113" i="76"/>
  <c r="I1112" i="76"/>
  <c r="I1111" i="76"/>
  <c r="I1110" i="76"/>
  <c r="I1109" i="76"/>
  <c r="I1108" i="76"/>
  <c r="I1107" i="76"/>
  <c r="I1106" i="76"/>
  <c r="I1105" i="76"/>
  <c r="I1104" i="76"/>
  <c r="I1103" i="76"/>
  <c r="I1102" i="76"/>
  <c r="I1101" i="76"/>
  <c r="I1100" i="76"/>
  <c r="I1099" i="76"/>
  <c r="I1098" i="76"/>
  <c r="I1097" i="76"/>
  <c r="I1096" i="76"/>
  <c r="I1095" i="76"/>
  <c r="I1094" i="76"/>
  <c r="I1093" i="76"/>
  <c r="I1092" i="76"/>
  <c r="I1091" i="76"/>
  <c r="I1090" i="76"/>
  <c r="I1089" i="76"/>
  <c r="I1088" i="76"/>
  <c r="I1087" i="76"/>
  <c r="I1086" i="76"/>
  <c r="I1085" i="76"/>
  <c r="I1084" i="76"/>
  <c r="I1083" i="76"/>
  <c r="I1082" i="76"/>
  <c r="I1081" i="76"/>
  <c r="I1080" i="76"/>
  <c r="I1079" i="76"/>
  <c r="I1078" i="76"/>
  <c r="I1077" i="76"/>
  <c r="I1076" i="76"/>
  <c r="I1075" i="76"/>
  <c r="I1074" i="76"/>
  <c r="I1073" i="76"/>
  <c r="I1072" i="76"/>
  <c r="I1071" i="76"/>
  <c r="I1070" i="76"/>
  <c r="I1069" i="76"/>
  <c r="I1068" i="76"/>
  <c r="I1067" i="76"/>
  <c r="I1066" i="76"/>
  <c r="I1065" i="76"/>
  <c r="I1064" i="76"/>
  <c r="I1063" i="76"/>
  <c r="I1062" i="76"/>
  <c r="I1061" i="76"/>
  <c r="I1060" i="76"/>
  <c r="I1059" i="76"/>
  <c r="I1058" i="76"/>
  <c r="I1057" i="76"/>
  <c r="I1056" i="76"/>
  <c r="I1055" i="76"/>
  <c r="I1054" i="76"/>
  <c r="I1053" i="76"/>
  <c r="I1052" i="76"/>
  <c r="I1051" i="76"/>
  <c r="I1050" i="76"/>
  <c r="I1049" i="76"/>
  <c r="I1048" i="76"/>
  <c r="I1047" i="76"/>
  <c r="I1046" i="76"/>
  <c r="I1045" i="76"/>
  <c r="I1044" i="76"/>
  <c r="I1043" i="76"/>
  <c r="I1042" i="76"/>
  <c r="I1041" i="76"/>
  <c r="I1040" i="76"/>
  <c r="I1039" i="76"/>
  <c r="I1038" i="76"/>
  <c r="I1037" i="76"/>
  <c r="I1036" i="76"/>
  <c r="I1035" i="76"/>
  <c r="I1034" i="76"/>
  <c r="I1033" i="76"/>
  <c r="I1032" i="76"/>
  <c r="I1031" i="76"/>
  <c r="I1030" i="76"/>
  <c r="I1029" i="76"/>
  <c r="I1028" i="76"/>
  <c r="I1027" i="76"/>
  <c r="I1026" i="76"/>
  <c r="I1025" i="76"/>
  <c r="I1024" i="76"/>
  <c r="I1023" i="76"/>
  <c r="I1022" i="76"/>
  <c r="I1021" i="76"/>
  <c r="I1020" i="76"/>
  <c r="I1019" i="76"/>
  <c r="I1018" i="76"/>
  <c r="I1017" i="76"/>
  <c r="I1016" i="76"/>
  <c r="I1015" i="76"/>
  <c r="I1014" i="76"/>
  <c r="I1013" i="76"/>
  <c r="I1012" i="76"/>
  <c r="I1011" i="76"/>
  <c r="I1010" i="76"/>
  <c r="I1009" i="76"/>
  <c r="I1008" i="76"/>
  <c r="I1007" i="76"/>
  <c r="I1006" i="76"/>
  <c r="I1005" i="76"/>
  <c r="I1004" i="76"/>
  <c r="I1003" i="76"/>
  <c r="I1002" i="76"/>
  <c r="I1001" i="76"/>
  <c r="I1000" i="76"/>
  <c r="I999" i="76"/>
  <c r="I998" i="76"/>
  <c r="I997" i="76"/>
  <c r="I996" i="76"/>
  <c r="I995" i="76"/>
  <c r="I994" i="76"/>
  <c r="I993" i="76"/>
  <c r="I992" i="76"/>
  <c r="I991" i="76"/>
  <c r="I990" i="76"/>
  <c r="I989" i="76"/>
  <c r="I988" i="76"/>
  <c r="I987" i="76"/>
  <c r="I986" i="76"/>
  <c r="I985" i="76"/>
  <c r="I984" i="76"/>
  <c r="I983" i="76"/>
  <c r="I982" i="76"/>
  <c r="I981" i="76"/>
  <c r="I980" i="76"/>
  <c r="I979" i="76"/>
  <c r="I978" i="76"/>
  <c r="I977" i="76"/>
  <c r="I976" i="76"/>
  <c r="I975" i="76"/>
  <c r="I974" i="76"/>
  <c r="I973" i="76"/>
  <c r="I972" i="76"/>
  <c r="I971" i="76"/>
  <c r="I970" i="76"/>
  <c r="I969" i="76"/>
  <c r="I968" i="76"/>
  <c r="I967" i="76"/>
  <c r="I966" i="76"/>
  <c r="I965" i="76"/>
  <c r="I964" i="76"/>
  <c r="I963" i="76"/>
  <c r="I962" i="76"/>
  <c r="I961" i="76"/>
  <c r="I960" i="76"/>
  <c r="I959" i="76"/>
  <c r="I958" i="76"/>
  <c r="I957" i="76"/>
  <c r="I956" i="76"/>
  <c r="I955" i="76"/>
  <c r="I954" i="76"/>
  <c r="I953" i="76"/>
  <c r="I952" i="76"/>
  <c r="I951" i="76"/>
  <c r="I950" i="76"/>
  <c r="I949" i="76"/>
  <c r="I948" i="76"/>
  <c r="I947" i="76"/>
  <c r="I946" i="76"/>
  <c r="I945" i="76"/>
  <c r="I944" i="76"/>
  <c r="I943" i="76"/>
  <c r="I942" i="76"/>
  <c r="I941" i="76"/>
  <c r="I940" i="76"/>
  <c r="I939" i="76"/>
  <c r="I938" i="76"/>
  <c r="I937" i="76"/>
  <c r="I936" i="76"/>
  <c r="I935" i="76"/>
  <c r="I934" i="76"/>
  <c r="I933" i="76"/>
  <c r="I932" i="76"/>
  <c r="I931" i="76"/>
  <c r="I930" i="76"/>
  <c r="I929" i="76"/>
  <c r="I928" i="76"/>
  <c r="I927" i="76"/>
  <c r="I926" i="76"/>
  <c r="I925" i="76"/>
  <c r="I924" i="76"/>
  <c r="I923" i="76"/>
  <c r="I922" i="76"/>
  <c r="I921" i="76"/>
  <c r="I920" i="76"/>
  <c r="I919" i="76"/>
  <c r="I918" i="76"/>
  <c r="I917" i="76"/>
  <c r="I916" i="76"/>
  <c r="I915" i="76"/>
  <c r="I914" i="76"/>
  <c r="I913" i="76"/>
  <c r="I912" i="76"/>
  <c r="I911" i="76"/>
  <c r="I910" i="76"/>
  <c r="I909" i="76"/>
  <c r="I908" i="76"/>
  <c r="I907" i="76"/>
  <c r="I906" i="76"/>
  <c r="I905" i="76"/>
  <c r="I904" i="76"/>
  <c r="I903" i="76"/>
  <c r="I902" i="76"/>
  <c r="I901" i="76"/>
  <c r="I900" i="76"/>
  <c r="I899" i="76"/>
  <c r="I898" i="76"/>
  <c r="I897" i="76"/>
  <c r="I896" i="76"/>
  <c r="I895" i="76"/>
  <c r="I894" i="76"/>
  <c r="I893" i="76"/>
  <c r="I892" i="76"/>
  <c r="I891" i="76"/>
  <c r="I890" i="76"/>
  <c r="I889" i="76"/>
  <c r="I888" i="76"/>
  <c r="I887" i="76"/>
  <c r="I886" i="76"/>
  <c r="I885" i="76"/>
  <c r="I884" i="76"/>
  <c r="I883" i="76"/>
  <c r="I882" i="76"/>
  <c r="I881" i="76"/>
  <c r="I880" i="76"/>
  <c r="I879" i="76"/>
  <c r="I878" i="76"/>
  <c r="I877" i="76"/>
  <c r="I876" i="76"/>
  <c r="I875" i="76"/>
  <c r="I874" i="76"/>
  <c r="I873" i="76"/>
  <c r="I872" i="76"/>
  <c r="I871" i="76"/>
  <c r="I870" i="76"/>
  <c r="I869" i="76"/>
  <c r="I868" i="76"/>
  <c r="I867" i="76"/>
  <c r="I866" i="76"/>
  <c r="I865" i="76"/>
  <c r="I864" i="76"/>
  <c r="I863" i="76"/>
  <c r="I862" i="76"/>
  <c r="I861" i="76"/>
  <c r="I860" i="76"/>
  <c r="I859" i="76"/>
  <c r="I858" i="76"/>
  <c r="I857" i="76"/>
  <c r="I856" i="76"/>
  <c r="I855" i="76"/>
  <c r="I854" i="76"/>
  <c r="I853" i="76"/>
  <c r="I852" i="76"/>
  <c r="I851" i="76"/>
  <c r="I850" i="76"/>
  <c r="I849" i="76"/>
  <c r="I848" i="76"/>
  <c r="I847" i="76"/>
  <c r="I846" i="76"/>
  <c r="I845" i="76"/>
  <c r="I844" i="76"/>
  <c r="I843" i="76"/>
  <c r="I842" i="76"/>
  <c r="I841" i="76"/>
  <c r="I840" i="76"/>
  <c r="I839" i="76"/>
  <c r="I838" i="76"/>
  <c r="I837" i="76"/>
  <c r="I836" i="76"/>
  <c r="I835" i="76"/>
  <c r="I834" i="76"/>
  <c r="I833" i="76"/>
  <c r="I832" i="76"/>
  <c r="I831" i="76"/>
  <c r="I830" i="76"/>
  <c r="I829" i="76"/>
  <c r="I828" i="76"/>
  <c r="I827" i="76"/>
  <c r="I826" i="76"/>
  <c r="I825" i="76"/>
  <c r="I824" i="76"/>
  <c r="I823" i="76"/>
  <c r="I822" i="76"/>
  <c r="I821" i="76"/>
  <c r="I820" i="76"/>
  <c r="I819" i="76"/>
  <c r="I818" i="76"/>
  <c r="I817" i="76"/>
  <c r="I816" i="76"/>
  <c r="I815" i="76"/>
  <c r="I814" i="76"/>
  <c r="I813" i="76"/>
  <c r="I812" i="76"/>
  <c r="I811" i="76"/>
  <c r="I810" i="76"/>
  <c r="I809" i="76"/>
  <c r="I808" i="76"/>
  <c r="I807" i="76"/>
  <c r="I806" i="76"/>
  <c r="I805" i="76"/>
  <c r="I804" i="76"/>
  <c r="I803" i="76"/>
  <c r="I802" i="76"/>
  <c r="I801" i="76"/>
  <c r="I800" i="76"/>
  <c r="I799" i="76"/>
  <c r="I798" i="76"/>
  <c r="I797" i="76"/>
  <c r="I796" i="76"/>
  <c r="I795" i="76"/>
  <c r="I794" i="76"/>
  <c r="I793" i="76"/>
  <c r="I792" i="76"/>
  <c r="I791" i="76"/>
  <c r="I790" i="76"/>
  <c r="I789" i="76"/>
  <c r="I788" i="76"/>
  <c r="I787" i="76"/>
  <c r="I786" i="76"/>
  <c r="I785" i="76"/>
  <c r="I784" i="76"/>
  <c r="I783" i="76"/>
  <c r="I782" i="76"/>
  <c r="I781" i="76"/>
  <c r="I780" i="76"/>
  <c r="I779" i="76"/>
  <c r="I778" i="76"/>
  <c r="I777" i="76"/>
  <c r="I776" i="76"/>
  <c r="I775" i="76"/>
  <c r="I774" i="76"/>
  <c r="I773" i="76"/>
  <c r="I772" i="76"/>
  <c r="I771" i="76"/>
  <c r="I770" i="76"/>
  <c r="I769" i="76"/>
  <c r="I768" i="76"/>
  <c r="I767" i="76"/>
  <c r="I766" i="76"/>
  <c r="I765" i="76"/>
  <c r="I764" i="76"/>
  <c r="I763" i="76"/>
  <c r="I762" i="76"/>
  <c r="I761" i="76"/>
  <c r="I760" i="76"/>
  <c r="I759" i="76"/>
  <c r="I758" i="76"/>
  <c r="I757" i="76"/>
  <c r="I756" i="76"/>
  <c r="I755" i="76"/>
  <c r="I754" i="76"/>
  <c r="I753" i="76"/>
  <c r="I752" i="76"/>
  <c r="I751" i="76"/>
  <c r="I750" i="76"/>
  <c r="I749" i="76"/>
  <c r="I748" i="76"/>
  <c r="I747" i="76"/>
  <c r="I746" i="76"/>
  <c r="I745" i="76"/>
  <c r="I744" i="76"/>
  <c r="I743" i="76"/>
  <c r="I742" i="76"/>
  <c r="I741" i="76"/>
  <c r="I740" i="76"/>
  <c r="I739" i="76"/>
  <c r="I738" i="76"/>
  <c r="I737" i="76"/>
  <c r="I736" i="76"/>
  <c r="I735" i="76"/>
  <c r="I734" i="76"/>
  <c r="I733" i="76"/>
  <c r="I732" i="76"/>
  <c r="I731" i="76"/>
  <c r="I730" i="76"/>
  <c r="I729" i="76"/>
  <c r="I728" i="76"/>
  <c r="I727" i="76"/>
  <c r="I726" i="76"/>
  <c r="I725" i="76"/>
  <c r="I724" i="76"/>
  <c r="I723" i="76"/>
  <c r="I722" i="76"/>
  <c r="I721" i="76"/>
  <c r="I720" i="76"/>
  <c r="I719" i="76"/>
  <c r="I718" i="76"/>
  <c r="I717" i="76"/>
  <c r="I716" i="76"/>
  <c r="I715" i="76"/>
  <c r="I714" i="76"/>
  <c r="I713" i="76"/>
  <c r="I712" i="76"/>
  <c r="I711" i="76"/>
  <c r="I710" i="76"/>
  <c r="I709" i="76"/>
  <c r="I708" i="76"/>
  <c r="I707" i="76"/>
  <c r="I706" i="76"/>
  <c r="I705" i="76"/>
  <c r="I704" i="76"/>
  <c r="I703" i="76"/>
  <c r="I702" i="76"/>
  <c r="I701" i="76"/>
  <c r="I700" i="76"/>
  <c r="I699" i="76"/>
  <c r="I698" i="76"/>
  <c r="I697" i="76"/>
  <c r="I696" i="76"/>
  <c r="I695" i="76"/>
  <c r="I694" i="76"/>
  <c r="I693" i="76"/>
  <c r="I692" i="76"/>
  <c r="I691" i="76"/>
  <c r="I690" i="76"/>
  <c r="I689" i="76"/>
  <c r="I688" i="76"/>
  <c r="I687" i="76"/>
  <c r="I686" i="76"/>
  <c r="I685" i="76"/>
  <c r="I684" i="76"/>
  <c r="I683" i="76"/>
  <c r="I682" i="76"/>
  <c r="I681" i="76"/>
  <c r="I680" i="76"/>
  <c r="I679" i="76"/>
  <c r="I678" i="76"/>
  <c r="I677" i="76"/>
  <c r="I676" i="76"/>
  <c r="I675" i="76"/>
  <c r="I674" i="76"/>
  <c r="I673" i="76"/>
  <c r="I672" i="76"/>
  <c r="I671" i="76"/>
  <c r="I670" i="76"/>
  <c r="I669" i="76"/>
  <c r="I668" i="76"/>
  <c r="I667" i="76"/>
  <c r="I666" i="76"/>
  <c r="I665" i="76"/>
  <c r="I664" i="76"/>
  <c r="I663" i="76"/>
  <c r="I662" i="76"/>
  <c r="I661" i="76"/>
  <c r="I660" i="76"/>
  <c r="I659" i="76"/>
  <c r="I658" i="76"/>
  <c r="I657" i="76"/>
  <c r="I656" i="76"/>
  <c r="I655" i="76"/>
  <c r="I654" i="76"/>
  <c r="I653" i="76"/>
  <c r="I652" i="76"/>
  <c r="I651" i="76"/>
  <c r="I650" i="76"/>
  <c r="I649" i="76"/>
  <c r="I648" i="76"/>
  <c r="I647" i="76"/>
  <c r="I646" i="76"/>
  <c r="I645" i="76"/>
  <c r="I644" i="76"/>
  <c r="I643" i="76"/>
  <c r="I642" i="76"/>
  <c r="I641" i="76"/>
  <c r="I640" i="76"/>
  <c r="I639" i="76"/>
  <c r="I638" i="76"/>
  <c r="I637" i="76"/>
  <c r="I636" i="76"/>
  <c r="I635" i="76"/>
  <c r="I634" i="76"/>
  <c r="I633" i="76"/>
  <c r="I632" i="76"/>
  <c r="I631" i="76"/>
  <c r="I630" i="76"/>
  <c r="I629" i="76"/>
  <c r="I628" i="76"/>
  <c r="I627" i="76"/>
  <c r="I626" i="76"/>
  <c r="I625" i="76"/>
  <c r="I624" i="76"/>
  <c r="I623" i="76"/>
  <c r="I622" i="76"/>
  <c r="I621" i="76"/>
  <c r="I620" i="76"/>
  <c r="I619" i="76"/>
  <c r="I618" i="76"/>
  <c r="I617" i="76"/>
  <c r="I616" i="76"/>
  <c r="I615" i="76"/>
  <c r="I614" i="76"/>
  <c r="I613" i="76"/>
  <c r="I612" i="76"/>
  <c r="I611" i="76"/>
  <c r="I610" i="76"/>
  <c r="I609" i="76"/>
  <c r="I608" i="76"/>
  <c r="I607" i="76"/>
  <c r="I606" i="76"/>
  <c r="I605" i="76"/>
  <c r="I604" i="76"/>
  <c r="I603" i="76"/>
  <c r="I602" i="76"/>
  <c r="I601" i="76"/>
  <c r="I600" i="76"/>
  <c r="I599" i="76"/>
  <c r="I598" i="76"/>
  <c r="I597" i="76"/>
  <c r="I596" i="76"/>
  <c r="I595" i="76"/>
  <c r="I594" i="76"/>
  <c r="I593" i="76"/>
  <c r="I592" i="76"/>
  <c r="I591" i="76"/>
  <c r="I590" i="76"/>
  <c r="I589" i="76"/>
  <c r="I588" i="76"/>
  <c r="I587" i="76"/>
  <c r="I586" i="76"/>
  <c r="I585" i="76"/>
  <c r="I584" i="76"/>
  <c r="I583" i="76"/>
  <c r="I582" i="76"/>
  <c r="I581" i="76"/>
  <c r="I580" i="76"/>
  <c r="I579" i="76"/>
  <c r="I578" i="76"/>
  <c r="I577" i="76"/>
  <c r="I576" i="76"/>
  <c r="I575" i="76"/>
  <c r="I574" i="76"/>
  <c r="I573" i="76"/>
  <c r="I572" i="76"/>
  <c r="I571" i="76"/>
  <c r="I570" i="76"/>
  <c r="I569" i="76"/>
  <c r="I568" i="76"/>
  <c r="I567" i="76"/>
  <c r="I566" i="76"/>
  <c r="I565" i="76"/>
  <c r="I564" i="76"/>
  <c r="I563" i="76"/>
  <c r="I562" i="76"/>
  <c r="I561" i="76"/>
  <c r="I560" i="76"/>
  <c r="I559" i="76"/>
  <c r="I558" i="76"/>
  <c r="I557" i="76"/>
  <c r="I556" i="76"/>
  <c r="I555" i="76"/>
  <c r="I554" i="76"/>
  <c r="I553" i="76"/>
  <c r="I552" i="76"/>
  <c r="I551" i="76"/>
  <c r="I550" i="76"/>
  <c r="I549" i="76"/>
  <c r="I548" i="76"/>
  <c r="I547" i="76"/>
  <c r="I546" i="76"/>
  <c r="I545" i="76"/>
  <c r="I544" i="76"/>
  <c r="I543" i="76"/>
  <c r="I542" i="76"/>
  <c r="I541" i="76"/>
  <c r="I540" i="76"/>
  <c r="I539" i="76"/>
  <c r="I538" i="76"/>
  <c r="I537" i="76"/>
  <c r="I536" i="76"/>
  <c r="I535" i="76"/>
  <c r="I534" i="76"/>
  <c r="I533" i="76"/>
  <c r="I532" i="76"/>
  <c r="I531" i="76"/>
  <c r="I530" i="76"/>
  <c r="I529" i="76"/>
  <c r="I528" i="76"/>
  <c r="I527" i="76"/>
  <c r="I526" i="76"/>
  <c r="I525" i="76"/>
  <c r="I524" i="76"/>
  <c r="I523" i="76"/>
  <c r="I522" i="76"/>
  <c r="I521" i="76"/>
  <c r="I520" i="76"/>
  <c r="I519" i="76"/>
  <c r="I518" i="76"/>
  <c r="I517" i="76"/>
  <c r="I516" i="76"/>
  <c r="I515" i="76"/>
  <c r="I514" i="76"/>
  <c r="I513" i="76"/>
  <c r="I512" i="76"/>
  <c r="I511" i="76"/>
  <c r="I510" i="76"/>
  <c r="I509" i="76"/>
  <c r="I508" i="76"/>
  <c r="I507" i="76"/>
  <c r="I506" i="76"/>
  <c r="I505" i="76"/>
  <c r="I504" i="76"/>
  <c r="I503" i="76"/>
  <c r="I502" i="76"/>
  <c r="I501" i="76"/>
  <c r="I500" i="76"/>
  <c r="I499" i="76"/>
  <c r="I498" i="76"/>
  <c r="I497" i="76"/>
  <c r="I496" i="76"/>
  <c r="I495" i="76"/>
  <c r="I494" i="76"/>
  <c r="I493" i="76"/>
  <c r="I492" i="76"/>
  <c r="I491" i="76"/>
  <c r="I490" i="76"/>
  <c r="I489" i="76"/>
  <c r="I488" i="76"/>
  <c r="I487" i="76"/>
  <c r="I486" i="76"/>
  <c r="I485" i="76"/>
  <c r="I484" i="76"/>
  <c r="I483" i="76"/>
  <c r="I482" i="76"/>
  <c r="I481" i="76"/>
  <c r="I480" i="76"/>
  <c r="I479" i="76"/>
  <c r="I478" i="76"/>
  <c r="I477" i="76"/>
  <c r="I476" i="76"/>
  <c r="I475" i="76"/>
  <c r="I474" i="76"/>
  <c r="I473" i="76"/>
  <c r="I472" i="76"/>
  <c r="I471" i="76"/>
  <c r="I470" i="76"/>
  <c r="I469" i="76"/>
  <c r="I468" i="76"/>
  <c r="I467" i="76"/>
  <c r="I466" i="76"/>
  <c r="I465" i="76"/>
  <c r="I464" i="76"/>
  <c r="I463" i="76"/>
  <c r="I462" i="76"/>
  <c r="I461" i="76"/>
  <c r="I460" i="76"/>
  <c r="I459" i="76"/>
  <c r="I458" i="76"/>
  <c r="I457" i="76"/>
  <c r="I456" i="76"/>
  <c r="I455" i="76"/>
  <c r="I454" i="76"/>
  <c r="I453" i="76"/>
  <c r="I452" i="76"/>
  <c r="I451" i="76"/>
  <c r="I450" i="76"/>
  <c r="I449" i="76"/>
  <c r="I448" i="76"/>
  <c r="I447" i="76"/>
  <c r="I446" i="76"/>
  <c r="I445" i="76"/>
  <c r="I444" i="76"/>
  <c r="I443" i="76"/>
  <c r="I442" i="76"/>
  <c r="I441" i="76"/>
  <c r="I440" i="76"/>
  <c r="I439" i="76"/>
  <c r="I438" i="76"/>
  <c r="I437" i="76"/>
  <c r="I436" i="76"/>
  <c r="I435" i="76"/>
  <c r="I434" i="76"/>
  <c r="I433" i="76"/>
  <c r="I432" i="76"/>
  <c r="I431" i="76"/>
  <c r="I430" i="76"/>
  <c r="I429" i="76"/>
  <c r="I428" i="76"/>
  <c r="I427" i="76"/>
  <c r="I426" i="76"/>
  <c r="I425" i="76"/>
  <c r="I424" i="76"/>
  <c r="I423" i="76"/>
  <c r="I422" i="76"/>
  <c r="I421" i="76"/>
  <c r="I420" i="76"/>
  <c r="I419" i="76"/>
  <c r="I418" i="76"/>
  <c r="I417" i="76"/>
  <c r="I416" i="76"/>
  <c r="I415" i="76"/>
  <c r="I414" i="76"/>
  <c r="I413" i="76"/>
  <c r="I412" i="76"/>
  <c r="I411" i="76"/>
  <c r="I410" i="76"/>
  <c r="I409" i="76"/>
  <c r="I408" i="76"/>
  <c r="I407" i="76"/>
  <c r="I406" i="76"/>
  <c r="I405" i="76"/>
  <c r="I404" i="76"/>
  <c r="I403" i="76"/>
  <c r="I402" i="76"/>
  <c r="I401" i="76"/>
  <c r="I400" i="76"/>
  <c r="I399" i="76"/>
  <c r="I398" i="76"/>
  <c r="I397" i="76"/>
  <c r="I396" i="76"/>
  <c r="I395" i="76"/>
  <c r="I394" i="76"/>
  <c r="I393" i="76"/>
  <c r="I392" i="76"/>
  <c r="I391" i="76"/>
  <c r="I390" i="76"/>
  <c r="I389" i="76"/>
  <c r="I388" i="76"/>
  <c r="I387" i="76"/>
  <c r="I386" i="76"/>
  <c r="I385" i="76"/>
  <c r="I384" i="76"/>
  <c r="I383" i="76"/>
  <c r="I382" i="76"/>
  <c r="I381" i="76"/>
  <c r="I380" i="76"/>
  <c r="I379" i="76"/>
  <c r="I378" i="76"/>
  <c r="I377" i="76"/>
  <c r="I376" i="76"/>
  <c r="I375" i="76"/>
  <c r="I374" i="76"/>
  <c r="I373" i="76"/>
  <c r="I372" i="76"/>
  <c r="I371" i="76"/>
  <c r="I370" i="76"/>
  <c r="I369" i="76"/>
  <c r="I368" i="76"/>
  <c r="I367" i="76"/>
  <c r="I366" i="76"/>
  <c r="I365" i="76"/>
  <c r="I364" i="76"/>
  <c r="I363" i="76"/>
  <c r="I362" i="76"/>
  <c r="I361" i="76"/>
  <c r="I360" i="76"/>
  <c r="I359" i="76"/>
  <c r="I358" i="76"/>
  <c r="I357" i="76"/>
  <c r="I356" i="76"/>
  <c r="I355" i="76"/>
  <c r="I354" i="76"/>
  <c r="I353" i="76"/>
  <c r="I352" i="76"/>
  <c r="I351" i="76"/>
  <c r="I350" i="76"/>
  <c r="I349" i="76"/>
  <c r="I348" i="76"/>
  <c r="I347" i="76"/>
  <c r="I346" i="76"/>
  <c r="I345" i="76"/>
  <c r="I344" i="76"/>
  <c r="I343" i="76"/>
  <c r="I342" i="76"/>
  <c r="I341" i="76"/>
  <c r="I340" i="76"/>
  <c r="I339" i="76"/>
  <c r="I338" i="76"/>
  <c r="I337" i="76"/>
  <c r="I336" i="76"/>
  <c r="I335" i="76"/>
  <c r="I334" i="76"/>
  <c r="I333" i="76"/>
  <c r="I332" i="76"/>
  <c r="I331" i="76"/>
  <c r="I330" i="76"/>
  <c r="I329" i="76"/>
  <c r="I328" i="76"/>
  <c r="I327" i="76"/>
  <c r="I326" i="76"/>
  <c r="I325" i="76"/>
  <c r="I324" i="76"/>
  <c r="I323" i="76"/>
  <c r="I322" i="76"/>
  <c r="I321" i="76"/>
  <c r="I320" i="76"/>
  <c r="I319" i="76"/>
  <c r="I318" i="76"/>
  <c r="I317" i="76"/>
  <c r="I316" i="76"/>
  <c r="I315" i="76"/>
  <c r="I314" i="76"/>
  <c r="I313" i="76"/>
  <c r="I312" i="76"/>
  <c r="I311" i="76"/>
  <c r="I310" i="76"/>
  <c r="I309" i="76"/>
  <c r="I308" i="76"/>
  <c r="I307" i="76"/>
  <c r="I306" i="76"/>
  <c r="I305" i="76"/>
  <c r="I304" i="76"/>
  <c r="I303" i="76"/>
  <c r="I302" i="76"/>
  <c r="I301" i="76"/>
  <c r="I300" i="76"/>
  <c r="I299" i="76"/>
  <c r="I298" i="76"/>
  <c r="I297" i="76"/>
  <c r="I296" i="76"/>
  <c r="I295" i="76"/>
  <c r="I294" i="76"/>
  <c r="I293" i="76"/>
  <c r="I292" i="76"/>
  <c r="I291" i="76"/>
  <c r="I290" i="76"/>
  <c r="I289" i="76"/>
  <c r="I288" i="76"/>
  <c r="I287" i="76"/>
  <c r="I286" i="76"/>
  <c r="I285" i="76"/>
  <c r="I284" i="76"/>
  <c r="I283" i="76"/>
  <c r="I282" i="76"/>
  <c r="I281" i="76"/>
  <c r="I280" i="76"/>
  <c r="I279" i="76"/>
  <c r="I278" i="76"/>
  <c r="I277" i="76"/>
  <c r="I276" i="76"/>
  <c r="I275" i="76"/>
  <c r="I274" i="76"/>
  <c r="I273" i="76"/>
  <c r="I272" i="76"/>
  <c r="I271" i="76"/>
  <c r="I270" i="76"/>
  <c r="I269" i="76"/>
  <c r="I268" i="76"/>
  <c r="I267" i="76"/>
  <c r="I266" i="76"/>
  <c r="I265" i="76"/>
  <c r="I264" i="76"/>
  <c r="I263" i="76"/>
  <c r="I262" i="76"/>
  <c r="I261" i="76"/>
  <c r="I260" i="76"/>
  <c r="I259" i="76"/>
  <c r="I258" i="76"/>
  <c r="I257" i="76"/>
  <c r="I256" i="76"/>
  <c r="I255" i="76"/>
  <c r="I254" i="76"/>
  <c r="I253" i="76"/>
  <c r="I252" i="76"/>
  <c r="I251" i="76"/>
  <c r="I250" i="76"/>
  <c r="I249" i="76"/>
  <c r="I248" i="76"/>
  <c r="I247" i="76"/>
  <c r="I246" i="76"/>
  <c r="I245" i="76"/>
  <c r="I244" i="76"/>
  <c r="I243" i="76"/>
  <c r="I242" i="76"/>
  <c r="I241" i="76"/>
  <c r="I240" i="76"/>
  <c r="I239" i="76"/>
  <c r="I238" i="76"/>
  <c r="I237" i="76"/>
  <c r="I236" i="76"/>
  <c r="I235" i="76"/>
  <c r="I234" i="76"/>
  <c r="I233" i="76"/>
  <c r="I232" i="76"/>
  <c r="I231" i="76"/>
  <c r="I230" i="76"/>
  <c r="I229" i="76"/>
  <c r="I228" i="76"/>
  <c r="I227" i="76"/>
  <c r="I226" i="76"/>
  <c r="I225" i="76"/>
  <c r="I224" i="76"/>
  <c r="I223" i="76"/>
  <c r="I222" i="76"/>
  <c r="I221" i="76"/>
  <c r="I220" i="76"/>
  <c r="I219" i="76"/>
  <c r="I218" i="76"/>
  <c r="I217" i="76"/>
  <c r="I216" i="76"/>
  <c r="I215" i="76"/>
  <c r="I214" i="76"/>
  <c r="I213" i="76"/>
  <c r="I212" i="76"/>
  <c r="I211" i="76"/>
  <c r="I210" i="76"/>
  <c r="I209" i="76"/>
  <c r="I208" i="76"/>
  <c r="I207" i="76"/>
  <c r="I206" i="76"/>
  <c r="I205" i="76"/>
  <c r="I204" i="76"/>
  <c r="I203" i="76"/>
  <c r="I202" i="76"/>
  <c r="I201" i="76"/>
  <c r="I200" i="76"/>
  <c r="I199" i="76"/>
  <c r="I198" i="76"/>
  <c r="I197" i="76"/>
  <c r="I196" i="76"/>
  <c r="I195" i="76"/>
  <c r="I194" i="76"/>
  <c r="I193" i="76"/>
  <c r="I192" i="76"/>
  <c r="I191" i="76"/>
  <c r="I190" i="76"/>
  <c r="I189" i="76"/>
  <c r="I188" i="76"/>
  <c r="I187" i="76"/>
  <c r="I186" i="76"/>
  <c r="I185" i="76"/>
  <c r="I184" i="76"/>
  <c r="I183" i="76"/>
  <c r="I182" i="76"/>
  <c r="I181" i="76"/>
  <c r="I180" i="76"/>
  <c r="I179" i="76"/>
  <c r="I178" i="76"/>
  <c r="I177" i="76"/>
  <c r="I176" i="76"/>
  <c r="I175" i="76"/>
  <c r="I174" i="76"/>
  <c r="I173" i="76"/>
  <c r="I172" i="76"/>
  <c r="I171" i="76"/>
  <c r="I170" i="76"/>
  <c r="I169" i="76"/>
  <c r="I168" i="76"/>
  <c r="I167" i="76"/>
  <c r="I166" i="76"/>
  <c r="I165" i="76"/>
  <c r="I164" i="76"/>
  <c r="I163" i="76"/>
  <c r="I162" i="76"/>
  <c r="I161" i="76"/>
  <c r="I160" i="76"/>
  <c r="I159" i="76"/>
  <c r="I158" i="76"/>
  <c r="I157" i="76"/>
  <c r="I156" i="76"/>
  <c r="I155" i="76"/>
  <c r="I154" i="76"/>
  <c r="I153" i="76"/>
  <c r="I152" i="76"/>
  <c r="I151" i="76"/>
  <c r="I150" i="76"/>
  <c r="I149" i="76"/>
  <c r="I148" i="76"/>
  <c r="I147" i="76"/>
  <c r="I146" i="76"/>
  <c r="I145" i="76"/>
  <c r="I144" i="76"/>
  <c r="I143" i="76"/>
  <c r="I142" i="76"/>
  <c r="I141" i="76"/>
  <c r="I140" i="76"/>
  <c r="I139" i="76"/>
  <c r="I138" i="76"/>
  <c r="I137" i="76"/>
  <c r="I136" i="76"/>
  <c r="I135" i="76"/>
  <c r="I134" i="76"/>
  <c r="I133" i="76"/>
  <c r="I132" i="76"/>
  <c r="I131" i="76"/>
  <c r="I130" i="76"/>
  <c r="I129" i="76"/>
  <c r="I128" i="76"/>
  <c r="I127" i="76"/>
  <c r="I126" i="76"/>
  <c r="I125" i="76"/>
  <c r="I124" i="76"/>
  <c r="I123" i="76"/>
  <c r="I122" i="76"/>
  <c r="I121" i="76"/>
  <c r="I120" i="76"/>
  <c r="I119" i="76"/>
  <c r="I118" i="76"/>
  <c r="I117" i="76"/>
  <c r="I116" i="76"/>
  <c r="I115" i="76"/>
  <c r="I114" i="76"/>
  <c r="I113" i="76"/>
  <c r="I112" i="76"/>
  <c r="I111" i="76"/>
  <c r="I110" i="76"/>
  <c r="I109" i="76"/>
  <c r="I108" i="76"/>
  <c r="I107" i="76"/>
  <c r="I106" i="76"/>
  <c r="I105" i="76"/>
  <c r="I104" i="76"/>
  <c r="I103" i="76"/>
  <c r="I102" i="76"/>
  <c r="I101" i="76"/>
  <c r="I100" i="76"/>
  <c r="I99" i="76"/>
  <c r="I98" i="76"/>
  <c r="I97" i="76"/>
  <c r="I96" i="76"/>
  <c r="I95" i="76"/>
  <c r="I94" i="76"/>
  <c r="I93" i="76"/>
  <c r="I92" i="76"/>
  <c r="I91" i="76"/>
  <c r="I90" i="76"/>
  <c r="I89" i="76"/>
  <c r="I88" i="76"/>
  <c r="I87" i="76"/>
  <c r="I86" i="76"/>
  <c r="I85" i="76"/>
  <c r="I84" i="76"/>
  <c r="I83" i="76"/>
  <c r="I82" i="76"/>
  <c r="I81" i="76"/>
  <c r="I80" i="76"/>
  <c r="I79" i="76"/>
  <c r="I78" i="76"/>
  <c r="I77" i="76"/>
  <c r="I76" i="76"/>
  <c r="I75" i="76"/>
  <c r="I74" i="76"/>
  <c r="I73" i="76"/>
  <c r="I72" i="76"/>
  <c r="I71" i="76"/>
  <c r="I70" i="76"/>
  <c r="I69" i="76"/>
  <c r="I68" i="76"/>
  <c r="I67" i="76"/>
  <c r="I66" i="76"/>
  <c r="I65" i="76"/>
  <c r="I64" i="76"/>
  <c r="I63" i="76"/>
  <c r="I62" i="76"/>
  <c r="I61" i="76"/>
  <c r="I60" i="76"/>
  <c r="I59" i="76"/>
  <c r="I58" i="76"/>
  <c r="I57" i="76"/>
  <c r="I56" i="76"/>
  <c r="I55" i="76"/>
  <c r="I54" i="76"/>
  <c r="I53" i="76"/>
  <c r="I52" i="76"/>
  <c r="I51" i="76"/>
  <c r="I50" i="76"/>
  <c r="I49" i="76"/>
  <c r="I48" i="76"/>
  <c r="I47" i="76"/>
  <c r="I46" i="76"/>
  <c r="I45" i="76"/>
  <c r="I44" i="76"/>
  <c r="I43" i="76"/>
  <c r="I42" i="76"/>
  <c r="I41" i="76"/>
  <c r="I40" i="76"/>
  <c r="I39" i="76"/>
  <c r="I38" i="76"/>
  <c r="I37" i="76"/>
  <c r="I36" i="76"/>
  <c r="I35" i="76"/>
  <c r="I34" i="76"/>
  <c r="I33" i="76"/>
  <c r="I32" i="76"/>
  <c r="I31" i="76"/>
  <c r="I30" i="76"/>
  <c r="I29" i="76"/>
  <c r="I28" i="76"/>
  <c r="I27" i="76"/>
  <c r="I26" i="76"/>
  <c r="I25" i="76"/>
  <c r="I24" i="76"/>
  <c r="I23" i="76"/>
  <c r="I22" i="76"/>
  <c r="I21" i="76"/>
  <c r="I20" i="76"/>
  <c r="I19" i="76"/>
  <c r="I18" i="76"/>
  <c r="I17" i="76"/>
  <c r="I16" i="76"/>
  <c r="I15" i="76"/>
  <c r="I14" i="76"/>
  <c r="I13" i="76"/>
  <c r="I12" i="76"/>
  <c r="I11" i="76"/>
  <c r="I10" i="76"/>
  <c r="I9" i="76"/>
  <c r="I8" i="76"/>
  <c r="I7" i="76"/>
  <c r="I6" i="76"/>
  <c r="I5" i="76"/>
  <c r="I4" i="76"/>
  <c r="I3" i="76"/>
  <c r="I2" i="76"/>
  <c r="I2566" i="77"/>
  <c r="I2565" i="77"/>
  <c r="I2564" i="77"/>
  <c r="I2563" i="77"/>
  <c r="I2562" i="77"/>
  <c r="I2561" i="77"/>
  <c r="I2560" i="77"/>
  <c r="I2559" i="77"/>
  <c r="I2558" i="77"/>
  <c r="I2557" i="77"/>
  <c r="I2556" i="77"/>
  <c r="I2555" i="77"/>
  <c r="I2554" i="77"/>
  <c r="I2553" i="77"/>
  <c r="I2552" i="77"/>
  <c r="I2551" i="77"/>
  <c r="I2550" i="77"/>
  <c r="I2549" i="77"/>
  <c r="I2548" i="77"/>
  <c r="I2547" i="77"/>
  <c r="I2546" i="77"/>
  <c r="I2545" i="77"/>
  <c r="I2544" i="77"/>
  <c r="I2543" i="77"/>
  <c r="I2542" i="77"/>
  <c r="I2541" i="77"/>
  <c r="I2540" i="77"/>
  <c r="I2539" i="77"/>
  <c r="I2538" i="77"/>
  <c r="I2537" i="77"/>
  <c r="I2536" i="77"/>
  <c r="I2535" i="77"/>
  <c r="I2534" i="77"/>
  <c r="I2533" i="77"/>
  <c r="I2532" i="77"/>
  <c r="I2531" i="77"/>
  <c r="I2530" i="77"/>
  <c r="I2529" i="77"/>
  <c r="I2528" i="77"/>
  <c r="I2527" i="77"/>
  <c r="I2526" i="77"/>
  <c r="I2525" i="77"/>
  <c r="I2524" i="77"/>
  <c r="I2523" i="77"/>
  <c r="I2522" i="77"/>
  <c r="I2521" i="77"/>
  <c r="I2520" i="77"/>
  <c r="I2519" i="77"/>
  <c r="I2518" i="77"/>
  <c r="I2517" i="77"/>
  <c r="I2516" i="77"/>
  <c r="I2515" i="77"/>
  <c r="I2514" i="77"/>
  <c r="I2513" i="77"/>
  <c r="I2512" i="77"/>
  <c r="I2511" i="77"/>
  <c r="I2510" i="77"/>
  <c r="I2509" i="77"/>
  <c r="I2508" i="77"/>
  <c r="I2507" i="77"/>
  <c r="I2506" i="77"/>
  <c r="I2505" i="77"/>
  <c r="I2504" i="77"/>
  <c r="I2503" i="77"/>
  <c r="I2502" i="77"/>
  <c r="I2501" i="77"/>
  <c r="I2500" i="77"/>
  <c r="I2499" i="77"/>
  <c r="I2498" i="77"/>
  <c r="I2497" i="77"/>
  <c r="I2496" i="77"/>
  <c r="I2495" i="77"/>
  <c r="I2494" i="77"/>
  <c r="I2493" i="77"/>
  <c r="I2492" i="77"/>
  <c r="I2491" i="77"/>
  <c r="I2490" i="77"/>
  <c r="I2489" i="77"/>
  <c r="I2488" i="77"/>
  <c r="I2487" i="77"/>
  <c r="I2486" i="77"/>
  <c r="I2485" i="77"/>
  <c r="I2484" i="77"/>
  <c r="I2483" i="77"/>
  <c r="I2482" i="77"/>
  <c r="I2481" i="77"/>
  <c r="I2480" i="77"/>
  <c r="I2479" i="77"/>
  <c r="I2478" i="77"/>
  <c r="I2477" i="77"/>
  <c r="I2476" i="77"/>
  <c r="I2475" i="77"/>
  <c r="I2474" i="77"/>
  <c r="I2473" i="77"/>
  <c r="I2472" i="77"/>
  <c r="I2471" i="77"/>
  <c r="I2470" i="77"/>
  <c r="I2469" i="77"/>
  <c r="I2468" i="77"/>
  <c r="I2467" i="77"/>
  <c r="I2466" i="77"/>
  <c r="I2465" i="77"/>
  <c r="I2464" i="77"/>
  <c r="I2463" i="77"/>
  <c r="I2462" i="77"/>
  <c r="I2461" i="77"/>
  <c r="I2460" i="77"/>
  <c r="I2459" i="77"/>
  <c r="I2458" i="77"/>
  <c r="I2457" i="77"/>
  <c r="I2456" i="77"/>
  <c r="I2455" i="77"/>
  <c r="I2454" i="77"/>
  <c r="I2453" i="77"/>
  <c r="I2452" i="77"/>
  <c r="I2451" i="77"/>
  <c r="I2450" i="77"/>
  <c r="I2449" i="77"/>
  <c r="I2448" i="77"/>
  <c r="I2447" i="77"/>
  <c r="I2446" i="77"/>
  <c r="I2445" i="77"/>
  <c r="I2444" i="77"/>
  <c r="I2443" i="77"/>
  <c r="I2442" i="77"/>
  <c r="I2441" i="77"/>
  <c r="I2440" i="77"/>
  <c r="I2439" i="77"/>
  <c r="I2438" i="77"/>
  <c r="I2437" i="77"/>
  <c r="I2436" i="77"/>
  <c r="I2435" i="77"/>
  <c r="I2434" i="77"/>
  <c r="I2433" i="77"/>
  <c r="I2432" i="77"/>
  <c r="I2431" i="77"/>
  <c r="I2430" i="77"/>
  <c r="I2429" i="77"/>
  <c r="I2428" i="77"/>
  <c r="I2427" i="77"/>
  <c r="I2426" i="77"/>
  <c r="I2425" i="77"/>
  <c r="I2424" i="77"/>
  <c r="I2423" i="77"/>
  <c r="I2422" i="77"/>
  <c r="I2421" i="77"/>
  <c r="I2420" i="77"/>
  <c r="I2419" i="77"/>
  <c r="I2418" i="77"/>
  <c r="I2417" i="77"/>
  <c r="I2416" i="77"/>
  <c r="I2415" i="77"/>
  <c r="I2414" i="77"/>
  <c r="I2413" i="77"/>
  <c r="I2412" i="77"/>
  <c r="I2411" i="77"/>
  <c r="I2410" i="77"/>
  <c r="I2409" i="77"/>
  <c r="I2408" i="77"/>
  <c r="I2407" i="77"/>
  <c r="I2406" i="77"/>
  <c r="I2405" i="77"/>
  <c r="I2404" i="77"/>
  <c r="I2403" i="77"/>
  <c r="I2402" i="77"/>
  <c r="I2401" i="77"/>
  <c r="I2400" i="77"/>
  <c r="I2399" i="77"/>
  <c r="I2398" i="77"/>
  <c r="I2397" i="77"/>
  <c r="I2396" i="77"/>
  <c r="I2395" i="77"/>
  <c r="I2394" i="77"/>
  <c r="I2393" i="77"/>
  <c r="I2392" i="77"/>
  <c r="I2391" i="77"/>
  <c r="I2390" i="77"/>
  <c r="I2389" i="77"/>
  <c r="I2388" i="77"/>
  <c r="I2387" i="77"/>
  <c r="I2386" i="77"/>
  <c r="I2385" i="77"/>
  <c r="I2384" i="77"/>
  <c r="I2383" i="77"/>
  <c r="I2382" i="77"/>
  <c r="I2381" i="77"/>
  <c r="I2380" i="77"/>
  <c r="I2379" i="77"/>
  <c r="I2378" i="77"/>
  <c r="I2377" i="77"/>
  <c r="I2376" i="77"/>
  <c r="I2375" i="77"/>
  <c r="I2374" i="77"/>
  <c r="I2373" i="77"/>
  <c r="I2372" i="77"/>
  <c r="I2371" i="77"/>
  <c r="I2370" i="77"/>
  <c r="I2369" i="77"/>
  <c r="I2368" i="77"/>
  <c r="I2367" i="77"/>
  <c r="I2366" i="77"/>
  <c r="I2365" i="77"/>
  <c r="I2364" i="77"/>
  <c r="I2363" i="77"/>
  <c r="I2362" i="77"/>
  <c r="I2361" i="77"/>
  <c r="I2360" i="77"/>
  <c r="I2359" i="77"/>
  <c r="I2358" i="77"/>
  <c r="I2357" i="77"/>
  <c r="I2356" i="77"/>
  <c r="I2355" i="77"/>
  <c r="I2354" i="77"/>
  <c r="I2353" i="77"/>
  <c r="I2352" i="77"/>
  <c r="I2351" i="77"/>
  <c r="I2350" i="77"/>
  <c r="I2349" i="77"/>
  <c r="I2348" i="77"/>
  <c r="I2347" i="77"/>
  <c r="I2346" i="77"/>
  <c r="I2345" i="77"/>
  <c r="I2344" i="77"/>
  <c r="I2343" i="77"/>
  <c r="I2342" i="77"/>
  <c r="I2341" i="77"/>
  <c r="I2340" i="77"/>
  <c r="I2339" i="77"/>
  <c r="I2338" i="77"/>
  <c r="I2337" i="77"/>
  <c r="I2336" i="77"/>
  <c r="I2335" i="77"/>
  <c r="I2334" i="77"/>
  <c r="I2333" i="77"/>
  <c r="I2332" i="77"/>
  <c r="I2331" i="77"/>
  <c r="I2330" i="77"/>
  <c r="I2329" i="77"/>
  <c r="I2328" i="77"/>
  <c r="I2327" i="77"/>
  <c r="I2326" i="77"/>
  <c r="I2325" i="77"/>
  <c r="I2324" i="77"/>
  <c r="I2323" i="77"/>
  <c r="I2322" i="77"/>
  <c r="I2321" i="77"/>
  <c r="I2320" i="77"/>
  <c r="I2319" i="77"/>
  <c r="I2318" i="77"/>
  <c r="I2317" i="77"/>
  <c r="I2316" i="77"/>
  <c r="I2315" i="77"/>
  <c r="I2314" i="77"/>
  <c r="I2313" i="77"/>
  <c r="I2312" i="77"/>
  <c r="I2311" i="77"/>
  <c r="I2310" i="77"/>
  <c r="I2309" i="77"/>
  <c r="I2308" i="77"/>
  <c r="I2307" i="77"/>
  <c r="I2306" i="77"/>
  <c r="I2305" i="77"/>
  <c r="I2304" i="77"/>
  <c r="I2303" i="77"/>
  <c r="I2302" i="77"/>
  <c r="I2301" i="77"/>
  <c r="I2300" i="77"/>
  <c r="I2299" i="77"/>
  <c r="I2298" i="77"/>
  <c r="I2297" i="77"/>
  <c r="I2296" i="77"/>
  <c r="I2295" i="77"/>
  <c r="I2294" i="77"/>
  <c r="I2293" i="77"/>
  <c r="I2292" i="77"/>
  <c r="I2291" i="77"/>
  <c r="I2290" i="77"/>
  <c r="I2289" i="77"/>
  <c r="I2288" i="77"/>
  <c r="I2287" i="77"/>
  <c r="I2286" i="77"/>
  <c r="I2285" i="77"/>
  <c r="I2284" i="77"/>
  <c r="I2283" i="77"/>
  <c r="I2282" i="77"/>
  <c r="I2281" i="77"/>
  <c r="I2280" i="77"/>
  <c r="I2279" i="77"/>
  <c r="I2278" i="77"/>
  <c r="I2277" i="77"/>
  <c r="I2276" i="77"/>
  <c r="I2275" i="77"/>
  <c r="I2274" i="77"/>
  <c r="I2273" i="77"/>
  <c r="I2272" i="77"/>
  <c r="I2271" i="77"/>
  <c r="I2270" i="77"/>
  <c r="I2269" i="77"/>
  <c r="I2268" i="77"/>
  <c r="I2267" i="77"/>
  <c r="I2266" i="77"/>
  <c r="I2265" i="77"/>
  <c r="I2264" i="77"/>
  <c r="I2263" i="77"/>
  <c r="I2262" i="77"/>
  <c r="I2261" i="77"/>
  <c r="I2260" i="77"/>
  <c r="I2259" i="77"/>
  <c r="I2258" i="77"/>
  <c r="I2257" i="77"/>
  <c r="I2256" i="77"/>
  <c r="I2255" i="77"/>
  <c r="I2254" i="77"/>
  <c r="I2253" i="77"/>
  <c r="I2252" i="77"/>
  <c r="I2251" i="77"/>
  <c r="I2250" i="77"/>
  <c r="I2249" i="77"/>
  <c r="I2248" i="77"/>
  <c r="I2247" i="77"/>
  <c r="I2246" i="77"/>
  <c r="I2245" i="77"/>
  <c r="I2244" i="77"/>
  <c r="I2243" i="77"/>
  <c r="I2242" i="77"/>
  <c r="I2241" i="77"/>
  <c r="I2240" i="77"/>
  <c r="I2239" i="77"/>
  <c r="I2238" i="77"/>
  <c r="I2237" i="77"/>
  <c r="I2236" i="77"/>
  <c r="I2235" i="77"/>
  <c r="I2234" i="77"/>
  <c r="I2233" i="77"/>
  <c r="I2232" i="77"/>
  <c r="I2231" i="77"/>
  <c r="I2230" i="77"/>
  <c r="I2229" i="77"/>
  <c r="I2228" i="77"/>
  <c r="I2227" i="77"/>
  <c r="I2226" i="77"/>
  <c r="I2225" i="77"/>
  <c r="I2224" i="77"/>
  <c r="I2223" i="77"/>
  <c r="I2222" i="77"/>
  <c r="I2221" i="77"/>
  <c r="I2220" i="77"/>
  <c r="I2219" i="77"/>
  <c r="I2218" i="77"/>
  <c r="I2217" i="77"/>
  <c r="I2216" i="77"/>
  <c r="I2215" i="77"/>
  <c r="I2214" i="77"/>
  <c r="I2213" i="77"/>
  <c r="I2212" i="77"/>
  <c r="I2211" i="77"/>
  <c r="I2210" i="77"/>
  <c r="I2209" i="77"/>
  <c r="I2208" i="77"/>
  <c r="I2207" i="77"/>
  <c r="I2206" i="77"/>
  <c r="I2205" i="77"/>
  <c r="I2204" i="77"/>
  <c r="I2203" i="77"/>
  <c r="I2202" i="77"/>
  <c r="I2201" i="77"/>
  <c r="I2200" i="77"/>
  <c r="I2199" i="77"/>
  <c r="I2198" i="77"/>
  <c r="I2197" i="77"/>
  <c r="I2196" i="77"/>
  <c r="I2195" i="77"/>
  <c r="I2194" i="77"/>
  <c r="I2193" i="77"/>
  <c r="I2192" i="77"/>
  <c r="I2191" i="77"/>
  <c r="I2190" i="77"/>
  <c r="I2189" i="77"/>
  <c r="I2188" i="77"/>
  <c r="I2187" i="77"/>
  <c r="I2186" i="77"/>
  <c r="I2185" i="77"/>
  <c r="I2184" i="77"/>
  <c r="I2183" i="77"/>
  <c r="I2182" i="77"/>
  <c r="I2181" i="77"/>
  <c r="I2180" i="77"/>
  <c r="I2179" i="77"/>
  <c r="I2178" i="77"/>
  <c r="I2177" i="77"/>
  <c r="I2176" i="77"/>
  <c r="I2175" i="77"/>
  <c r="I2174" i="77"/>
  <c r="I2173" i="77"/>
  <c r="I2172" i="77"/>
  <c r="I2171" i="77"/>
  <c r="I2170" i="77"/>
  <c r="I2169" i="77"/>
  <c r="I2168" i="77"/>
  <c r="I2167" i="77"/>
  <c r="I2166" i="77"/>
  <c r="I2165" i="77"/>
  <c r="I2164" i="77"/>
  <c r="I2163" i="77"/>
  <c r="I2162" i="77"/>
  <c r="I2161" i="77"/>
  <c r="I2160" i="77"/>
  <c r="I2159" i="77"/>
  <c r="I2158" i="77"/>
  <c r="I2157" i="77"/>
  <c r="I2156" i="77"/>
  <c r="I2155" i="77"/>
  <c r="I2154" i="77"/>
  <c r="I2153" i="77"/>
  <c r="I2152" i="77"/>
  <c r="I2151" i="77"/>
  <c r="I2150" i="77"/>
  <c r="I2149" i="77"/>
  <c r="I2148" i="77"/>
  <c r="I2147" i="77"/>
  <c r="I2146" i="77"/>
  <c r="I2145" i="77"/>
  <c r="I2144" i="77"/>
  <c r="I2143" i="77"/>
  <c r="I2142" i="77"/>
  <c r="I2141" i="77"/>
  <c r="I2140" i="77"/>
  <c r="I2139" i="77"/>
  <c r="I2138" i="77"/>
  <c r="I2137" i="77"/>
  <c r="I2136" i="77"/>
  <c r="I2135" i="77"/>
  <c r="I2134" i="77"/>
  <c r="I2133" i="77"/>
  <c r="I2132" i="77"/>
  <c r="I2131" i="77"/>
  <c r="I2130" i="77"/>
  <c r="I2129" i="77"/>
  <c r="I2128" i="77"/>
  <c r="I2127" i="77"/>
  <c r="I2126" i="77"/>
  <c r="I2125" i="77"/>
  <c r="I2124" i="77"/>
  <c r="I2123" i="77"/>
  <c r="I2122" i="77"/>
  <c r="I2121" i="77"/>
  <c r="I2120" i="77"/>
  <c r="I2119" i="77"/>
  <c r="I2118" i="77"/>
  <c r="I2117" i="77"/>
  <c r="I2116" i="77"/>
  <c r="I2115" i="77"/>
  <c r="I2114" i="77"/>
  <c r="I2113" i="77"/>
  <c r="I2112" i="77"/>
  <c r="I2111" i="77"/>
  <c r="I2110" i="77"/>
  <c r="I2109" i="77"/>
  <c r="I2108" i="77"/>
  <c r="I2107" i="77"/>
  <c r="I2106" i="77"/>
  <c r="I2105" i="77"/>
  <c r="I2104" i="77"/>
  <c r="I2103" i="77"/>
  <c r="I2102" i="77"/>
  <c r="I2101" i="77"/>
  <c r="I2100" i="77"/>
  <c r="I2099" i="77"/>
  <c r="I2098" i="77"/>
  <c r="I2097" i="77"/>
  <c r="I2096" i="77"/>
  <c r="I2095" i="77"/>
  <c r="I2094" i="77"/>
  <c r="I2093" i="77"/>
  <c r="I2092" i="77"/>
  <c r="I2091" i="77"/>
  <c r="I2090" i="77"/>
  <c r="I2089" i="77"/>
  <c r="I2088" i="77"/>
  <c r="I2087" i="77"/>
  <c r="I2086" i="77"/>
  <c r="I2085" i="77"/>
  <c r="I2084" i="77"/>
  <c r="I2083" i="77"/>
  <c r="I2082" i="77"/>
  <c r="I2081" i="77"/>
  <c r="I2080" i="77"/>
  <c r="I2079" i="77"/>
  <c r="I2078" i="77"/>
  <c r="I2077" i="77"/>
  <c r="I2076" i="77"/>
  <c r="I2075" i="77"/>
  <c r="I2074" i="77"/>
  <c r="I2073" i="77"/>
  <c r="I2072" i="77"/>
  <c r="I2071" i="77"/>
  <c r="I2070" i="77"/>
  <c r="I2069" i="77"/>
  <c r="I2068" i="77"/>
  <c r="I2067" i="77"/>
  <c r="I2066" i="77"/>
  <c r="I2065" i="77"/>
  <c r="I2064" i="77"/>
  <c r="I2063" i="77"/>
  <c r="I2062" i="77"/>
  <c r="I2061" i="77"/>
  <c r="I2060" i="77"/>
  <c r="I2059" i="77"/>
  <c r="I2058" i="77"/>
  <c r="I2057" i="77"/>
  <c r="I2056" i="77"/>
  <c r="I2055" i="77"/>
  <c r="I2054" i="77"/>
  <c r="I2053" i="77"/>
  <c r="I2052" i="77"/>
  <c r="I2051" i="77"/>
  <c r="I2050" i="77"/>
  <c r="I2049" i="77"/>
  <c r="I2048" i="77"/>
  <c r="I2047" i="77"/>
  <c r="I2046" i="77"/>
  <c r="I2045" i="77"/>
  <c r="I2044" i="77"/>
  <c r="I2043" i="77"/>
  <c r="I2042" i="77"/>
  <c r="I2041" i="77"/>
  <c r="I2040" i="77"/>
  <c r="I2039" i="77"/>
  <c r="I2038" i="77"/>
  <c r="I2037" i="77"/>
  <c r="I2036" i="77"/>
  <c r="I2035" i="77"/>
  <c r="I2034" i="77"/>
  <c r="I2033" i="77"/>
  <c r="I2032" i="77"/>
  <c r="I2031" i="77"/>
  <c r="I2030" i="77"/>
  <c r="I2029" i="77"/>
  <c r="I2028" i="77"/>
  <c r="I2027" i="77"/>
  <c r="I2026" i="77"/>
  <c r="I2025" i="77"/>
  <c r="I2024" i="77"/>
  <c r="I2023" i="77"/>
  <c r="I2022" i="77"/>
  <c r="I2021" i="77"/>
  <c r="I2020" i="77"/>
  <c r="I2019" i="77"/>
  <c r="I2018" i="77"/>
  <c r="I2017" i="77"/>
  <c r="I2016" i="77"/>
  <c r="I2015" i="77"/>
  <c r="I2014" i="77"/>
  <c r="I2013" i="77"/>
  <c r="I2012" i="77"/>
  <c r="I2011" i="77"/>
  <c r="I2010" i="77"/>
  <c r="I2009" i="77"/>
  <c r="I2008" i="77"/>
  <c r="I2007" i="77"/>
  <c r="I2006" i="77"/>
  <c r="I2005" i="77"/>
  <c r="I2004" i="77"/>
  <c r="I2003" i="77"/>
  <c r="I2002" i="77"/>
  <c r="I2001" i="77"/>
  <c r="I2000" i="77"/>
  <c r="I1999" i="77"/>
  <c r="I1998" i="77"/>
  <c r="I1997" i="77"/>
  <c r="I1996" i="77"/>
  <c r="I1995" i="77"/>
  <c r="I1994" i="77"/>
  <c r="I1993" i="77"/>
  <c r="I1992" i="77"/>
  <c r="I1991" i="77"/>
  <c r="I1990" i="77"/>
  <c r="I1989" i="77"/>
  <c r="I1988" i="77"/>
  <c r="I1987" i="77"/>
  <c r="I1986" i="77"/>
  <c r="I1985" i="77"/>
  <c r="I1984" i="77"/>
  <c r="I1983" i="77"/>
  <c r="I1982" i="77"/>
  <c r="I1981" i="77"/>
  <c r="I1980" i="77"/>
  <c r="I1979" i="77"/>
  <c r="I1978" i="77"/>
  <c r="I1977" i="77"/>
  <c r="I1976" i="77"/>
  <c r="I1975" i="77"/>
  <c r="I1974" i="77"/>
  <c r="I1973" i="77"/>
  <c r="I1972" i="77"/>
  <c r="I1971" i="77"/>
  <c r="I1970" i="77"/>
  <c r="I1969" i="77"/>
  <c r="I1968" i="77"/>
  <c r="I1967" i="77"/>
  <c r="I1966" i="77"/>
  <c r="I1965" i="77"/>
  <c r="I1964" i="77"/>
  <c r="I1963" i="77"/>
  <c r="I1962" i="77"/>
  <c r="I1961" i="77"/>
  <c r="I1960" i="77"/>
  <c r="I1959" i="77"/>
  <c r="I1958" i="77"/>
  <c r="I1957" i="77"/>
  <c r="I1956" i="77"/>
  <c r="I1955" i="77"/>
  <c r="I1954" i="77"/>
  <c r="I1953" i="77"/>
  <c r="I1952" i="77"/>
  <c r="I1951" i="77"/>
  <c r="I1950" i="77"/>
  <c r="I1949" i="77"/>
  <c r="I1948" i="77"/>
  <c r="I1947" i="77"/>
  <c r="I1946" i="77"/>
  <c r="I1945" i="77"/>
  <c r="I1944" i="77"/>
  <c r="I1943" i="77"/>
  <c r="I1942" i="77"/>
  <c r="I1941" i="77"/>
  <c r="I1940" i="77"/>
  <c r="I1939" i="77"/>
  <c r="I1938" i="77"/>
  <c r="I1937" i="77"/>
  <c r="I1936" i="77"/>
  <c r="I1935" i="77"/>
  <c r="I1934" i="77"/>
  <c r="I1933" i="77"/>
  <c r="I1932" i="77"/>
  <c r="I1931" i="77"/>
  <c r="I1930" i="77"/>
  <c r="I1929" i="77"/>
  <c r="I1928" i="77"/>
  <c r="I1927" i="77"/>
  <c r="I1926" i="77"/>
  <c r="I1925" i="77"/>
  <c r="I1924" i="77"/>
  <c r="I1923" i="77"/>
  <c r="I1922" i="77"/>
  <c r="I1921" i="77"/>
  <c r="I1920" i="77"/>
  <c r="I1919" i="77"/>
  <c r="I1918" i="77"/>
  <c r="I1917" i="77"/>
  <c r="I1916" i="77"/>
  <c r="I1915" i="77"/>
  <c r="I1914" i="77"/>
  <c r="I1913" i="77"/>
  <c r="I1912" i="77"/>
  <c r="I1911" i="77"/>
  <c r="I1910" i="77"/>
  <c r="I1909" i="77"/>
  <c r="I1908" i="77"/>
  <c r="I1907" i="77"/>
  <c r="I1906" i="77"/>
  <c r="I1905" i="77"/>
  <c r="I1904" i="77"/>
  <c r="I1903" i="77"/>
  <c r="I1902" i="77"/>
  <c r="I1901" i="77"/>
  <c r="I1900" i="77"/>
  <c r="I1899" i="77"/>
  <c r="I1898" i="77"/>
  <c r="I1897" i="77"/>
  <c r="I1896" i="77"/>
  <c r="I1895" i="77"/>
  <c r="I1894" i="77"/>
  <c r="I1893" i="77"/>
  <c r="I1892" i="77"/>
  <c r="I1891" i="77"/>
  <c r="I1890" i="77"/>
  <c r="I1889" i="77"/>
  <c r="I1888" i="77"/>
  <c r="I1887" i="77"/>
  <c r="I1886" i="77"/>
  <c r="I1885" i="77"/>
  <c r="I1884" i="77"/>
  <c r="I1883" i="77"/>
  <c r="I1882" i="77"/>
  <c r="I1881" i="77"/>
  <c r="I1880" i="77"/>
  <c r="I1879" i="77"/>
  <c r="I1878" i="77"/>
  <c r="I1877" i="77"/>
  <c r="I1876" i="77"/>
  <c r="I1875" i="77"/>
  <c r="I1874" i="77"/>
  <c r="I1873" i="77"/>
  <c r="I1872" i="77"/>
  <c r="I1871" i="77"/>
  <c r="I1870" i="77"/>
  <c r="I1869" i="77"/>
  <c r="I1868" i="77"/>
  <c r="I1867" i="77"/>
  <c r="I1866" i="77"/>
  <c r="I1865" i="77"/>
  <c r="I1864" i="77"/>
  <c r="I1863" i="77"/>
  <c r="I1862" i="77"/>
  <c r="I1861" i="77"/>
  <c r="I1860" i="77"/>
  <c r="I1859" i="77"/>
  <c r="I1858" i="77"/>
  <c r="I1857" i="77"/>
  <c r="I1856" i="77"/>
  <c r="I1855" i="77"/>
  <c r="I1854" i="77"/>
  <c r="I1853" i="77"/>
  <c r="I1852" i="77"/>
  <c r="I1851" i="77"/>
  <c r="I1850" i="77"/>
  <c r="I1849" i="77"/>
  <c r="I1848" i="77"/>
  <c r="I1847" i="77"/>
  <c r="I1846" i="77"/>
  <c r="I1845" i="77"/>
  <c r="I1844" i="77"/>
  <c r="I1843" i="77"/>
  <c r="I1842" i="77"/>
  <c r="I1841" i="77"/>
  <c r="I1840" i="77"/>
  <c r="I1839" i="77"/>
  <c r="I1838" i="77"/>
  <c r="I1837" i="77"/>
  <c r="I1836" i="77"/>
  <c r="I1835" i="77"/>
  <c r="I1834" i="77"/>
  <c r="I1833" i="77"/>
  <c r="I1832" i="77"/>
  <c r="I1831" i="77"/>
  <c r="I1830" i="77"/>
  <c r="I1829" i="77"/>
  <c r="I1828" i="77"/>
  <c r="I1827" i="77"/>
  <c r="I1826" i="77"/>
  <c r="I1825" i="77"/>
  <c r="I1824" i="77"/>
  <c r="I1823" i="77"/>
  <c r="I1822" i="77"/>
  <c r="I1821" i="77"/>
  <c r="I1820" i="77"/>
  <c r="I1819" i="77"/>
  <c r="I1818" i="77"/>
  <c r="I1817" i="77"/>
  <c r="I1816" i="77"/>
  <c r="I1815" i="77"/>
  <c r="I1814" i="77"/>
  <c r="I1813" i="77"/>
  <c r="I1812" i="77"/>
  <c r="I1811" i="77"/>
  <c r="I1810" i="77"/>
  <c r="I1809" i="77"/>
  <c r="I1808" i="77"/>
  <c r="I1807" i="77"/>
  <c r="I1806" i="77"/>
  <c r="I1805" i="77"/>
  <c r="I1804" i="77"/>
  <c r="I1803" i="77"/>
  <c r="I1802" i="77"/>
  <c r="I1801" i="77"/>
  <c r="I1800" i="77"/>
  <c r="I1799" i="77"/>
  <c r="I1798" i="77"/>
  <c r="I1797" i="77"/>
  <c r="I1796" i="77"/>
  <c r="I1795" i="77"/>
  <c r="I1794" i="77"/>
  <c r="I1793" i="77"/>
  <c r="I1792" i="77"/>
  <c r="I1791" i="77"/>
  <c r="I1790" i="77"/>
  <c r="I1789" i="77"/>
  <c r="I1788" i="77"/>
  <c r="I1787" i="77"/>
  <c r="I1786" i="77"/>
  <c r="I1785" i="77"/>
  <c r="I1784" i="77"/>
  <c r="I1783" i="77"/>
  <c r="I1782" i="77"/>
  <c r="I1781" i="77"/>
  <c r="I1780" i="77"/>
  <c r="I1779" i="77"/>
  <c r="I1778" i="77"/>
  <c r="I1777" i="77"/>
  <c r="I1776" i="77"/>
  <c r="I1775" i="77"/>
  <c r="I1774" i="77"/>
  <c r="I1773" i="77"/>
  <c r="I1772" i="77"/>
  <c r="I1771" i="77"/>
  <c r="I1770" i="77"/>
  <c r="I1769" i="77"/>
  <c r="I1768" i="77"/>
  <c r="I1767" i="77"/>
  <c r="I1766" i="77"/>
  <c r="I1765" i="77"/>
  <c r="I1764" i="77"/>
  <c r="I1763" i="77"/>
  <c r="I1762" i="77"/>
  <c r="I1761" i="77"/>
  <c r="I1760" i="77"/>
  <c r="I1759" i="77"/>
  <c r="I1758" i="77"/>
  <c r="I1757" i="77"/>
  <c r="I1756" i="77"/>
  <c r="I1755" i="77"/>
  <c r="I1754" i="77"/>
  <c r="I1753" i="77"/>
  <c r="I1752" i="77"/>
  <c r="I1751" i="77"/>
  <c r="I1750" i="77"/>
  <c r="I1749" i="77"/>
  <c r="I1748" i="77"/>
  <c r="I1747" i="77"/>
  <c r="I1746" i="77"/>
  <c r="I1745" i="77"/>
  <c r="I1744" i="77"/>
  <c r="I1743" i="77"/>
  <c r="I1742" i="77"/>
  <c r="I1741" i="77"/>
  <c r="I1740" i="77"/>
  <c r="I1739" i="77"/>
  <c r="I1738" i="77"/>
  <c r="I1737" i="77"/>
  <c r="I1736" i="77"/>
  <c r="I1735" i="77"/>
  <c r="I1734" i="77"/>
  <c r="I1733" i="77"/>
  <c r="I1732" i="77"/>
  <c r="I1731" i="77"/>
  <c r="I1730" i="77"/>
  <c r="I1729" i="77"/>
  <c r="I1728" i="77"/>
  <c r="I1727" i="77"/>
  <c r="I1726" i="77"/>
  <c r="I1725" i="77"/>
  <c r="I1724" i="77"/>
  <c r="I1723" i="77"/>
  <c r="I1722" i="77"/>
  <c r="I1721" i="77"/>
  <c r="I1720" i="77"/>
  <c r="I1719" i="77"/>
  <c r="I1718" i="77"/>
  <c r="I1717" i="77"/>
  <c r="I1716" i="77"/>
  <c r="I1715" i="77"/>
  <c r="I1714" i="77"/>
  <c r="I1713" i="77"/>
  <c r="I1712" i="77"/>
  <c r="I1711" i="77"/>
  <c r="I1710" i="77"/>
  <c r="I1709" i="77"/>
  <c r="I1708" i="77"/>
  <c r="I1707" i="77"/>
  <c r="I1706" i="77"/>
  <c r="I1705" i="77"/>
  <c r="I1704" i="77"/>
  <c r="I1703" i="77"/>
  <c r="I1702" i="77"/>
  <c r="I1701" i="77"/>
  <c r="I1700" i="77"/>
  <c r="I1699" i="77"/>
  <c r="I1698" i="77"/>
  <c r="I1697" i="77"/>
  <c r="I1696" i="77"/>
  <c r="I1695" i="77"/>
  <c r="I1694" i="77"/>
  <c r="I1693" i="77"/>
  <c r="I1692" i="77"/>
  <c r="I1691" i="77"/>
  <c r="I1690" i="77"/>
  <c r="I1689" i="77"/>
  <c r="I1688" i="77"/>
  <c r="I1687" i="77"/>
  <c r="I1686" i="77"/>
  <c r="I1685" i="77"/>
  <c r="I1684" i="77"/>
  <c r="I1683" i="77"/>
  <c r="I1682" i="77"/>
  <c r="I1681" i="77"/>
  <c r="I1680" i="77"/>
  <c r="I1679" i="77"/>
  <c r="I1678" i="77"/>
  <c r="I1677" i="77"/>
  <c r="I1676" i="77"/>
  <c r="I1675" i="77"/>
  <c r="I1674" i="77"/>
  <c r="I1673" i="77"/>
  <c r="I1672" i="77"/>
  <c r="I1671" i="77"/>
  <c r="I1670" i="77"/>
  <c r="I1669" i="77"/>
  <c r="I1668" i="77"/>
  <c r="I1667" i="77"/>
  <c r="I1666" i="77"/>
  <c r="I1665" i="77"/>
  <c r="I1664" i="77"/>
  <c r="I1663" i="77"/>
  <c r="I1662" i="77"/>
  <c r="I1661" i="77"/>
  <c r="I1660" i="77"/>
  <c r="I1659" i="77"/>
  <c r="I1658" i="77"/>
  <c r="I1657" i="77"/>
  <c r="I1656" i="77"/>
  <c r="I1655" i="77"/>
  <c r="I1654" i="77"/>
  <c r="I1653" i="77"/>
  <c r="I1652" i="77"/>
  <c r="I1651" i="77"/>
  <c r="I1650" i="77"/>
  <c r="I1649" i="77"/>
  <c r="I1648" i="77"/>
  <c r="I1647" i="77"/>
  <c r="I1646" i="77"/>
  <c r="I1645" i="77"/>
  <c r="I1644" i="77"/>
  <c r="I1643" i="77"/>
  <c r="I1642" i="77"/>
  <c r="I1641" i="77"/>
  <c r="I1640" i="77"/>
  <c r="I1639" i="77"/>
  <c r="I1638" i="77"/>
  <c r="I1637" i="77"/>
  <c r="I1636" i="77"/>
  <c r="I1635" i="77"/>
  <c r="I1634" i="77"/>
  <c r="I1633" i="77"/>
  <c r="I1632" i="77"/>
  <c r="I1631" i="77"/>
  <c r="I1630" i="77"/>
  <c r="I1629" i="77"/>
  <c r="I1628" i="77"/>
  <c r="I1627" i="77"/>
  <c r="I1626" i="77"/>
  <c r="I1625" i="77"/>
  <c r="I1624" i="77"/>
  <c r="I1623" i="77"/>
  <c r="I1622" i="77"/>
  <c r="I1621" i="77"/>
  <c r="I1620" i="77"/>
  <c r="I1619" i="77"/>
  <c r="I1618" i="77"/>
  <c r="I1617" i="77"/>
  <c r="I1616" i="77"/>
  <c r="I1615" i="77"/>
  <c r="I1614" i="77"/>
  <c r="I1613" i="77"/>
  <c r="I1612" i="77"/>
  <c r="I1611" i="77"/>
  <c r="I1610" i="77"/>
  <c r="I1609" i="77"/>
  <c r="I1608" i="77"/>
  <c r="I1607" i="77"/>
  <c r="I1606" i="77"/>
  <c r="I1605" i="77"/>
  <c r="I1604" i="77"/>
  <c r="I1603" i="77"/>
  <c r="I1602" i="77"/>
  <c r="I1601" i="77"/>
  <c r="I1600" i="77"/>
  <c r="I1599" i="77"/>
  <c r="I1598" i="77"/>
  <c r="I1597" i="77"/>
  <c r="I1596" i="77"/>
  <c r="I1595" i="77"/>
  <c r="I1594" i="77"/>
  <c r="I1593" i="77"/>
  <c r="I1592" i="77"/>
  <c r="I1591" i="77"/>
  <c r="I1590" i="77"/>
  <c r="I1589" i="77"/>
  <c r="I1588" i="77"/>
  <c r="I1587" i="77"/>
  <c r="I1586" i="77"/>
  <c r="I1585" i="77"/>
  <c r="I1584" i="77"/>
  <c r="I1583" i="77"/>
  <c r="I1582" i="77"/>
  <c r="I1581" i="77"/>
  <c r="I1580" i="77"/>
  <c r="I1579" i="77"/>
  <c r="I1578" i="77"/>
  <c r="I1577" i="77"/>
  <c r="I1576" i="77"/>
  <c r="I1575" i="77"/>
  <c r="I1574" i="77"/>
  <c r="I1573" i="77"/>
  <c r="I1572" i="77"/>
  <c r="I1571" i="77"/>
  <c r="I1570" i="77"/>
  <c r="I1569" i="77"/>
  <c r="I1568" i="77"/>
  <c r="I1567" i="77"/>
  <c r="I1566" i="77"/>
  <c r="I1565" i="77"/>
  <c r="I1564" i="77"/>
  <c r="I1563" i="77"/>
  <c r="I1562" i="77"/>
  <c r="I1561" i="77"/>
  <c r="I1560" i="77"/>
  <c r="I1559" i="77"/>
  <c r="I1558" i="77"/>
  <c r="I1557" i="77"/>
  <c r="I1556" i="77"/>
  <c r="I1555" i="77"/>
  <c r="I1554" i="77"/>
  <c r="I1553" i="77"/>
  <c r="I1552" i="77"/>
  <c r="I1551" i="77"/>
  <c r="I1550" i="77"/>
  <c r="I1549" i="77"/>
  <c r="I1548" i="77"/>
  <c r="I1547" i="77"/>
  <c r="I1546" i="77"/>
  <c r="I1545" i="77"/>
  <c r="I1544" i="77"/>
  <c r="I1543" i="77"/>
  <c r="I1542" i="77"/>
  <c r="I1541" i="77"/>
  <c r="I1540" i="77"/>
  <c r="I1539" i="77"/>
  <c r="I1538" i="77"/>
  <c r="I1537" i="77"/>
  <c r="I1536" i="77"/>
  <c r="I1535" i="77"/>
  <c r="I1534" i="77"/>
  <c r="I1533" i="77"/>
  <c r="I1532" i="77"/>
  <c r="I1531" i="77"/>
  <c r="I1530" i="77"/>
  <c r="I1529" i="77"/>
  <c r="I1528" i="77"/>
  <c r="I1527" i="77"/>
  <c r="I1526" i="77"/>
  <c r="I1525" i="77"/>
  <c r="I1524" i="77"/>
  <c r="I1523" i="77"/>
  <c r="I1522" i="77"/>
  <c r="I1521" i="77"/>
  <c r="I1520" i="77"/>
  <c r="I1519" i="77"/>
  <c r="I1518" i="77"/>
  <c r="I1517" i="77"/>
  <c r="I1516" i="77"/>
  <c r="I1515" i="77"/>
  <c r="I1514" i="77"/>
  <c r="I1513" i="77"/>
  <c r="I1512" i="77"/>
  <c r="I1511" i="77"/>
  <c r="I1510" i="77"/>
  <c r="I1509" i="77"/>
  <c r="I1508" i="77"/>
  <c r="I1507" i="77"/>
  <c r="I1506" i="77"/>
  <c r="I1505" i="77"/>
  <c r="I1504" i="77"/>
  <c r="I1503" i="77"/>
  <c r="I1502" i="77"/>
  <c r="I1501" i="77"/>
  <c r="I1500" i="77"/>
  <c r="I1499" i="77"/>
  <c r="I1498" i="77"/>
  <c r="I1497" i="77"/>
  <c r="I1496" i="77"/>
  <c r="I1495" i="77"/>
  <c r="I1494" i="77"/>
  <c r="I1493" i="77"/>
  <c r="I1492" i="77"/>
  <c r="I1491" i="77"/>
  <c r="I1490" i="77"/>
  <c r="I1489" i="77"/>
  <c r="I1488" i="77"/>
  <c r="I1487" i="77"/>
  <c r="I1486" i="77"/>
  <c r="I1485" i="77"/>
  <c r="I1484" i="77"/>
  <c r="I1483" i="77"/>
  <c r="I1482" i="77"/>
  <c r="I1481" i="77"/>
  <c r="I1480" i="77"/>
  <c r="I1479" i="77"/>
  <c r="I1478" i="77"/>
  <c r="I1477" i="77"/>
  <c r="I1476" i="77"/>
  <c r="I1475" i="77"/>
  <c r="I1474" i="77"/>
  <c r="I1473" i="77"/>
  <c r="I1472" i="77"/>
  <c r="I1471" i="77"/>
  <c r="I1470" i="77"/>
  <c r="I1469" i="77"/>
  <c r="I1468" i="77"/>
  <c r="I1467" i="77"/>
  <c r="I1466" i="77"/>
  <c r="I1465" i="77"/>
  <c r="I1464" i="77"/>
  <c r="I1463" i="77"/>
  <c r="I1462" i="77"/>
  <c r="I1461" i="77"/>
  <c r="I1460" i="77"/>
  <c r="I1459" i="77"/>
  <c r="I1458" i="77"/>
  <c r="I1457" i="77"/>
  <c r="I1456" i="77"/>
  <c r="I1455" i="77"/>
  <c r="I1454" i="77"/>
  <c r="I1453" i="77"/>
  <c r="I1452" i="77"/>
  <c r="I1451" i="77"/>
  <c r="I1450" i="77"/>
  <c r="I1449" i="77"/>
  <c r="I1448" i="77"/>
  <c r="I1447" i="77"/>
  <c r="I1446" i="77"/>
  <c r="I1445" i="77"/>
  <c r="I1444" i="77"/>
  <c r="I1443" i="77"/>
  <c r="I1442" i="77"/>
  <c r="I1441" i="77"/>
  <c r="I1440" i="77"/>
  <c r="I1439" i="77"/>
  <c r="I1438" i="77"/>
  <c r="I1437" i="77"/>
  <c r="I1436" i="77"/>
  <c r="I1435" i="77"/>
  <c r="I1434" i="77"/>
  <c r="I1433" i="77"/>
  <c r="I1432" i="77"/>
  <c r="I1431" i="77"/>
  <c r="I1430" i="77"/>
  <c r="I1429" i="77"/>
  <c r="I1428" i="77"/>
  <c r="I1427" i="77"/>
  <c r="I1426" i="77"/>
  <c r="I1425" i="77"/>
  <c r="I1424" i="77"/>
  <c r="I1423" i="77"/>
  <c r="I1422" i="77"/>
  <c r="I1421" i="77"/>
  <c r="I1420" i="77"/>
  <c r="I1419" i="77"/>
  <c r="I1418" i="77"/>
  <c r="I1417" i="77"/>
  <c r="I1416" i="77"/>
  <c r="I1415" i="77"/>
  <c r="I1414" i="77"/>
  <c r="I1413" i="77"/>
  <c r="I1412" i="77"/>
  <c r="I1411" i="77"/>
  <c r="I1410" i="77"/>
  <c r="I1409" i="77"/>
  <c r="I1408" i="77"/>
  <c r="I1407" i="77"/>
  <c r="I1406" i="77"/>
  <c r="I1405" i="77"/>
  <c r="I1404" i="77"/>
  <c r="I1403" i="77"/>
  <c r="I1402" i="77"/>
  <c r="I1401" i="77"/>
  <c r="I1400" i="77"/>
  <c r="I1399" i="77"/>
  <c r="I1398" i="77"/>
  <c r="I1397" i="77"/>
  <c r="I1396" i="77"/>
  <c r="I1395" i="77"/>
  <c r="I1394" i="77"/>
  <c r="I1393" i="77"/>
  <c r="I1392" i="77"/>
  <c r="I1391" i="77"/>
  <c r="I1390" i="77"/>
  <c r="I1389" i="77"/>
  <c r="I1388" i="77"/>
  <c r="I1387" i="77"/>
  <c r="I1386" i="77"/>
  <c r="I1385" i="77"/>
  <c r="I1384" i="77"/>
  <c r="I1383" i="77"/>
  <c r="I1382" i="77"/>
  <c r="I1381" i="77"/>
  <c r="I1380" i="77"/>
  <c r="I1379" i="77"/>
  <c r="I1378" i="77"/>
  <c r="I1377" i="77"/>
  <c r="I1376" i="77"/>
  <c r="I1375" i="77"/>
  <c r="I1374" i="77"/>
  <c r="I1373" i="77"/>
  <c r="I1372" i="77"/>
  <c r="I1371" i="77"/>
  <c r="I1370" i="77"/>
  <c r="I1369" i="77"/>
  <c r="I1368" i="77"/>
  <c r="I1367" i="77"/>
  <c r="I1366" i="77"/>
  <c r="I1365" i="77"/>
  <c r="I1364" i="77"/>
  <c r="I1363" i="77"/>
  <c r="I1362" i="77"/>
  <c r="I1361" i="77"/>
  <c r="I1360" i="77"/>
  <c r="I1359" i="77"/>
  <c r="I1358" i="77"/>
  <c r="I1357" i="77"/>
  <c r="I1356" i="77"/>
  <c r="I1355" i="77"/>
  <c r="I1354" i="77"/>
  <c r="I1353" i="77"/>
  <c r="I1352" i="77"/>
  <c r="I1351" i="77"/>
  <c r="I1350" i="77"/>
  <c r="I1349" i="77"/>
  <c r="I1348" i="77"/>
  <c r="I1347" i="77"/>
  <c r="I1346" i="77"/>
  <c r="I1345" i="77"/>
  <c r="I1344" i="77"/>
  <c r="I1343" i="77"/>
  <c r="I1342" i="77"/>
  <c r="I1341" i="77"/>
  <c r="I1340" i="77"/>
  <c r="I1339" i="77"/>
  <c r="I1338" i="77"/>
  <c r="I1337" i="77"/>
  <c r="I1336" i="77"/>
  <c r="I1335" i="77"/>
  <c r="I1334" i="77"/>
  <c r="I1333" i="77"/>
  <c r="I1332" i="77"/>
  <c r="I1331" i="77"/>
  <c r="I1330" i="77"/>
  <c r="I1329" i="77"/>
  <c r="I1328" i="77"/>
  <c r="I1327" i="77"/>
  <c r="I1326" i="77"/>
  <c r="I1325" i="77"/>
  <c r="I1324" i="77"/>
  <c r="I1323" i="77"/>
  <c r="I1322" i="77"/>
  <c r="I1321" i="77"/>
  <c r="I1320" i="77"/>
  <c r="I1319" i="77"/>
  <c r="I1318" i="77"/>
  <c r="I1317" i="77"/>
  <c r="I1316" i="77"/>
  <c r="I1315" i="77"/>
  <c r="I1314" i="77"/>
  <c r="I1313" i="77"/>
  <c r="I1312" i="77"/>
  <c r="I1311" i="77"/>
  <c r="I1310" i="77"/>
  <c r="I1309" i="77"/>
  <c r="I1308" i="77"/>
  <c r="I1307" i="77"/>
  <c r="I1306" i="77"/>
  <c r="I1305" i="77"/>
  <c r="I1304" i="77"/>
  <c r="I1303" i="77"/>
  <c r="I1302" i="77"/>
  <c r="I1301" i="77"/>
  <c r="I1300" i="77"/>
  <c r="I1299" i="77"/>
  <c r="I1298" i="77"/>
  <c r="I1297" i="77"/>
  <c r="I1296" i="77"/>
  <c r="I1295" i="77"/>
  <c r="I1294" i="77"/>
  <c r="I1293" i="77"/>
  <c r="I1292" i="77"/>
  <c r="I1291" i="77"/>
  <c r="I1290" i="77"/>
  <c r="I1289" i="77"/>
  <c r="I1288" i="77"/>
  <c r="I1287" i="77"/>
  <c r="I1286" i="77"/>
  <c r="I1285" i="77"/>
  <c r="I1284" i="77"/>
  <c r="I1283" i="77"/>
  <c r="I1282" i="77"/>
  <c r="I1281" i="77"/>
  <c r="I1280" i="77"/>
  <c r="I1279" i="77"/>
  <c r="I1278" i="77"/>
  <c r="I1277" i="77"/>
  <c r="I1276" i="77"/>
  <c r="I1275" i="77"/>
  <c r="I1274" i="77"/>
  <c r="I1273" i="77"/>
  <c r="I1272" i="77"/>
  <c r="I1271" i="77"/>
  <c r="I1270" i="77"/>
  <c r="I1269" i="77"/>
  <c r="I1268" i="77"/>
  <c r="I1267" i="77"/>
  <c r="I1266" i="77"/>
  <c r="I1265" i="77"/>
  <c r="I1264" i="77"/>
  <c r="I1263" i="77"/>
  <c r="I1262" i="77"/>
  <c r="I1261" i="77"/>
  <c r="I1260" i="77"/>
  <c r="I1259" i="77"/>
  <c r="I1258" i="77"/>
  <c r="I1257" i="77"/>
  <c r="I1256" i="77"/>
  <c r="I1255" i="77"/>
  <c r="I1254" i="77"/>
  <c r="I1253" i="77"/>
  <c r="I1252" i="77"/>
  <c r="I1251" i="77"/>
  <c r="I1250" i="77"/>
  <c r="I1249" i="77"/>
  <c r="I1248" i="77"/>
  <c r="I1247" i="77"/>
  <c r="I1246" i="77"/>
  <c r="I1245" i="77"/>
  <c r="I1244" i="77"/>
  <c r="I1243" i="77"/>
  <c r="I1242" i="77"/>
  <c r="I1241" i="77"/>
  <c r="I1240" i="77"/>
  <c r="I1239" i="77"/>
  <c r="I1238" i="77"/>
  <c r="I1237" i="77"/>
  <c r="I1236" i="77"/>
  <c r="I1235" i="77"/>
  <c r="I1234" i="77"/>
  <c r="I1233" i="77"/>
  <c r="I1232" i="77"/>
  <c r="I1231" i="77"/>
  <c r="I1230" i="77"/>
  <c r="I1229" i="77"/>
  <c r="I1228" i="77"/>
  <c r="I1227" i="77"/>
  <c r="I1226" i="77"/>
  <c r="I1225" i="77"/>
  <c r="I1224" i="77"/>
  <c r="I1223" i="77"/>
  <c r="I1222" i="77"/>
  <c r="I1221" i="77"/>
  <c r="I1220" i="77"/>
  <c r="I1219" i="77"/>
  <c r="I1218" i="77"/>
  <c r="I1217" i="77"/>
  <c r="I1216" i="77"/>
  <c r="I1215" i="77"/>
  <c r="I1214" i="77"/>
  <c r="I1213" i="77"/>
  <c r="I1212" i="77"/>
  <c r="I1211" i="77"/>
  <c r="I1210" i="77"/>
  <c r="I1209" i="77"/>
  <c r="I1208" i="77"/>
  <c r="I1207" i="77"/>
  <c r="I1206" i="77"/>
  <c r="I1205" i="77"/>
  <c r="I1204" i="77"/>
  <c r="I1203" i="77"/>
  <c r="I1202" i="77"/>
  <c r="I1201" i="77"/>
  <c r="I1200" i="77"/>
  <c r="I1199" i="77"/>
  <c r="I1198" i="77"/>
  <c r="I1197" i="77"/>
  <c r="I1196" i="77"/>
  <c r="I1195" i="77"/>
  <c r="I1194" i="77"/>
  <c r="I1193" i="77"/>
  <c r="I1192" i="77"/>
  <c r="I1191" i="77"/>
  <c r="I1190" i="77"/>
  <c r="I1189" i="77"/>
  <c r="I1188" i="77"/>
  <c r="I1187" i="77"/>
  <c r="I1186" i="77"/>
  <c r="I1185" i="77"/>
  <c r="I1184" i="77"/>
  <c r="I1183" i="77"/>
  <c r="I1182" i="77"/>
  <c r="I1181" i="77"/>
  <c r="I1180" i="77"/>
  <c r="I1179" i="77"/>
  <c r="I1178" i="77"/>
  <c r="I1177" i="77"/>
  <c r="I1176" i="77"/>
  <c r="I1175" i="77"/>
  <c r="I1174" i="77"/>
  <c r="I1173" i="77"/>
  <c r="I1172" i="77"/>
  <c r="I1171" i="77"/>
  <c r="I1170" i="77"/>
  <c r="I1169" i="77"/>
  <c r="I1168" i="77"/>
  <c r="I1167" i="77"/>
  <c r="I1166" i="77"/>
  <c r="I1165" i="77"/>
  <c r="I1164" i="77"/>
  <c r="I1163" i="77"/>
  <c r="I1162" i="77"/>
  <c r="I1161" i="77"/>
  <c r="I1160" i="77"/>
  <c r="I1159" i="77"/>
  <c r="I1158" i="77"/>
  <c r="I1157" i="77"/>
  <c r="I1156" i="77"/>
  <c r="I1155" i="77"/>
  <c r="I1154" i="77"/>
  <c r="I1153" i="77"/>
  <c r="I1152" i="77"/>
  <c r="I1151" i="77"/>
  <c r="I1150" i="77"/>
  <c r="I1149" i="77"/>
  <c r="I1148" i="77"/>
  <c r="I1147" i="77"/>
  <c r="I1146" i="77"/>
  <c r="I1145" i="77"/>
  <c r="I1144" i="77"/>
  <c r="I1143" i="77"/>
  <c r="I1142" i="77"/>
  <c r="I1141" i="77"/>
  <c r="I1140" i="77"/>
  <c r="I1139" i="77"/>
  <c r="I1138" i="77"/>
  <c r="I1137" i="77"/>
  <c r="I1136" i="77"/>
  <c r="I1135" i="77"/>
  <c r="I1134" i="77"/>
  <c r="I1133" i="77"/>
  <c r="I1132" i="77"/>
  <c r="I1131" i="77"/>
  <c r="I1130" i="77"/>
  <c r="I1129" i="77"/>
  <c r="I1128" i="77"/>
  <c r="I1127" i="77"/>
  <c r="I1126" i="77"/>
  <c r="I1125" i="77"/>
  <c r="I1124" i="77"/>
  <c r="I1123" i="77"/>
  <c r="I1122" i="77"/>
  <c r="I1121" i="77"/>
  <c r="I1120" i="77"/>
  <c r="I1119" i="77"/>
  <c r="I1118" i="77"/>
  <c r="I1117" i="77"/>
  <c r="I1116" i="77"/>
  <c r="I1115" i="77"/>
  <c r="I1114" i="77"/>
  <c r="I1113" i="77"/>
  <c r="I1112" i="77"/>
  <c r="I1111" i="77"/>
  <c r="I1110" i="77"/>
  <c r="I1109" i="77"/>
  <c r="I1108" i="77"/>
  <c r="I1107" i="77"/>
  <c r="I1106" i="77"/>
  <c r="I1105" i="77"/>
  <c r="I1104" i="77"/>
  <c r="I1103" i="77"/>
  <c r="I1102" i="77"/>
  <c r="I1101" i="77"/>
  <c r="I1100" i="77"/>
  <c r="I1099" i="77"/>
  <c r="I1098" i="77"/>
  <c r="I1097" i="77"/>
  <c r="I1096" i="77"/>
  <c r="I1095" i="77"/>
  <c r="I1094" i="77"/>
  <c r="I1093" i="77"/>
  <c r="I1092" i="77"/>
  <c r="I1091" i="77"/>
  <c r="I1090" i="77"/>
  <c r="I1089" i="77"/>
  <c r="I1088" i="77"/>
  <c r="I1087" i="77"/>
  <c r="I1086" i="77"/>
  <c r="I1085" i="77"/>
  <c r="I1084" i="77"/>
  <c r="I1083" i="77"/>
  <c r="I1082" i="77"/>
  <c r="I1081" i="77"/>
  <c r="I1080" i="77"/>
  <c r="I1079" i="77"/>
  <c r="I1078" i="77"/>
  <c r="I1077" i="77"/>
  <c r="I1076" i="77"/>
  <c r="I1075" i="77"/>
  <c r="I1074" i="77"/>
  <c r="I1073" i="77"/>
  <c r="I1072" i="77"/>
  <c r="I1071" i="77"/>
  <c r="I1070" i="77"/>
  <c r="I1069" i="77"/>
  <c r="I1068" i="77"/>
  <c r="I1067" i="77"/>
  <c r="I1066" i="77"/>
  <c r="I1065" i="77"/>
  <c r="I1064" i="77"/>
  <c r="I1063" i="77"/>
  <c r="I1062" i="77"/>
  <c r="I1061" i="77"/>
  <c r="I1060" i="77"/>
  <c r="I1059" i="77"/>
  <c r="I1058" i="77"/>
  <c r="I1057" i="77"/>
  <c r="I1056" i="77"/>
  <c r="I1055" i="77"/>
  <c r="I1054" i="77"/>
  <c r="I1053" i="77"/>
  <c r="I1052" i="77"/>
  <c r="I1051" i="77"/>
  <c r="I1050" i="77"/>
  <c r="I1049" i="77"/>
  <c r="I1048" i="77"/>
  <c r="I1047" i="77"/>
  <c r="I1046" i="77"/>
  <c r="I1045" i="77"/>
  <c r="I1044" i="77"/>
  <c r="I1043" i="77"/>
  <c r="I1042" i="77"/>
  <c r="I1041" i="77"/>
  <c r="I1040" i="77"/>
  <c r="I1039" i="77"/>
  <c r="I1038" i="77"/>
  <c r="I1037" i="77"/>
  <c r="I1036" i="77"/>
  <c r="I1035" i="77"/>
  <c r="I1034" i="77"/>
  <c r="I1033" i="77"/>
  <c r="I1032" i="77"/>
  <c r="I1031" i="77"/>
  <c r="I1030" i="77"/>
  <c r="I1029" i="77"/>
  <c r="I1028" i="77"/>
  <c r="I1027" i="77"/>
  <c r="I1026" i="77"/>
  <c r="I1025" i="77"/>
  <c r="I1024" i="77"/>
  <c r="I1023" i="77"/>
  <c r="I1022" i="77"/>
  <c r="I1021" i="77"/>
  <c r="I1020" i="77"/>
  <c r="I1019" i="77"/>
  <c r="I1018" i="77"/>
  <c r="I1017" i="77"/>
  <c r="I1016" i="77"/>
  <c r="I1015" i="77"/>
  <c r="I1014" i="77"/>
  <c r="I1013" i="77"/>
  <c r="I1012" i="77"/>
  <c r="I1011" i="77"/>
  <c r="I1010" i="77"/>
  <c r="I1009" i="77"/>
  <c r="I1008" i="77"/>
  <c r="I1007" i="77"/>
  <c r="I1006" i="77"/>
  <c r="I1005" i="77"/>
  <c r="I1004" i="77"/>
  <c r="I1003" i="77"/>
  <c r="I1002" i="77"/>
  <c r="I1001" i="77"/>
  <c r="I1000" i="77"/>
  <c r="I999" i="77"/>
  <c r="I998" i="77"/>
  <c r="I997" i="77"/>
  <c r="I996" i="77"/>
  <c r="I995" i="77"/>
  <c r="I994" i="77"/>
  <c r="I993" i="77"/>
  <c r="I992" i="77"/>
  <c r="I991" i="77"/>
  <c r="I990" i="77"/>
  <c r="I989" i="77"/>
  <c r="I988" i="77"/>
  <c r="I987" i="77"/>
  <c r="I986" i="77"/>
  <c r="I985" i="77"/>
  <c r="I984" i="77"/>
  <c r="I983" i="77"/>
  <c r="I982" i="77"/>
  <c r="I981" i="77"/>
  <c r="I980" i="77"/>
  <c r="I979" i="77"/>
  <c r="I978" i="77"/>
  <c r="I977" i="77"/>
  <c r="I976" i="77"/>
  <c r="I975" i="77"/>
  <c r="I974" i="77"/>
  <c r="I973" i="77"/>
  <c r="I972" i="77"/>
  <c r="I971" i="77"/>
  <c r="I970" i="77"/>
  <c r="I969" i="77"/>
  <c r="I968" i="77"/>
  <c r="I967" i="77"/>
  <c r="I966" i="77"/>
  <c r="I965" i="77"/>
  <c r="I964" i="77"/>
  <c r="I963" i="77"/>
  <c r="I962" i="77"/>
  <c r="I961" i="77"/>
  <c r="I960" i="77"/>
  <c r="I959" i="77"/>
  <c r="I958" i="77"/>
  <c r="I957" i="77"/>
  <c r="I956" i="77"/>
  <c r="I955" i="77"/>
  <c r="I954" i="77"/>
  <c r="I953" i="77"/>
  <c r="I952" i="77"/>
  <c r="I951" i="77"/>
  <c r="I950" i="77"/>
  <c r="I949" i="77"/>
  <c r="I948" i="77"/>
  <c r="I947" i="77"/>
  <c r="I946" i="77"/>
  <c r="I945" i="77"/>
  <c r="I944" i="77"/>
  <c r="I943" i="77"/>
  <c r="I942" i="77"/>
  <c r="I941" i="77"/>
  <c r="I940" i="77"/>
  <c r="I939" i="77"/>
  <c r="I938" i="77"/>
  <c r="I937" i="77"/>
  <c r="I936" i="77"/>
  <c r="I935" i="77"/>
  <c r="I934" i="77"/>
  <c r="I933" i="77"/>
  <c r="I932" i="77"/>
  <c r="I931" i="77"/>
  <c r="I930" i="77"/>
  <c r="I929" i="77"/>
  <c r="I928" i="77"/>
  <c r="I927" i="77"/>
  <c r="I926" i="77"/>
  <c r="I925" i="77"/>
  <c r="I924" i="77"/>
  <c r="I923" i="77"/>
  <c r="I922" i="77"/>
  <c r="I921" i="77"/>
  <c r="I920" i="77"/>
  <c r="I919" i="77"/>
  <c r="I918" i="77"/>
  <c r="I917" i="77"/>
  <c r="I916" i="77"/>
  <c r="I915" i="77"/>
  <c r="I914" i="77"/>
  <c r="I913" i="77"/>
  <c r="I912" i="77"/>
  <c r="I911" i="77"/>
  <c r="I910" i="77"/>
  <c r="I909" i="77"/>
  <c r="I908" i="77"/>
  <c r="I907" i="77"/>
  <c r="I906" i="77"/>
  <c r="I905" i="77"/>
  <c r="I904" i="77"/>
  <c r="I903" i="77"/>
  <c r="I902" i="77"/>
  <c r="I901" i="77"/>
  <c r="I900" i="77"/>
  <c r="I899" i="77"/>
  <c r="I898" i="77"/>
  <c r="I897" i="77"/>
  <c r="I896" i="77"/>
  <c r="I895" i="77"/>
  <c r="I894" i="77"/>
  <c r="I893" i="77"/>
  <c r="I892" i="77"/>
  <c r="I891" i="77"/>
  <c r="I890" i="77"/>
  <c r="I889" i="77"/>
  <c r="I888" i="77"/>
  <c r="I887" i="77"/>
  <c r="I886" i="77"/>
  <c r="I885" i="77"/>
  <c r="I884" i="77"/>
  <c r="I883" i="77"/>
  <c r="I882" i="77"/>
  <c r="I881" i="77"/>
  <c r="I880" i="77"/>
  <c r="I879" i="77"/>
  <c r="I878" i="77"/>
  <c r="I877" i="77"/>
  <c r="I876" i="77"/>
  <c r="I875" i="77"/>
  <c r="I874" i="77"/>
  <c r="I873" i="77"/>
  <c r="I872" i="77"/>
  <c r="I871" i="77"/>
  <c r="I870" i="77"/>
  <c r="I869" i="77"/>
  <c r="I868" i="77"/>
  <c r="I867" i="77"/>
  <c r="I866" i="77"/>
  <c r="I865" i="77"/>
  <c r="I864" i="77"/>
  <c r="I863" i="77"/>
  <c r="I862" i="77"/>
  <c r="I861" i="77"/>
  <c r="I860" i="77"/>
  <c r="I859" i="77"/>
  <c r="I858" i="77"/>
  <c r="I857" i="77"/>
  <c r="I856" i="77"/>
  <c r="I855" i="77"/>
  <c r="I854" i="77"/>
  <c r="I853" i="77"/>
  <c r="I852" i="77"/>
  <c r="I851" i="77"/>
  <c r="I850" i="77"/>
  <c r="I849" i="77"/>
  <c r="I848" i="77"/>
  <c r="I847" i="77"/>
  <c r="I846" i="77"/>
  <c r="I845" i="77"/>
  <c r="I844" i="77"/>
  <c r="I843" i="77"/>
  <c r="I842" i="77"/>
  <c r="I841" i="77"/>
  <c r="I840" i="77"/>
  <c r="I839" i="77"/>
  <c r="I838" i="77"/>
  <c r="I837" i="77"/>
  <c r="I836" i="77"/>
  <c r="I835" i="77"/>
  <c r="I834" i="77"/>
  <c r="I833" i="77"/>
  <c r="I832" i="77"/>
  <c r="I831" i="77"/>
  <c r="I830" i="77"/>
  <c r="I829" i="77"/>
  <c r="I828" i="77"/>
  <c r="I827" i="77"/>
  <c r="I826" i="77"/>
  <c r="I825" i="77"/>
  <c r="I824" i="77"/>
  <c r="I823" i="77"/>
  <c r="I822" i="77"/>
  <c r="I821" i="77"/>
  <c r="I820" i="77"/>
  <c r="I819" i="77"/>
  <c r="I818" i="77"/>
  <c r="I817" i="77"/>
  <c r="I816" i="77"/>
  <c r="I815" i="77"/>
  <c r="I814" i="77"/>
  <c r="I813" i="77"/>
  <c r="I812" i="77"/>
  <c r="I811" i="77"/>
  <c r="I810" i="77"/>
  <c r="I809" i="77"/>
  <c r="I808" i="77"/>
  <c r="I807" i="77"/>
  <c r="I806" i="77"/>
  <c r="I805" i="77"/>
  <c r="I804" i="77"/>
  <c r="I803" i="77"/>
  <c r="I802" i="77"/>
  <c r="I801" i="77"/>
  <c r="I800" i="77"/>
  <c r="I799" i="77"/>
  <c r="I798" i="77"/>
  <c r="I797" i="77"/>
  <c r="I796" i="77"/>
  <c r="I795" i="77"/>
  <c r="I794" i="77"/>
  <c r="I793" i="77"/>
  <c r="I792" i="77"/>
  <c r="I791" i="77"/>
  <c r="I790" i="77"/>
  <c r="I789" i="77"/>
  <c r="I788" i="77"/>
  <c r="I787" i="77"/>
  <c r="I786" i="77"/>
  <c r="I785" i="77"/>
  <c r="I784" i="77"/>
  <c r="I783" i="77"/>
  <c r="I782" i="77"/>
  <c r="I781" i="77"/>
  <c r="I780" i="77"/>
  <c r="I779" i="77"/>
  <c r="I778" i="77"/>
  <c r="I777" i="77"/>
  <c r="I776" i="77"/>
  <c r="I775" i="77"/>
  <c r="I774" i="77"/>
  <c r="I773" i="77"/>
  <c r="I772" i="77"/>
  <c r="I771" i="77"/>
  <c r="I770" i="77"/>
  <c r="I769" i="77"/>
  <c r="I768" i="77"/>
  <c r="I767" i="77"/>
  <c r="I766" i="77"/>
  <c r="I765" i="77"/>
  <c r="I764" i="77"/>
  <c r="I763" i="77"/>
  <c r="I762" i="77"/>
  <c r="I761" i="77"/>
  <c r="I760" i="77"/>
  <c r="I759" i="77"/>
  <c r="I758" i="77"/>
  <c r="I757" i="77"/>
  <c r="I756" i="77"/>
  <c r="I755" i="77"/>
  <c r="I754" i="77"/>
  <c r="I753" i="77"/>
  <c r="I752" i="77"/>
  <c r="I751" i="77"/>
  <c r="I750" i="77"/>
  <c r="I749" i="77"/>
  <c r="I748" i="77"/>
  <c r="I747" i="77"/>
  <c r="I746" i="77"/>
  <c r="I745" i="77"/>
  <c r="I744" i="77"/>
  <c r="I743" i="77"/>
  <c r="I742" i="77"/>
  <c r="I741" i="77"/>
  <c r="I740" i="77"/>
  <c r="I739" i="77"/>
  <c r="I738" i="77"/>
  <c r="I737" i="77"/>
  <c r="I736" i="77"/>
  <c r="I735" i="77"/>
  <c r="I734" i="77"/>
  <c r="I733" i="77"/>
  <c r="I732" i="77"/>
  <c r="I731" i="77"/>
  <c r="I730" i="77"/>
  <c r="I729" i="77"/>
  <c r="I728" i="77"/>
  <c r="I727" i="77"/>
  <c r="I726" i="77"/>
  <c r="I725" i="77"/>
  <c r="I724" i="77"/>
  <c r="I723" i="77"/>
  <c r="I722" i="77"/>
  <c r="I721" i="77"/>
  <c r="I720" i="77"/>
  <c r="I719" i="77"/>
  <c r="I718" i="77"/>
  <c r="I717" i="77"/>
  <c r="I716" i="77"/>
  <c r="I715" i="77"/>
  <c r="I714" i="77"/>
  <c r="I713" i="77"/>
  <c r="I712" i="77"/>
  <c r="I711" i="77"/>
  <c r="I710" i="77"/>
  <c r="I709" i="77"/>
  <c r="I708" i="77"/>
  <c r="I707" i="77"/>
  <c r="I706" i="77"/>
  <c r="I705" i="77"/>
  <c r="I704" i="77"/>
  <c r="I703" i="77"/>
  <c r="I702" i="77"/>
  <c r="I701" i="77"/>
  <c r="I700" i="77"/>
  <c r="I699" i="77"/>
  <c r="I698" i="77"/>
  <c r="I697" i="77"/>
  <c r="I696" i="77"/>
  <c r="I695" i="77"/>
  <c r="I694" i="77"/>
  <c r="I693" i="77"/>
  <c r="I692" i="77"/>
  <c r="I691" i="77"/>
  <c r="I690" i="77"/>
  <c r="I689" i="77"/>
  <c r="I688" i="77"/>
  <c r="I687" i="77"/>
  <c r="I686" i="77"/>
  <c r="I685" i="77"/>
  <c r="I684" i="77"/>
  <c r="I683" i="77"/>
  <c r="I682" i="77"/>
  <c r="I681" i="77"/>
  <c r="I680" i="77"/>
  <c r="I679" i="77"/>
  <c r="I678" i="77"/>
  <c r="I677" i="77"/>
  <c r="I676" i="77"/>
  <c r="I675" i="77"/>
  <c r="I674" i="77"/>
  <c r="I673" i="77"/>
  <c r="I672" i="77"/>
  <c r="I671" i="77"/>
  <c r="I670" i="77"/>
  <c r="I669" i="77"/>
  <c r="I668" i="77"/>
  <c r="I667" i="77"/>
  <c r="I666" i="77"/>
  <c r="I665" i="77"/>
  <c r="I664" i="77"/>
  <c r="I663" i="77"/>
  <c r="I662" i="77"/>
  <c r="I661" i="77"/>
  <c r="I660" i="77"/>
  <c r="I659" i="77"/>
  <c r="I658" i="77"/>
  <c r="I657" i="77"/>
  <c r="I656" i="77"/>
  <c r="I655" i="77"/>
  <c r="I654" i="77"/>
  <c r="I653" i="77"/>
  <c r="I652" i="77"/>
  <c r="I651" i="77"/>
  <c r="I650" i="77"/>
  <c r="I649" i="77"/>
  <c r="I648" i="77"/>
  <c r="I647" i="77"/>
  <c r="I646" i="77"/>
  <c r="I645" i="77"/>
  <c r="I644" i="77"/>
  <c r="I643" i="77"/>
  <c r="I642" i="77"/>
  <c r="I641" i="77"/>
  <c r="I640" i="77"/>
  <c r="I639" i="77"/>
  <c r="I638" i="77"/>
  <c r="I637" i="77"/>
  <c r="I636" i="77"/>
  <c r="I635" i="77"/>
  <c r="I634" i="77"/>
  <c r="I633" i="77"/>
  <c r="I632" i="77"/>
  <c r="I631" i="77"/>
  <c r="I630" i="77"/>
  <c r="I629" i="77"/>
  <c r="I628" i="77"/>
  <c r="I627" i="77"/>
  <c r="I626" i="77"/>
  <c r="I625" i="77"/>
  <c r="I624" i="77"/>
  <c r="I623" i="77"/>
  <c r="I622" i="77"/>
  <c r="I621" i="77"/>
  <c r="I620" i="77"/>
  <c r="I619" i="77"/>
  <c r="I618" i="77"/>
  <c r="I617" i="77"/>
  <c r="I616" i="77"/>
  <c r="I615" i="77"/>
  <c r="I614" i="77"/>
  <c r="I613" i="77"/>
  <c r="I612" i="77"/>
  <c r="I611" i="77"/>
  <c r="I610" i="77"/>
  <c r="I609" i="77"/>
  <c r="I608" i="77"/>
  <c r="I607" i="77"/>
  <c r="I606" i="77"/>
  <c r="I605" i="77"/>
  <c r="I604" i="77"/>
  <c r="I603" i="77"/>
  <c r="I602" i="77"/>
  <c r="I601" i="77"/>
  <c r="I600" i="77"/>
  <c r="I599" i="77"/>
  <c r="I598" i="77"/>
  <c r="I597" i="77"/>
  <c r="I596" i="77"/>
  <c r="I595" i="77"/>
  <c r="I594" i="77"/>
  <c r="I593" i="77"/>
  <c r="I592" i="77"/>
  <c r="I591" i="77"/>
  <c r="I590" i="77"/>
  <c r="I589" i="77"/>
  <c r="I588" i="77"/>
  <c r="I587" i="77"/>
  <c r="I586" i="77"/>
  <c r="I585" i="77"/>
  <c r="I584" i="77"/>
  <c r="I583" i="77"/>
  <c r="I582" i="77"/>
  <c r="I581" i="77"/>
  <c r="I580" i="77"/>
  <c r="I579" i="77"/>
  <c r="I578" i="77"/>
  <c r="I577" i="77"/>
  <c r="I576" i="77"/>
  <c r="I575" i="77"/>
  <c r="I574" i="77"/>
  <c r="I573" i="77"/>
  <c r="I572" i="77"/>
  <c r="I571" i="77"/>
  <c r="I570" i="77"/>
  <c r="I569" i="77"/>
  <c r="I568" i="77"/>
  <c r="I567" i="77"/>
  <c r="I566" i="77"/>
  <c r="I565" i="77"/>
  <c r="I564" i="77"/>
  <c r="I563" i="77"/>
  <c r="I562" i="77"/>
  <c r="I561" i="77"/>
  <c r="I560" i="77"/>
  <c r="I559" i="77"/>
  <c r="I558" i="77"/>
  <c r="I557" i="77"/>
  <c r="I556" i="77"/>
  <c r="I555" i="77"/>
  <c r="I554" i="77"/>
  <c r="I553" i="77"/>
  <c r="I552" i="77"/>
  <c r="I551" i="77"/>
  <c r="I550" i="77"/>
  <c r="I549" i="77"/>
  <c r="I548" i="77"/>
  <c r="I547" i="77"/>
  <c r="I546" i="77"/>
  <c r="I545" i="77"/>
  <c r="I544" i="77"/>
  <c r="I543" i="77"/>
  <c r="I542" i="77"/>
  <c r="I541" i="77"/>
  <c r="I540" i="77"/>
  <c r="I539" i="77"/>
  <c r="I538" i="77"/>
  <c r="I537" i="77"/>
  <c r="I536" i="77"/>
  <c r="I535" i="77"/>
  <c r="I534" i="77"/>
  <c r="I533" i="77"/>
  <c r="I532" i="77"/>
  <c r="I531" i="77"/>
  <c r="I530" i="77"/>
  <c r="I529" i="77"/>
  <c r="I528" i="77"/>
  <c r="I527" i="77"/>
  <c r="I526" i="77"/>
  <c r="I525" i="77"/>
  <c r="I524" i="77"/>
  <c r="I523" i="77"/>
  <c r="I522" i="77"/>
  <c r="I521" i="77"/>
  <c r="I520" i="77"/>
  <c r="I519" i="77"/>
  <c r="I518" i="77"/>
  <c r="I517" i="77"/>
  <c r="I516" i="77"/>
  <c r="I515" i="77"/>
  <c r="I514" i="77"/>
  <c r="I513" i="77"/>
  <c r="I512" i="77"/>
  <c r="I511" i="77"/>
  <c r="I510" i="77"/>
  <c r="I509" i="77"/>
  <c r="I508" i="77"/>
  <c r="I507" i="77"/>
  <c r="I506" i="77"/>
  <c r="I505" i="77"/>
  <c r="I504" i="77"/>
  <c r="I503" i="77"/>
  <c r="I502" i="77"/>
  <c r="I501" i="77"/>
  <c r="I500" i="77"/>
  <c r="I499" i="77"/>
  <c r="I498" i="77"/>
  <c r="I497" i="77"/>
  <c r="I496" i="77"/>
  <c r="I495" i="77"/>
  <c r="I494" i="77"/>
  <c r="I493" i="77"/>
  <c r="I492" i="77"/>
  <c r="I491" i="77"/>
  <c r="I490" i="77"/>
  <c r="I489" i="77"/>
  <c r="I488" i="77"/>
  <c r="I487" i="77"/>
  <c r="I486" i="77"/>
  <c r="I485" i="77"/>
  <c r="I484" i="77"/>
  <c r="I483" i="77"/>
  <c r="I482" i="77"/>
  <c r="I481" i="77"/>
  <c r="I480" i="77"/>
  <c r="I479" i="77"/>
  <c r="I478" i="77"/>
  <c r="I477" i="77"/>
  <c r="I476" i="77"/>
  <c r="I475" i="77"/>
  <c r="I474" i="77"/>
  <c r="I473" i="77"/>
  <c r="I472" i="77"/>
  <c r="I471" i="77"/>
  <c r="I470" i="77"/>
  <c r="I469" i="77"/>
  <c r="I468" i="77"/>
  <c r="I467" i="77"/>
  <c r="I466" i="77"/>
  <c r="I465" i="77"/>
  <c r="I464" i="77"/>
  <c r="I463" i="77"/>
  <c r="I462" i="77"/>
  <c r="I461" i="77"/>
  <c r="I460" i="77"/>
  <c r="I459" i="77"/>
  <c r="I458" i="77"/>
  <c r="I457" i="77"/>
  <c r="I456" i="77"/>
  <c r="I455" i="77"/>
  <c r="I454" i="77"/>
  <c r="I453" i="77"/>
  <c r="I452" i="77"/>
  <c r="I451" i="77"/>
  <c r="I450" i="77"/>
  <c r="I449" i="77"/>
  <c r="I448" i="77"/>
  <c r="I447" i="77"/>
  <c r="I446" i="77"/>
  <c r="I445" i="77"/>
  <c r="I444" i="77"/>
  <c r="I443" i="77"/>
  <c r="I442" i="77"/>
  <c r="I441" i="77"/>
  <c r="I440" i="77"/>
  <c r="I439" i="77"/>
  <c r="I438" i="77"/>
  <c r="I437" i="77"/>
  <c r="I436" i="77"/>
  <c r="I435" i="77"/>
  <c r="I434" i="77"/>
  <c r="I433" i="77"/>
  <c r="I432" i="77"/>
  <c r="I431" i="77"/>
  <c r="I430" i="77"/>
  <c r="I429" i="77"/>
  <c r="I428" i="77"/>
  <c r="I427" i="77"/>
  <c r="I426" i="77"/>
  <c r="I425" i="77"/>
  <c r="I424" i="77"/>
  <c r="I423" i="77"/>
  <c r="I422" i="77"/>
  <c r="I421" i="77"/>
  <c r="I420" i="77"/>
  <c r="I419" i="77"/>
  <c r="I418" i="77"/>
  <c r="I417" i="77"/>
  <c r="I416" i="77"/>
  <c r="I415" i="77"/>
  <c r="I414" i="77"/>
  <c r="I413" i="77"/>
  <c r="I412" i="77"/>
  <c r="I411" i="77"/>
  <c r="I410" i="77"/>
  <c r="I409" i="77"/>
  <c r="I408" i="77"/>
  <c r="I407" i="77"/>
  <c r="I406" i="77"/>
  <c r="I405" i="77"/>
  <c r="I404" i="77"/>
  <c r="I403" i="77"/>
  <c r="I402" i="77"/>
  <c r="I401" i="77"/>
  <c r="I400" i="77"/>
  <c r="I399" i="77"/>
  <c r="I398" i="77"/>
  <c r="I397" i="77"/>
  <c r="I396" i="77"/>
  <c r="I395" i="77"/>
  <c r="I394" i="77"/>
  <c r="I393" i="77"/>
  <c r="I392" i="77"/>
  <c r="I391" i="77"/>
  <c r="I390" i="77"/>
  <c r="I389" i="77"/>
  <c r="I388" i="77"/>
  <c r="I387" i="77"/>
  <c r="I386" i="77"/>
  <c r="I385" i="77"/>
  <c r="I384" i="77"/>
  <c r="I383" i="77"/>
  <c r="I382" i="77"/>
  <c r="I381" i="77"/>
  <c r="I380" i="77"/>
  <c r="I379" i="77"/>
  <c r="I378" i="77"/>
  <c r="I377" i="77"/>
  <c r="I376" i="77"/>
  <c r="I375" i="77"/>
  <c r="I374" i="77"/>
  <c r="I373" i="77"/>
  <c r="I372" i="77"/>
  <c r="I371" i="77"/>
  <c r="I370" i="77"/>
  <c r="I369" i="77"/>
  <c r="I368" i="77"/>
  <c r="I367" i="77"/>
  <c r="I366" i="77"/>
  <c r="I365" i="77"/>
  <c r="I364" i="77"/>
  <c r="I363" i="77"/>
  <c r="I362" i="77"/>
  <c r="I361" i="77"/>
  <c r="I360" i="77"/>
  <c r="I359" i="77"/>
  <c r="I358" i="77"/>
  <c r="I357" i="77"/>
  <c r="I356" i="77"/>
  <c r="I355" i="77"/>
  <c r="I354" i="77"/>
  <c r="I353" i="77"/>
  <c r="I352" i="77"/>
  <c r="I351" i="77"/>
  <c r="I350" i="77"/>
  <c r="I349" i="77"/>
  <c r="I348" i="77"/>
  <c r="I347" i="77"/>
  <c r="I346" i="77"/>
  <c r="I345" i="77"/>
  <c r="I344" i="77"/>
  <c r="I343" i="77"/>
  <c r="I342" i="77"/>
  <c r="I341" i="77"/>
  <c r="I340" i="77"/>
  <c r="I339" i="77"/>
  <c r="I338" i="77"/>
  <c r="I337" i="77"/>
  <c r="I336" i="77"/>
  <c r="I335" i="77"/>
  <c r="I334" i="77"/>
  <c r="I333" i="77"/>
  <c r="I332" i="77"/>
  <c r="I331" i="77"/>
  <c r="I330" i="77"/>
  <c r="I329" i="77"/>
  <c r="I328" i="77"/>
  <c r="I327" i="77"/>
  <c r="I326" i="77"/>
  <c r="I325" i="77"/>
  <c r="I324" i="77"/>
  <c r="I323" i="77"/>
  <c r="I322" i="77"/>
  <c r="I321" i="77"/>
  <c r="I320" i="77"/>
  <c r="I319" i="77"/>
  <c r="I318" i="77"/>
  <c r="I317" i="77"/>
  <c r="I316" i="77"/>
  <c r="I315" i="77"/>
  <c r="I314" i="77"/>
  <c r="I313" i="77"/>
  <c r="I312" i="77"/>
  <c r="I311" i="77"/>
  <c r="I310" i="77"/>
  <c r="I309" i="77"/>
  <c r="I308" i="77"/>
  <c r="I307" i="77"/>
  <c r="I306" i="77"/>
  <c r="I305" i="77"/>
  <c r="I304" i="77"/>
  <c r="I303" i="77"/>
  <c r="I302" i="77"/>
  <c r="I301" i="77"/>
  <c r="I300" i="77"/>
  <c r="I299" i="77"/>
  <c r="I298" i="77"/>
  <c r="I297" i="77"/>
  <c r="I296" i="77"/>
  <c r="I295" i="77"/>
  <c r="I294" i="77"/>
  <c r="I293" i="77"/>
  <c r="I292" i="77"/>
  <c r="I291" i="77"/>
  <c r="I290" i="77"/>
  <c r="I289" i="77"/>
  <c r="I288" i="77"/>
  <c r="I287" i="77"/>
  <c r="I286" i="77"/>
  <c r="I285" i="77"/>
  <c r="I284" i="77"/>
  <c r="I283" i="77"/>
  <c r="I282" i="77"/>
  <c r="I281" i="77"/>
  <c r="I280" i="77"/>
  <c r="I279" i="77"/>
  <c r="I278" i="77"/>
  <c r="I277" i="77"/>
  <c r="I276" i="77"/>
  <c r="I275" i="77"/>
  <c r="I274" i="77"/>
  <c r="I273" i="77"/>
  <c r="I272" i="77"/>
  <c r="I271" i="77"/>
  <c r="I270" i="77"/>
  <c r="I269" i="77"/>
  <c r="I268" i="77"/>
  <c r="I267" i="77"/>
  <c r="I266" i="77"/>
  <c r="I265" i="77"/>
  <c r="I264" i="77"/>
  <c r="I263" i="77"/>
  <c r="I262" i="77"/>
  <c r="I261" i="77"/>
  <c r="I260" i="77"/>
  <c r="I259" i="77"/>
  <c r="I258" i="77"/>
  <c r="I257" i="77"/>
  <c r="I256" i="77"/>
  <c r="I255" i="77"/>
  <c r="I254" i="77"/>
  <c r="I253" i="77"/>
  <c r="I252" i="77"/>
  <c r="I251" i="77"/>
  <c r="I250" i="77"/>
  <c r="I249" i="77"/>
  <c r="I248" i="77"/>
  <c r="I247" i="77"/>
  <c r="I246" i="77"/>
  <c r="I245" i="77"/>
  <c r="I244" i="77"/>
  <c r="I243" i="77"/>
  <c r="I242" i="77"/>
  <c r="I241" i="77"/>
  <c r="I240" i="77"/>
  <c r="I239" i="77"/>
  <c r="I238" i="77"/>
  <c r="I237" i="77"/>
  <c r="I236" i="77"/>
  <c r="I235" i="77"/>
  <c r="I234" i="77"/>
  <c r="I233" i="77"/>
  <c r="I232" i="77"/>
  <c r="I231" i="77"/>
  <c r="I230" i="77"/>
  <c r="I229" i="77"/>
  <c r="I228" i="77"/>
  <c r="I227" i="77"/>
  <c r="I226" i="77"/>
  <c r="I225" i="77"/>
  <c r="I224" i="77"/>
  <c r="I223" i="77"/>
  <c r="I222" i="77"/>
  <c r="I221" i="77"/>
  <c r="I220" i="77"/>
  <c r="I219" i="77"/>
  <c r="I218" i="77"/>
  <c r="I217" i="77"/>
  <c r="I216" i="77"/>
  <c r="I215" i="77"/>
  <c r="I214" i="77"/>
  <c r="I213" i="77"/>
  <c r="I212" i="77"/>
  <c r="I211" i="77"/>
  <c r="I210" i="77"/>
  <c r="I209" i="77"/>
  <c r="I208" i="77"/>
  <c r="I207" i="77"/>
  <c r="I206" i="77"/>
  <c r="I205" i="77"/>
  <c r="I204" i="77"/>
  <c r="I203" i="77"/>
  <c r="I202" i="77"/>
  <c r="I201" i="77"/>
  <c r="I200" i="77"/>
  <c r="I199" i="77"/>
  <c r="I198" i="77"/>
  <c r="I197" i="77"/>
  <c r="I196" i="77"/>
  <c r="I195" i="77"/>
  <c r="I194" i="77"/>
  <c r="I193" i="77"/>
  <c r="I192" i="77"/>
  <c r="I191" i="77"/>
  <c r="I190" i="77"/>
  <c r="I189" i="77"/>
  <c r="I188" i="77"/>
  <c r="I187" i="77"/>
  <c r="I186" i="77"/>
  <c r="I185" i="77"/>
  <c r="I184" i="77"/>
  <c r="I183" i="77"/>
  <c r="I182" i="77"/>
  <c r="I181" i="77"/>
  <c r="I180" i="77"/>
  <c r="I179" i="77"/>
  <c r="I178" i="77"/>
  <c r="I177" i="77"/>
  <c r="I176" i="77"/>
  <c r="I175" i="77"/>
  <c r="I174" i="77"/>
  <c r="I173" i="77"/>
  <c r="I172" i="77"/>
  <c r="I171" i="77"/>
  <c r="I170" i="77"/>
  <c r="I169" i="77"/>
  <c r="I168" i="77"/>
  <c r="I167" i="77"/>
  <c r="I166" i="77"/>
  <c r="I165" i="77"/>
  <c r="I164" i="77"/>
  <c r="I163" i="77"/>
  <c r="I162" i="77"/>
  <c r="I161" i="77"/>
  <c r="I160" i="77"/>
  <c r="I159" i="77"/>
  <c r="I158" i="77"/>
  <c r="I157" i="77"/>
  <c r="I156" i="77"/>
  <c r="I155" i="77"/>
  <c r="I154" i="77"/>
  <c r="I153" i="77"/>
  <c r="I152" i="77"/>
  <c r="I151" i="77"/>
  <c r="I150" i="77"/>
  <c r="I149" i="77"/>
  <c r="I148" i="77"/>
  <c r="I147" i="77"/>
  <c r="I146" i="77"/>
  <c r="I145" i="77"/>
  <c r="I144" i="77"/>
  <c r="I143" i="77"/>
  <c r="I142" i="77"/>
  <c r="I141" i="77"/>
  <c r="I140" i="77"/>
  <c r="I139" i="77"/>
  <c r="I138" i="77"/>
  <c r="I137" i="77"/>
  <c r="I136" i="77"/>
  <c r="I135" i="77"/>
  <c r="I134" i="77"/>
  <c r="I133" i="77"/>
  <c r="I132" i="77"/>
  <c r="I131" i="77"/>
  <c r="I130" i="77"/>
  <c r="I129" i="77"/>
  <c r="I128" i="77"/>
  <c r="I127" i="77"/>
  <c r="I126" i="77"/>
  <c r="I125" i="77"/>
  <c r="I124" i="77"/>
  <c r="I123" i="77"/>
  <c r="I122" i="77"/>
  <c r="I121" i="77"/>
  <c r="I120" i="77"/>
  <c r="I119" i="77"/>
  <c r="I118" i="77"/>
  <c r="I117" i="77"/>
  <c r="I116" i="77"/>
  <c r="I115" i="77"/>
  <c r="I114" i="77"/>
  <c r="I113" i="77"/>
  <c r="I112" i="77"/>
  <c r="I111" i="77"/>
  <c r="I110" i="77"/>
  <c r="I109" i="77"/>
  <c r="I108" i="77"/>
  <c r="I107" i="77"/>
  <c r="I106" i="77"/>
  <c r="I105" i="77"/>
  <c r="I104" i="77"/>
  <c r="I103" i="77"/>
  <c r="I102" i="77"/>
  <c r="I101" i="77"/>
  <c r="I100" i="77"/>
  <c r="I99" i="77"/>
  <c r="I98" i="77"/>
  <c r="I97" i="77"/>
  <c r="I96" i="77"/>
  <c r="I95" i="77"/>
  <c r="I94" i="77"/>
  <c r="I93" i="77"/>
  <c r="I92" i="77"/>
  <c r="I91" i="77"/>
  <c r="I90" i="77"/>
  <c r="I89" i="77"/>
  <c r="I88" i="77"/>
  <c r="I87" i="77"/>
  <c r="I86" i="77"/>
  <c r="I85" i="77"/>
  <c r="I84" i="77"/>
  <c r="I83" i="77"/>
  <c r="I82" i="77"/>
  <c r="I81" i="77"/>
  <c r="I80" i="77"/>
  <c r="I79" i="77"/>
  <c r="I78" i="77"/>
  <c r="I77" i="77"/>
  <c r="I76" i="77"/>
  <c r="I75" i="77"/>
  <c r="I74" i="77"/>
  <c r="I73" i="77"/>
  <c r="I72" i="77"/>
  <c r="I71" i="77"/>
  <c r="I70" i="77"/>
  <c r="I69" i="77"/>
  <c r="I68" i="77"/>
  <c r="I67" i="77"/>
  <c r="I66" i="77"/>
  <c r="I65" i="77"/>
  <c r="I64" i="77"/>
  <c r="I63" i="77"/>
  <c r="I62" i="77"/>
  <c r="I61" i="77"/>
  <c r="I60" i="77"/>
  <c r="I59" i="77"/>
  <c r="I58" i="77"/>
  <c r="I57" i="77"/>
  <c r="I56" i="77"/>
  <c r="I55" i="77"/>
  <c r="I54" i="77"/>
  <c r="I53" i="77"/>
  <c r="I52" i="77"/>
  <c r="I51" i="77"/>
  <c r="I50" i="77"/>
  <c r="I49" i="77"/>
  <c r="I48" i="77"/>
  <c r="I47" i="77"/>
  <c r="I46" i="77"/>
  <c r="I45" i="77"/>
  <c r="I44" i="77"/>
  <c r="I43" i="77"/>
  <c r="I42" i="77"/>
  <c r="I41" i="77"/>
  <c r="I40" i="77"/>
  <c r="I39" i="77"/>
  <c r="I38" i="77"/>
  <c r="I37" i="77"/>
  <c r="I36" i="77"/>
  <c r="I35" i="77"/>
  <c r="I34" i="77"/>
  <c r="I33" i="77"/>
  <c r="I32" i="77"/>
  <c r="I31" i="77"/>
  <c r="I30" i="77"/>
  <c r="I29" i="77"/>
  <c r="I28" i="77"/>
  <c r="I27" i="77"/>
  <c r="I26" i="77"/>
  <c r="I25" i="77"/>
  <c r="I24" i="77"/>
  <c r="I23" i="77"/>
  <c r="I22" i="77"/>
  <c r="I21" i="77"/>
  <c r="I20" i="77"/>
  <c r="I19" i="77"/>
  <c r="I18" i="77"/>
  <c r="I17" i="77"/>
  <c r="I16" i="77"/>
  <c r="I15" i="77"/>
  <c r="I14" i="77"/>
  <c r="I13" i="77"/>
  <c r="I12" i="77"/>
  <c r="I11" i="77"/>
  <c r="I10" i="77"/>
  <c r="I9" i="77"/>
  <c r="I8" i="77"/>
  <c r="I7" i="77"/>
  <c r="I6" i="77"/>
  <c r="I5" i="77"/>
  <c r="I4" i="77"/>
  <c r="I3" i="77"/>
  <c r="I2" i="77"/>
  <c r="I2566" i="75"/>
  <c r="I2565" i="75"/>
  <c r="I2564" i="75"/>
  <c r="I2563" i="75"/>
  <c r="I2562" i="75"/>
  <c r="I2561" i="75"/>
  <c r="I2560" i="75"/>
  <c r="I2559" i="75"/>
  <c r="I2558" i="75"/>
  <c r="I2557" i="75"/>
  <c r="I2556" i="75"/>
  <c r="I2555" i="75"/>
  <c r="I2554" i="75"/>
  <c r="I2553" i="75"/>
  <c r="I2552" i="75"/>
  <c r="I2551" i="75"/>
  <c r="I2550" i="75"/>
  <c r="I2549" i="75"/>
  <c r="I2548" i="75"/>
  <c r="I2547" i="75"/>
  <c r="I2546" i="75"/>
  <c r="I2545" i="75"/>
  <c r="I2544" i="75"/>
  <c r="I2543" i="75"/>
  <c r="I2542" i="75"/>
  <c r="I2541" i="75"/>
  <c r="I2540" i="75"/>
  <c r="I2539" i="75"/>
  <c r="I2538" i="75"/>
  <c r="I2537" i="75"/>
  <c r="I2536" i="75"/>
  <c r="I2535" i="75"/>
  <c r="I2534" i="75"/>
  <c r="I2533" i="75"/>
  <c r="I2532" i="75"/>
  <c r="I2531" i="75"/>
  <c r="I2530" i="75"/>
  <c r="I2529" i="75"/>
  <c r="I2528" i="75"/>
  <c r="I2527" i="75"/>
  <c r="I2526" i="75"/>
  <c r="I2525" i="75"/>
  <c r="I2524" i="75"/>
  <c r="I2523" i="75"/>
  <c r="I2522" i="75"/>
  <c r="I2521" i="75"/>
  <c r="I2520" i="75"/>
  <c r="I2519" i="75"/>
  <c r="I2518" i="75"/>
  <c r="I2517" i="75"/>
  <c r="I2516" i="75"/>
  <c r="I2515" i="75"/>
  <c r="I2514" i="75"/>
  <c r="I2513" i="75"/>
  <c r="I2512" i="75"/>
  <c r="I2511" i="75"/>
  <c r="I2510" i="75"/>
  <c r="I2509" i="75"/>
  <c r="I2508" i="75"/>
  <c r="I2507" i="75"/>
  <c r="I2506" i="75"/>
  <c r="I2505" i="75"/>
  <c r="I2504" i="75"/>
  <c r="I2503" i="75"/>
  <c r="I2502" i="75"/>
  <c r="I2501" i="75"/>
  <c r="I2500" i="75"/>
  <c r="I2499" i="75"/>
  <c r="I2498" i="75"/>
  <c r="I2497" i="75"/>
  <c r="I2496" i="75"/>
  <c r="I2495" i="75"/>
  <c r="I2494" i="75"/>
  <c r="I2493" i="75"/>
  <c r="I2492" i="75"/>
  <c r="I2491" i="75"/>
  <c r="I2490" i="75"/>
  <c r="I2489" i="75"/>
  <c r="I2488" i="75"/>
  <c r="I2487" i="75"/>
  <c r="I2486" i="75"/>
  <c r="I2485" i="75"/>
  <c r="I2484" i="75"/>
  <c r="I2483" i="75"/>
  <c r="I2482" i="75"/>
  <c r="I2481" i="75"/>
  <c r="I2480" i="75"/>
  <c r="I2479" i="75"/>
  <c r="I2478" i="75"/>
  <c r="I2477" i="75"/>
  <c r="I2476" i="75"/>
  <c r="I2475" i="75"/>
  <c r="I2474" i="75"/>
  <c r="I2473" i="75"/>
  <c r="I2472" i="75"/>
  <c r="I2471" i="75"/>
  <c r="I2470" i="75"/>
  <c r="I2469" i="75"/>
  <c r="I2468" i="75"/>
  <c r="I2467" i="75"/>
  <c r="I2466" i="75"/>
  <c r="I2465" i="75"/>
  <c r="I2464" i="75"/>
  <c r="I2463" i="75"/>
  <c r="I2462" i="75"/>
  <c r="I2461" i="75"/>
  <c r="I2460" i="75"/>
  <c r="I2459" i="75"/>
  <c r="I2458" i="75"/>
  <c r="I2457" i="75"/>
  <c r="I2456" i="75"/>
  <c r="I2455" i="75"/>
  <c r="I2454" i="75"/>
  <c r="I2453" i="75"/>
  <c r="I2452" i="75"/>
  <c r="I2451" i="75"/>
  <c r="I2450" i="75"/>
  <c r="I2449" i="75"/>
  <c r="I2448" i="75"/>
  <c r="I2447" i="75"/>
  <c r="I2446" i="75"/>
  <c r="I2445" i="75"/>
  <c r="I2444" i="75"/>
  <c r="I2443" i="75"/>
  <c r="I2442" i="75"/>
  <c r="I2441" i="75"/>
  <c r="I2440" i="75"/>
  <c r="I2439" i="75"/>
  <c r="I2438" i="75"/>
  <c r="I2437" i="75"/>
  <c r="I2436" i="75"/>
  <c r="I2435" i="75"/>
  <c r="I2434" i="75"/>
  <c r="I2433" i="75"/>
  <c r="I2432" i="75"/>
  <c r="I2431" i="75"/>
  <c r="I2430" i="75"/>
  <c r="I2429" i="75"/>
  <c r="I2428" i="75"/>
  <c r="I2427" i="75"/>
  <c r="I2426" i="75"/>
  <c r="I2425" i="75"/>
  <c r="I2424" i="75"/>
  <c r="I2423" i="75"/>
  <c r="I2422" i="75"/>
  <c r="I2421" i="75"/>
  <c r="I2420" i="75"/>
  <c r="I2419" i="75"/>
  <c r="I2418" i="75"/>
  <c r="I2417" i="75"/>
  <c r="I2416" i="75"/>
  <c r="I2415" i="75"/>
  <c r="I2414" i="75"/>
  <c r="I2413" i="75"/>
  <c r="I2412" i="75"/>
  <c r="I2411" i="75"/>
  <c r="I2410" i="75"/>
  <c r="I2409" i="75"/>
  <c r="I2408" i="75"/>
  <c r="I2407" i="75"/>
  <c r="I2406" i="75"/>
  <c r="I2405" i="75"/>
  <c r="I2404" i="75"/>
  <c r="I2403" i="75"/>
  <c r="I2402" i="75"/>
  <c r="I2401" i="75"/>
  <c r="I2400" i="75"/>
  <c r="I2399" i="75"/>
  <c r="I2398" i="75"/>
  <c r="I2397" i="75"/>
  <c r="I2396" i="75"/>
  <c r="I2395" i="75"/>
  <c r="I2394" i="75"/>
  <c r="I2393" i="75"/>
  <c r="I2392" i="75"/>
  <c r="I2391" i="75"/>
  <c r="I2390" i="75"/>
  <c r="I2389" i="75"/>
  <c r="I2388" i="75"/>
  <c r="I2387" i="75"/>
  <c r="I2386" i="75"/>
  <c r="I2385" i="75"/>
  <c r="I2384" i="75"/>
  <c r="I2383" i="75"/>
  <c r="I2382" i="75"/>
  <c r="I2381" i="75"/>
  <c r="I2380" i="75"/>
  <c r="I2379" i="75"/>
  <c r="I2378" i="75"/>
  <c r="I2377" i="75"/>
  <c r="I2376" i="75"/>
  <c r="I2375" i="75"/>
  <c r="I2374" i="75"/>
  <c r="I2373" i="75"/>
  <c r="I2372" i="75"/>
  <c r="I2371" i="75"/>
  <c r="I2370" i="75"/>
  <c r="I2369" i="75"/>
  <c r="I2368" i="75"/>
  <c r="I2367" i="75"/>
  <c r="I2366" i="75"/>
  <c r="I2365" i="75"/>
  <c r="I2364" i="75"/>
  <c r="I2363" i="75"/>
  <c r="I2362" i="75"/>
  <c r="I2361" i="75"/>
  <c r="I2360" i="75"/>
  <c r="I2359" i="75"/>
  <c r="I2358" i="75"/>
  <c r="I2357" i="75"/>
  <c r="I2356" i="75"/>
  <c r="I2355" i="75"/>
  <c r="I2354" i="75"/>
  <c r="I2353" i="75"/>
  <c r="I2352" i="75"/>
  <c r="I2351" i="75"/>
  <c r="I2350" i="75"/>
  <c r="I2349" i="75"/>
  <c r="I2348" i="75"/>
  <c r="I2347" i="75"/>
  <c r="I2346" i="75"/>
  <c r="I2345" i="75"/>
  <c r="I2344" i="75"/>
  <c r="I2343" i="75"/>
  <c r="I2342" i="75"/>
  <c r="I2341" i="75"/>
  <c r="I2340" i="75"/>
  <c r="I2339" i="75"/>
  <c r="I2338" i="75"/>
  <c r="I2337" i="75"/>
  <c r="I2336" i="75"/>
  <c r="I2335" i="75"/>
  <c r="I2334" i="75"/>
  <c r="I2333" i="75"/>
  <c r="I2332" i="75"/>
  <c r="I2331" i="75"/>
  <c r="I2330" i="75"/>
  <c r="I2329" i="75"/>
  <c r="I2328" i="75"/>
  <c r="I2327" i="75"/>
  <c r="I2326" i="75"/>
  <c r="I2325" i="75"/>
  <c r="I2324" i="75"/>
  <c r="I2323" i="75"/>
  <c r="I2322" i="75"/>
  <c r="I2321" i="75"/>
  <c r="I2320" i="75"/>
  <c r="I2319" i="75"/>
  <c r="I2318" i="75"/>
  <c r="I2317" i="75"/>
  <c r="I2316" i="75"/>
  <c r="I2315" i="75"/>
  <c r="I2314" i="75"/>
  <c r="I2313" i="75"/>
  <c r="I2312" i="75"/>
  <c r="I2311" i="75"/>
  <c r="I2310" i="75"/>
  <c r="I2309" i="75"/>
  <c r="I2308" i="75"/>
  <c r="I2307" i="75"/>
  <c r="I2306" i="75"/>
  <c r="I2305" i="75"/>
  <c r="I2304" i="75"/>
  <c r="I2303" i="75"/>
  <c r="I2302" i="75"/>
  <c r="I2301" i="75"/>
  <c r="I2300" i="75"/>
  <c r="I2299" i="75"/>
  <c r="I2298" i="75"/>
  <c r="I2297" i="75"/>
  <c r="I2296" i="75"/>
  <c r="I2295" i="75"/>
  <c r="I2294" i="75"/>
  <c r="I2293" i="75"/>
  <c r="I2292" i="75"/>
  <c r="I2291" i="75"/>
  <c r="I2290" i="75"/>
  <c r="I2289" i="75"/>
  <c r="I2288" i="75"/>
  <c r="I2287" i="75"/>
  <c r="I2286" i="75"/>
  <c r="I2285" i="75"/>
  <c r="I2284" i="75"/>
  <c r="I2283" i="75"/>
  <c r="I2282" i="75"/>
  <c r="I2281" i="75"/>
  <c r="I2280" i="75"/>
  <c r="I2279" i="75"/>
  <c r="I2278" i="75"/>
  <c r="I2277" i="75"/>
  <c r="I2276" i="75"/>
  <c r="I2275" i="75"/>
  <c r="I2274" i="75"/>
  <c r="I2273" i="75"/>
  <c r="I2272" i="75"/>
  <c r="I2271" i="75"/>
  <c r="I2270" i="75"/>
  <c r="I2269" i="75"/>
  <c r="I2268" i="75"/>
  <c r="I2267" i="75"/>
  <c r="I2266" i="75"/>
  <c r="I2265" i="75"/>
  <c r="I2264" i="75"/>
  <c r="I2263" i="75"/>
  <c r="I2262" i="75"/>
  <c r="I2261" i="75"/>
  <c r="I2260" i="75"/>
  <c r="I2259" i="75"/>
  <c r="I2258" i="75"/>
  <c r="I2257" i="75"/>
  <c r="I2256" i="75"/>
  <c r="I2255" i="75"/>
  <c r="I2254" i="75"/>
  <c r="I2253" i="75"/>
  <c r="I2252" i="75"/>
  <c r="I2251" i="75"/>
  <c r="I2250" i="75"/>
  <c r="I2249" i="75"/>
  <c r="I2248" i="75"/>
  <c r="I2247" i="75"/>
  <c r="I2246" i="75"/>
  <c r="I2245" i="75"/>
  <c r="I2244" i="75"/>
  <c r="I2243" i="75"/>
  <c r="I2242" i="75"/>
  <c r="I2241" i="75"/>
  <c r="I2240" i="75"/>
  <c r="I2239" i="75"/>
  <c r="I2238" i="75"/>
  <c r="I2237" i="75"/>
  <c r="I2236" i="75"/>
  <c r="I2235" i="75"/>
  <c r="I2234" i="75"/>
  <c r="I2233" i="75"/>
  <c r="I2232" i="75"/>
  <c r="I2231" i="75"/>
  <c r="I2230" i="75"/>
  <c r="I2229" i="75"/>
  <c r="I2228" i="75"/>
  <c r="I2227" i="75"/>
  <c r="I2226" i="75"/>
  <c r="I2225" i="75"/>
  <c r="I2224" i="75"/>
  <c r="I2223" i="75"/>
  <c r="I2222" i="75"/>
  <c r="I2221" i="75"/>
  <c r="I2220" i="75"/>
  <c r="I2219" i="75"/>
  <c r="I2218" i="75"/>
  <c r="I2217" i="75"/>
  <c r="I2216" i="75"/>
  <c r="I2215" i="75"/>
  <c r="I2214" i="75"/>
  <c r="I2213" i="75"/>
  <c r="I2212" i="75"/>
  <c r="I2211" i="75"/>
  <c r="I2210" i="75"/>
  <c r="I2209" i="75"/>
  <c r="I2208" i="75"/>
  <c r="I2207" i="75"/>
  <c r="I2206" i="75"/>
  <c r="I2205" i="75"/>
  <c r="I2204" i="75"/>
  <c r="I2203" i="75"/>
  <c r="I2202" i="75"/>
  <c r="I2201" i="75"/>
  <c r="I2200" i="75"/>
  <c r="I2199" i="75"/>
  <c r="I2198" i="75"/>
  <c r="I2197" i="75"/>
  <c r="I2196" i="75"/>
  <c r="I2195" i="75"/>
  <c r="I2194" i="75"/>
  <c r="I2193" i="75"/>
  <c r="I2192" i="75"/>
  <c r="I2191" i="75"/>
  <c r="I2190" i="75"/>
  <c r="I2189" i="75"/>
  <c r="I2188" i="75"/>
  <c r="I2187" i="75"/>
  <c r="I2186" i="75"/>
  <c r="I2185" i="75"/>
  <c r="I2184" i="75"/>
  <c r="I2183" i="75"/>
  <c r="I2182" i="75"/>
  <c r="I2181" i="75"/>
  <c r="I2180" i="75"/>
  <c r="I2179" i="75"/>
  <c r="I2178" i="75"/>
  <c r="I2177" i="75"/>
  <c r="I2176" i="75"/>
  <c r="I2175" i="75"/>
  <c r="I2174" i="75"/>
  <c r="I2173" i="75"/>
  <c r="I2172" i="75"/>
  <c r="I2171" i="75"/>
  <c r="I2170" i="75"/>
  <c r="I2169" i="75"/>
  <c r="I2168" i="75"/>
  <c r="I2167" i="75"/>
  <c r="I2166" i="75"/>
  <c r="I2165" i="75"/>
  <c r="I2164" i="75"/>
  <c r="I2163" i="75"/>
  <c r="I2162" i="75"/>
  <c r="I2161" i="75"/>
  <c r="I2160" i="75"/>
  <c r="I2159" i="75"/>
  <c r="I2158" i="75"/>
  <c r="I2157" i="75"/>
  <c r="I2156" i="75"/>
  <c r="I2155" i="75"/>
  <c r="I2154" i="75"/>
  <c r="I2153" i="75"/>
  <c r="I2152" i="75"/>
  <c r="I2151" i="75"/>
  <c r="I2150" i="75"/>
  <c r="I2149" i="75"/>
  <c r="I2148" i="75"/>
  <c r="I2147" i="75"/>
  <c r="I2146" i="75"/>
  <c r="I2145" i="75"/>
  <c r="I2144" i="75"/>
  <c r="I2143" i="75"/>
  <c r="I2142" i="75"/>
  <c r="I2141" i="75"/>
  <c r="I2140" i="75"/>
  <c r="I2139" i="75"/>
  <c r="I2138" i="75"/>
  <c r="I2137" i="75"/>
  <c r="I2136" i="75"/>
  <c r="I2135" i="75"/>
  <c r="I2134" i="75"/>
  <c r="I2133" i="75"/>
  <c r="I2132" i="75"/>
  <c r="I2131" i="75"/>
  <c r="I2130" i="75"/>
  <c r="I2129" i="75"/>
  <c r="I2128" i="75"/>
  <c r="I2127" i="75"/>
  <c r="I2126" i="75"/>
  <c r="I2125" i="75"/>
  <c r="I2124" i="75"/>
  <c r="I2123" i="75"/>
  <c r="I2122" i="75"/>
  <c r="I2121" i="75"/>
  <c r="I2120" i="75"/>
  <c r="I2119" i="75"/>
  <c r="I2118" i="75"/>
  <c r="I2117" i="75"/>
  <c r="I2116" i="75"/>
  <c r="I2115" i="75"/>
  <c r="I2114" i="75"/>
  <c r="I2113" i="75"/>
  <c r="I2112" i="75"/>
  <c r="I2111" i="75"/>
  <c r="I2110" i="75"/>
  <c r="I2109" i="75"/>
  <c r="I2108" i="75"/>
  <c r="I2107" i="75"/>
  <c r="I2106" i="75"/>
  <c r="I2105" i="75"/>
  <c r="I2104" i="75"/>
  <c r="I2103" i="75"/>
  <c r="I2102" i="75"/>
  <c r="I2101" i="75"/>
  <c r="I2100" i="75"/>
  <c r="I2099" i="75"/>
  <c r="I2098" i="75"/>
  <c r="I2097" i="75"/>
  <c r="I2096" i="75"/>
  <c r="I2095" i="75"/>
  <c r="I2094" i="75"/>
  <c r="I2093" i="75"/>
  <c r="I2092" i="75"/>
  <c r="I2091" i="75"/>
  <c r="I2090" i="75"/>
  <c r="I2089" i="75"/>
  <c r="I2088" i="75"/>
  <c r="I2087" i="75"/>
  <c r="I2086" i="75"/>
  <c r="I2085" i="75"/>
  <c r="I2084" i="75"/>
  <c r="I2083" i="75"/>
  <c r="I2082" i="75"/>
  <c r="I2081" i="75"/>
  <c r="I2080" i="75"/>
  <c r="I2079" i="75"/>
  <c r="I2078" i="75"/>
  <c r="I2077" i="75"/>
  <c r="I2076" i="75"/>
  <c r="I2075" i="75"/>
  <c r="I2074" i="75"/>
  <c r="I2073" i="75"/>
  <c r="I2072" i="75"/>
  <c r="I2071" i="75"/>
  <c r="I2070" i="75"/>
  <c r="I2069" i="75"/>
  <c r="I2068" i="75"/>
  <c r="I2067" i="75"/>
  <c r="I2066" i="75"/>
  <c r="I2065" i="75"/>
  <c r="I2064" i="75"/>
  <c r="I2063" i="75"/>
  <c r="I2062" i="75"/>
  <c r="I2061" i="75"/>
  <c r="I2060" i="75"/>
  <c r="I2059" i="75"/>
  <c r="I2058" i="75"/>
  <c r="I2057" i="75"/>
  <c r="I2056" i="75"/>
  <c r="I2055" i="75"/>
  <c r="I2054" i="75"/>
  <c r="I2053" i="75"/>
  <c r="I2052" i="75"/>
  <c r="I2051" i="75"/>
  <c r="I2050" i="75"/>
  <c r="I2049" i="75"/>
  <c r="I2048" i="75"/>
  <c r="I2047" i="75"/>
  <c r="I2046" i="75"/>
  <c r="I2045" i="75"/>
  <c r="I2044" i="75"/>
  <c r="I2043" i="75"/>
  <c r="I2042" i="75"/>
  <c r="I2041" i="75"/>
  <c r="I2040" i="75"/>
  <c r="I2039" i="75"/>
  <c r="I2038" i="75"/>
  <c r="I2037" i="75"/>
  <c r="I2036" i="75"/>
  <c r="I2035" i="75"/>
  <c r="I2034" i="75"/>
  <c r="I2033" i="75"/>
  <c r="I2032" i="75"/>
  <c r="I2031" i="75"/>
  <c r="I2030" i="75"/>
  <c r="I2029" i="75"/>
  <c r="I2028" i="75"/>
  <c r="I2027" i="75"/>
  <c r="I2026" i="75"/>
  <c r="I2025" i="75"/>
  <c r="I2024" i="75"/>
  <c r="I2023" i="75"/>
  <c r="I2022" i="75"/>
  <c r="I2021" i="75"/>
  <c r="I2020" i="75"/>
  <c r="I2019" i="75"/>
  <c r="I2018" i="75"/>
  <c r="I2017" i="75"/>
  <c r="I2016" i="75"/>
  <c r="I2015" i="75"/>
  <c r="I2014" i="75"/>
  <c r="I2013" i="75"/>
  <c r="I2012" i="75"/>
  <c r="I2011" i="75"/>
  <c r="I2010" i="75"/>
  <c r="I2009" i="75"/>
  <c r="I2008" i="75"/>
  <c r="I2007" i="75"/>
  <c r="I2006" i="75"/>
  <c r="I2005" i="75"/>
  <c r="I2004" i="75"/>
  <c r="I2003" i="75"/>
  <c r="I2002" i="75"/>
  <c r="I2001" i="75"/>
  <c r="I2000" i="75"/>
  <c r="I1999" i="75"/>
  <c r="I1998" i="75"/>
  <c r="I1997" i="75"/>
  <c r="I1996" i="75"/>
  <c r="I1995" i="75"/>
  <c r="I1994" i="75"/>
  <c r="I1993" i="75"/>
  <c r="I1992" i="75"/>
  <c r="I1991" i="75"/>
  <c r="I1990" i="75"/>
  <c r="I1989" i="75"/>
  <c r="I1988" i="75"/>
  <c r="I1987" i="75"/>
  <c r="I1986" i="75"/>
  <c r="I1985" i="75"/>
  <c r="I1984" i="75"/>
  <c r="I1983" i="75"/>
  <c r="I1982" i="75"/>
  <c r="I1981" i="75"/>
  <c r="I1980" i="75"/>
  <c r="I1979" i="75"/>
  <c r="I1978" i="75"/>
  <c r="I1977" i="75"/>
  <c r="I1976" i="75"/>
  <c r="I1975" i="75"/>
  <c r="I1974" i="75"/>
  <c r="I1973" i="75"/>
  <c r="I1972" i="75"/>
  <c r="I1971" i="75"/>
  <c r="I1970" i="75"/>
  <c r="I1969" i="75"/>
  <c r="I1968" i="75"/>
  <c r="I1967" i="75"/>
  <c r="I1966" i="75"/>
  <c r="I1965" i="75"/>
  <c r="I1964" i="75"/>
  <c r="I1963" i="75"/>
  <c r="I1962" i="75"/>
  <c r="I1961" i="75"/>
  <c r="I1960" i="75"/>
  <c r="I1959" i="75"/>
  <c r="I1958" i="75"/>
  <c r="I1957" i="75"/>
  <c r="I1956" i="75"/>
  <c r="I1955" i="75"/>
  <c r="I1954" i="75"/>
  <c r="I1953" i="75"/>
  <c r="I1952" i="75"/>
  <c r="I1951" i="75"/>
  <c r="I1950" i="75"/>
  <c r="I1949" i="75"/>
  <c r="I1948" i="75"/>
  <c r="I1947" i="75"/>
  <c r="I1946" i="75"/>
  <c r="I1945" i="75"/>
  <c r="I1944" i="75"/>
  <c r="I1943" i="75"/>
  <c r="I1942" i="75"/>
  <c r="I1941" i="75"/>
  <c r="I1940" i="75"/>
  <c r="I1939" i="75"/>
  <c r="I1938" i="75"/>
  <c r="I1937" i="75"/>
  <c r="I1936" i="75"/>
  <c r="I1935" i="75"/>
  <c r="I1934" i="75"/>
  <c r="I1933" i="75"/>
  <c r="I1932" i="75"/>
  <c r="I1931" i="75"/>
  <c r="I1930" i="75"/>
  <c r="I1929" i="75"/>
  <c r="I1928" i="75"/>
  <c r="I1927" i="75"/>
  <c r="I1926" i="75"/>
  <c r="I1925" i="75"/>
  <c r="I1924" i="75"/>
  <c r="I1923" i="75"/>
  <c r="I1922" i="75"/>
  <c r="I1921" i="75"/>
  <c r="I1920" i="75"/>
  <c r="I1919" i="75"/>
  <c r="I1918" i="75"/>
  <c r="I1917" i="75"/>
  <c r="I1916" i="75"/>
  <c r="I1915" i="75"/>
  <c r="I1914" i="75"/>
  <c r="I1913" i="75"/>
  <c r="I1912" i="75"/>
  <c r="I1911" i="75"/>
  <c r="I1910" i="75"/>
  <c r="I1909" i="75"/>
  <c r="I1908" i="75"/>
  <c r="I1907" i="75"/>
  <c r="I1906" i="75"/>
  <c r="I1905" i="75"/>
  <c r="I1904" i="75"/>
  <c r="I1903" i="75"/>
  <c r="I1902" i="75"/>
  <c r="I1901" i="75"/>
  <c r="I1900" i="75"/>
  <c r="I1899" i="75"/>
  <c r="I1898" i="75"/>
  <c r="I1897" i="75"/>
  <c r="I1896" i="75"/>
  <c r="I1895" i="75"/>
  <c r="I1894" i="75"/>
  <c r="I1893" i="75"/>
  <c r="I1892" i="75"/>
  <c r="I1891" i="75"/>
  <c r="I1890" i="75"/>
  <c r="I1889" i="75"/>
  <c r="I1888" i="75"/>
  <c r="I1887" i="75"/>
  <c r="I1886" i="75"/>
  <c r="I1885" i="75"/>
  <c r="I1884" i="75"/>
  <c r="I1883" i="75"/>
  <c r="I1882" i="75"/>
  <c r="I1881" i="75"/>
  <c r="I1880" i="75"/>
  <c r="I1879" i="75"/>
  <c r="I1878" i="75"/>
  <c r="I1877" i="75"/>
  <c r="I1876" i="75"/>
  <c r="I1875" i="75"/>
  <c r="I1874" i="75"/>
  <c r="I1873" i="75"/>
  <c r="I1872" i="75"/>
  <c r="I1871" i="75"/>
  <c r="I1870" i="75"/>
  <c r="I1869" i="75"/>
  <c r="I1868" i="75"/>
  <c r="I1867" i="75"/>
  <c r="I1866" i="75"/>
  <c r="I1865" i="75"/>
  <c r="I1864" i="75"/>
  <c r="I1863" i="75"/>
  <c r="I1862" i="75"/>
  <c r="I1861" i="75"/>
  <c r="I1860" i="75"/>
  <c r="I1859" i="75"/>
  <c r="I1858" i="75"/>
  <c r="I1857" i="75"/>
  <c r="I1856" i="75"/>
  <c r="I1855" i="75"/>
  <c r="I1854" i="75"/>
  <c r="I1853" i="75"/>
  <c r="I1852" i="75"/>
  <c r="I1851" i="75"/>
  <c r="I1850" i="75"/>
  <c r="I1849" i="75"/>
  <c r="I1848" i="75"/>
  <c r="I1847" i="75"/>
  <c r="I1846" i="75"/>
  <c r="I1845" i="75"/>
  <c r="I1844" i="75"/>
  <c r="I1843" i="75"/>
  <c r="I1842" i="75"/>
  <c r="I1841" i="75"/>
  <c r="I1840" i="75"/>
  <c r="I1839" i="75"/>
  <c r="I1838" i="75"/>
  <c r="I1837" i="75"/>
  <c r="I1836" i="75"/>
  <c r="I1835" i="75"/>
  <c r="I1834" i="75"/>
  <c r="I1833" i="75"/>
  <c r="I1832" i="75"/>
  <c r="I1831" i="75"/>
  <c r="I1830" i="75"/>
  <c r="I1829" i="75"/>
  <c r="I1828" i="75"/>
  <c r="I1827" i="75"/>
  <c r="I1826" i="75"/>
  <c r="I1825" i="75"/>
  <c r="I1824" i="75"/>
  <c r="I1823" i="75"/>
  <c r="I1822" i="75"/>
  <c r="I1821" i="75"/>
  <c r="I1820" i="75"/>
  <c r="I1819" i="75"/>
  <c r="I1818" i="75"/>
  <c r="I1817" i="75"/>
  <c r="I1816" i="75"/>
  <c r="I1815" i="75"/>
  <c r="I1814" i="75"/>
  <c r="I1813" i="75"/>
  <c r="I1812" i="75"/>
  <c r="I1811" i="75"/>
  <c r="I1810" i="75"/>
  <c r="I1809" i="75"/>
  <c r="I1808" i="75"/>
  <c r="I1807" i="75"/>
  <c r="I1806" i="75"/>
  <c r="I1805" i="75"/>
  <c r="I1804" i="75"/>
  <c r="I1803" i="75"/>
  <c r="I1802" i="75"/>
  <c r="I1801" i="75"/>
  <c r="I1800" i="75"/>
  <c r="I1799" i="75"/>
  <c r="I1798" i="75"/>
  <c r="I1797" i="75"/>
  <c r="I1796" i="75"/>
  <c r="I1795" i="75"/>
  <c r="I1794" i="75"/>
  <c r="I1793" i="75"/>
  <c r="I1792" i="75"/>
  <c r="I1791" i="75"/>
  <c r="I1790" i="75"/>
  <c r="I1789" i="75"/>
  <c r="I1788" i="75"/>
  <c r="I1787" i="75"/>
  <c r="I1786" i="75"/>
  <c r="I1785" i="75"/>
  <c r="I1784" i="75"/>
  <c r="I1783" i="75"/>
  <c r="I1782" i="75"/>
  <c r="I1781" i="75"/>
  <c r="I1780" i="75"/>
  <c r="I1779" i="75"/>
  <c r="I1778" i="75"/>
  <c r="I1777" i="75"/>
  <c r="I1776" i="75"/>
  <c r="I1775" i="75"/>
  <c r="I1774" i="75"/>
  <c r="I1773" i="75"/>
  <c r="I1772" i="75"/>
  <c r="I1771" i="75"/>
  <c r="I1770" i="75"/>
  <c r="I1769" i="75"/>
  <c r="I1768" i="75"/>
  <c r="I1767" i="75"/>
  <c r="I1766" i="75"/>
  <c r="I1765" i="75"/>
  <c r="I1764" i="75"/>
  <c r="I1763" i="75"/>
  <c r="I1762" i="75"/>
  <c r="I1761" i="75"/>
  <c r="I1760" i="75"/>
  <c r="I1759" i="75"/>
  <c r="I1758" i="75"/>
  <c r="I1757" i="75"/>
  <c r="I1756" i="75"/>
  <c r="I1755" i="75"/>
  <c r="I1754" i="75"/>
  <c r="I1753" i="75"/>
  <c r="I1752" i="75"/>
  <c r="I1751" i="75"/>
  <c r="I1750" i="75"/>
  <c r="I1749" i="75"/>
  <c r="I1748" i="75"/>
  <c r="I1747" i="75"/>
  <c r="I1746" i="75"/>
  <c r="I1745" i="75"/>
  <c r="I1744" i="75"/>
  <c r="I1743" i="75"/>
  <c r="I1742" i="75"/>
  <c r="I1741" i="75"/>
  <c r="I1740" i="75"/>
  <c r="I1739" i="75"/>
  <c r="I1738" i="75"/>
  <c r="I1737" i="75"/>
  <c r="I1736" i="75"/>
  <c r="I1735" i="75"/>
  <c r="I1734" i="75"/>
  <c r="I1733" i="75"/>
  <c r="I1732" i="75"/>
  <c r="I1731" i="75"/>
  <c r="I1730" i="75"/>
  <c r="I1729" i="75"/>
  <c r="I1728" i="75"/>
  <c r="I1727" i="75"/>
  <c r="I1726" i="75"/>
  <c r="I1725" i="75"/>
  <c r="I1724" i="75"/>
  <c r="I1723" i="75"/>
  <c r="I1722" i="75"/>
  <c r="I1721" i="75"/>
  <c r="I1720" i="75"/>
  <c r="I1719" i="75"/>
  <c r="I1718" i="75"/>
  <c r="I1717" i="75"/>
  <c r="I1716" i="75"/>
  <c r="I1715" i="75"/>
  <c r="I1714" i="75"/>
  <c r="I1713" i="75"/>
  <c r="I1712" i="75"/>
  <c r="I1711" i="75"/>
  <c r="I1710" i="75"/>
  <c r="I1709" i="75"/>
  <c r="I1708" i="75"/>
  <c r="I1707" i="75"/>
  <c r="I1706" i="75"/>
  <c r="I1705" i="75"/>
  <c r="I1704" i="75"/>
  <c r="I1703" i="75"/>
  <c r="I1702" i="75"/>
  <c r="I1701" i="75"/>
  <c r="I1700" i="75"/>
  <c r="I1699" i="75"/>
  <c r="I1698" i="75"/>
  <c r="I1697" i="75"/>
  <c r="I1696" i="75"/>
  <c r="I1695" i="75"/>
  <c r="I1694" i="75"/>
  <c r="I1693" i="75"/>
  <c r="I1692" i="75"/>
  <c r="I1691" i="75"/>
  <c r="I1690" i="75"/>
  <c r="I1689" i="75"/>
  <c r="I1688" i="75"/>
  <c r="I1687" i="75"/>
  <c r="I1686" i="75"/>
  <c r="I1685" i="75"/>
  <c r="I1684" i="75"/>
  <c r="I1683" i="75"/>
  <c r="I1682" i="75"/>
  <c r="I1681" i="75"/>
  <c r="I1680" i="75"/>
  <c r="I1679" i="75"/>
  <c r="I1678" i="75"/>
  <c r="I1677" i="75"/>
  <c r="I1676" i="75"/>
  <c r="I1675" i="75"/>
  <c r="I1674" i="75"/>
  <c r="I1673" i="75"/>
  <c r="I1672" i="75"/>
  <c r="I1671" i="75"/>
  <c r="I1670" i="75"/>
  <c r="I1669" i="75"/>
  <c r="I1668" i="75"/>
  <c r="I1667" i="75"/>
  <c r="I1666" i="75"/>
  <c r="I1665" i="75"/>
  <c r="I1664" i="75"/>
  <c r="I1663" i="75"/>
  <c r="I1662" i="75"/>
  <c r="I1661" i="75"/>
  <c r="I1660" i="75"/>
  <c r="I1659" i="75"/>
  <c r="I1658" i="75"/>
  <c r="I1657" i="75"/>
  <c r="I1656" i="75"/>
  <c r="I1655" i="75"/>
  <c r="I1654" i="75"/>
  <c r="I1653" i="75"/>
  <c r="I1652" i="75"/>
  <c r="I1651" i="75"/>
  <c r="I1650" i="75"/>
  <c r="I1649" i="75"/>
  <c r="I1648" i="75"/>
  <c r="I1647" i="75"/>
  <c r="I1646" i="75"/>
  <c r="I1645" i="75"/>
  <c r="I1644" i="75"/>
  <c r="I1643" i="75"/>
  <c r="I1642" i="75"/>
  <c r="I1641" i="75"/>
  <c r="I1640" i="75"/>
  <c r="I1639" i="75"/>
  <c r="I1638" i="75"/>
  <c r="I1637" i="75"/>
  <c r="I1636" i="75"/>
  <c r="I1635" i="75"/>
  <c r="I1634" i="75"/>
  <c r="I1633" i="75"/>
  <c r="I1632" i="75"/>
  <c r="I1631" i="75"/>
  <c r="I1630" i="75"/>
  <c r="I1629" i="75"/>
  <c r="I1628" i="75"/>
  <c r="I1627" i="75"/>
  <c r="I1626" i="75"/>
  <c r="I1625" i="75"/>
  <c r="I1624" i="75"/>
  <c r="I1623" i="75"/>
  <c r="I1622" i="75"/>
  <c r="I1621" i="75"/>
  <c r="I1620" i="75"/>
  <c r="I1619" i="75"/>
  <c r="I1618" i="75"/>
  <c r="I1617" i="75"/>
  <c r="I1616" i="75"/>
  <c r="I1615" i="75"/>
  <c r="I1614" i="75"/>
  <c r="I1613" i="75"/>
  <c r="I1612" i="75"/>
  <c r="I1611" i="75"/>
  <c r="I1610" i="75"/>
  <c r="I1609" i="75"/>
  <c r="I1608" i="75"/>
  <c r="I1607" i="75"/>
  <c r="I1606" i="75"/>
  <c r="I1605" i="75"/>
  <c r="I1604" i="75"/>
  <c r="I1603" i="75"/>
  <c r="I1602" i="75"/>
  <c r="I1601" i="75"/>
  <c r="I1600" i="75"/>
  <c r="I1599" i="75"/>
  <c r="I1598" i="75"/>
  <c r="I1597" i="75"/>
  <c r="I1596" i="75"/>
  <c r="I1595" i="75"/>
  <c r="I1594" i="75"/>
  <c r="I1593" i="75"/>
  <c r="I1592" i="75"/>
  <c r="I1591" i="75"/>
  <c r="I1590" i="75"/>
  <c r="I1589" i="75"/>
  <c r="I1588" i="75"/>
  <c r="I1587" i="75"/>
  <c r="I1586" i="75"/>
  <c r="I1585" i="75"/>
  <c r="I1584" i="75"/>
  <c r="I1583" i="75"/>
  <c r="I1582" i="75"/>
  <c r="I1581" i="75"/>
  <c r="I1580" i="75"/>
  <c r="I1579" i="75"/>
  <c r="I1578" i="75"/>
  <c r="I1577" i="75"/>
  <c r="I1576" i="75"/>
  <c r="I1575" i="75"/>
  <c r="I1574" i="75"/>
  <c r="I1573" i="75"/>
  <c r="I1572" i="75"/>
  <c r="I1571" i="75"/>
  <c r="I1570" i="75"/>
  <c r="I1569" i="75"/>
  <c r="I1568" i="75"/>
  <c r="I1567" i="75"/>
  <c r="I1566" i="75"/>
  <c r="I1565" i="75"/>
  <c r="I1564" i="75"/>
  <c r="I1563" i="75"/>
  <c r="I1562" i="75"/>
  <c r="I1561" i="75"/>
  <c r="I1560" i="75"/>
  <c r="I1559" i="75"/>
  <c r="I1558" i="75"/>
  <c r="I1557" i="75"/>
  <c r="I1556" i="75"/>
  <c r="I1555" i="75"/>
  <c r="I1554" i="75"/>
  <c r="I1553" i="75"/>
  <c r="I1552" i="75"/>
  <c r="I1551" i="75"/>
  <c r="I1550" i="75"/>
  <c r="I1549" i="75"/>
  <c r="I1548" i="75"/>
  <c r="I1547" i="75"/>
  <c r="I1546" i="75"/>
  <c r="I1545" i="75"/>
  <c r="I1544" i="75"/>
  <c r="I1543" i="75"/>
  <c r="I1542" i="75"/>
  <c r="I1541" i="75"/>
  <c r="I1540" i="75"/>
  <c r="I1539" i="75"/>
  <c r="I1538" i="75"/>
  <c r="I1537" i="75"/>
  <c r="I1536" i="75"/>
  <c r="I1535" i="75"/>
  <c r="I1534" i="75"/>
  <c r="I1533" i="75"/>
  <c r="I1532" i="75"/>
  <c r="I1531" i="75"/>
  <c r="I1530" i="75"/>
  <c r="I1529" i="75"/>
  <c r="I1528" i="75"/>
  <c r="I1527" i="75"/>
  <c r="I1526" i="75"/>
  <c r="I1525" i="75"/>
  <c r="I1524" i="75"/>
  <c r="I1523" i="75"/>
  <c r="I1522" i="75"/>
  <c r="I1521" i="75"/>
  <c r="I1520" i="75"/>
  <c r="I1519" i="75"/>
  <c r="I1518" i="75"/>
  <c r="I1517" i="75"/>
  <c r="I1516" i="75"/>
  <c r="I1515" i="75"/>
  <c r="I1514" i="75"/>
  <c r="I1513" i="75"/>
  <c r="I1512" i="75"/>
  <c r="I1511" i="75"/>
  <c r="I1510" i="75"/>
  <c r="I1509" i="75"/>
  <c r="I1508" i="75"/>
  <c r="I1507" i="75"/>
  <c r="I1506" i="75"/>
  <c r="I1505" i="75"/>
  <c r="I1504" i="75"/>
  <c r="I1503" i="75"/>
  <c r="I1502" i="75"/>
  <c r="I1501" i="75"/>
  <c r="I1500" i="75"/>
  <c r="I1499" i="75"/>
  <c r="I1498" i="75"/>
  <c r="I1497" i="75"/>
  <c r="I1496" i="75"/>
  <c r="I1495" i="75"/>
  <c r="I1494" i="75"/>
  <c r="I1493" i="75"/>
  <c r="I1492" i="75"/>
  <c r="I1491" i="75"/>
  <c r="I1490" i="75"/>
  <c r="I1489" i="75"/>
  <c r="I1488" i="75"/>
  <c r="I1487" i="75"/>
  <c r="I1486" i="75"/>
  <c r="I1485" i="75"/>
  <c r="I1484" i="75"/>
  <c r="I1483" i="75"/>
  <c r="I1482" i="75"/>
  <c r="I1481" i="75"/>
  <c r="I1480" i="75"/>
  <c r="I1479" i="75"/>
  <c r="I1478" i="75"/>
  <c r="I1477" i="75"/>
  <c r="I1476" i="75"/>
  <c r="I1475" i="75"/>
  <c r="I1474" i="75"/>
  <c r="I1473" i="75"/>
  <c r="I1472" i="75"/>
  <c r="I1471" i="75"/>
  <c r="I1470" i="75"/>
  <c r="I1469" i="75"/>
  <c r="I1468" i="75"/>
  <c r="I1467" i="75"/>
  <c r="I1466" i="75"/>
  <c r="I1465" i="75"/>
  <c r="I1464" i="75"/>
  <c r="I1463" i="75"/>
  <c r="I1462" i="75"/>
  <c r="I1461" i="75"/>
  <c r="I1460" i="75"/>
  <c r="I1459" i="75"/>
  <c r="I1458" i="75"/>
  <c r="I1457" i="75"/>
  <c r="I1456" i="75"/>
  <c r="I1455" i="75"/>
  <c r="I1454" i="75"/>
  <c r="I1453" i="75"/>
  <c r="I1452" i="75"/>
  <c r="I1451" i="75"/>
  <c r="I1450" i="75"/>
  <c r="I1449" i="75"/>
  <c r="I1448" i="75"/>
  <c r="I1447" i="75"/>
  <c r="I1446" i="75"/>
  <c r="I1445" i="75"/>
  <c r="I1444" i="75"/>
  <c r="I1443" i="75"/>
  <c r="I1442" i="75"/>
  <c r="I1441" i="75"/>
  <c r="I1440" i="75"/>
  <c r="I1439" i="75"/>
  <c r="I1438" i="75"/>
  <c r="I1437" i="75"/>
  <c r="I1436" i="75"/>
  <c r="I1435" i="75"/>
  <c r="I1434" i="75"/>
  <c r="I1433" i="75"/>
  <c r="I1432" i="75"/>
  <c r="I1431" i="75"/>
  <c r="I1430" i="75"/>
  <c r="I1429" i="75"/>
  <c r="I1428" i="75"/>
  <c r="I1427" i="75"/>
  <c r="I1426" i="75"/>
  <c r="I1425" i="75"/>
  <c r="I1424" i="75"/>
  <c r="I1423" i="75"/>
  <c r="I1422" i="75"/>
  <c r="I1421" i="75"/>
  <c r="I1420" i="75"/>
  <c r="I1419" i="75"/>
  <c r="I1418" i="75"/>
  <c r="I1417" i="75"/>
  <c r="I1416" i="75"/>
  <c r="I1415" i="75"/>
  <c r="I1414" i="75"/>
  <c r="I1413" i="75"/>
  <c r="I1412" i="75"/>
  <c r="I1411" i="75"/>
  <c r="I1410" i="75"/>
  <c r="I1409" i="75"/>
  <c r="I1408" i="75"/>
  <c r="I1407" i="75"/>
  <c r="I1406" i="75"/>
  <c r="I1405" i="75"/>
  <c r="I1404" i="75"/>
  <c r="I1403" i="75"/>
  <c r="I1402" i="75"/>
  <c r="I1401" i="75"/>
  <c r="I1400" i="75"/>
  <c r="I1399" i="75"/>
  <c r="I1398" i="75"/>
  <c r="I1397" i="75"/>
  <c r="I1396" i="75"/>
  <c r="I1395" i="75"/>
  <c r="I1394" i="75"/>
  <c r="I1393" i="75"/>
  <c r="I1392" i="75"/>
  <c r="I1391" i="75"/>
  <c r="I1390" i="75"/>
  <c r="I1389" i="75"/>
  <c r="I1388" i="75"/>
  <c r="I1387" i="75"/>
  <c r="I1386" i="75"/>
  <c r="I1385" i="75"/>
  <c r="I1384" i="75"/>
  <c r="I1383" i="75"/>
  <c r="I1382" i="75"/>
  <c r="I1381" i="75"/>
  <c r="I1380" i="75"/>
  <c r="I1379" i="75"/>
  <c r="I1378" i="75"/>
  <c r="I1377" i="75"/>
  <c r="I1376" i="75"/>
  <c r="I1375" i="75"/>
  <c r="I1374" i="75"/>
  <c r="I1373" i="75"/>
  <c r="I1372" i="75"/>
  <c r="I1371" i="75"/>
  <c r="I1370" i="75"/>
  <c r="I1369" i="75"/>
  <c r="I1368" i="75"/>
  <c r="I1367" i="75"/>
  <c r="I1366" i="75"/>
  <c r="I1365" i="75"/>
  <c r="I1364" i="75"/>
  <c r="I1363" i="75"/>
  <c r="I1362" i="75"/>
  <c r="I1361" i="75"/>
  <c r="I1360" i="75"/>
  <c r="I1359" i="75"/>
  <c r="I1358" i="75"/>
  <c r="I1357" i="75"/>
  <c r="I1356" i="75"/>
  <c r="I1355" i="75"/>
  <c r="I1354" i="75"/>
  <c r="I1353" i="75"/>
  <c r="I1352" i="75"/>
  <c r="I1351" i="75"/>
  <c r="I1350" i="75"/>
  <c r="I1349" i="75"/>
  <c r="I1348" i="75"/>
  <c r="I1347" i="75"/>
  <c r="I1346" i="75"/>
  <c r="I1345" i="75"/>
  <c r="I1344" i="75"/>
  <c r="I1343" i="75"/>
  <c r="I1342" i="75"/>
  <c r="I1341" i="75"/>
  <c r="I1340" i="75"/>
  <c r="I1339" i="75"/>
  <c r="I1338" i="75"/>
  <c r="I1337" i="75"/>
  <c r="I1336" i="75"/>
  <c r="I1335" i="75"/>
  <c r="I1334" i="75"/>
  <c r="I1333" i="75"/>
  <c r="I1332" i="75"/>
  <c r="I1331" i="75"/>
  <c r="I1330" i="75"/>
  <c r="I1329" i="75"/>
  <c r="I1328" i="75"/>
  <c r="I1327" i="75"/>
  <c r="I1326" i="75"/>
  <c r="I1325" i="75"/>
  <c r="I1324" i="75"/>
  <c r="I1323" i="75"/>
  <c r="I1322" i="75"/>
  <c r="I1321" i="75"/>
  <c r="I1320" i="75"/>
  <c r="I1319" i="75"/>
  <c r="I1318" i="75"/>
  <c r="I1317" i="75"/>
  <c r="I1316" i="75"/>
  <c r="I1315" i="75"/>
  <c r="I1314" i="75"/>
  <c r="I1313" i="75"/>
  <c r="I1312" i="75"/>
  <c r="I1311" i="75"/>
  <c r="I1310" i="75"/>
  <c r="I1309" i="75"/>
  <c r="I1308" i="75"/>
  <c r="I1307" i="75"/>
  <c r="I1306" i="75"/>
  <c r="I1305" i="75"/>
  <c r="I1304" i="75"/>
  <c r="I1303" i="75"/>
  <c r="I1302" i="75"/>
  <c r="I1301" i="75"/>
  <c r="I1300" i="75"/>
  <c r="I1299" i="75"/>
  <c r="I1298" i="75"/>
  <c r="I1297" i="75"/>
  <c r="I1296" i="75"/>
  <c r="I1295" i="75"/>
  <c r="I1294" i="75"/>
  <c r="I1293" i="75"/>
  <c r="I1292" i="75"/>
  <c r="I1291" i="75"/>
  <c r="I1290" i="75"/>
  <c r="I1289" i="75"/>
  <c r="I1288" i="75"/>
  <c r="I1287" i="75"/>
  <c r="I1286" i="75"/>
  <c r="I1285" i="75"/>
  <c r="I1284" i="75"/>
  <c r="I1283" i="75"/>
  <c r="I1282" i="75"/>
  <c r="I1281" i="75"/>
  <c r="I1280" i="75"/>
  <c r="I1279" i="75"/>
  <c r="I1278" i="75"/>
  <c r="I1277" i="75"/>
  <c r="I1276" i="75"/>
  <c r="I1275" i="75"/>
  <c r="I1274" i="75"/>
  <c r="I1273" i="75"/>
  <c r="I1272" i="75"/>
  <c r="I1271" i="75"/>
  <c r="I1270" i="75"/>
  <c r="I1269" i="75"/>
  <c r="I1268" i="75"/>
  <c r="I1267" i="75"/>
  <c r="I1266" i="75"/>
  <c r="I1265" i="75"/>
  <c r="I1264" i="75"/>
  <c r="I1263" i="75"/>
  <c r="I1262" i="75"/>
  <c r="I1261" i="75"/>
  <c r="I1260" i="75"/>
  <c r="I1259" i="75"/>
  <c r="I1258" i="75"/>
  <c r="I1257" i="75"/>
  <c r="I1256" i="75"/>
  <c r="I1255" i="75"/>
  <c r="I1254" i="75"/>
  <c r="I1253" i="75"/>
  <c r="I1252" i="75"/>
  <c r="I1251" i="75"/>
  <c r="I1250" i="75"/>
  <c r="I1249" i="75"/>
  <c r="I1248" i="75"/>
  <c r="I1247" i="75"/>
  <c r="I1246" i="75"/>
  <c r="I1245" i="75"/>
  <c r="I1244" i="75"/>
  <c r="I1243" i="75"/>
  <c r="I1242" i="75"/>
  <c r="I1241" i="75"/>
  <c r="I1240" i="75"/>
  <c r="I1239" i="75"/>
  <c r="I1238" i="75"/>
  <c r="I1237" i="75"/>
  <c r="I1236" i="75"/>
  <c r="I1235" i="75"/>
  <c r="I1234" i="75"/>
  <c r="I1233" i="75"/>
  <c r="I1232" i="75"/>
  <c r="I1231" i="75"/>
  <c r="I1230" i="75"/>
  <c r="I1229" i="75"/>
  <c r="I1228" i="75"/>
  <c r="I1227" i="75"/>
  <c r="I1226" i="75"/>
  <c r="I1225" i="75"/>
  <c r="I1224" i="75"/>
  <c r="I1223" i="75"/>
  <c r="I1222" i="75"/>
  <c r="I1221" i="75"/>
  <c r="I1220" i="75"/>
  <c r="I1219" i="75"/>
  <c r="I1218" i="75"/>
  <c r="I1217" i="75"/>
  <c r="I1216" i="75"/>
  <c r="I1215" i="75"/>
  <c r="I1214" i="75"/>
  <c r="I1213" i="75"/>
  <c r="I1212" i="75"/>
  <c r="I1211" i="75"/>
  <c r="I1210" i="75"/>
  <c r="I1209" i="75"/>
  <c r="I1208" i="75"/>
  <c r="I1207" i="75"/>
  <c r="I1206" i="75"/>
  <c r="I1205" i="75"/>
  <c r="I1204" i="75"/>
  <c r="I1203" i="75"/>
  <c r="I1202" i="75"/>
  <c r="I1201" i="75"/>
  <c r="I1200" i="75"/>
  <c r="I1199" i="75"/>
  <c r="I1198" i="75"/>
  <c r="I1197" i="75"/>
  <c r="I1196" i="75"/>
  <c r="I1195" i="75"/>
  <c r="I1194" i="75"/>
  <c r="I1193" i="75"/>
  <c r="I1192" i="75"/>
  <c r="I1191" i="75"/>
  <c r="I1190" i="75"/>
  <c r="I1189" i="75"/>
  <c r="I1188" i="75"/>
  <c r="I1187" i="75"/>
  <c r="I1186" i="75"/>
  <c r="I1185" i="75"/>
  <c r="I1184" i="75"/>
  <c r="I1183" i="75"/>
  <c r="I1182" i="75"/>
  <c r="I1181" i="75"/>
  <c r="I1180" i="75"/>
  <c r="I1179" i="75"/>
  <c r="I1178" i="75"/>
  <c r="I1177" i="75"/>
  <c r="I1176" i="75"/>
  <c r="I1175" i="75"/>
  <c r="I1174" i="75"/>
  <c r="I1173" i="75"/>
  <c r="I1172" i="75"/>
  <c r="I1171" i="75"/>
  <c r="I1170" i="75"/>
  <c r="I1169" i="75"/>
  <c r="I1168" i="75"/>
  <c r="I1167" i="75"/>
  <c r="I1166" i="75"/>
  <c r="I1165" i="75"/>
  <c r="I1164" i="75"/>
  <c r="I1163" i="75"/>
  <c r="I1162" i="75"/>
  <c r="I1161" i="75"/>
  <c r="I1160" i="75"/>
  <c r="I1159" i="75"/>
  <c r="I1158" i="75"/>
  <c r="I1157" i="75"/>
  <c r="I1156" i="75"/>
  <c r="I1155" i="75"/>
  <c r="I1154" i="75"/>
  <c r="I1153" i="75"/>
  <c r="I1152" i="75"/>
  <c r="I1151" i="75"/>
  <c r="I1150" i="75"/>
  <c r="I1149" i="75"/>
  <c r="I1148" i="75"/>
  <c r="I1147" i="75"/>
  <c r="I1146" i="75"/>
  <c r="I1145" i="75"/>
  <c r="I1144" i="75"/>
  <c r="I1143" i="75"/>
  <c r="I1142" i="75"/>
  <c r="I1141" i="75"/>
  <c r="I1140" i="75"/>
  <c r="I1139" i="75"/>
  <c r="I1138" i="75"/>
  <c r="I1137" i="75"/>
  <c r="I1136" i="75"/>
  <c r="I1135" i="75"/>
  <c r="I1134" i="75"/>
  <c r="I1133" i="75"/>
  <c r="I1132" i="75"/>
  <c r="I1131" i="75"/>
  <c r="I1130" i="75"/>
  <c r="I1129" i="75"/>
  <c r="I1128" i="75"/>
  <c r="I1127" i="75"/>
  <c r="I1126" i="75"/>
  <c r="I1125" i="75"/>
  <c r="I1124" i="75"/>
  <c r="I1123" i="75"/>
  <c r="I1122" i="75"/>
  <c r="I1121" i="75"/>
  <c r="I1120" i="75"/>
  <c r="I1119" i="75"/>
  <c r="I1118" i="75"/>
  <c r="I1117" i="75"/>
  <c r="I1116" i="75"/>
  <c r="I1115" i="75"/>
  <c r="I1114" i="75"/>
  <c r="I1113" i="75"/>
  <c r="I1112" i="75"/>
  <c r="I1111" i="75"/>
  <c r="I1110" i="75"/>
  <c r="I1109" i="75"/>
  <c r="I1108" i="75"/>
  <c r="I1107" i="75"/>
  <c r="I1106" i="75"/>
  <c r="I1105" i="75"/>
  <c r="I1104" i="75"/>
  <c r="I1103" i="75"/>
  <c r="I1102" i="75"/>
  <c r="I1101" i="75"/>
  <c r="I1100" i="75"/>
  <c r="I1099" i="75"/>
  <c r="I1098" i="75"/>
  <c r="I1097" i="75"/>
  <c r="I1096" i="75"/>
  <c r="I1095" i="75"/>
  <c r="I1094" i="75"/>
  <c r="I1093" i="75"/>
  <c r="I1092" i="75"/>
  <c r="I1091" i="75"/>
  <c r="I1090" i="75"/>
  <c r="I1089" i="75"/>
  <c r="I1088" i="75"/>
  <c r="I1087" i="75"/>
  <c r="I1086" i="75"/>
  <c r="I1085" i="75"/>
  <c r="I1084" i="75"/>
  <c r="I1083" i="75"/>
  <c r="I1082" i="75"/>
  <c r="I1081" i="75"/>
  <c r="I1080" i="75"/>
  <c r="I1079" i="75"/>
  <c r="I1078" i="75"/>
  <c r="I1077" i="75"/>
  <c r="I1076" i="75"/>
  <c r="I1075" i="75"/>
  <c r="I1074" i="75"/>
  <c r="I1073" i="75"/>
  <c r="I1072" i="75"/>
  <c r="I1071" i="75"/>
  <c r="I1070" i="75"/>
  <c r="I1069" i="75"/>
  <c r="I1068" i="75"/>
  <c r="I1067" i="75"/>
  <c r="I1066" i="75"/>
  <c r="I1065" i="75"/>
  <c r="I1064" i="75"/>
  <c r="I1063" i="75"/>
  <c r="I1062" i="75"/>
  <c r="I1061" i="75"/>
  <c r="I1060" i="75"/>
  <c r="I1059" i="75"/>
  <c r="I1058" i="75"/>
  <c r="I1057" i="75"/>
  <c r="I1056" i="75"/>
  <c r="I1055" i="75"/>
  <c r="I1054" i="75"/>
  <c r="I1053" i="75"/>
  <c r="I1052" i="75"/>
  <c r="I1051" i="75"/>
  <c r="I1050" i="75"/>
  <c r="I1049" i="75"/>
  <c r="I1048" i="75"/>
  <c r="I1047" i="75"/>
  <c r="I1046" i="75"/>
  <c r="I1045" i="75"/>
  <c r="I1044" i="75"/>
  <c r="I1043" i="75"/>
  <c r="I1042" i="75"/>
  <c r="I1041" i="75"/>
  <c r="I1040" i="75"/>
  <c r="I1039" i="75"/>
  <c r="I1038" i="75"/>
  <c r="I1037" i="75"/>
  <c r="I1036" i="75"/>
  <c r="I1035" i="75"/>
  <c r="I1034" i="75"/>
  <c r="I1033" i="75"/>
  <c r="I1032" i="75"/>
  <c r="I1031" i="75"/>
  <c r="I1030" i="75"/>
  <c r="I1029" i="75"/>
  <c r="I1028" i="75"/>
  <c r="I1027" i="75"/>
  <c r="I1026" i="75"/>
  <c r="I1025" i="75"/>
  <c r="I1024" i="75"/>
  <c r="I1023" i="75"/>
  <c r="I1022" i="75"/>
  <c r="I1021" i="75"/>
  <c r="I1020" i="75"/>
  <c r="I1019" i="75"/>
  <c r="I1018" i="75"/>
  <c r="I1017" i="75"/>
  <c r="I1016" i="75"/>
  <c r="I1015" i="75"/>
  <c r="I1014" i="75"/>
  <c r="I1013" i="75"/>
  <c r="I1012" i="75"/>
  <c r="I1011" i="75"/>
  <c r="I1010" i="75"/>
  <c r="I1009" i="75"/>
  <c r="I1008" i="75"/>
  <c r="I1007" i="75"/>
  <c r="I1006" i="75"/>
  <c r="I1005" i="75"/>
  <c r="I1004" i="75"/>
  <c r="I1003" i="75"/>
  <c r="I1002" i="75"/>
  <c r="I1001" i="75"/>
  <c r="I1000" i="75"/>
  <c r="I999" i="75"/>
  <c r="I998" i="75"/>
  <c r="I997" i="75"/>
  <c r="I996" i="75"/>
  <c r="I995" i="75"/>
  <c r="I994" i="75"/>
  <c r="I993" i="75"/>
  <c r="I992" i="75"/>
  <c r="I991" i="75"/>
  <c r="I990" i="75"/>
  <c r="I989" i="75"/>
  <c r="I988" i="75"/>
  <c r="I987" i="75"/>
  <c r="I986" i="75"/>
  <c r="I985" i="75"/>
  <c r="I984" i="75"/>
  <c r="I983" i="75"/>
  <c r="I982" i="75"/>
  <c r="I981" i="75"/>
  <c r="I980" i="75"/>
  <c r="I979" i="75"/>
  <c r="I978" i="75"/>
  <c r="I977" i="75"/>
  <c r="I976" i="75"/>
  <c r="I975" i="75"/>
  <c r="I974" i="75"/>
  <c r="I973" i="75"/>
  <c r="I972" i="75"/>
  <c r="I971" i="75"/>
  <c r="I970" i="75"/>
  <c r="I969" i="75"/>
  <c r="I968" i="75"/>
  <c r="I967" i="75"/>
  <c r="I966" i="75"/>
  <c r="I965" i="75"/>
  <c r="I964" i="75"/>
  <c r="I963" i="75"/>
  <c r="I962" i="75"/>
  <c r="I961" i="75"/>
  <c r="I960" i="75"/>
  <c r="I959" i="75"/>
  <c r="I958" i="75"/>
  <c r="I957" i="75"/>
  <c r="I956" i="75"/>
  <c r="I955" i="75"/>
  <c r="I954" i="75"/>
  <c r="I953" i="75"/>
  <c r="I952" i="75"/>
  <c r="I951" i="75"/>
  <c r="I950" i="75"/>
  <c r="I949" i="75"/>
  <c r="I948" i="75"/>
  <c r="I947" i="75"/>
  <c r="I946" i="75"/>
  <c r="I945" i="75"/>
  <c r="I944" i="75"/>
  <c r="I943" i="75"/>
  <c r="I942" i="75"/>
  <c r="I941" i="75"/>
  <c r="I940" i="75"/>
  <c r="I939" i="75"/>
  <c r="I938" i="75"/>
  <c r="I937" i="75"/>
  <c r="I936" i="75"/>
  <c r="I935" i="75"/>
  <c r="I934" i="75"/>
  <c r="I933" i="75"/>
  <c r="I932" i="75"/>
  <c r="I931" i="75"/>
  <c r="I930" i="75"/>
  <c r="I929" i="75"/>
  <c r="I928" i="75"/>
  <c r="I927" i="75"/>
  <c r="I926" i="75"/>
  <c r="I925" i="75"/>
  <c r="I924" i="75"/>
  <c r="I923" i="75"/>
  <c r="I922" i="75"/>
  <c r="I921" i="75"/>
  <c r="I920" i="75"/>
  <c r="I919" i="75"/>
  <c r="I918" i="75"/>
  <c r="I917" i="75"/>
  <c r="I916" i="75"/>
  <c r="I915" i="75"/>
  <c r="I914" i="75"/>
  <c r="I913" i="75"/>
  <c r="I912" i="75"/>
  <c r="I911" i="75"/>
  <c r="I910" i="75"/>
  <c r="I909" i="75"/>
  <c r="I908" i="75"/>
  <c r="I907" i="75"/>
  <c r="I906" i="75"/>
  <c r="I905" i="75"/>
  <c r="I904" i="75"/>
  <c r="I903" i="75"/>
  <c r="I902" i="75"/>
  <c r="I901" i="75"/>
  <c r="I900" i="75"/>
  <c r="I899" i="75"/>
  <c r="I898" i="75"/>
  <c r="I897" i="75"/>
  <c r="I896" i="75"/>
  <c r="I895" i="75"/>
  <c r="I894" i="75"/>
  <c r="I893" i="75"/>
  <c r="I892" i="75"/>
  <c r="I891" i="75"/>
  <c r="I890" i="75"/>
  <c r="I889" i="75"/>
  <c r="I888" i="75"/>
  <c r="I887" i="75"/>
  <c r="I886" i="75"/>
  <c r="I885" i="75"/>
  <c r="I884" i="75"/>
  <c r="I883" i="75"/>
  <c r="I882" i="75"/>
  <c r="I881" i="75"/>
  <c r="I880" i="75"/>
  <c r="I879" i="75"/>
  <c r="I878" i="75"/>
  <c r="I877" i="75"/>
  <c r="I876" i="75"/>
  <c r="I875" i="75"/>
  <c r="I874" i="75"/>
  <c r="I873" i="75"/>
  <c r="I872" i="75"/>
  <c r="I871" i="75"/>
  <c r="I870" i="75"/>
  <c r="I869" i="75"/>
  <c r="I868" i="75"/>
  <c r="I867" i="75"/>
  <c r="I866" i="75"/>
  <c r="I865" i="75"/>
  <c r="I864" i="75"/>
  <c r="I863" i="75"/>
  <c r="I862" i="75"/>
  <c r="I861" i="75"/>
  <c r="I860" i="75"/>
  <c r="I859" i="75"/>
  <c r="I858" i="75"/>
  <c r="I857" i="75"/>
  <c r="I856" i="75"/>
  <c r="I855" i="75"/>
  <c r="I854" i="75"/>
  <c r="I853" i="75"/>
  <c r="I852" i="75"/>
  <c r="I851" i="75"/>
  <c r="I850" i="75"/>
  <c r="I849" i="75"/>
  <c r="I848" i="75"/>
  <c r="I847" i="75"/>
  <c r="I846" i="75"/>
  <c r="I845" i="75"/>
  <c r="I844" i="75"/>
  <c r="I843" i="75"/>
  <c r="I842" i="75"/>
  <c r="I841" i="75"/>
  <c r="I840" i="75"/>
  <c r="I839" i="75"/>
  <c r="I838" i="75"/>
  <c r="I837" i="75"/>
  <c r="I836" i="75"/>
  <c r="I835" i="75"/>
  <c r="I834" i="75"/>
  <c r="I833" i="75"/>
  <c r="I832" i="75"/>
  <c r="I831" i="75"/>
  <c r="I830" i="75"/>
  <c r="I829" i="75"/>
  <c r="I828" i="75"/>
  <c r="I827" i="75"/>
  <c r="I826" i="75"/>
  <c r="I825" i="75"/>
  <c r="I824" i="75"/>
  <c r="I823" i="75"/>
  <c r="I822" i="75"/>
  <c r="I821" i="75"/>
  <c r="I820" i="75"/>
  <c r="I819" i="75"/>
  <c r="I818" i="75"/>
  <c r="I817" i="75"/>
  <c r="I816" i="75"/>
  <c r="I815" i="75"/>
  <c r="I814" i="75"/>
  <c r="I813" i="75"/>
  <c r="I812" i="75"/>
  <c r="I811" i="75"/>
  <c r="I810" i="75"/>
  <c r="I809" i="75"/>
  <c r="I808" i="75"/>
  <c r="I807" i="75"/>
  <c r="I806" i="75"/>
  <c r="I805" i="75"/>
  <c r="I804" i="75"/>
  <c r="I803" i="75"/>
  <c r="I802" i="75"/>
  <c r="I801" i="75"/>
  <c r="I800" i="75"/>
  <c r="I799" i="75"/>
  <c r="I798" i="75"/>
  <c r="I797" i="75"/>
  <c r="I796" i="75"/>
  <c r="I795" i="75"/>
  <c r="I794" i="75"/>
  <c r="I793" i="75"/>
  <c r="I792" i="75"/>
  <c r="I791" i="75"/>
  <c r="I790" i="75"/>
  <c r="I789" i="75"/>
  <c r="I788" i="75"/>
  <c r="I787" i="75"/>
  <c r="I786" i="75"/>
  <c r="I785" i="75"/>
  <c r="I784" i="75"/>
  <c r="I783" i="75"/>
  <c r="I782" i="75"/>
  <c r="I781" i="75"/>
  <c r="I780" i="75"/>
  <c r="I779" i="75"/>
  <c r="I778" i="75"/>
  <c r="I777" i="75"/>
  <c r="I776" i="75"/>
  <c r="I775" i="75"/>
  <c r="I774" i="75"/>
  <c r="I773" i="75"/>
  <c r="I772" i="75"/>
  <c r="I771" i="75"/>
  <c r="I770" i="75"/>
  <c r="I769" i="75"/>
  <c r="I768" i="75"/>
  <c r="I767" i="75"/>
  <c r="I766" i="75"/>
  <c r="I765" i="75"/>
  <c r="I764" i="75"/>
  <c r="I763" i="75"/>
  <c r="I762" i="75"/>
  <c r="I761" i="75"/>
  <c r="I760" i="75"/>
  <c r="I759" i="75"/>
  <c r="I758" i="75"/>
  <c r="I757" i="75"/>
  <c r="I756" i="75"/>
  <c r="I755" i="75"/>
  <c r="I754" i="75"/>
  <c r="I753" i="75"/>
  <c r="I752" i="75"/>
  <c r="I751" i="75"/>
  <c r="I750" i="75"/>
  <c r="I749" i="75"/>
  <c r="I748" i="75"/>
  <c r="I747" i="75"/>
  <c r="I746" i="75"/>
  <c r="I745" i="75"/>
  <c r="I744" i="75"/>
  <c r="I743" i="75"/>
  <c r="I742" i="75"/>
  <c r="I741" i="75"/>
  <c r="I740" i="75"/>
  <c r="I739" i="75"/>
  <c r="I738" i="75"/>
  <c r="I737" i="75"/>
  <c r="I736" i="75"/>
  <c r="I735" i="75"/>
  <c r="I734" i="75"/>
  <c r="I733" i="75"/>
  <c r="I732" i="75"/>
  <c r="I731" i="75"/>
  <c r="I730" i="75"/>
  <c r="I729" i="75"/>
  <c r="I728" i="75"/>
  <c r="I727" i="75"/>
  <c r="I726" i="75"/>
  <c r="I725" i="75"/>
  <c r="I724" i="75"/>
  <c r="I723" i="75"/>
  <c r="I722" i="75"/>
  <c r="I721" i="75"/>
  <c r="I720" i="75"/>
  <c r="I719" i="75"/>
  <c r="I718" i="75"/>
  <c r="I717" i="75"/>
  <c r="I716" i="75"/>
  <c r="I715" i="75"/>
  <c r="I714" i="75"/>
  <c r="I713" i="75"/>
  <c r="I712" i="75"/>
  <c r="I711" i="75"/>
  <c r="I710" i="75"/>
  <c r="I709" i="75"/>
  <c r="I708" i="75"/>
  <c r="I707" i="75"/>
  <c r="I706" i="75"/>
  <c r="I705" i="75"/>
  <c r="I704" i="75"/>
  <c r="I703" i="75"/>
  <c r="I702" i="75"/>
  <c r="I701" i="75"/>
  <c r="I700" i="75"/>
  <c r="I699" i="75"/>
  <c r="I698" i="75"/>
  <c r="I697" i="75"/>
  <c r="I696" i="75"/>
  <c r="I695" i="75"/>
  <c r="I694" i="75"/>
  <c r="I693" i="75"/>
  <c r="I692" i="75"/>
  <c r="I691" i="75"/>
  <c r="I690" i="75"/>
  <c r="I689" i="75"/>
  <c r="I688" i="75"/>
  <c r="I687" i="75"/>
  <c r="I686" i="75"/>
  <c r="I685" i="75"/>
  <c r="I684" i="75"/>
  <c r="I683" i="75"/>
  <c r="I682" i="75"/>
  <c r="I681" i="75"/>
  <c r="I680" i="75"/>
  <c r="I679" i="75"/>
  <c r="I678" i="75"/>
  <c r="I677" i="75"/>
  <c r="I676" i="75"/>
  <c r="I675" i="75"/>
  <c r="I674" i="75"/>
  <c r="I673" i="75"/>
  <c r="I672" i="75"/>
  <c r="I671" i="75"/>
  <c r="I670" i="75"/>
  <c r="I669" i="75"/>
  <c r="I668" i="75"/>
  <c r="I667" i="75"/>
  <c r="I666" i="75"/>
  <c r="I665" i="75"/>
  <c r="I664" i="75"/>
  <c r="I663" i="75"/>
  <c r="I662" i="75"/>
  <c r="I661" i="75"/>
  <c r="I660" i="75"/>
  <c r="I659" i="75"/>
  <c r="I658" i="75"/>
  <c r="I657" i="75"/>
  <c r="I656" i="75"/>
  <c r="I655" i="75"/>
  <c r="I654" i="75"/>
  <c r="I653" i="75"/>
  <c r="I652" i="75"/>
  <c r="I651" i="75"/>
  <c r="I650" i="75"/>
  <c r="I649" i="75"/>
  <c r="I648" i="75"/>
  <c r="I647" i="75"/>
  <c r="I646" i="75"/>
  <c r="I645" i="75"/>
  <c r="I644" i="75"/>
  <c r="I643" i="75"/>
  <c r="I642" i="75"/>
  <c r="I641" i="75"/>
  <c r="I640" i="75"/>
  <c r="I639" i="75"/>
  <c r="I638" i="75"/>
  <c r="I637" i="75"/>
  <c r="I636" i="75"/>
  <c r="I635" i="75"/>
  <c r="I634" i="75"/>
  <c r="I633" i="75"/>
  <c r="I632" i="75"/>
  <c r="I631" i="75"/>
  <c r="I630" i="75"/>
  <c r="I629" i="75"/>
  <c r="I628" i="75"/>
  <c r="I627" i="75"/>
  <c r="I626" i="75"/>
  <c r="I625" i="75"/>
  <c r="I624" i="75"/>
  <c r="I623" i="75"/>
  <c r="I622" i="75"/>
  <c r="I621" i="75"/>
  <c r="I620" i="75"/>
  <c r="I619" i="75"/>
  <c r="I618" i="75"/>
  <c r="I617" i="75"/>
  <c r="I616" i="75"/>
  <c r="I615" i="75"/>
  <c r="I614" i="75"/>
  <c r="I613" i="75"/>
  <c r="I612" i="75"/>
  <c r="I611" i="75"/>
  <c r="I610" i="75"/>
  <c r="I609" i="75"/>
  <c r="I608" i="75"/>
  <c r="I607" i="75"/>
  <c r="I606" i="75"/>
  <c r="I605" i="75"/>
  <c r="I604" i="75"/>
  <c r="I603" i="75"/>
  <c r="I602" i="75"/>
  <c r="I601" i="75"/>
  <c r="I600" i="75"/>
  <c r="I599" i="75"/>
  <c r="I598" i="75"/>
  <c r="I597" i="75"/>
  <c r="I596" i="75"/>
  <c r="I595" i="75"/>
  <c r="I594" i="75"/>
  <c r="I593" i="75"/>
  <c r="I592" i="75"/>
  <c r="I591" i="75"/>
  <c r="I590" i="75"/>
  <c r="I589" i="75"/>
  <c r="I588" i="75"/>
  <c r="I587" i="75"/>
  <c r="I586" i="75"/>
  <c r="I585" i="75"/>
  <c r="I584" i="75"/>
  <c r="I583" i="75"/>
  <c r="I582" i="75"/>
  <c r="I581" i="75"/>
  <c r="I580" i="75"/>
  <c r="I579" i="75"/>
  <c r="I578" i="75"/>
  <c r="I577" i="75"/>
  <c r="I576" i="75"/>
  <c r="I575" i="75"/>
  <c r="I574" i="75"/>
  <c r="I573" i="75"/>
  <c r="I572" i="75"/>
  <c r="I571" i="75"/>
  <c r="I570" i="75"/>
  <c r="I569" i="75"/>
  <c r="I568" i="75"/>
  <c r="I567" i="75"/>
  <c r="I566" i="75"/>
  <c r="I565" i="75"/>
  <c r="I564" i="75"/>
  <c r="I563" i="75"/>
  <c r="I562" i="75"/>
  <c r="I561" i="75"/>
  <c r="I560" i="75"/>
  <c r="I559" i="75"/>
  <c r="I558" i="75"/>
  <c r="I557" i="75"/>
  <c r="I556" i="75"/>
  <c r="I555" i="75"/>
  <c r="I554" i="75"/>
  <c r="I553" i="75"/>
  <c r="I552" i="75"/>
  <c r="I551" i="75"/>
  <c r="I550" i="75"/>
  <c r="I549" i="75"/>
  <c r="I548" i="75"/>
  <c r="I547" i="75"/>
  <c r="I546" i="75"/>
  <c r="I545" i="75"/>
  <c r="I544" i="75"/>
  <c r="I543" i="75"/>
  <c r="I542" i="75"/>
  <c r="I541" i="75"/>
  <c r="I540" i="75"/>
  <c r="I539" i="75"/>
  <c r="I538" i="75"/>
  <c r="I537" i="75"/>
  <c r="I536" i="75"/>
  <c r="I535" i="75"/>
  <c r="I534" i="75"/>
  <c r="I533" i="75"/>
  <c r="I532" i="75"/>
  <c r="I531" i="75"/>
  <c r="I530" i="75"/>
  <c r="I529" i="75"/>
  <c r="I528" i="75"/>
  <c r="I527" i="75"/>
  <c r="I526" i="75"/>
  <c r="I525" i="75"/>
  <c r="I524" i="75"/>
  <c r="I523" i="75"/>
  <c r="I522" i="75"/>
  <c r="I521" i="75"/>
  <c r="I520" i="75"/>
  <c r="I519" i="75"/>
  <c r="I518" i="75"/>
  <c r="I517" i="75"/>
  <c r="I516" i="75"/>
  <c r="I515" i="75"/>
  <c r="I514" i="75"/>
  <c r="I513" i="75"/>
  <c r="I512" i="75"/>
  <c r="I511" i="75"/>
  <c r="I510" i="75"/>
  <c r="I509" i="75"/>
  <c r="I508" i="75"/>
  <c r="I507" i="75"/>
  <c r="I506" i="75"/>
  <c r="I505" i="75"/>
  <c r="I504" i="75"/>
  <c r="I503" i="75"/>
  <c r="I502" i="75"/>
  <c r="I501" i="75"/>
  <c r="I500" i="75"/>
  <c r="I499" i="75"/>
  <c r="I498" i="75"/>
  <c r="I497" i="75"/>
  <c r="I496" i="75"/>
  <c r="I495" i="75"/>
  <c r="I494" i="75"/>
  <c r="I493" i="75"/>
  <c r="I492" i="75"/>
  <c r="I491" i="75"/>
  <c r="I490" i="75"/>
  <c r="I489" i="75"/>
  <c r="I488" i="75"/>
  <c r="I487" i="75"/>
  <c r="I486" i="75"/>
  <c r="I485" i="75"/>
  <c r="I484" i="75"/>
  <c r="I483" i="75"/>
  <c r="I482" i="75"/>
  <c r="I481" i="75"/>
  <c r="I480" i="75"/>
  <c r="I479" i="75"/>
  <c r="I478" i="75"/>
  <c r="I477" i="75"/>
  <c r="I476" i="75"/>
  <c r="I475" i="75"/>
  <c r="I474" i="75"/>
  <c r="I473" i="75"/>
  <c r="I472" i="75"/>
  <c r="I471" i="75"/>
  <c r="I470" i="75"/>
  <c r="I469" i="75"/>
  <c r="I468" i="75"/>
  <c r="I467" i="75"/>
  <c r="I466" i="75"/>
  <c r="I465" i="75"/>
  <c r="I464" i="75"/>
  <c r="I463" i="75"/>
  <c r="I462" i="75"/>
  <c r="I461" i="75"/>
  <c r="I460" i="75"/>
  <c r="I459" i="75"/>
  <c r="I458" i="75"/>
  <c r="I457" i="75"/>
  <c r="I456" i="75"/>
  <c r="I455" i="75"/>
  <c r="I454" i="75"/>
  <c r="I453" i="75"/>
  <c r="I452" i="75"/>
  <c r="I451" i="75"/>
  <c r="I450" i="75"/>
  <c r="I449" i="75"/>
  <c r="I448" i="75"/>
  <c r="I447" i="75"/>
  <c r="I446" i="75"/>
  <c r="I445" i="75"/>
  <c r="I444" i="75"/>
  <c r="I443" i="75"/>
  <c r="I442" i="75"/>
  <c r="I441" i="75"/>
  <c r="I440" i="75"/>
  <c r="I439" i="75"/>
  <c r="I438" i="75"/>
  <c r="I437" i="75"/>
  <c r="I436" i="75"/>
  <c r="I435" i="75"/>
  <c r="I434" i="75"/>
  <c r="I433" i="75"/>
  <c r="I432" i="75"/>
  <c r="I431" i="75"/>
  <c r="I430" i="75"/>
  <c r="I429" i="75"/>
  <c r="I428" i="75"/>
  <c r="I427" i="75"/>
  <c r="I426" i="75"/>
  <c r="I425" i="75"/>
  <c r="I424" i="75"/>
  <c r="I423" i="75"/>
  <c r="I422" i="75"/>
  <c r="I421" i="75"/>
  <c r="I420" i="75"/>
  <c r="I419" i="75"/>
  <c r="I418" i="75"/>
  <c r="I417" i="75"/>
  <c r="I416" i="75"/>
  <c r="I415" i="75"/>
  <c r="I414" i="75"/>
  <c r="I413" i="75"/>
  <c r="I412" i="75"/>
  <c r="I411" i="75"/>
  <c r="I410" i="75"/>
  <c r="I409" i="75"/>
  <c r="I408" i="75"/>
  <c r="I407" i="75"/>
  <c r="I406" i="75"/>
  <c r="I405" i="75"/>
  <c r="I404" i="75"/>
  <c r="I403" i="75"/>
  <c r="I402" i="75"/>
  <c r="I401" i="75"/>
  <c r="I400" i="75"/>
  <c r="I399" i="75"/>
  <c r="I398" i="75"/>
  <c r="I397" i="75"/>
  <c r="I396" i="75"/>
  <c r="I395" i="75"/>
  <c r="I394" i="75"/>
  <c r="I393" i="75"/>
  <c r="I392" i="75"/>
  <c r="I391" i="75"/>
  <c r="I390" i="75"/>
  <c r="I389" i="75"/>
  <c r="I388" i="75"/>
  <c r="I387" i="75"/>
  <c r="I386" i="75"/>
  <c r="I385" i="75"/>
  <c r="I384" i="75"/>
  <c r="I383" i="75"/>
  <c r="I382" i="75"/>
  <c r="I381" i="75"/>
  <c r="I380" i="75"/>
  <c r="I379" i="75"/>
  <c r="I378" i="75"/>
  <c r="I377" i="75"/>
  <c r="I376" i="75"/>
  <c r="I375" i="75"/>
  <c r="I374" i="75"/>
  <c r="I373" i="75"/>
  <c r="I372" i="75"/>
  <c r="I371" i="75"/>
  <c r="I370" i="75"/>
  <c r="I369" i="75"/>
  <c r="I368" i="75"/>
  <c r="I367" i="75"/>
  <c r="I366" i="75"/>
  <c r="I365" i="75"/>
  <c r="I364" i="75"/>
  <c r="I363" i="75"/>
  <c r="I362" i="75"/>
  <c r="I361" i="75"/>
  <c r="I360" i="75"/>
  <c r="I359" i="75"/>
  <c r="I358" i="75"/>
  <c r="I357" i="75"/>
  <c r="I356" i="75"/>
  <c r="I355" i="75"/>
  <c r="I354" i="75"/>
  <c r="I353" i="75"/>
  <c r="I352" i="75"/>
  <c r="I351" i="75"/>
  <c r="I350" i="75"/>
  <c r="I349" i="75"/>
  <c r="I348" i="75"/>
  <c r="I347" i="75"/>
  <c r="I346" i="75"/>
  <c r="I345" i="75"/>
  <c r="I344" i="75"/>
  <c r="I343" i="75"/>
  <c r="I342" i="75"/>
  <c r="I341" i="75"/>
  <c r="I340" i="75"/>
  <c r="I339" i="75"/>
  <c r="I338" i="75"/>
  <c r="I337" i="75"/>
  <c r="I336" i="75"/>
  <c r="I335" i="75"/>
  <c r="I334" i="75"/>
  <c r="I333" i="75"/>
  <c r="I332" i="75"/>
  <c r="I331" i="75"/>
  <c r="I330" i="75"/>
  <c r="I329" i="75"/>
  <c r="I328" i="75"/>
  <c r="I327" i="75"/>
  <c r="I326" i="75"/>
  <c r="I325" i="75"/>
  <c r="I324" i="75"/>
  <c r="I323" i="75"/>
  <c r="I322" i="75"/>
  <c r="I321" i="75"/>
  <c r="I320" i="75"/>
  <c r="I319" i="75"/>
  <c r="I318" i="75"/>
  <c r="I317" i="75"/>
  <c r="I316" i="75"/>
  <c r="I315" i="75"/>
  <c r="I314" i="75"/>
  <c r="I313" i="75"/>
  <c r="I312" i="75"/>
  <c r="I311" i="75"/>
  <c r="I310" i="75"/>
  <c r="I309" i="75"/>
  <c r="I308" i="75"/>
  <c r="I307" i="75"/>
  <c r="I306" i="75"/>
  <c r="I305" i="75"/>
  <c r="I304" i="75"/>
  <c r="I303" i="75"/>
  <c r="I302" i="75"/>
  <c r="I301" i="75"/>
  <c r="I300" i="75"/>
  <c r="I299" i="75"/>
  <c r="I298" i="75"/>
  <c r="I297" i="75"/>
  <c r="I296" i="75"/>
  <c r="I295" i="75"/>
  <c r="I294" i="75"/>
  <c r="I293" i="75"/>
  <c r="I292" i="75"/>
  <c r="I291" i="75"/>
  <c r="I290" i="75"/>
  <c r="I289" i="75"/>
  <c r="I288" i="75"/>
  <c r="I287" i="75"/>
  <c r="I286" i="75"/>
  <c r="I285" i="75"/>
  <c r="I284" i="75"/>
  <c r="I283" i="75"/>
  <c r="I282" i="75"/>
  <c r="I281" i="75"/>
  <c r="I280" i="75"/>
  <c r="I279" i="75"/>
  <c r="I278" i="75"/>
  <c r="I277" i="75"/>
  <c r="I276" i="75"/>
  <c r="I275" i="75"/>
  <c r="I274" i="75"/>
  <c r="I273" i="75"/>
  <c r="I272" i="75"/>
  <c r="I271" i="75"/>
  <c r="I270" i="75"/>
  <c r="I269" i="75"/>
  <c r="I268" i="75"/>
  <c r="I267" i="75"/>
  <c r="I266" i="75"/>
  <c r="I265" i="75"/>
  <c r="I264" i="75"/>
  <c r="I263" i="75"/>
  <c r="I262" i="75"/>
  <c r="I261" i="75"/>
  <c r="I260" i="75"/>
  <c r="I259" i="75"/>
  <c r="I258" i="75"/>
  <c r="I257" i="75"/>
  <c r="I256" i="75"/>
  <c r="I255" i="75"/>
  <c r="I254" i="75"/>
  <c r="I253" i="75"/>
  <c r="I252" i="75"/>
  <c r="I251" i="75"/>
  <c r="I250" i="75"/>
  <c r="I249" i="75"/>
  <c r="I248" i="75"/>
  <c r="I247" i="75"/>
  <c r="I246" i="75"/>
  <c r="I245" i="75"/>
  <c r="I244" i="75"/>
  <c r="I243" i="75"/>
  <c r="I242" i="75"/>
  <c r="I241" i="75"/>
  <c r="I240" i="75"/>
  <c r="I239" i="75"/>
  <c r="I238" i="75"/>
  <c r="I237" i="75"/>
  <c r="I236" i="75"/>
  <c r="I235" i="75"/>
  <c r="I234" i="75"/>
  <c r="I233" i="75"/>
  <c r="I232" i="75"/>
  <c r="I231" i="75"/>
  <c r="I230" i="75"/>
  <c r="I229" i="75"/>
  <c r="I228" i="75"/>
  <c r="I227" i="75"/>
  <c r="I226" i="75"/>
  <c r="I225" i="75"/>
  <c r="I224" i="75"/>
  <c r="I223" i="75"/>
  <c r="I222" i="75"/>
  <c r="I221" i="75"/>
  <c r="I220" i="75"/>
  <c r="I219" i="75"/>
  <c r="I218" i="75"/>
  <c r="I217" i="75"/>
  <c r="I216" i="75"/>
  <c r="I215" i="75"/>
  <c r="I214" i="75"/>
  <c r="I213" i="75"/>
  <c r="I212" i="75"/>
  <c r="I211" i="75"/>
  <c r="I210" i="75"/>
  <c r="I209" i="75"/>
  <c r="I208" i="75"/>
  <c r="I207" i="75"/>
  <c r="I206" i="75"/>
  <c r="I205" i="75"/>
  <c r="I204" i="75"/>
  <c r="I203" i="75"/>
  <c r="I202" i="75"/>
  <c r="I201" i="75"/>
  <c r="I200" i="75"/>
  <c r="I199" i="75"/>
  <c r="I198" i="75"/>
  <c r="I197" i="75"/>
  <c r="I196" i="75"/>
  <c r="I195" i="75"/>
  <c r="I194" i="75"/>
  <c r="I193" i="75"/>
  <c r="I192" i="75"/>
  <c r="I191" i="75"/>
  <c r="I190" i="75"/>
  <c r="I189" i="75"/>
  <c r="I188" i="75"/>
  <c r="I187" i="75"/>
  <c r="I186" i="75"/>
  <c r="I185" i="75"/>
  <c r="I184" i="75"/>
  <c r="I183" i="75"/>
  <c r="I182" i="75"/>
  <c r="I181" i="75"/>
  <c r="I180" i="75"/>
  <c r="I179" i="75"/>
  <c r="I178" i="75"/>
  <c r="I177" i="75"/>
  <c r="I176" i="75"/>
  <c r="I175" i="75"/>
  <c r="I174" i="75"/>
  <c r="I173" i="75"/>
  <c r="I172" i="75"/>
  <c r="I171" i="75"/>
  <c r="I170" i="75"/>
  <c r="I169" i="75"/>
  <c r="I168" i="75"/>
  <c r="I167" i="75"/>
  <c r="I166" i="75"/>
  <c r="I165" i="75"/>
  <c r="I164" i="75"/>
  <c r="I163" i="75"/>
  <c r="I162" i="75"/>
  <c r="I161" i="75"/>
  <c r="I160" i="75"/>
  <c r="I159" i="75"/>
  <c r="I158" i="75"/>
  <c r="I157" i="75"/>
  <c r="I156" i="75"/>
  <c r="I155" i="75"/>
  <c r="I154" i="75"/>
  <c r="I153" i="75"/>
  <c r="I152" i="75"/>
  <c r="I151" i="75"/>
  <c r="I150" i="75"/>
  <c r="I149" i="75"/>
  <c r="I148" i="75"/>
  <c r="I147" i="75"/>
  <c r="I146" i="75"/>
  <c r="I145" i="75"/>
  <c r="I144" i="75"/>
  <c r="I143" i="75"/>
  <c r="I142" i="75"/>
  <c r="I141" i="75"/>
  <c r="I140" i="75"/>
  <c r="I139" i="75"/>
  <c r="I138" i="75"/>
  <c r="I137" i="75"/>
  <c r="I136" i="75"/>
  <c r="I135" i="75"/>
  <c r="I134" i="75"/>
  <c r="I133" i="75"/>
  <c r="I132" i="75"/>
  <c r="I131" i="75"/>
  <c r="I130" i="75"/>
  <c r="I129" i="75"/>
  <c r="I128" i="75"/>
  <c r="I127" i="75"/>
  <c r="I126" i="75"/>
  <c r="I125" i="75"/>
  <c r="I124" i="75"/>
  <c r="I123" i="75"/>
  <c r="I122" i="75"/>
  <c r="I121" i="75"/>
  <c r="I120" i="75"/>
  <c r="I119" i="75"/>
  <c r="I118" i="75"/>
  <c r="I117" i="75"/>
  <c r="I116" i="75"/>
  <c r="I115" i="75"/>
  <c r="I114" i="75"/>
  <c r="I113" i="75"/>
  <c r="I112" i="75"/>
  <c r="I111" i="75"/>
  <c r="I110" i="75"/>
  <c r="I109" i="75"/>
  <c r="I108" i="75"/>
  <c r="I107" i="75"/>
  <c r="I106" i="75"/>
  <c r="I105" i="75"/>
  <c r="I104" i="75"/>
  <c r="I103" i="75"/>
  <c r="I102" i="75"/>
  <c r="I101" i="75"/>
  <c r="I100" i="75"/>
  <c r="I99" i="75"/>
  <c r="I98" i="75"/>
  <c r="I97" i="75"/>
  <c r="I96" i="75"/>
  <c r="I95" i="75"/>
  <c r="I94" i="75"/>
  <c r="I93" i="75"/>
  <c r="I92" i="75"/>
  <c r="I91" i="75"/>
  <c r="I90" i="75"/>
  <c r="I89" i="75"/>
  <c r="I88" i="75"/>
  <c r="I87" i="75"/>
  <c r="I86" i="75"/>
  <c r="I85" i="75"/>
  <c r="I84" i="75"/>
  <c r="I83" i="75"/>
  <c r="I82" i="75"/>
  <c r="I81" i="75"/>
  <c r="I80" i="75"/>
  <c r="I79" i="75"/>
  <c r="I78" i="75"/>
  <c r="I77" i="75"/>
  <c r="I76" i="75"/>
  <c r="I75" i="75"/>
  <c r="I74" i="75"/>
  <c r="I73" i="75"/>
  <c r="I72" i="75"/>
  <c r="I71" i="75"/>
  <c r="I70" i="75"/>
  <c r="I69" i="75"/>
  <c r="I68" i="75"/>
  <c r="I67" i="75"/>
  <c r="I66" i="75"/>
  <c r="I65" i="75"/>
  <c r="I64" i="75"/>
  <c r="I63" i="75"/>
  <c r="I62" i="75"/>
  <c r="I61" i="75"/>
  <c r="I60" i="75"/>
  <c r="I59" i="75"/>
  <c r="I58" i="75"/>
  <c r="I57" i="75"/>
  <c r="I56" i="75"/>
  <c r="I55" i="75"/>
  <c r="I54" i="75"/>
  <c r="I53" i="75"/>
  <c r="I52" i="75"/>
  <c r="I51" i="75"/>
  <c r="I50" i="75"/>
  <c r="I49" i="75"/>
  <c r="I48" i="75"/>
  <c r="I47" i="75"/>
  <c r="I46" i="75"/>
  <c r="I45" i="75"/>
  <c r="I44" i="75"/>
  <c r="I43" i="75"/>
  <c r="I42" i="75"/>
  <c r="I41" i="75"/>
  <c r="I40" i="75"/>
  <c r="I39" i="75"/>
  <c r="I38" i="75"/>
  <c r="I37" i="75"/>
  <c r="I36" i="75"/>
  <c r="I35" i="75"/>
  <c r="I34" i="75"/>
  <c r="I33" i="75"/>
  <c r="I32" i="75"/>
  <c r="I31" i="75"/>
  <c r="I30" i="75"/>
  <c r="I29" i="75"/>
  <c r="I28" i="75"/>
  <c r="I27" i="75"/>
  <c r="I26" i="75"/>
  <c r="I25" i="75"/>
  <c r="I24" i="75"/>
  <c r="I23" i="75"/>
  <c r="I22" i="75"/>
  <c r="I21" i="75"/>
  <c r="I20" i="75"/>
  <c r="I19" i="75"/>
  <c r="I18" i="75"/>
  <c r="I17" i="75"/>
  <c r="I16" i="75"/>
  <c r="I15" i="75"/>
  <c r="I14" i="75"/>
  <c r="I13" i="75"/>
  <c r="I12" i="75"/>
  <c r="I11" i="75"/>
  <c r="I10" i="75"/>
  <c r="I9" i="75"/>
  <c r="I8" i="75"/>
  <c r="I7" i="75"/>
  <c r="I6" i="75"/>
  <c r="I5" i="75"/>
  <c r="I4" i="75"/>
  <c r="I3" i="75"/>
  <c r="I2" i="75"/>
  <c r="I2566" i="74"/>
  <c r="I2565" i="74"/>
  <c r="I2564" i="74"/>
  <c r="I2563" i="74"/>
  <c r="I2562" i="74"/>
  <c r="I2561" i="74"/>
  <c r="I2560" i="74"/>
  <c r="I2559" i="74"/>
  <c r="I2558" i="74"/>
  <c r="I2557" i="74"/>
  <c r="I2556" i="74"/>
  <c r="I2555" i="74"/>
  <c r="I2554" i="74"/>
  <c r="I2553" i="74"/>
  <c r="I2552" i="74"/>
  <c r="I2551" i="74"/>
  <c r="I2550" i="74"/>
  <c r="I2549" i="74"/>
  <c r="I2548" i="74"/>
  <c r="I2547" i="74"/>
  <c r="I2546" i="74"/>
  <c r="I2545" i="74"/>
  <c r="I2544" i="74"/>
  <c r="I2543" i="74"/>
  <c r="I2542" i="74"/>
  <c r="I2541" i="74"/>
  <c r="I2540" i="74"/>
  <c r="I2539" i="74"/>
  <c r="I2538" i="74"/>
  <c r="I2537" i="74"/>
  <c r="I2536" i="74"/>
  <c r="I2535" i="74"/>
  <c r="I2534" i="74"/>
  <c r="I2533" i="74"/>
  <c r="I2532" i="74"/>
  <c r="I2531" i="74"/>
  <c r="I2530" i="74"/>
  <c r="I2529" i="74"/>
  <c r="I2528" i="74"/>
  <c r="I2527" i="74"/>
  <c r="I2526" i="74"/>
  <c r="I2525" i="74"/>
  <c r="I2524" i="74"/>
  <c r="I2523" i="74"/>
  <c r="I2522" i="74"/>
  <c r="I2521" i="74"/>
  <c r="I2520" i="74"/>
  <c r="I2519" i="74"/>
  <c r="I2518" i="74"/>
  <c r="I2517" i="74"/>
  <c r="I2516" i="74"/>
  <c r="I2515" i="74"/>
  <c r="I2514" i="74"/>
  <c r="I2513" i="74"/>
  <c r="I2512" i="74"/>
  <c r="I2511" i="74"/>
  <c r="I2510" i="74"/>
  <c r="I2509" i="74"/>
  <c r="I2508" i="74"/>
  <c r="I2507" i="74"/>
  <c r="I2506" i="74"/>
  <c r="I2505" i="74"/>
  <c r="I2504" i="74"/>
  <c r="I2503" i="74"/>
  <c r="I2502" i="74"/>
  <c r="I2501" i="74"/>
  <c r="I2500" i="74"/>
  <c r="I2499" i="74"/>
  <c r="I2498" i="74"/>
  <c r="I2497" i="74"/>
  <c r="I2496" i="74"/>
  <c r="I2495" i="74"/>
  <c r="I2494" i="74"/>
  <c r="I2493" i="74"/>
  <c r="I2492" i="74"/>
  <c r="I2491" i="74"/>
  <c r="I2490" i="74"/>
  <c r="I2489" i="74"/>
  <c r="I2488" i="74"/>
  <c r="I2487" i="74"/>
  <c r="I2486" i="74"/>
  <c r="I2485" i="74"/>
  <c r="I2484" i="74"/>
  <c r="I2483" i="74"/>
  <c r="I2482" i="74"/>
  <c r="I2481" i="74"/>
  <c r="I2480" i="74"/>
  <c r="I2479" i="74"/>
  <c r="I2478" i="74"/>
  <c r="I2477" i="74"/>
  <c r="I2476" i="74"/>
  <c r="I2475" i="74"/>
  <c r="I2474" i="74"/>
  <c r="I2473" i="74"/>
  <c r="I2472" i="74"/>
  <c r="I2471" i="74"/>
  <c r="I2470" i="74"/>
  <c r="I2469" i="74"/>
  <c r="I2468" i="74"/>
  <c r="I2467" i="74"/>
  <c r="I2466" i="74"/>
  <c r="I2465" i="74"/>
  <c r="I2464" i="74"/>
  <c r="I2463" i="74"/>
  <c r="I2462" i="74"/>
  <c r="I2461" i="74"/>
  <c r="I2460" i="74"/>
  <c r="I2459" i="74"/>
  <c r="I2458" i="74"/>
  <c r="I2457" i="74"/>
  <c r="I2456" i="74"/>
  <c r="I2455" i="74"/>
  <c r="I2454" i="74"/>
  <c r="I2453" i="74"/>
  <c r="I2452" i="74"/>
  <c r="I2451" i="74"/>
  <c r="I2450" i="74"/>
  <c r="I2449" i="74"/>
  <c r="I2448" i="74"/>
  <c r="I2447" i="74"/>
  <c r="I2446" i="74"/>
  <c r="I2445" i="74"/>
  <c r="I2444" i="74"/>
  <c r="I2443" i="74"/>
  <c r="I2442" i="74"/>
  <c r="I2441" i="74"/>
  <c r="I2440" i="74"/>
  <c r="I2439" i="74"/>
  <c r="I2438" i="74"/>
  <c r="I2437" i="74"/>
  <c r="I2436" i="74"/>
  <c r="I2435" i="74"/>
  <c r="I2434" i="74"/>
  <c r="I2433" i="74"/>
  <c r="I2432" i="74"/>
  <c r="I2431" i="74"/>
  <c r="I2430" i="74"/>
  <c r="I2429" i="74"/>
  <c r="I2428" i="74"/>
  <c r="I2427" i="74"/>
  <c r="I2426" i="74"/>
  <c r="I2425" i="74"/>
  <c r="I2424" i="74"/>
  <c r="I2423" i="74"/>
  <c r="I2422" i="74"/>
  <c r="I2421" i="74"/>
  <c r="I2420" i="74"/>
  <c r="I2419" i="74"/>
  <c r="I2418" i="74"/>
  <c r="I2417" i="74"/>
  <c r="I2416" i="74"/>
  <c r="I2415" i="74"/>
  <c r="I2414" i="74"/>
  <c r="I2413" i="74"/>
  <c r="I2412" i="74"/>
  <c r="I2411" i="74"/>
  <c r="I2410" i="74"/>
  <c r="I2409" i="74"/>
  <c r="I2408" i="74"/>
  <c r="I2407" i="74"/>
  <c r="I2406" i="74"/>
  <c r="I2405" i="74"/>
  <c r="I2404" i="74"/>
  <c r="I2403" i="74"/>
  <c r="I2402" i="74"/>
  <c r="I2401" i="74"/>
  <c r="I2400" i="74"/>
  <c r="I2399" i="74"/>
  <c r="I2398" i="74"/>
  <c r="I2397" i="74"/>
  <c r="I2396" i="74"/>
  <c r="I2395" i="74"/>
  <c r="I2394" i="74"/>
  <c r="I2393" i="74"/>
  <c r="I2392" i="74"/>
  <c r="I2391" i="74"/>
  <c r="I2390" i="74"/>
  <c r="I2389" i="74"/>
  <c r="I2388" i="74"/>
  <c r="I2387" i="74"/>
  <c r="I2386" i="74"/>
  <c r="I2385" i="74"/>
  <c r="I2384" i="74"/>
  <c r="I2383" i="74"/>
  <c r="I2382" i="74"/>
  <c r="I2381" i="74"/>
  <c r="I2380" i="74"/>
  <c r="I2379" i="74"/>
  <c r="I2378" i="74"/>
  <c r="I2377" i="74"/>
  <c r="I2376" i="74"/>
  <c r="I2375" i="74"/>
  <c r="I2374" i="74"/>
  <c r="I2373" i="74"/>
  <c r="I2372" i="74"/>
  <c r="I2371" i="74"/>
  <c r="I2370" i="74"/>
  <c r="I2369" i="74"/>
  <c r="I2368" i="74"/>
  <c r="I2367" i="74"/>
  <c r="I2366" i="74"/>
  <c r="I2365" i="74"/>
  <c r="I2364" i="74"/>
  <c r="I2363" i="74"/>
  <c r="I2362" i="74"/>
  <c r="I2361" i="74"/>
  <c r="I2360" i="74"/>
  <c r="I2359" i="74"/>
  <c r="I2358" i="74"/>
  <c r="I2357" i="74"/>
  <c r="I2356" i="74"/>
  <c r="I2355" i="74"/>
  <c r="I2354" i="74"/>
  <c r="I2353" i="74"/>
  <c r="I2352" i="74"/>
  <c r="I2351" i="74"/>
  <c r="I2350" i="74"/>
  <c r="I2349" i="74"/>
  <c r="I2348" i="74"/>
  <c r="I2347" i="74"/>
  <c r="I2346" i="74"/>
  <c r="I2345" i="74"/>
  <c r="I2344" i="74"/>
  <c r="I2343" i="74"/>
  <c r="I2342" i="74"/>
  <c r="I2341" i="74"/>
  <c r="I2340" i="74"/>
  <c r="I2339" i="74"/>
  <c r="I2338" i="74"/>
  <c r="I2337" i="74"/>
  <c r="I2336" i="74"/>
  <c r="I2335" i="74"/>
  <c r="I2334" i="74"/>
  <c r="I2333" i="74"/>
  <c r="I2332" i="74"/>
  <c r="I2331" i="74"/>
  <c r="I2330" i="74"/>
  <c r="I2329" i="74"/>
  <c r="I2328" i="74"/>
  <c r="I2327" i="74"/>
  <c r="I2326" i="74"/>
  <c r="I2325" i="74"/>
  <c r="I2324" i="74"/>
  <c r="I2323" i="74"/>
  <c r="I2322" i="74"/>
  <c r="I2321" i="74"/>
  <c r="I2320" i="74"/>
  <c r="I2319" i="74"/>
  <c r="I2318" i="74"/>
  <c r="I2317" i="74"/>
  <c r="I2316" i="74"/>
  <c r="I2315" i="74"/>
  <c r="I2314" i="74"/>
  <c r="I2313" i="74"/>
  <c r="I2312" i="74"/>
  <c r="I2311" i="74"/>
  <c r="I2310" i="74"/>
  <c r="I2309" i="74"/>
  <c r="I2308" i="74"/>
  <c r="I2307" i="74"/>
  <c r="I2306" i="74"/>
  <c r="I2305" i="74"/>
  <c r="I2304" i="74"/>
  <c r="I2303" i="74"/>
  <c r="I2302" i="74"/>
  <c r="I2301" i="74"/>
  <c r="I2300" i="74"/>
  <c r="I2299" i="74"/>
  <c r="I2298" i="74"/>
  <c r="I2297" i="74"/>
  <c r="I2296" i="74"/>
  <c r="I2295" i="74"/>
  <c r="I2294" i="74"/>
  <c r="I2293" i="74"/>
  <c r="I2292" i="74"/>
  <c r="I2291" i="74"/>
  <c r="I2290" i="74"/>
  <c r="I2289" i="74"/>
  <c r="I2288" i="74"/>
  <c r="I2287" i="74"/>
  <c r="I2286" i="74"/>
  <c r="I2285" i="74"/>
  <c r="I2284" i="74"/>
  <c r="I2283" i="74"/>
  <c r="I2282" i="74"/>
  <c r="I2281" i="74"/>
  <c r="I2280" i="74"/>
  <c r="I2279" i="74"/>
  <c r="I2278" i="74"/>
  <c r="I2277" i="74"/>
  <c r="I2276" i="74"/>
  <c r="I2275" i="74"/>
  <c r="I2274" i="74"/>
  <c r="I2273" i="74"/>
  <c r="I2272" i="74"/>
  <c r="I2271" i="74"/>
  <c r="I2270" i="74"/>
  <c r="I2269" i="74"/>
  <c r="I2268" i="74"/>
  <c r="I2267" i="74"/>
  <c r="I2266" i="74"/>
  <c r="I2265" i="74"/>
  <c r="I2264" i="74"/>
  <c r="I2263" i="74"/>
  <c r="I2262" i="74"/>
  <c r="I2261" i="74"/>
  <c r="I2260" i="74"/>
  <c r="I2259" i="74"/>
  <c r="I2258" i="74"/>
  <c r="I2257" i="74"/>
  <c r="I2256" i="74"/>
  <c r="I2255" i="74"/>
  <c r="I2254" i="74"/>
  <c r="I2253" i="74"/>
  <c r="I2252" i="74"/>
  <c r="I2251" i="74"/>
  <c r="I2250" i="74"/>
  <c r="I2249" i="74"/>
  <c r="I2248" i="74"/>
  <c r="I2247" i="74"/>
  <c r="I2246" i="74"/>
  <c r="I2245" i="74"/>
  <c r="I2244" i="74"/>
  <c r="I2243" i="74"/>
  <c r="I2242" i="74"/>
  <c r="I2241" i="74"/>
  <c r="I2240" i="74"/>
  <c r="I2239" i="74"/>
  <c r="I2238" i="74"/>
  <c r="I2237" i="74"/>
  <c r="I2236" i="74"/>
  <c r="I2235" i="74"/>
  <c r="I2234" i="74"/>
  <c r="I2233" i="74"/>
  <c r="I2232" i="74"/>
  <c r="I2231" i="74"/>
  <c r="I2230" i="74"/>
  <c r="I2229" i="74"/>
  <c r="I2228" i="74"/>
  <c r="I2227" i="74"/>
  <c r="I2226" i="74"/>
  <c r="I2225" i="74"/>
  <c r="I2224" i="74"/>
  <c r="I2223" i="74"/>
  <c r="I2222" i="74"/>
  <c r="I2221" i="74"/>
  <c r="I2220" i="74"/>
  <c r="I2219" i="74"/>
  <c r="I2218" i="74"/>
  <c r="I2217" i="74"/>
  <c r="I2216" i="74"/>
  <c r="I2215" i="74"/>
  <c r="I2214" i="74"/>
  <c r="I2213" i="74"/>
  <c r="I2212" i="74"/>
  <c r="I2211" i="74"/>
  <c r="I2210" i="74"/>
  <c r="I2209" i="74"/>
  <c r="I2208" i="74"/>
  <c r="I2207" i="74"/>
  <c r="I2206" i="74"/>
  <c r="I2205" i="74"/>
  <c r="I2204" i="74"/>
  <c r="I2203" i="74"/>
  <c r="I2202" i="74"/>
  <c r="I2201" i="74"/>
  <c r="I2200" i="74"/>
  <c r="I2199" i="74"/>
  <c r="I2198" i="74"/>
  <c r="I2197" i="74"/>
  <c r="I2196" i="74"/>
  <c r="I2195" i="74"/>
  <c r="I2194" i="74"/>
  <c r="I2193" i="74"/>
  <c r="I2192" i="74"/>
  <c r="I2191" i="74"/>
  <c r="I2190" i="74"/>
  <c r="I2189" i="74"/>
  <c r="I2188" i="74"/>
  <c r="I2187" i="74"/>
  <c r="I2186" i="74"/>
  <c r="I2185" i="74"/>
  <c r="I2184" i="74"/>
  <c r="I2183" i="74"/>
  <c r="I2182" i="74"/>
  <c r="I2181" i="74"/>
  <c r="I2180" i="74"/>
  <c r="I2179" i="74"/>
  <c r="I2178" i="74"/>
  <c r="I2177" i="74"/>
  <c r="I2176" i="74"/>
  <c r="I2175" i="74"/>
  <c r="I2174" i="74"/>
  <c r="I2173" i="74"/>
  <c r="I2172" i="74"/>
  <c r="I2171" i="74"/>
  <c r="I2170" i="74"/>
  <c r="I2169" i="74"/>
  <c r="I2168" i="74"/>
  <c r="I2167" i="74"/>
  <c r="I2166" i="74"/>
  <c r="I2165" i="74"/>
  <c r="I2164" i="74"/>
  <c r="I2163" i="74"/>
  <c r="I2162" i="74"/>
  <c r="I2161" i="74"/>
  <c r="I2160" i="74"/>
  <c r="I2159" i="74"/>
  <c r="I2158" i="74"/>
  <c r="I2157" i="74"/>
  <c r="I2156" i="74"/>
  <c r="I2155" i="74"/>
  <c r="I2154" i="74"/>
  <c r="I2153" i="74"/>
  <c r="I2152" i="74"/>
  <c r="I2151" i="74"/>
  <c r="I2150" i="74"/>
  <c r="I2149" i="74"/>
  <c r="I2148" i="74"/>
  <c r="I2147" i="74"/>
  <c r="I2146" i="74"/>
  <c r="I2145" i="74"/>
  <c r="I2144" i="74"/>
  <c r="I2143" i="74"/>
  <c r="I2142" i="74"/>
  <c r="I2141" i="74"/>
  <c r="I2140" i="74"/>
  <c r="I2139" i="74"/>
  <c r="I2138" i="74"/>
  <c r="I2137" i="74"/>
  <c r="I2136" i="74"/>
  <c r="I2135" i="74"/>
  <c r="I2134" i="74"/>
  <c r="I2133" i="74"/>
  <c r="I2132" i="74"/>
  <c r="I2131" i="74"/>
  <c r="I2130" i="74"/>
  <c r="I2129" i="74"/>
  <c r="I2128" i="74"/>
  <c r="I2127" i="74"/>
  <c r="I2126" i="74"/>
  <c r="I2125" i="74"/>
  <c r="I2124" i="74"/>
  <c r="I2123" i="74"/>
  <c r="I2122" i="74"/>
  <c r="I2121" i="74"/>
  <c r="I2120" i="74"/>
  <c r="I2119" i="74"/>
  <c r="I2118" i="74"/>
  <c r="I2117" i="74"/>
  <c r="I2116" i="74"/>
  <c r="I2115" i="74"/>
  <c r="I2114" i="74"/>
  <c r="I2113" i="74"/>
  <c r="I2112" i="74"/>
  <c r="I2111" i="74"/>
  <c r="I2110" i="74"/>
  <c r="I2109" i="74"/>
  <c r="I2108" i="74"/>
  <c r="I2107" i="74"/>
  <c r="I2106" i="74"/>
  <c r="I2105" i="74"/>
  <c r="I2104" i="74"/>
  <c r="I2103" i="74"/>
  <c r="I2102" i="74"/>
  <c r="I2101" i="74"/>
  <c r="I2100" i="74"/>
  <c r="I2099" i="74"/>
  <c r="I2098" i="74"/>
  <c r="I2097" i="74"/>
  <c r="I2096" i="74"/>
  <c r="I2095" i="74"/>
  <c r="I2094" i="74"/>
  <c r="I2093" i="74"/>
  <c r="I2092" i="74"/>
  <c r="I2091" i="74"/>
  <c r="I2090" i="74"/>
  <c r="I2089" i="74"/>
  <c r="I2088" i="74"/>
  <c r="I2087" i="74"/>
  <c r="I2086" i="74"/>
  <c r="I2085" i="74"/>
  <c r="I2084" i="74"/>
  <c r="I2083" i="74"/>
  <c r="I2082" i="74"/>
  <c r="I2081" i="74"/>
  <c r="I2080" i="74"/>
  <c r="I2079" i="74"/>
  <c r="I2078" i="74"/>
  <c r="I2077" i="74"/>
  <c r="I2076" i="74"/>
  <c r="I2075" i="74"/>
  <c r="I2074" i="74"/>
  <c r="I2073" i="74"/>
  <c r="I2072" i="74"/>
  <c r="I2071" i="74"/>
  <c r="I2070" i="74"/>
  <c r="I2069" i="74"/>
  <c r="I2068" i="74"/>
  <c r="I2067" i="74"/>
  <c r="I2066" i="74"/>
  <c r="I2065" i="74"/>
  <c r="I2064" i="74"/>
  <c r="I2063" i="74"/>
  <c r="I2062" i="74"/>
  <c r="I2061" i="74"/>
  <c r="I2060" i="74"/>
  <c r="I2059" i="74"/>
  <c r="I2058" i="74"/>
  <c r="I2057" i="74"/>
  <c r="I2056" i="74"/>
  <c r="I2055" i="74"/>
  <c r="I2054" i="74"/>
  <c r="I2053" i="74"/>
  <c r="I2052" i="74"/>
  <c r="I2051" i="74"/>
  <c r="I2050" i="74"/>
  <c r="I2049" i="74"/>
  <c r="I2048" i="74"/>
  <c r="I2047" i="74"/>
  <c r="I2046" i="74"/>
  <c r="I2045" i="74"/>
  <c r="I2044" i="74"/>
  <c r="I2043" i="74"/>
  <c r="I2042" i="74"/>
  <c r="I2041" i="74"/>
  <c r="I2040" i="74"/>
  <c r="I2039" i="74"/>
  <c r="I2038" i="74"/>
  <c r="I2037" i="74"/>
  <c r="I2036" i="74"/>
  <c r="I2035" i="74"/>
  <c r="I2034" i="74"/>
  <c r="I2033" i="74"/>
  <c r="I2032" i="74"/>
  <c r="I2031" i="74"/>
  <c r="I2030" i="74"/>
  <c r="I2029" i="74"/>
  <c r="I2028" i="74"/>
  <c r="I2027" i="74"/>
  <c r="I2026" i="74"/>
  <c r="I2025" i="74"/>
  <c r="I2024" i="74"/>
  <c r="I2023" i="74"/>
  <c r="I2022" i="74"/>
  <c r="I2021" i="74"/>
  <c r="I2020" i="74"/>
  <c r="I2019" i="74"/>
  <c r="I2018" i="74"/>
  <c r="I2017" i="74"/>
  <c r="I2016" i="74"/>
  <c r="I2015" i="74"/>
  <c r="I2014" i="74"/>
  <c r="I2013" i="74"/>
  <c r="I2012" i="74"/>
  <c r="I2011" i="74"/>
  <c r="I2010" i="74"/>
  <c r="I2009" i="74"/>
  <c r="I2008" i="74"/>
  <c r="I2007" i="74"/>
  <c r="I2006" i="74"/>
  <c r="I2005" i="74"/>
  <c r="I2004" i="74"/>
  <c r="I2003" i="74"/>
  <c r="I2002" i="74"/>
  <c r="I2001" i="74"/>
  <c r="I2000" i="74"/>
  <c r="I1999" i="74"/>
  <c r="I1998" i="74"/>
  <c r="I1997" i="74"/>
  <c r="I1996" i="74"/>
  <c r="I1995" i="74"/>
  <c r="I1994" i="74"/>
  <c r="I1993" i="74"/>
  <c r="I1992" i="74"/>
  <c r="I1991" i="74"/>
  <c r="I1990" i="74"/>
  <c r="I1989" i="74"/>
  <c r="I1988" i="74"/>
  <c r="I1987" i="74"/>
  <c r="I1986" i="74"/>
  <c r="I1985" i="74"/>
  <c r="I1984" i="74"/>
  <c r="I1983" i="74"/>
  <c r="I1982" i="74"/>
  <c r="I1981" i="74"/>
  <c r="I1980" i="74"/>
  <c r="I1979" i="74"/>
  <c r="I1978" i="74"/>
  <c r="I1977" i="74"/>
  <c r="I1976" i="74"/>
  <c r="I1975" i="74"/>
  <c r="I1974" i="74"/>
  <c r="I1973" i="74"/>
  <c r="I1972" i="74"/>
  <c r="I1971" i="74"/>
  <c r="I1970" i="74"/>
  <c r="I1969" i="74"/>
  <c r="I1968" i="74"/>
  <c r="I1967" i="74"/>
  <c r="I1966" i="74"/>
  <c r="I1965" i="74"/>
  <c r="I1964" i="74"/>
  <c r="I1963" i="74"/>
  <c r="I1962" i="74"/>
  <c r="I1961" i="74"/>
  <c r="I1960" i="74"/>
  <c r="I1959" i="74"/>
  <c r="I1958" i="74"/>
  <c r="I1957" i="74"/>
  <c r="I1956" i="74"/>
  <c r="I1955" i="74"/>
  <c r="I1954" i="74"/>
  <c r="I1953" i="74"/>
  <c r="I1952" i="74"/>
  <c r="I1951" i="74"/>
  <c r="I1950" i="74"/>
  <c r="I1949" i="74"/>
  <c r="I1948" i="74"/>
  <c r="I1947" i="74"/>
  <c r="I1946" i="74"/>
  <c r="I1945" i="74"/>
  <c r="I1944" i="74"/>
  <c r="I1943" i="74"/>
  <c r="I1942" i="74"/>
  <c r="I1941" i="74"/>
  <c r="I1940" i="74"/>
  <c r="I1939" i="74"/>
  <c r="I1938" i="74"/>
  <c r="I1937" i="74"/>
  <c r="I1936" i="74"/>
  <c r="I1935" i="74"/>
  <c r="I1934" i="74"/>
  <c r="I1933" i="74"/>
  <c r="I1932" i="74"/>
  <c r="I1931" i="74"/>
  <c r="I1930" i="74"/>
  <c r="I1929" i="74"/>
  <c r="I1928" i="74"/>
  <c r="I1927" i="74"/>
  <c r="I1926" i="74"/>
  <c r="I1925" i="74"/>
  <c r="I1924" i="74"/>
  <c r="I1923" i="74"/>
  <c r="I1922" i="74"/>
  <c r="I1921" i="74"/>
  <c r="I1920" i="74"/>
  <c r="I1919" i="74"/>
  <c r="I1918" i="74"/>
  <c r="I1917" i="74"/>
  <c r="I1916" i="74"/>
  <c r="I1915" i="74"/>
  <c r="I1914" i="74"/>
  <c r="I1913" i="74"/>
  <c r="I1912" i="74"/>
  <c r="I1911" i="74"/>
  <c r="I1910" i="74"/>
  <c r="I1909" i="74"/>
  <c r="I1908" i="74"/>
  <c r="I1907" i="74"/>
  <c r="I1906" i="74"/>
  <c r="I1905" i="74"/>
  <c r="I1904" i="74"/>
  <c r="I1903" i="74"/>
  <c r="I1902" i="74"/>
  <c r="I1901" i="74"/>
  <c r="I1900" i="74"/>
  <c r="I1899" i="74"/>
  <c r="I1898" i="74"/>
  <c r="I1897" i="74"/>
  <c r="I1896" i="74"/>
  <c r="I1895" i="74"/>
  <c r="I1894" i="74"/>
  <c r="I1893" i="74"/>
  <c r="I1892" i="74"/>
  <c r="I1891" i="74"/>
  <c r="I1890" i="74"/>
  <c r="I1889" i="74"/>
  <c r="I1888" i="74"/>
  <c r="I1887" i="74"/>
  <c r="I1886" i="74"/>
  <c r="I1885" i="74"/>
  <c r="I1884" i="74"/>
  <c r="I1883" i="74"/>
  <c r="I1882" i="74"/>
  <c r="I1881" i="74"/>
  <c r="I1880" i="74"/>
  <c r="I1879" i="74"/>
  <c r="I1878" i="74"/>
  <c r="I1877" i="74"/>
  <c r="I1876" i="74"/>
  <c r="I1875" i="74"/>
  <c r="I1874" i="74"/>
  <c r="I1873" i="74"/>
  <c r="I1872" i="74"/>
  <c r="I1871" i="74"/>
  <c r="I1870" i="74"/>
  <c r="I1869" i="74"/>
  <c r="I1868" i="74"/>
  <c r="I1867" i="74"/>
  <c r="I1866" i="74"/>
  <c r="I1865" i="74"/>
  <c r="I1864" i="74"/>
  <c r="I1863" i="74"/>
  <c r="I1862" i="74"/>
  <c r="I1861" i="74"/>
  <c r="I1860" i="74"/>
  <c r="I1859" i="74"/>
  <c r="I1858" i="74"/>
  <c r="I1857" i="74"/>
  <c r="I1856" i="74"/>
  <c r="I1855" i="74"/>
  <c r="I1854" i="74"/>
  <c r="I1853" i="74"/>
  <c r="I1852" i="74"/>
  <c r="I1851" i="74"/>
  <c r="I1850" i="74"/>
  <c r="I1849" i="74"/>
  <c r="I1848" i="74"/>
  <c r="I1847" i="74"/>
  <c r="I1846" i="74"/>
  <c r="I1845" i="74"/>
  <c r="I1844" i="74"/>
  <c r="I1843" i="74"/>
  <c r="I1842" i="74"/>
  <c r="I1841" i="74"/>
  <c r="I1840" i="74"/>
  <c r="I1839" i="74"/>
  <c r="I1838" i="74"/>
  <c r="I1837" i="74"/>
  <c r="I1836" i="74"/>
  <c r="I1835" i="74"/>
  <c r="I1834" i="74"/>
  <c r="I1833" i="74"/>
  <c r="I1832" i="74"/>
  <c r="I1831" i="74"/>
  <c r="I1830" i="74"/>
  <c r="I1829" i="74"/>
  <c r="I1828" i="74"/>
  <c r="I1827" i="74"/>
  <c r="I1826" i="74"/>
  <c r="I1825" i="74"/>
  <c r="I1824" i="74"/>
  <c r="I1823" i="74"/>
  <c r="I1822" i="74"/>
  <c r="I1821" i="74"/>
  <c r="I1820" i="74"/>
  <c r="I1819" i="74"/>
  <c r="I1818" i="74"/>
  <c r="I1817" i="74"/>
  <c r="I1816" i="74"/>
  <c r="I1815" i="74"/>
  <c r="I1814" i="74"/>
  <c r="I1813" i="74"/>
  <c r="I1812" i="74"/>
  <c r="I1811" i="74"/>
  <c r="I1810" i="74"/>
  <c r="I1809" i="74"/>
  <c r="I1808" i="74"/>
  <c r="I1807" i="74"/>
  <c r="I1806" i="74"/>
  <c r="I1805" i="74"/>
  <c r="I1804" i="74"/>
  <c r="I1803" i="74"/>
  <c r="I1802" i="74"/>
  <c r="I1801" i="74"/>
  <c r="I1800" i="74"/>
  <c r="I1799" i="74"/>
  <c r="I1798" i="74"/>
  <c r="I1797" i="74"/>
  <c r="I1796" i="74"/>
  <c r="I1795" i="74"/>
  <c r="I1794" i="74"/>
  <c r="I1793" i="74"/>
  <c r="I1792" i="74"/>
  <c r="I1791" i="74"/>
  <c r="I1790" i="74"/>
  <c r="I1789" i="74"/>
  <c r="I1788" i="74"/>
  <c r="I1787" i="74"/>
  <c r="I1786" i="74"/>
  <c r="I1785" i="74"/>
  <c r="I1784" i="74"/>
  <c r="I1783" i="74"/>
  <c r="I1782" i="74"/>
  <c r="I1781" i="74"/>
  <c r="I1780" i="74"/>
  <c r="I1779" i="74"/>
  <c r="I1778" i="74"/>
  <c r="I1777" i="74"/>
  <c r="I1776" i="74"/>
  <c r="I1775" i="74"/>
  <c r="I1774" i="74"/>
  <c r="I1773" i="74"/>
  <c r="I1772" i="74"/>
  <c r="I1771" i="74"/>
  <c r="I1770" i="74"/>
  <c r="I1769" i="74"/>
  <c r="I1768" i="74"/>
  <c r="I1767" i="74"/>
  <c r="I1766" i="74"/>
  <c r="I1765" i="74"/>
  <c r="I1764" i="74"/>
  <c r="I1763" i="74"/>
  <c r="I1762" i="74"/>
  <c r="I1761" i="74"/>
  <c r="I1760" i="74"/>
  <c r="I1759" i="74"/>
  <c r="I1758" i="74"/>
  <c r="I1757" i="74"/>
  <c r="I1756" i="74"/>
  <c r="I1755" i="74"/>
  <c r="I1754" i="74"/>
  <c r="I1753" i="74"/>
  <c r="I1752" i="74"/>
  <c r="I1751" i="74"/>
  <c r="I1750" i="74"/>
  <c r="I1749" i="74"/>
  <c r="I1748" i="74"/>
  <c r="I1747" i="74"/>
  <c r="I1746" i="74"/>
  <c r="I1745" i="74"/>
  <c r="I1744" i="74"/>
  <c r="I1743" i="74"/>
  <c r="I1742" i="74"/>
  <c r="I1741" i="74"/>
  <c r="I1740" i="74"/>
  <c r="I1739" i="74"/>
  <c r="I1738" i="74"/>
  <c r="I1737" i="74"/>
  <c r="I1736" i="74"/>
  <c r="I1735" i="74"/>
  <c r="I1734" i="74"/>
  <c r="I1733" i="74"/>
  <c r="I1732" i="74"/>
  <c r="I1731" i="74"/>
  <c r="I1730" i="74"/>
  <c r="I1729" i="74"/>
  <c r="I1728" i="74"/>
  <c r="I1727" i="74"/>
  <c r="I1726" i="74"/>
  <c r="I1725" i="74"/>
  <c r="I1724" i="74"/>
  <c r="I1723" i="74"/>
  <c r="I1722" i="74"/>
  <c r="I1721" i="74"/>
  <c r="I1720" i="74"/>
  <c r="I1719" i="74"/>
  <c r="I1718" i="74"/>
  <c r="I1717" i="74"/>
  <c r="I1716" i="74"/>
  <c r="I1715" i="74"/>
  <c r="I1714" i="74"/>
  <c r="I1713" i="74"/>
  <c r="I1712" i="74"/>
  <c r="I1711" i="74"/>
  <c r="I1710" i="74"/>
  <c r="I1709" i="74"/>
  <c r="I1708" i="74"/>
  <c r="I1707" i="74"/>
  <c r="I1706" i="74"/>
  <c r="I1705" i="74"/>
  <c r="I1704" i="74"/>
  <c r="I1703" i="74"/>
  <c r="I1702" i="74"/>
  <c r="I1701" i="74"/>
  <c r="I1700" i="74"/>
  <c r="I1699" i="74"/>
  <c r="I1698" i="74"/>
  <c r="I1697" i="74"/>
  <c r="I1696" i="74"/>
  <c r="I1695" i="74"/>
  <c r="I1694" i="74"/>
  <c r="I1693" i="74"/>
  <c r="I1692" i="74"/>
  <c r="I1691" i="74"/>
  <c r="I1690" i="74"/>
  <c r="I1689" i="74"/>
  <c r="I1688" i="74"/>
  <c r="I1687" i="74"/>
  <c r="I1686" i="74"/>
  <c r="I1685" i="74"/>
  <c r="I1684" i="74"/>
  <c r="I1683" i="74"/>
  <c r="I1682" i="74"/>
  <c r="I1681" i="74"/>
  <c r="I1680" i="74"/>
  <c r="I1679" i="74"/>
  <c r="I1678" i="74"/>
  <c r="I1677" i="74"/>
  <c r="I1676" i="74"/>
  <c r="I1675" i="74"/>
  <c r="I1674" i="74"/>
  <c r="I1673" i="74"/>
  <c r="I1672" i="74"/>
  <c r="I1671" i="74"/>
  <c r="I1670" i="74"/>
  <c r="I1669" i="74"/>
  <c r="I1668" i="74"/>
  <c r="I1667" i="74"/>
  <c r="I1666" i="74"/>
  <c r="I1665" i="74"/>
  <c r="I1664" i="74"/>
  <c r="I1663" i="74"/>
  <c r="I1662" i="74"/>
  <c r="I1661" i="74"/>
  <c r="I1660" i="74"/>
  <c r="I1659" i="74"/>
  <c r="I1658" i="74"/>
  <c r="I1657" i="74"/>
  <c r="I1656" i="74"/>
  <c r="I1655" i="74"/>
  <c r="I1654" i="74"/>
  <c r="I1653" i="74"/>
  <c r="I1652" i="74"/>
  <c r="I1651" i="74"/>
  <c r="I1650" i="74"/>
  <c r="I1649" i="74"/>
  <c r="I1648" i="74"/>
  <c r="I1647" i="74"/>
  <c r="I1646" i="74"/>
  <c r="I1645" i="74"/>
  <c r="I1644" i="74"/>
  <c r="I1643" i="74"/>
  <c r="I1642" i="74"/>
  <c r="I1641" i="74"/>
  <c r="I1640" i="74"/>
  <c r="I1639" i="74"/>
  <c r="I1638" i="74"/>
  <c r="I1637" i="74"/>
  <c r="I1636" i="74"/>
  <c r="I1635" i="74"/>
  <c r="I1634" i="74"/>
  <c r="I1633" i="74"/>
  <c r="I1632" i="74"/>
  <c r="I1631" i="74"/>
  <c r="I1630" i="74"/>
  <c r="I1629" i="74"/>
  <c r="I1628" i="74"/>
  <c r="I1627" i="74"/>
  <c r="I1626" i="74"/>
  <c r="I1625" i="74"/>
  <c r="I1624" i="74"/>
  <c r="I1623" i="74"/>
  <c r="I1622" i="74"/>
  <c r="I1621" i="74"/>
  <c r="I1620" i="74"/>
  <c r="I1619" i="74"/>
  <c r="I1618" i="74"/>
  <c r="I1617" i="74"/>
  <c r="I1616" i="74"/>
  <c r="I1615" i="74"/>
  <c r="I1614" i="74"/>
  <c r="I1613" i="74"/>
  <c r="I1612" i="74"/>
  <c r="I1611" i="74"/>
  <c r="I1610" i="74"/>
  <c r="I1609" i="74"/>
  <c r="I1608" i="74"/>
  <c r="I1607" i="74"/>
  <c r="I1606" i="74"/>
  <c r="I1605" i="74"/>
  <c r="I1604" i="74"/>
  <c r="I1603" i="74"/>
  <c r="I1602" i="74"/>
  <c r="I1601" i="74"/>
  <c r="I1600" i="74"/>
  <c r="I1599" i="74"/>
  <c r="I1598" i="74"/>
  <c r="I1597" i="74"/>
  <c r="I1596" i="74"/>
  <c r="I1595" i="74"/>
  <c r="I1594" i="74"/>
  <c r="I1593" i="74"/>
  <c r="I1592" i="74"/>
  <c r="I1591" i="74"/>
  <c r="I1590" i="74"/>
  <c r="I1589" i="74"/>
  <c r="I1588" i="74"/>
  <c r="I1587" i="74"/>
  <c r="I1586" i="74"/>
  <c r="I1585" i="74"/>
  <c r="I1584" i="74"/>
  <c r="I1583" i="74"/>
  <c r="I1582" i="74"/>
  <c r="I1581" i="74"/>
  <c r="I1580" i="74"/>
  <c r="I1579" i="74"/>
  <c r="I1578" i="74"/>
  <c r="I1577" i="74"/>
  <c r="I1576" i="74"/>
  <c r="I1575" i="74"/>
  <c r="I1574" i="74"/>
  <c r="I1573" i="74"/>
  <c r="I1572" i="74"/>
  <c r="I1571" i="74"/>
  <c r="I1570" i="74"/>
  <c r="I1569" i="74"/>
  <c r="I1568" i="74"/>
  <c r="I1567" i="74"/>
  <c r="I1566" i="74"/>
  <c r="I1565" i="74"/>
  <c r="I1564" i="74"/>
  <c r="I1563" i="74"/>
  <c r="I1562" i="74"/>
  <c r="I1561" i="74"/>
  <c r="I1560" i="74"/>
  <c r="I1559" i="74"/>
  <c r="I1558" i="74"/>
  <c r="I1557" i="74"/>
  <c r="I1556" i="74"/>
  <c r="I1555" i="74"/>
  <c r="I1554" i="74"/>
  <c r="I1553" i="74"/>
  <c r="I1552" i="74"/>
  <c r="I1551" i="74"/>
  <c r="I1550" i="74"/>
  <c r="I1549" i="74"/>
  <c r="I1548" i="74"/>
  <c r="I1547" i="74"/>
  <c r="I1546" i="74"/>
  <c r="I1545" i="74"/>
  <c r="I1544" i="74"/>
  <c r="I1543" i="74"/>
  <c r="I1542" i="74"/>
  <c r="I1541" i="74"/>
  <c r="I1540" i="74"/>
  <c r="I1539" i="74"/>
  <c r="I1538" i="74"/>
  <c r="I1537" i="74"/>
  <c r="I1536" i="74"/>
  <c r="I1535" i="74"/>
  <c r="I1534" i="74"/>
  <c r="I1533" i="74"/>
  <c r="I1532" i="74"/>
  <c r="I1531" i="74"/>
  <c r="I1530" i="74"/>
  <c r="I1529" i="74"/>
  <c r="I1528" i="74"/>
  <c r="I1527" i="74"/>
  <c r="I1526" i="74"/>
  <c r="I1525" i="74"/>
  <c r="I1524" i="74"/>
  <c r="I1523" i="74"/>
  <c r="I1522" i="74"/>
  <c r="I1521" i="74"/>
  <c r="I1520" i="74"/>
  <c r="I1519" i="74"/>
  <c r="I1518" i="74"/>
  <c r="I1517" i="74"/>
  <c r="I1516" i="74"/>
  <c r="I1515" i="74"/>
  <c r="I1514" i="74"/>
  <c r="I1513" i="74"/>
  <c r="I1512" i="74"/>
  <c r="I1511" i="74"/>
  <c r="I1510" i="74"/>
  <c r="I1509" i="74"/>
  <c r="I1508" i="74"/>
  <c r="I1507" i="74"/>
  <c r="I1506" i="74"/>
  <c r="I1505" i="74"/>
  <c r="I1504" i="74"/>
  <c r="I1503" i="74"/>
  <c r="I1502" i="74"/>
  <c r="I1501" i="74"/>
  <c r="I1500" i="74"/>
  <c r="I1499" i="74"/>
  <c r="I1498" i="74"/>
  <c r="I1497" i="74"/>
  <c r="I1496" i="74"/>
  <c r="I1495" i="74"/>
  <c r="I1494" i="74"/>
  <c r="I1493" i="74"/>
  <c r="I1492" i="74"/>
  <c r="I1491" i="74"/>
  <c r="I1490" i="74"/>
  <c r="I1489" i="74"/>
  <c r="I1488" i="74"/>
  <c r="I1487" i="74"/>
  <c r="I1486" i="74"/>
  <c r="I1485" i="74"/>
  <c r="I1484" i="74"/>
  <c r="I1483" i="74"/>
  <c r="I1482" i="74"/>
  <c r="I1481" i="74"/>
  <c r="I1480" i="74"/>
  <c r="I1479" i="74"/>
  <c r="I1478" i="74"/>
  <c r="I1477" i="74"/>
  <c r="I1476" i="74"/>
  <c r="I1475" i="74"/>
  <c r="I1474" i="74"/>
  <c r="I1473" i="74"/>
  <c r="I1472" i="74"/>
  <c r="I1471" i="74"/>
  <c r="I1470" i="74"/>
  <c r="I1469" i="74"/>
  <c r="I1468" i="74"/>
  <c r="I1467" i="74"/>
  <c r="I1466" i="74"/>
  <c r="I1465" i="74"/>
  <c r="I1464" i="74"/>
  <c r="I1463" i="74"/>
  <c r="I1462" i="74"/>
  <c r="I1461" i="74"/>
  <c r="I1460" i="74"/>
  <c r="I1459" i="74"/>
  <c r="I1458" i="74"/>
  <c r="I1457" i="74"/>
  <c r="I1456" i="74"/>
  <c r="I1455" i="74"/>
  <c r="I1454" i="74"/>
  <c r="I1453" i="74"/>
  <c r="I1452" i="74"/>
  <c r="I1451" i="74"/>
  <c r="I1450" i="74"/>
  <c r="I1449" i="74"/>
  <c r="I1448" i="74"/>
  <c r="I1447" i="74"/>
  <c r="I1446" i="74"/>
  <c r="I1445" i="74"/>
  <c r="I1444" i="74"/>
  <c r="I1443" i="74"/>
  <c r="I1442" i="74"/>
  <c r="I1441" i="74"/>
  <c r="I1440" i="74"/>
  <c r="I1439" i="74"/>
  <c r="I1438" i="74"/>
  <c r="I1437" i="74"/>
  <c r="I1436" i="74"/>
  <c r="I1435" i="74"/>
  <c r="I1434" i="74"/>
  <c r="I1433" i="74"/>
  <c r="I1432" i="74"/>
  <c r="I1431" i="74"/>
  <c r="I1430" i="74"/>
  <c r="I1429" i="74"/>
  <c r="I1428" i="74"/>
  <c r="I1427" i="74"/>
  <c r="I1426" i="74"/>
  <c r="I1425" i="74"/>
  <c r="I1424" i="74"/>
  <c r="I1423" i="74"/>
  <c r="I1422" i="74"/>
  <c r="I1421" i="74"/>
  <c r="I1420" i="74"/>
  <c r="I1419" i="74"/>
  <c r="I1418" i="74"/>
  <c r="I1417" i="74"/>
  <c r="I1416" i="74"/>
  <c r="I1415" i="74"/>
  <c r="I1414" i="74"/>
  <c r="I1413" i="74"/>
  <c r="I1412" i="74"/>
  <c r="I1411" i="74"/>
  <c r="I1410" i="74"/>
  <c r="I1409" i="74"/>
  <c r="I1408" i="74"/>
  <c r="I1407" i="74"/>
  <c r="I1406" i="74"/>
  <c r="I1405" i="74"/>
  <c r="I1404" i="74"/>
  <c r="I1403" i="74"/>
  <c r="I1402" i="74"/>
  <c r="I1401" i="74"/>
  <c r="I1400" i="74"/>
  <c r="I1399" i="74"/>
  <c r="I1398" i="74"/>
  <c r="I1397" i="74"/>
  <c r="I1396" i="74"/>
  <c r="I1395" i="74"/>
  <c r="I1394" i="74"/>
  <c r="I1393" i="74"/>
  <c r="I1392" i="74"/>
  <c r="I1391" i="74"/>
  <c r="I1390" i="74"/>
  <c r="I1389" i="74"/>
  <c r="I1388" i="74"/>
  <c r="I1387" i="74"/>
  <c r="I1386" i="74"/>
  <c r="I1385" i="74"/>
  <c r="I1384" i="74"/>
  <c r="I1383" i="74"/>
  <c r="I1382" i="74"/>
  <c r="I1381" i="74"/>
  <c r="I1380" i="74"/>
  <c r="I1379" i="74"/>
  <c r="I1378" i="74"/>
  <c r="I1377" i="74"/>
  <c r="I1376" i="74"/>
  <c r="I1375" i="74"/>
  <c r="I1374" i="74"/>
  <c r="I1373" i="74"/>
  <c r="I1372" i="74"/>
  <c r="I1371" i="74"/>
  <c r="I1370" i="74"/>
  <c r="I1369" i="74"/>
  <c r="I1368" i="74"/>
  <c r="I1367" i="74"/>
  <c r="I1366" i="74"/>
  <c r="I1365" i="74"/>
  <c r="I1364" i="74"/>
  <c r="I1363" i="74"/>
  <c r="I1362" i="74"/>
  <c r="I1361" i="74"/>
  <c r="I1360" i="74"/>
  <c r="I1359" i="74"/>
  <c r="I1358" i="74"/>
  <c r="I1357" i="74"/>
  <c r="I1356" i="74"/>
  <c r="I1355" i="74"/>
  <c r="I1354" i="74"/>
  <c r="I1353" i="74"/>
  <c r="I1352" i="74"/>
  <c r="I1351" i="74"/>
  <c r="I1350" i="74"/>
  <c r="I1349" i="74"/>
  <c r="I1348" i="74"/>
  <c r="I1347" i="74"/>
  <c r="I1346" i="74"/>
  <c r="I1345" i="74"/>
  <c r="I1344" i="74"/>
  <c r="I1343" i="74"/>
  <c r="I1342" i="74"/>
  <c r="I1341" i="74"/>
  <c r="I1340" i="74"/>
  <c r="I1339" i="74"/>
  <c r="I1338" i="74"/>
  <c r="I1337" i="74"/>
  <c r="I1336" i="74"/>
  <c r="I1335" i="74"/>
  <c r="I1334" i="74"/>
  <c r="I1333" i="74"/>
  <c r="I1332" i="74"/>
  <c r="I1331" i="74"/>
  <c r="I1330" i="74"/>
  <c r="I1329" i="74"/>
  <c r="I1328" i="74"/>
  <c r="I1327" i="74"/>
  <c r="I1326" i="74"/>
  <c r="I1325" i="74"/>
  <c r="I1324" i="74"/>
  <c r="I1323" i="74"/>
  <c r="I1322" i="74"/>
  <c r="I1321" i="74"/>
  <c r="I1320" i="74"/>
  <c r="I1319" i="74"/>
  <c r="I1318" i="74"/>
  <c r="I1317" i="74"/>
  <c r="I1316" i="74"/>
  <c r="I1315" i="74"/>
  <c r="I1314" i="74"/>
  <c r="I1313" i="74"/>
  <c r="I1312" i="74"/>
  <c r="I1311" i="74"/>
  <c r="I1310" i="74"/>
  <c r="I1309" i="74"/>
  <c r="I1308" i="74"/>
  <c r="I1307" i="74"/>
  <c r="I1306" i="74"/>
  <c r="I1305" i="74"/>
  <c r="I1304" i="74"/>
  <c r="I1303" i="74"/>
  <c r="I1302" i="74"/>
  <c r="I1301" i="74"/>
  <c r="I1300" i="74"/>
  <c r="I1299" i="74"/>
  <c r="I1298" i="74"/>
  <c r="I1297" i="74"/>
  <c r="I1296" i="74"/>
  <c r="I1295" i="74"/>
  <c r="I1294" i="74"/>
  <c r="I1293" i="74"/>
  <c r="I1292" i="74"/>
  <c r="I1291" i="74"/>
  <c r="I1290" i="74"/>
  <c r="I1289" i="74"/>
  <c r="I1288" i="74"/>
  <c r="I1287" i="74"/>
  <c r="I1286" i="74"/>
  <c r="I1285" i="74"/>
  <c r="I1284" i="74"/>
  <c r="I1283" i="74"/>
  <c r="I1282" i="74"/>
  <c r="I1281" i="74"/>
  <c r="I1280" i="74"/>
  <c r="I1279" i="74"/>
  <c r="I1278" i="74"/>
  <c r="I1277" i="74"/>
  <c r="I1276" i="74"/>
  <c r="I1275" i="74"/>
  <c r="I1274" i="74"/>
  <c r="I1273" i="74"/>
  <c r="I1272" i="74"/>
  <c r="I1271" i="74"/>
  <c r="I1270" i="74"/>
  <c r="I1269" i="74"/>
  <c r="I1268" i="74"/>
  <c r="I1267" i="74"/>
  <c r="I1266" i="74"/>
  <c r="I1265" i="74"/>
  <c r="I1264" i="74"/>
  <c r="I1263" i="74"/>
  <c r="I1262" i="74"/>
  <c r="I1261" i="74"/>
  <c r="I1260" i="74"/>
  <c r="I1259" i="74"/>
  <c r="I1258" i="74"/>
  <c r="I1257" i="74"/>
  <c r="I1256" i="74"/>
  <c r="I1255" i="74"/>
  <c r="I1254" i="74"/>
  <c r="I1253" i="74"/>
  <c r="I1252" i="74"/>
  <c r="I1251" i="74"/>
  <c r="I1250" i="74"/>
  <c r="I1249" i="74"/>
  <c r="I1248" i="74"/>
  <c r="I1247" i="74"/>
  <c r="I1246" i="74"/>
  <c r="I1245" i="74"/>
  <c r="I1244" i="74"/>
  <c r="I1243" i="74"/>
  <c r="I1242" i="74"/>
  <c r="I1241" i="74"/>
  <c r="I1240" i="74"/>
  <c r="I1239" i="74"/>
  <c r="I1238" i="74"/>
  <c r="I1237" i="74"/>
  <c r="I1236" i="74"/>
  <c r="I1235" i="74"/>
  <c r="I1234" i="74"/>
  <c r="I1233" i="74"/>
  <c r="I1232" i="74"/>
  <c r="I1231" i="74"/>
  <c r="I1230" i="74"/>
  <c r="I1229" i="74"/>
  <c r="I1228" i="74"/>
  <c r="I1227" i="74"/>
  <c r="I1226" i="74"/>
  <c r="I1225" i="74"/>
  <c r="I1224" i="74"/>
  <c r="I1223" i="74"/>
  <c r="I1222" i="74"/>
  <c r="I1221" i="74"/>
  <c r="I1220" i="74"/>
  <c r="I1219" i="74"/>
  <c r="I1218" i="74"/>
  <c r="I1217" i="74"/>
  <c r="I1216" i="74"/>
  <c r="I1215" i="74"/>
  <c r="I1214" i="74"/>
  <c r="I1213" i="74"/>
  <c r="I1212" i="74"/>
  <c r="I1211" i="74"/>
  <c r="I1210" i="74"/>
  <c r="I1209" i="74"/>
  <c r="I1208" i="74"/>
  <c r="I1207" i="74"/>
  <c r="I1206" i="74"/>
  <c r="I1205" i="74"/>
  <c r="I1204" i="74"/>
  <c r="I1203" i="74"/>
  <c r="I1202" i="74"/>
  <c r="I1201" i="74"/>
  <c r="I1200" i="74"/>
  <c r="I1199" i="74"/>
  <c r="I1198" i="74"/>
  <c r="I1197" i="74"/>
  <c r="I1196" i="74"/>
  <c r="I1195" i="74"/>
  <c r="I1194" i="74"/>
  <c r="I1193" i="74"/>
  <c r="I1192" i="74"/>
  <c r="I1191" i="74"/>
  <c r="I1190" i="74"/>
  <c r="I1189" i="74"/>
  <c r="I1188" i="74"/>
  <c r="I1187" i="74"/>
  <c r="I1186" i="74"/>
  <c r="I1185" i="74"/>
  <c r="I1184" i="74"/>
  <c r="I1183" i="74"/>
  <c r="I1182" i="74"/>
  <c r="I1181" i="74"/>
  <c r="I1180" i="74"/>
  <c r="I1179" i="74"/>
  <c r="I1178" i="74"/>
  <c r="I1177" i="74"/>
  <c r="I1176" i="74"/>
  <c r="I1175" i="74"/>
  <c r="I1174" i="74"/>
  <c r="I1173" i="74"/>
  <c r="I1172" i="74"/>
  <c r="I1171" i="74"/>
  <c r="I1170" i="74"/>
  <c r="I1169" i="74"/>
  <c r="I1168" i="74"/>
  <c r="I1167" i="74"/>
  <c r="I1166" i="74"/>
  <c r="I1165" i="74"/>
  <c r="I1164" i="74"/>
  <c r="I1163" i="74"/>
  <c r="I1162" i="74"/>
  <c r="I1161" i="74"/>
  <c r="I1160" i="74"/>
  <c r="I1159" i="74"/>
  <c r="I1158" i="74"/>
  <c r="I1157" i="74"/>
  <c r="I1156" i="74"/>
  <c r="I1155" i="74"/>
  <c r="I1154" i="74"/>
  <c r="I1153" i="74"/>
  <c r="I1152" i="74"/>
  <c r="I1151" i="74"/>
  <c r="I1150" i="74"/>
  <c r="I1149" i="74"/>
  <c r="I1148" i="74"/>
  <c r="I1147" i="74"/>
  <c r="I1146" i="74"/>
  <c r="I1145" i="74"/>
  <c r="I1144" i="74"/>
  <c r="I1143" i="74"/>
  <c r="I1142" i="74"/>
  <c r="I1141" i="74"/>
  <c r="I1140" i="74"/>
  <c r="I1139" i="74"/>
  <c r="I1138" i="74"/>
  <c r="I1137" i="74"/>
  <c r="I1136" i="74"/>
  <c r="I1135" i="74"/>
  <c r="I1134" i="74"/>
  <c r="I1133" i="74"/>
  <c r="I1132" i="74"/>
  <c r="I1131" i="74"/>
  <c r="I1130" i="74"/>
  <c r="I1129" i="74"/>
  <c r="I1128" i="74"/>
  <c r="I1127" i="74"/>
  <c r="I1126" i="74"/>
  <c r="I1125" i="74"/>
  <c r="I1124" i="74"/>
  <c r="I1123" i="74"/>
  <c r="I1122" i="74"/>
  <c r="I1121" i="74"/>
  <c r="I1120" i="74"/>
  <c r="I1119" i="74"/>
  <c r="I1118" i="74"/>
  <c r="I1117" i="74"/>
  <c r="I1116" i="74"/>
  <c r="I1115" i="74"/>
  <c r="I1114" i="74"/>
  <c r="I1113" i="74"/>
  <c r="I1112" i="74"/>
  <c r="I1111" i="74"/>
  <c r="I1110" i="74"/>
  <c r="I1109" i="74"/>
  <c r="I1108" i="74"/>
  <c r="I1107" i="74"/>
  <c r="I1106" i="74"/>
  <c r="I1105" i="74"/>
  <c r="I1104" i="74"/>
  <c r="I1103" i="74"/>
  <c r="I1102" i="74"/>
  <c r="I1101" i="74"/>
  <c r="I1100" i="74"/>
  <c r="I1099" i="74"/>
  <c r="I1098" i="74"/>
  <c r="I1097" i="74"/>
  <c r="I1096" i="74"/>
  <c r="I1095" i="74"/>
  <c r="I1094" i="74"/>
  <c r="I1093" i="74"/>
  <c r="I1092" i="74"/>
  <c r="I1091" i="74"/>
  <c r="I1090" i="74"/>
  <c r="I1089" i="74"/>
  <c r="I1088" i="74"/>
  <c r="I1087" i="74"/>
  <c r="I1086" i="74"/>
  <c r="I1085" i="74"/>
  <c r="I1084" i="74"/>
  <c r="I1083" i="74"/>
  <c r="I1082" i="74"/>
  <c r="I1081" i="74"/>
  <c r="I1080" i="74"/>
  <c r="I1079" i="74"/>
  <c r="I1078" i="74"/>
  <c r="I1077" i="74"/>
  <c r="I1076" i="74"/>
  <c r="I1075" i="74"/>
  <c r="I1074" i="74"/>
  <c r="I1073" i="74"/>
  <c r="I1072" i="74"/>
  <c r="I1071" i="74"/>
  <c r="I1070" i="74"/>
  <c r="I1069" i="74"/>
  <c r="I1068" i="74"/>
  <c r="I1067" i="74"/>
  <c r="I1066" i="74"/>
  <c r="I1065" i="74"/>
  <c r="I1064" i="74"/>
  <c r="I1063" i="74"/>
  <c r="I1062" i="74"/>
  <c r="I1061" i="74"/>
  <c r="I1060" i="74"/>
  <c r="I1059" i="74"/>
  <c r="I1058" i="74"/>
  <c r="I1057" i="74"/>
  <c r="I1056" i="74"/>
  <c r="I1055" i="74"/>
  <c r="I1054" i="74"/>
  <c r="I1053" i="74"/>
  <c r="I1052" i="74"/>
  <c r="I1051" i="74"/>
  <c r="I1050" i="74"/>
  <c r="I1049" i="74"/>
  <c r="I1048" i="74"/>
  <c r="I1047" i="74"/>
  <c r="I1046" i="74"/>
  <c r="I1045" i="74"/>
  <c r="I1044" i="74"/>
  <c r="I1043" i="74"/>
  <c r="I1042" i="74"/>
  <c r="I1041" i="74"/>
  <c r="I1040" i="74"/>
  <c r="I1039" i="74"/>
  <c r="I1038" i="74"/>
  <c r="I1037" i="74"/>
  <c r="I1036" i="74"/>
  <c r="I1035" i="74"/>
  <c r="I1034" i="74"/>
  <c r="I1033" i="74"/>
  <c r="I1032" i="74"/>
  <c r="I1031" i="74"/>
  <c r="I1030" i="74"/>
  <c r="I1029" i="74"/>
  <c r="I1028" i="74"/>
  <c r="I1027" i="74"/>
  <c r="I1026" i="74"/>
  <c r="I1025" i="74"/>
  <c r="I1024" i="74"/>
  <c r="I1023" i="74"/>
  <c r="I1022" i="74"/>
  <c r="I1021" i="74"/>
  <c r="I1020" i="74"/>
  <c r="I1019" i="74"/>
  <c r="I1018" i="74"/>
  <c r="I1017" i="74"/>
  <c r="I1016" i="74"/>
  <c r="I1015" i="74"/>
  <c r="I1014" i="74"/>
  <c r="I1013" i="74"/>
  <c r="I1012" i="74"/>
  <c r="I1011" i="74"/>
  <c r="I1010" i="74"/>
  <c r="I1009" i="74"/>
  <c r="I1008" i="74"/>
  <c r="I1007" i="74"/>
  <c r="I1006" i="74"/>
  <c r="I1005" i="74"/>
  <c r="I1004" i="74"/>
  <c r="I1003" i="74"/>
  <c r="I1002" i="74"/>
  <c r="I1001" i="74"/>
  <c r="I1000" i="74"/>
  <c r="I999" i="74"/>
  <c r="I998" i="74"/>
  <c r="I997" i="74"/>
  <c r="I996" i="74"/>
  <c r="I995" i="74"/>
  <c r="I994" i="74"/>
  <c r="I993" i="74"/>
  <c r="I992" i="74"/>
  <c r="I991" i="74"/>
  <c r="I990" i="74"/>
  <c r="I989" i="74"/>
  <c r="I988" i="74"/>
  <c r="I987" i="74"/>
  <c r="I986" i="74"/>
  <c r="I985" i="74"/>
  <c r="I984" i="74"/>
  <c r="I983" i="74"/>
  <c r="I982" i="74"/>
  <c r="I981" i="74"/>
  <c r="I980" i="74"/>
  <c r="I979" i="74"/>
  <c r="I978" i="74"/>
  <c r="I977" i="74"/>
  <c r="I976" i="74"/>
  <c r="I975" i="74"/>
  <c r="I974" i="74"/>
  <c r="I973" i="74"/>
  <c r="I972" i="74"/>
  <c r="I971" i="74"/>
  <c r="I970" i="74"/>
  <c r="I969" i="74"/>
  <c r="I968" i="74"/>
  <c r="I967" i="74"/>
  <c r="I966" i="74"/>
  <c r="I965" i="74"/>
  <c r="I964" i="74"/>
  <c r="I963" i="74"/>
  <c r="I962" i="74"/>
  <c r="I961" i="74"/>
  <c r="I960" i="74"/>
  <c r="I959" i="74"/>
  <c r="I958" i="74"/>
  <c r="I957" i="74"/>
  <c r="I956" i="74"/>
  <c r="I955" i="74"/>
  <c r="I954" i="74"/>
  <c r="I953" i="74"/>
  <c r="I952" i="74"/>
  <c r="I951" i="74"/>
  <c r="I950" i="74"/>
  <c r="I949" i="74"/>
  <c r="I948" i="74"/>
  <c r="I947" i="74"/>
  <c r="I946" i="74"/>
  <c r="I945" i="74"/>
  <c r="I944" i="74"/>
  <c r="I943" i="74"/>
  <c r="I942" i="74"/>
  <c r="I941" i="74"/>
  <c r="I940" i="74"/>
  <c r="I939" i="74"/>
  <c r="I938" i="74"/>
  <c r="I937" i="74"/>
  <c r="I936" i="74"/>
  <c r="I935" i="74"/>
  <c r="I934" i="74"/>
  <c r="I933" i="74"/>
  <c r="I932" i="74"/>
  <c r="I931" i="74"/>
  <c r="I930" i="74"/>
  <c r="I929" i="74"/>
  <c r="I928" i="74"/>
  <c r="I927" i="74"/>
  <c r="I926" i="74"/>
  <c r="I925" i="74"/>
  <c r="I924" i="74"/>
  <c r="I923" i="74"/>
  <c r="I922" i="74"/>
  <c r="I921" i="74"/>
  <c r="I920" i="74"/>
  <c r="I919" i="74"/>
  <c r="I918" i="74"/>
  <c r="I917" i="74"/>
  <c r="I916" i="74"/>
  <c r="I915" i="74"/>
  <c r="I914" i="74"/>
  <c r="I913" i="74"/>
  <c r="I912" i="74"/>
  <c r="I911" i="74"/>
  <c r="I910" i="74"/>
  <c r="I909" i="74"/>
  <c r="I908" i="74"/>
  <c r="I907" i="74"/>
  <c r="I906" i="74"/>
  <c r="I905" i="74"/>
  <c r="I904" i="74"/>
  <c r="I903" i="74"/>
  <c r="I902" i="74"/>
  <c r="I901" i="74"/>
  <c r="I900" i="74"/>
  <c r="I899" i="74"/>
  <c r="I898" i="74"/>
  <c r="I897" i="74"/>
  <c r="I896" i="74"/>
  <c r="I895" i="74"/>
  <c r="I894" i="74"/>
  <c r="I893" i="74"/>
  <c r="I892" i="74"/>
  <c r="I891" i="74"/>
  <c r="I890" i="74"/>
  <c r="I889" i="74"/>
  <c r="I888" i="74"/>
  <c r="I887" i="74"/>
  <c r="I886" i="74"/>
  <c r="I885" i="74"/>
  <c r="I884" i="74"/>
  <c r="I883" i="74"/>
  <c r="I882" i="74"/>
  <c r="I881" i="74"/>
  <c r="I880" i="74"/>
  <c r="I879" i="74"/>
  <c r="I878" i="74"/>
  <c r="I877" i="74"/>
  <c r="I876" i="74"/>
  <c r="I875" i="74"/>
  <c r="I874" i="74"/>
  <c r="I873" i="74"/>
  <c r="I872" i="74"/>
  <c r="I871" i="74"/>
  <c r="I870" i="74"/>
  <c r="I869" i="74"/>
  <c r="I868" i="74"/>
  <c r="I867" i="74"/>
  <c r="I866" i="74"/>
  <c r="I865" i="74"/>
  <c r="I864" i="74"/>
  <c r="I863" i="74"/>
  <c r="I862" i="74"/>
  <c r="I861" i="74"/>
  <c r="I860" i="74"/>
  <c r="I859" i="74"/>
  <c r="I858" i="74"/>
  <c r="I857" i="74"/>
  <c r="I856" i="74"/>
  <c r="I855" i="74"/>
  <c r="I854" i="74"/>
  <c r="I853" i="74"/>
  <c r="I852" i="74"/>
  <c r="I851" i="74"/>
  <c r="I850" i="74"/>
  <c r="I849" i="74"/>
  <c r="I848" i="74"/>
  <c r="I847" i="74"/>
  <c r="I846" i="74"/>
  <c r="I845" i="74"/>
  <c r="I844" i="74"/>
  <c r="I843" i="74"/>
  <c r="I842" i="74"/>
  <c r="I841" i="74"/>
  <c r="I840" i="74"/>
  <c r="I839" i="74"/>
  <c r="I838" i="74"/>
  <c r="I837" i="74"/>
  <c r="I836" i="74"/>
  <c r="I835" i="74"/>
  <c r="I834" i="74"/>
  <c r="I833" i="74"/>
  <c r="I832" i="74"/>
  <c r="I831" i="74"/>
  <c r="I830" i="74"/>
  <c r="I829" i="74"/>
  <c r="I828" i="74"/>
  <c r="I827" i="74"/>
  <c r="I826" i="74"/>
  <c r="I825" i="74"/>
  <c r="I824" i="74"/>
  <c r="I823" i="74"/>
  <c r="I822" i="74"/>
  <c r="I821" i="74"/>
  <c r="I820" i="74"/>
  <c r="I819" i="74"/>
  <c r="I818" i="74"/>
  <c r="I817" i="74"/>
  <c r="I816" i="74"/>
  <c r="I815" i="74"/>
  <c r="I814" i="74"/>
  <c r="I813" i="74"/>
  <c r="I812" i="74"/>
  <c r="I811" i="74"/>
  <c r="I810" i="74"/>
  <c r="I809" i="74"/>
  <c r="I808" i="74"/>
  <c r="I807" i="74"/>
  <c r="I806" i="74"/>
  <c r="I805" i="74"/>
  <c r="I804" i="74"/>
  <c r="I803" i="74"/>
  <c r="I802" i="74"/>
  <c r="I801" i="74"/>
  <c r="I800" i="74"/>
  <c r="I799" i="74"/>
  <c r="I798" i="74"/>
  <c r="I797" i="74"/>
  <c r="I796" i="74"/>
  <c r="I795" i="74"/>
  <c r="I794" i="74"/>
  <c r="I793" i="74"/>
  <c r="I792" i="74"/>
  <c r="I791" i="74"/>
  <c r="I790" i="74"/>
  <c r="I789" i="74"/>
  <c r="I788" i="74"/>
  <c r="I787" i="74"/>
  <c r="I786" i="74"/>
  <c r="I785" i="74"/>
  <c r="I784" i="74"/>
  <c r="I783" i="74"/>
  <c r="I782" i="74"/>
  <c r="I781" i="74"/>
  <c r="I780" i="74"/>
  <c r="I779" i="74"/>
  <c r="I778" i="74"/>
  <c r="I777" i="74"/>
  <c r="I776" i="74"/>
  <c r="I775" i="74"/>
  <c r="I774" i="74"/>
  <c r="I773" i="74"/>
  <c r="I772" i="74"/>
  <c r="I771" i="74"/>
  <c r="I770" i="74"/>
  <c r="I769" i="74"/>
  <c r="I768" i="74"/>
  <c r="I767" i="74"/>
  <c r="I766" i="74"/>
  <c r="I765" i="74"/>
  <c r="I764" i="74"/>
  <c r="I763" i="74"/>
  <c r="I762" i="74"/>
  <c r="I761" i="74"/>
  <c r="I760" i="74"/>
  <c r="I759" i="74"/>
  <c r="I758" i="74"/>
  <c r="I757" i="74"/>
  <c r="I756" i="74"/>
  <c r="I755" i="74"/>
  <c r="I754" i="74"/>
  <c r="I753" i="74"/>
  <c r="I752" i="74"/>
  <c r="I751" i="74"/>
  <c r="I750" i="74"/>
  <c r="I749" i="74"/>
  <c r="I748" i="74"/>
  <c r="I747" i="74"/>
  <c r="I746" i="74"/>
  <c r="I745" i="74"/>
  <c r="I744" i="74"/>
  <c r="I743" i="74"/>
  <c r="I742" i="74"/>
  <c r="I741" i="74"/>
  <c r="I740" i="74"/>
  <c r="I739" i="74"/>
  <c r="I738" i="74"/>
  <c r="I737" i="74"/>
  <c r="I736" i="74"/>
  <c r="I735" i="74"/>
  <c r="I734" i="74"/>
  <c r="I733" i="74"/>
  <c r="I732" i="74"/>
  <c r="I731" i="74"/>
  <c r="I730" i="74"/>
  <c r="I729" i="74"/>
  <c r="I728" i="74"/>
  <c r="I727" i="74"/>
  <c r="I726" i="74"/>
  <c r="I725" i="74"/>
  <c r="I724" i="74"/>
  <c r="I723" i="74"/>
  <c r="I722" i="74"/>
  <c r="I721" i="74"/>
  <c r="I720" i="74"/>
  <c r="I719" i="74"/>
  <c r="I718" i="74"/>
  <c r="I717" i="74"/>
  <c r="I716" i="74"/>
  <c r="I715" i="74"/>
  <c r="I714" i="74"/>
  <c r="I713" i="74"/>
  <c r="I712" i="74"/>
  <c r="I711" i="74"/>
  <c r="I710" i="74"/>
  <c r="I709" i="74"/>
  <c r="I708" i="74"/>
  <c r="I707" i="74"/>
  <c r="I706" i="74"/>
  <c r="I705" i="74"/>
  <c r="I704" i="74"/>
  <c r="I703" i="74"/>
  <c r="I702" i="74"/>
  <c r="I701" i="74"/>
  <c r="I700" i="74"/>
  <c r="I699" i="74"/>
  <c r="I698" i="74"/>
  <c r="I697" i="74"/>
  <c r="I696" i="74"/>
  <c r="I695" i="74"/>
  <c r="I694" i="74"/>
  <c r="I693" i="74"/>
  <c r="I692" i="74"/>
  <c r="I691" i="74"/>
  <c r="I690" i="74"/>
  <c r="I689" i="74"/>
  <c r="I688" i="74"/>
  <c r="I687" i="74"/>
  <c r="I686" i="74"/>
  <c r="I685" i="74"/>
  <c r="I684" i="74"/>
  <c r="I683" i="74"/>
  <c r="I682" i="74"/>
  <c r="I681" i="74"/>
  <c r="I680" i="74"/>
  <c r="I679" i="74"/>
  <c r="I678" i="74"/>
  <c r="I677" i="74"/>
  <c r="I676" i="74"/>
  <c r="I675" i="74"/>
  <c r="I674" i="74"/>
  <c r="I673" i="74"/>
  <c r="I672" i="74"/>
  <c r="I671" i="74"/>
  <c r="I670" i="74"/>
  <c r="I669" i="74"/>
  <c r="I668" i="74"/>
  <c r="I667" i="74"/>
  <c r="I666" i="74"/>
  <c r="I665" i="74"/>
  <c r="I664" i="74"/>
  <c r="I663" i="74"/>
  <c r="I662" i="74"/>
  <c r="I661" i="74"/>
  <c r="I660" i="74"/>
  <c r="I659" i="74"/>
  <c r="I658" i="74"/>
  <c r="I657" i="74"/>
  <c r="I656" i="74"/>
  <c r="I655" i="74"/>
  <c r="I654" i="74"/>
  <c r="I653" i="74"/>
  <c r="I652" i="74"/>
  <c r="I651" i="74"/>
  <c r="I650" i="74"/>
  <c r="I649" i="74"/>
  <c r="I648" i="74"/>
  <c r="I647" i="74"/>
  <c r="I646" i="74"/>
  <c r="I645" i="74"/>
  <c r="I644" i="74"/>
  <c r="I643" i="74"/>
  <c r="I642" i="74"/>
  <c r="I641" i="74"/>
  <c r="I640" i="74"/>
  <c r="I639" i="74"/>
  <c r="I638" i="74"/>
  <c r="I637" i="74"/>
  <c r="I636" i="74"/>
  <c r="I635" i="74"/>
  <c r="I634" i="74"/>
  <c r="I633" i="74"/>
  <c r="I632" i="74"/>
  <c r="I631" i="74"/>
  <c r="I630" i="74"/>
  <c r="I629" i="74"/>
  <c r="I628" i="74"/>
  <c r="I627" i="74"/>
  <c r="I626" i="74"/>
  <c r="I625" i="74"/>
  <c r="I624" i="74"/>
  <c r="I623" i="74"/>
  <c r="I622" i="74"/>
  <c r="I621" i="74"/>
  <c r="I620" i="74"/>
  <c r="I619" i="74"/>
  <c r="I618" i="74"/>
  <c r="I617" i="74"/>
  <c r="I616" i="74"/>
  <c r="I615" i="74"/>
  <c r="I614" i="74"/>
  <c r="I613" i="74"/>
  <c r="I612" i="74"/>
  <c r="I611" i="74"/>
  <c r="I610" i="74"/>
  <c r="I609" i="74"/>
  <c r="I608" i="74"/>
  <c r="I607" i="74"/>
  <c r="I606" i="74"/>
  <c r="I605" i="74"/>
  <c r="I604" i="74"/>
  <c r="I603" i="74"/>
  <c r="I602" i="74"/>
  <c r="I601" i="74"/>
  <c r="I600" i="74"/>
  <c r="I599" i="74"/>
  <c r="I598" i="74"/>
  <c r="I597" i="74"/>
  <c r="I596" i="74"/>
  <c r="I595" i="74"/>
  <c r="I594" i="74"/>
  <c r="I593" i="74"/>
  <c r="I592" i="74"/>
  <c r="I591" i="74"/>
  <c r="I590" i="74"/>
  <c r="I589" i="74"/>
  <c r="I588" i="74"/>
  <c r="I587" i="74"/>
  <c r="I586" i="74"/>
  <c r="I585" i="74"/>
  <c r="I584" i="74"/>
  <c r="I583" i="74"/>
  <c r="I582" i="74"/>
  <c r="I581" i="74"/>
  <c r="I580" i="74"/>
  <c r="I579" i="74"/>
  <c r="I578" i="74"/>
  <c r="I577" i="74"/>
  <c r="I576" i="74"/>
  <c r="I575" i="74"/>
  <c r="I574" i="74"/>
  <c r="I573" i="74"/>
  <c r="I572" i="74"/>
  <c r="I571" i="74"/>
  <c r="I570" i="74"/>
  <c r="I569" i="74"/>
  <c r="I568" i="74"/>
  <c r="I567" i="74"/>
  <c r="I566" i="74"/>
  <c r="I565" i="74"/>
  <c r="I564" i="74"/>
  <c r="I563" i="74"/>
  <c r="I562" i="74"/>
  <c r="I561" i="74"/>
  <c r="I560" i="74"/>
  <c r="I559" i="74"/>
  <c r="I558" i="74"/>
  <c r="I557" i="74"/>
  <c r="I556" i="74"/>
  <c r="I555" i="74"/>
  <c r="I554" i="74"/>
  <c r="I553" i="74"/>
  <c r="I552" i="74"/>
  <c r="I551" i="74"/>
  <c r="I550" i="74"/>
  <c r="I549" i="74"/>
  <c r="I548" i="74"/>
  <c r="I547" i="74"/>
  <c r="I546" i="74"/>
  <c r="I545" i="74"/>
  <c r="I544" i="74"/>
  <c r="I543" i="74"/>
  <c r="I542" i="74"/>
  <c r="I541" i="74"/>
  <c r="I540" i="74"/>
  <c r="I539" i="74"/>
  <c r="I538" i="74"/>
  <c r="I537" i="74"/>
  <c r="I536" i="74"/>
  <c r="I535" i="74"/>
  <c r="I534" i="74"/>
  <c r="I533" i="74"/>
  <c r="I532" i="74"/>
  <c r="I531" i="74"/>
  <c r="I530" i="74"/>
  <c r="I529" i="74"/>
  <c r="I528" i="74"/>
  <c r="I527" i="74"/>
  <c r="I526" i="74"/>
  <c r="I525" i="74"/>
  <c r="I524" i="74"/>
  <c r="I523" i="74"/>
  <c r="I522" i="74"/>
  <c r="I521" i="74"/>
  <c r="I520" i="74"/>
  <c r="I519" i="74"/>
  <c r="I518" i="74"/>
  <c r="I517" i="74"/>
  <c r="I516" i="74"/>
  <c r="I515" i="74"/>
  <c r="I514" i="74"/>
  <c r="I513" i="74"/>
  <c r="I512" i="74"/>
  <c r="I511" i="74"/>
  <c r="I510" i="74"/>
  <c r="I509" i="74"/>
  <c r="I508" i="74"/>
  <c r="I507" i="74"/>
  <c r="I506" i="74"/>
  <c r="I505" i="74"/>
  <c r="I504" i="74"/>
  <c r="I503" i="74"/>
  <c r="I502" i="74"/>
  <c r="I501" i="74"/>
  <c r="I500" i="74"/>
  <c r="I499" i="74"/>
  <c r="I498" i="74"/>
  <c r="I497" i="74"/>
  <c r="I496" i="74"/>
  <c r="I495" i="74"/>
  <c r="I494" i="74"/>
  <c r="I493" i="74"/>
  <c r="I492" i="74"/>
  <c r="I491" i="74"/>
  <c r="I490" i="74"/>
  <c r="I489" i="74"/>
  <c r="I488" i="74"/>
  <c r="I487" i="74"/>
  <c r="I486" i="74"/>
  <c r="I485" i="74"/>
  <c r="I484" i="74"/>
  <c r="I483" i="74"/>
  <c r="I482" i="74"/>
  <c r="I481" i="74"/>
  <c r="I480" i="74"/>
  <c r="I479" i="74"/>
  <c r="I478" i="74"/>
  <c r="I477" i="74"/>
  <c r="I476" i="74"/>
  <c r="I475" i="74"/>
  <c r="I474" i="74"/>
  <c r="I473" i="74"/>
  <c r="I472" i="74"/>
  <c r="I471" i="74"/>
  <c r="I470" i="74"/>
  <c r="I469" i="74"/>
  <c r="I468" i="74"/>
  <c r="I467" i="74"/>
  <c r="I466" i="74"/>
  <c r="I465" i="74"/>
  <c r="I464" i="74"/>
  <c r="I463" i="74"/>
  <c r="I462" i="74"/>
  <c r="I461" i="74"/>
  <c r="I460" i="74"/>
  <c r="I459" i="74"/>
  <c r="I458" i="74"/>
  <c r="I457" i="74"/>
  <c r="I456" i="74"/>
  <c r="I455" i="74"/>
  <c r="I454" i="74"/>
  <c r="I453" i="74"/>
  <c r="I452" i="74"/>
  <c r="I451" i="74"/>
  <c r="I450" i="74"/>
  <c r="I449" i="74"/>
  <c r="I448" i="74"/>
  <c r="I447" i="74"/>
  <c r="I446" i="74"/>
  <c r="I445" i="74"/>
  <c r="I444" i="74"/>
  <c r="I443" i="74"/>
  <c r="I442" i="74"/>
  <c r="I441" i="74"/>
  <c r="I440" i="74"/>
  <c r="I439" i="74"/>
  <c r="I438" i="74"/>
  <c r="I437" i="74"/>
  <c r="I436" i="74"/>
  <c r="I435" i="74"/>
  <c r="I434" i="74"/>
  <c r="I433" i="74"/>
  <c r="I432" i="74"/>
  <c r="I431" i="74"/>
  <c r="I430" i="74"/>
  <c r="I429" i="74"/>
  <c r="I428" i="74"/>
  <c r="I427" i="74"/>
  <c r="I426" i="74"/>
  <c r="I425" i="74"/>
  <c r="I424" i="74"/>
  <c r="I423" i="74"/>
  <c r="I422" i="74"/>
  <c r="I421" i="74"/>
  <c r="I420" i="74"/>
  <c r="I419" i="74"/>
  <c r="I418" i="74"/>
  <c r="I417" i="74"/>
  <c r="I416" i="74"/>
  <c r="I415" i="74"/>
  <c r="I414" i="74"/>
  <c r="I413" i="74"/>
  <c r="I412" i="74"/>
  <c r="I411" i="74"/>
  <c r="I410" i="74"/>
  <c r="I409" i="74"/>
  <c r="I408" i="74"/>
  <c r="I407" i="74"/>
  <c r="I406" i="74"/>
  <c r="I405" i="74"/>
  <c r="I404" i="74"/>
  <c r="I403" i="74"/>
  <c r="I402" i="74"/>
  <c r="I401" i="74"/>
  <c r="I400" i="74"/>
  <c r="I399" i="74"/>
  <c r="I398" i="74"/>
  <c r="I397" i="74"/>
  <c r="I396" i="74"/>
  <c r="I395" i="74"/>
  <c r="I394" i="74"/>
  <c r="I393" i="74"/>
  <c r="I392" i="74"/>
  <c r="I391" i="74"/>
  <c r="I390" i="74"/>
  <c r="I389" i="74"/>
  <c r="I388" i="74"/>
  <c r="I387" i="74"/>
  <c r="I386" i="74"/>
  <c r="I385" i="74"/>
  <c r="I384" i="74"/>
  <c r="I383" i="74"/>
  <c r="I382" i="74"/>
  <c r="I381" i="74"/>
  <c r="I380" i="74"/>
  <c r="I379" i="74"/>
  <c r="I378" i="74"/>
  <c r="I377" i="74"/>
  <c r="I376" i="74"/>
  <c r="I375" i="74"/>
  <c r="I374" i="74"/>
  <c r="I373" i="74"/>
  <c r="I372" i="74"/>
  <c r="I371" i="74"/>
  <c r="I370" i="74"/>
  <c r="I369" i="74"/>
  <c r="I368" i="74"/>
  <c r="I367" i="74"/>
  <c r="I366" i="74"/>
  <c r="I365" i="74"/>
  <c r="I364" i="74"/>
  <c r="I363" i="74"/>
  <c r="I362" i="74"/>
  <c r="I361" i="74"/>
  <c r="I360" i="74"/>
  <c r="I359" i="74"/>
  <c r="I358" i="74"/>
  <c r="I357" i="74"/>
  <c r="I356" i="74"/>
  <c r="I355" i="74"/>
  <c r="I354" i="74"/>
  <c r="I353" i="74"/>
  <c r="I352" i="74"/>
  <c r="I351" i="74"/>
  <c r="I350" i="74"/>
  <c r="I349" i="74"/>
  <c r="I348" i="74"/>
  <c r="I347" i="74"/>
  <c r="I346" i="74"/>
  <c r="I345" i="74"/>
  <c r="I344" i="74"/>
  <c r="I343" i="74"/>
  <c r="I342" i="74"/>
  <c r="I341" i="74"/>
  <c r="I340" i="74"/>
  <c r="I339" i="74"/>
  <c r="I338" i="74"/>
  <c r="I337" i="74"/>
  <c r="I336" i="74"/>
  <c r="I335" i="74"/>
  <c r="I334" i="74"/>
  <c r="I333" i="74"/>
  <c r="I332" i="74"/>
  <c r="I331" i="74"/>
  <c r="I330" i="74"/>
  <c r="I329" i="74"/>
  <c r="I328" i="74"/>
  <c r="I327" i="74"/>
  <c r="I326" i="74"/>
  <c r="I325" i="74"/>
  <c r="I324" i="74"/>
  <c r="I323" i="74"/>
  <c r="I322" i="74"/>
  <c r="I321" i="74"/>
  <c r="I320" i="74"/>
  <c r="I319" i="74"/>
  <c r="I318" i="74"/>
  <c r="I317" i="74"/>
  <c r="I316" i="74"/>
  <c r="I315" i="74"/>
  <c r="I314" i="74"/>
  <c r="I313" i="74"/>
  <c r="I312" i="74"/>
  <c r="I311" i="74"/>
  <c r="I310" i="74"/>
  <c r="I309" i="74"/>
  <c r="I308" i="74"/>
  <c r="I307" i="74"/>
  <c r="I306" i="74"/>
  <c r="I305" i="74"/>
  <c r="I304" i="74"/>
  <c r="I303" i="74"/>
  <c r="I302" i="74"/>
  <c r="I301" i="74"/>
  <c r="I300" i="74"/>
  <c r="I299" i="74"/>
  <c r="I298" i="74"/>
  <c r="I297" i="74"/>
  <c r="I296" i="74"/>
  <c r="I295" i="74"/>
  <c r="I294" i="74"/>
  <c r="I293" i="74"/>
  <c r="I292" i="74"/>
  <c r="I291" i="74"/>
  <c r="I290" i="74"/>
  <c r="I289" i="74"/>
  <c r="I288" i="74"/>
  <c r="I287" i="74"/>
  <c r="I286" i="74"/>
  <c r="I285" i="74"/>
  <c r="I284" i="74"/>
  <c r="I283" i="74"/>
  <c r="I282" i="74"/>
  <c r="I281" i="74"/>
  <c r="I280" i="74"/>
  <c r="I279" i="74"/>
  <c r="I278" i="74"/>
  <c r="I277" i="74"/>
  <c r="I276" i="74"/>
  <c r="I275" i="74"/>
  <c r="I274" i="74"/>
  <c r="I273" i="74"/>
  <c r="I272" i="74"/>
  <c r="I271" i="74"/>
  <c r="I270" i="74"/>
  <c r="I269" i="74"/>
  <c r="I268" i="74"/>
  <c r="I267" i="74"/>
  <c r="I266" i="74"/>
  <c r="I265" i="74"/>
  <c r="I264" i="74"/>
  <c r="I263" i="74"/>
  <c r="I262" i="74"/>
  <c r="I261" i="74"/>
  <c r="I260" i="74"/>
  <c r="I259" i="74"/>
  <c r="I258" i="74"/>
  <c r="I257" i="74"/>
  <c r="I256" i="74"/>
  <c r="I255" i="74"/>
  <c r="I254" i="74"/>
  <c r="I253" i="74"/>
  <c r="I252" i="74"/>
  <c r="I251" i="74"/>
  <c r="I250" i="74"/>
  <c r="I249" i="74"/>
  <c r="I248" i="74"/>
  <c r="I247" i="74"/>
  <c r="I246" i="74"/>
  <c r="I245" i="74"/>
  <c r="I244" i="74"/>
  <c r="I243" i="74"/>
  <c r="I242" i="74"/>
  <c r="I241" i="74"/>
  <c r="I240" i="74"/>
  <c r="I239" i="74"/>
  <c r="I238" i="74"/>
  <c r="I237" i="74"/>
  <c r="I236" i="74"/>
  <c r="I235" i="74"/>
  <c r="I234" i="74"/>
  <c r="I233" i="74"/>
  <c r="I232" i="74"/>
  <c r="I231" i="74"/>
  <c r="I230" i="74"/>
  <c r="I229" i="74"/>
  <c r="I228" i="74"/>
  <c r="I227" i="74"/>
  <c r="I226" i="74"/>
  <c r="I225" i="74"/>
  <c r="I224" i="74"/>
  <c r="I223" i="74"/>
  <c r="I222" i="74"/>
  <c r="I221" i="74"/>
  <c r="I220" i="74"/>
  <c r="I219" i="74"/>
  <c r="I218" i="74"/>
  <c r="I217" i="74"/>
  <c r="I216" i="74"/>
  <c r="I215" i="74"/>
  <c r="I214" i="74"/>
  <c r="I213" i="74"/>
  <c r="I212" i="74"/>
  <c r="I211" i="74"/>
  <c r="I210" i="74"/>
  <c r="I209" i="74"/>
  <c r="I208" i="74"/>
  <c r="I207" i="74"/>
  <c r="I206" i="74"/>
  <c r="I205" i="74"/>
  <c r="I204" i="74"/>
  <c r="I203" i="74"/>
  <c r="I202" i="74"/>
  <c r="I201" i="74"/>
  <c r="I200" i="74"/>
  <c r="I199" i="74"/>
  <c r="I198" i="74"/>
  <c r="I197" i="74"/>
  <c r="I196" i="74"/>
  <c r="I195" i="74"/>
  <c r="I194" i="74"/>
  <c r="I193" i="74"/>
  <c r="I192" i="74"/>
  <c r="I191" i="74"/>
  <c r="I190" i="74"/>
  <c r="I189" i="74"/>
  <c r="I188" i="74"/>
  <c r="I187" i="74"/>
  <c r="I186" i="74"/>
  <c r="I185" i="74"/>
  <c r="I184" i="74"/>
  <c r="I183" i="74"/>
  <c r="I182" i="74"/>
  <c r="I181" i="74"/>
  <c r="I180" i="74"/>
  <c r="I179" i="74"/>
  <c r="I178" i="74"/>
  <c r="I177" i="74"/>
  <c r="I176" i="74"/>
  <c r="I175" i="74"/>
  <c r="I174" i="74"/>
  <c r="I173" i="74"/>
  <c r="I172" i="74"/>
  <c r="I171" i="74"/>
  <c r="I170" i="74"/>
  <c r="I169" i="74"/>
  <c r="I168" i="74"/>
  <c r="I167" i="74"/>
  <c r="I166" i="74"/>
  <c r="I165" i="74"/>
  <c r="I164" i="74"/>
  <c r="I163" i="74"/>
  <c r="I162" i="74"/>
  <c r="I161" i="74"/>
  <c r="I160" i="74"/>
  <c r="I159" i="74"/>
  <c r="I158" i="74"/>
  <c r="I157" i="74"/>
  <c r="I156" i="74"/>
  <c r="I155" i="74"/>
  <c r="I154" i="74"/>
  <c r="I153" i="74"/>
  <c r="I152" i="74"/>
  <c r="I151" i="74"/>
  <c r="I150" i="74"/>
  <c r="I149" i="74"/>
  <c r="I148" i="74"/>
  <c r="I147" i="74"/>
  <c r="I146" i="74"/>
  <c r="I145" i="74"/>
  <c r="I144" i="74"/>
  <c r="I143" i="74"/>
  <c r="I142" i="74"/>
  <c r="I141" i="74"/>
  <c r="I140" i="74"/>
  <c r="I139" i="74"/>
  <c r="I138" i="74"/>
  <c r="I137" i="74"/>
  <c r="I136" i="74"/>
  <c r="I135" i="74"/>
  <c r="I134" i="74"/>
  <c r="I133" i="74"/>
  <c r="I132" i="74"/>
  <c r="I131" i="74"/>
  <c r="I130" i="74"/>
  <c r="I129" i="74"/>
  <c r="I128" i="74"/>
  <c r="I127" i="74"/>
  <c r="I126" i="74"/>
  <c r="I125" i="74"/>
  <c r="I124" i="74"/>
  <c r="I123" i="74"/>
  <c r="I122" i="74"/>
  <c r="I121" i="74"/>
  <c r="I120" i="74"/>
  <c r="I119" i="74"/>
  <c r="I118" i="74"/>
  <c r="I117" i="74"/>
  <c r="I116" i="74"/>
  <c r="I115" i="74"/>
  <c r="I114" i="74"/>
  <c r="I113" i="74"/>
  <c r="I112" i="74"/>
  <c r="I111" i="74"/>
  <c r="I110" i="74"/>
  <c r="I109" i="74"/>
  <c r="I108" i="74"/>
  <c r="I107" i="74"/>
  <c r="I106" i="74"/>
  <c r="I105" i="74"/>
  <c r="I104" i="74"/>
  <c r="I103" i="74"/>
  <c r="I102" i="74"/>
  <c r="I101" i="74"/>
  <c r="I100" i="74"/>
  <c r="I99" i="74"/>
  <c r="I98" i="74"/>
  <c r="I97" i="74"/>
  <c r="I96" i="74"/>
  <c r="I95" i="74"/>
  <c r="I94" i="74"/>
  <c r="I93" i="74"/>
  <c r="I92" i="74"/>
  <c r="I91" i="74"/>
  <c r="I90" i="74"/>
  <c r="I89" i="74"/>
  <c r="I88" i="74"/>
  <c r="I87" i="74"/>
  <c r="I86" i="74"/>
  <c r="I85" i="74"/>
  <c r="I84" i="74"/>
  <c r="I83" i="74"/>
  <c r="I82" i="74"/>
  <c r="I81" i="74"/>
  <c r="I80" i="74"/>
  <c r="I79" i="74"/>
  <c r="I78" i="74"/>
  <c r="I77" i="74"/>
  <c r="I76" i="74"/>
  <c r="I75" i="74"/>
  <c r="I74" i="74"/>
  <c r="I73" i="74"/>
  <c r="I72" i="74"/>
  <c r="I71" i="74"/>
  <c r="I70" i="74"/>
  <c r="I69" i="74"/>
  <c r="I68" i="74"/>
  <c r="I67" i="74"/>
  <c r="I66" i="74"/>
  <c r="I65" i="74"/>
  <c r="I64" i="74"/>
  <c r="I63" i="74"/>
  <c r="I62" i="74"/>
  <c r="I61" i="74"/>
  <c r="I60" i="74"/>
  <c r="I59" i="74"/>
  <c r="I58" i="74"/>
  <c r="I57" i="74"/>
  <c r="I56" i="74"/>
  <c r="I55" i="74"/>
  <c r="I54" i="74"/>
  <c r="I53" i="74"/>
  <c r="I52" i="74"/>
  <c r="I51" i="74"/>
  <c r="I50" i="74"/>
  <c r="I49" i="74"/>
  <c r="I48" i="74"/>
  <c r="I47" i="74"/>
  <c r="I46" i="74"/>
  <c r="I45" i="74"/>
  <c r="I44" i="74"/>
  <c r="I43" i="74"/>
  <c r="I42" i="74"/>
  <c r="I41" i="74"/>
  <c r="I40" i="74"/>
  <c r="I39" i="74"/>
  <c r="I38" i="74"/>
  <c r="I37" i="74"/>
  <c r="I36" i="74"/>
  <c r="I35" i="74"/>
  <c r="I34" i="74"/>
  <c r="I33" i="74"/>
  <c r="I32" i="74"/>
  <c r="I31" i="74"/>
  <c r="I30" i="74"/>
  <c r="I29" i="74"/>
  <c r="I28" i="74"/>
  <c r="I27" i="74"/>
  <c r="I26" i="74"/>
  <c r="I25" i="74"/>
  <c r="I24" i="74"/>
  <c r="I23" i="74"/>
  <c r="I22" i="74"/>
  <c r="I21" i="74"/>
  <c r="I20" i="74"/>
  <c r="I19" i="74"/>
  <c r="I18" i="74"/>
  <c r="I17" i="74"/>
  <c r="I16" i="74"/>
  <c r="I15" i="74"/>
  <c r="I14" i="74"/>
  <c r="I13" i="74"/>
  <c r="I12" i="74"/>
  <c r="I3" i="74"/>
  <c r="I4" i="74"/>
  <c r="I5" i="74"/>
  <c r="I6" i="74"/>
  <c r="I7" i="74"/>
  <c r="I8" i="74"/>
  <c r="I9" i="74"/>
  <c r="I10" i="74"/>
  <c r="I11" i="74"/>
  <c r="G6" i="78"/>
  <c r="S6" i="78" s="1"/>
  <c r="G5" i="78"/>
  <c r="S5" i="78" s="1"/>
  <c r="G4" i="78"/>
  <c r="S4" i="78" s="1"/>
  <c r="G3" i="78"/>
  <c r="S3" i="78" s="1"/>
  <c r="C10" i="78"/>
  <c r="B10" i="78"/>
  <c r="E10" i="78"/>
  <c r="D10" i="78"/>
  <c r="E11" i="78" l="1"/>
  <c r="D11" i="78"/>
  <c r="C11" i="78"/>
  <c r="B11" i="78"/>
  <c r="D5" i="78"/>
  <c r="Q4" i="78"/>
  <c r="Q3" i="78"/>
  <c r="C12" i="78" l="1"/>
  <c r="D12" i="78"/>
  <c r="E12" i="78"/>
  <c r="B12" i="78"/>
  <c r="Q5" i="78"/>
  <c r="D6" i="78"/>
  <c r="C3" i="78" l="1" a="1"/>
  <c r="C3" i="78" s="1"/>
  <c r="J3" i="78" s="1"/>
  <c r="Q6" i="78"/>
  <c r="J4" i="78" l="1"/>
  <c r="J5" i="78"/>
  <c r="J6" i="78"/>
  <c r="I3" i="78"/>
  <c r="I4" i="78"/>
  <c r="I6" i="78"/>
  <c r="I5" i="78"/>
  <c r="B11" i="64" a="1"/>
  <c r="B11" i="64" s="1"/>
  <c r="A2" i="64" a="1"/>
  <c r="A2" i="64" s="1"/>
  <c r="G2" i="64" l="1"/>
  <c r="A2" i="65" a="1"/>
  <c r="A2" i="65" s="1"/>
  <c r="D3" i="64" l="1"/>
  <c r="D4" i="64"/>
  <c r="D5" i="64"/>
  <c r="D2" i="64"/>
  <c r="E4" i="64"/>
  <c r="E3" i="64"/>
  <c r="E2" i="64"/>
  <c r="E5" i="64" l="1"/>
  <c r="G3" i="64" s="1" a="1"/>
  <c r="G3" i="64" s="1"/>
  <c r="L2" i="64" l="1"/>
  <c r="J9" i="64" a="1"/>
  <c r="J9" i="64" s="1"/>
  <c r="B2" i="65" l="1" a="1"/>
  <c r="B2" i="65" s="1"/>
  <c r="B1" i="65" a="1"/>
  <c r="B1" i="65" s="1"/>
  <c r="C3" i="80" l="1" a="1"/>
  <c r="C3" i="80" s="1"/>
  <c r="F3" i="80" s="1" a="1"/>
  <c r="F3" i="80" s="1"/>
  <c r="B3" i="78"/>
  <c r="A3" i="78"/>
  <c r="T3" i="78" s="1"/>
  <c r="H3" i="78" l="1"/>
  <c r="K3" i="78" s="1"/>
  <c r="M3" i="78" s="1"/>
  <c r="R3" i="78"/>
  <c r="N3" i="78" l="1"/>
  <c r="L3" i="78"/>
  <c r="P3" i="78" l="1"/>
  <c r="V3" i="78" s="1"/>
  <c r="O3" i="78"/>
  <c r="U3" i="78" s="1"/>
  <c r="B4" i="78"/>
  <c r="A4" i="78"/>
  <c r="T4" i="78" s="1"/>
  <c r="H4" i="78" l="1"/>
  <c r="K4" i="78" s="1"/>
  <c r="R4" i="78"/>
  <c r="N4" i="78" l="1"/>
  <c r="M4" i="78"/>
  <c r="L4" i="78"/>
  <c r="O4" i="78" l="1"/>
  <c r="U4" i="78" s="1"/>
  <c r="P4" i="78"/>
  <c r="V4" i="78" s="1"/>
  <c r="B5" i="78"/>
  <c r="R5" i="78" s="1"/>
  <c r="A5" i="78"/>
  <c r="T5" i="78" s="1"/>
  <c r="H5" i="78" l="1"/>
  <c r="K5" i="78" s="1"/>
  <c r="N5" i="78" l="1"/>
  <c r="M5" i="78"/>
  <c r="L5" i="78"/>
  <c r="P5" i="78" l="1"/>
  <c r="V5" i="78" s="1"/>
  <c r="O5" i="78"/>
  <c r="U5" i="78" s="1"/>
  <c r="B6" i="78"/>
  <c r="A6" i="78"/>
  <c r="T6" i="78" s="1"/>
  <c r="R6" i="78" l="1"/>
  <c r="H6" i="78"/>
  <c r="K6" i="78" s="1"/>
  <c r="L6" i="78" l="1"/>
  <c r="N6" i="78"/>
  <c r="M6" i="78"/>
  <c r="O6" i="78" l="1"/>
  <c r="U6" i="78" s="1"/>
  <c r="P6" i="78"/>
  <c r="V6" i="78" s="1"/>
  <c r="A16" i="78" l="1" a="1"/>
  <c r="A16" i="7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<sst xmlns="http://schemas.openxmlformats.org/spreadsheetml/2006/main" count="245" uniqueCount="138">
  <si>
    <t>INTC</t>
  </si>
  <si>
    <t>JPM</t>
  </si>
  <si>
    <t>PG</t>
  </si>
  <si>
    <t>Dates</t>
  </si>
  <si>
    <t>Ticker</t>
  </si>
  <si>
    <t>Include?</t>
  </si>
  <si>
    <t>v1</t>
  </si>
  <si>
    <t>Nobs</t>
  </si>
  <si>
    <t>Selected Stocks</t>
  </si>
  <si>
    <t>Number</t>
  </si>
  <si>
    <t>Number of Stocks</t>
  </si>
  <si>
    <t>m</t>
  </si>
  <si>
    <t>S</t>
  </si>
  <si>
    <t>Variance</t>
  </si>
  <si>
    <t>Number of stock</t>
  </si>
  <si>
    <t>AA</t>
  </si>
  <si>
    <t xml:space="preserve"> </t>
  </si>
  <si>
    <t>Underlying</t>
  </si>
  <si>
    <t>Strike</t>
  </si>
  <si>
    <t>Vol</t>
  </si>
  <si>
    <t>Interest Rate</t>
  </si>
  <si>
    <t>Dvd Yield</t>
  </si>
  <si>
    <t>Days to exp</t>
  </si>
  <si>
    <t>Time to exp</t>
  </si>
  <si>
    <t>ln(S/X)</t>
  </si>
  <si>
    <t>t(r-q+sigma)^2/2)</t>
  </si>
  <si>
    <t>sigma(sqrt(t))</t>
  </si>
  <si>
    <t>d1</t>
  </si>
  <si>
    <t>d2</t>
  </si>
  <si>
    <t>N(d1)</t>
  </si>
  <si>
    <t>N(-d1)</t>
  </si>
  <si>
    <t>N(d2)</t>
  </si>
  <si>
    <t>N(-d2)</t>
  </si>
  <si>
    <t>e^-rt</t>
  </si>
  <si>
    <t>Ke^-rt</t>
  </si>
  <si>
    <t>e^-qt</t>
  </si>
  <si>
    <t>S0e^-qt</t>
  </si>
  <si>
    <t>Call Option</t>
  </si>
  <si>
    <t>Put Option</t>
  </si>
  <si>
    <t>S0</t>
  </si>
  <si>
    <t>K</t>
  </si>
  <si>
    <t>r</t>
  </si>
  <si>
    <t>T (in months)</t>
  </si>
  <si>
    <t>Date</t>
  </si>
  <si>
    <t>Open</t>
  </si>
  <si>
    <t>High</t>
  </si>
  <si>
    <t>Low</t>
  </si>
  <si>
    <t>Close</t>
  </si>
  <si>
    <t>AdjClose</t>
  </si>
  <si>
    <t>Volume</t>
  </si>
  <si>
    <t>S0 date</t>
  </si>
  <si>
    <t>Implied Volatility Calculation</t>
  </si>
  <si>
    <t>RS</t>
  </si>
  <si>
    <t>Std Dev</t>
  </si>
  <si>
    <t>Ann. Impl. Vol</t>
  </si>
  <si>
    <t>Black Scholes Calculations</t>
  </si>
  <si>
    <t>Holding</t>
  </si>
  <si>
    <t>Long 6 Calls</t>
  </si>
  <si>
    <t>Long 6 Puts</t>
  </si>
  <si>
    <t>Short 2 Puts</t>
  </si>
  <si>
    <t>Option Portfolio Overview</t>
  </si>
  <si>
    <t>Short 3 Calls</t>
  </si>
  <si>
    <t>Covariance Matrix</t>
  </si>
  <si>
    <t>Estimated Mean</t>
  </si>
  <si>
    <t>Option Price Calculation (Day 0)</t>
  </si>
  <si>
    <t>Portfolio</t>
  </si>
  <si>
    <t>Value at Risk (VaR) in USD per underlying Stock</t>
  </si>
  <si>
    <t>Estimated Shortfall (ES) in USD per underlying Stock</t>
  </si>
  <si>
    <t>Marginal VaR</t>
  </si>
  <si>
    <t>Component VaR</t>
  </si>
  <si>
    <t>Normalized Component VaR</t>
  </si>
  <si>
    <t>Marginal ES</t>
  </si>
  <si>
    <t>Component ES</t>
  </si>
  <si>
    <t>Normalized Component ES</t>
  </si>
  <si>
    <t>PART 3</t>
  </si>
  <si>
    <t>PART 1</t>
  </si>
  <si>
    <t>Descriptive Statistics of Portfolio Return</t>
  </si>
  <si>
    <t>Num Obs.</t>
  </si>
  <si>
    <t>Mean</t>
  </si>
  <si>
    <t>Std. Dev.</t>
  </si>
  <si>
    <t>Min</t>
  </si>
  <si>
    <t>Max</t>
  </si>
  <si>
    <t>Skewness</t>
  </si>
  <si>
    <t>Kurtosis</t>
  </si>
  <si>
    <t>Result of JB Test at a Significance Leve of 0.05</t>
  </si>
  <si>
    <t>JB-Stat</t>
  </si>
  <si>
    <t>P Value</t>
  </si>
  <si>
    <t>Critical Value</t>
  </si>
  <si>
    <t>Results of Ljung-Box test</t>
  </si>
  <si>
    <t>Ljung-Box statistic</t>
  </si>
  <si>
    <t>Critical value</t>
  </si>
  <si>
    <t>portfolio returns</t>
  </si>
  <si>
    <t>squared returns</t>
  </si>
  <si>
    <t>Number of VaR violations of each model and each confidence level</t>
  </si>
  <si>
    <t>90% Confidence level</t>
  </si>
  <si>
    <t>99% Confidence level</t>
  </si>
  <si>
    <t>Gaussian Parametric</t>
  </si>
  <si>
    <t>Historical Simulation</t>
  </si>
  <si>
    <t>Student's T distribution</t>
  </si>
  <si>
    <t>Violations, LR and Pvalue from Kupiec test</t>
  </si>
  <si>
    <t>Violations</t>
  </si>
  <si>
    <t>LRuc</t>
  </si>
  <si>
    <t>P value</t>
  </si>
  <si>
    <t>Result of test</t>
  </si>
  <si>
    <t>Gaussian Parametric (Cl = 90%)</t>
  </si>
  <si>
    <t>Fail to reject the null</t>
  </si>
  <si>
    <t>Gaussian Parametric (Cl = 99%)</t>
  </si>
  <si>
    <t>reject the null</t>
  </si>
  <si>
    <t>Historical Simulation (Cl = 90%)</t>
  </si>
  <si>
    <t>Historical Simulation (Cl = 99%)</t>
  </si>
  <si>
    <t>Student's T distribution (Cl = 90%)</t>
  </si>
  <si>
    <t>Student's T distribution (Cl = 99%)</t>
  </si>
  <si>
    <t>LRind and Pvalue from Independence test</t>
  </si>
  <si>
    <t>LRind</t>
  </si>
  <si>
    <t>LRcc and Pvalue from Conditional Coverage Test</t>
  </si>
  <si>
    <t>LRcc</t>
  </si>
  <si>
    <t>5.4678e-12</t>
  </si>
  <si>
    <t>6.0849e-05</t>
  </si>
  <si>
    <t>1.4516e-05</t>
  </si>
  <si>
    <t>Critical points at different significance levels for the Kuiper test</t>
  </si>
  <si>
    <t>Significance level</t>
  </si>
  <si>
    <t>Vn</t>
  </si>
  <si>
    <t>Results of Kuiper test</t>
  </si>
  <si>
    <t>Gaussian Parametric approach</t>
  </si>
  <si>
    <t>Historical Simulation approach</t>
  </si>
  <si>
    <t>Fitting Student's T distribution approach</t>
  </si>
  <si>
    <t>PART 2</t>
  </si>
  <si>
    <t>MSFT</t>
  </si>
  <si>
    <t>Weights and CVaRs of risk parity portfolio</t>
  </si>
  <si>
    <t>Weight</t>
  </si>
  <si>
    <t>CVaR</t>
  </si>
  <si>
    <t>%CVaR</t>
  </si>
  <si>
    <t>Sharpe ratio and Maximum drawdown for each portfolio</t>
  </si>
  <si>
    <t>Sharpe ratio</t>
  </si>
  <si>
    <t>Maximum Drawdown</t>
  </si>
  <si>
    <t>Risk parity portfolio</t>
  </si>
  <si>
    <t>Equally weighted portfolio</t>
  </si>
  <si>
    <t>Number of VaR violations for each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</si>
</sst>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0"/>
    <numFmt numFmtId="165" formatCode="yyyy\-mm\-dd;@"/>
    <numFmt numFmtId="166" formatCode="0.00000"/>
    <numFmt numFmtId="167" formatCode="0.00000000"/>
    <numFmt numFmtId="168" formatCode="0.000000000"/>
    <numFmt numFmtId="169" formatCode="0.000000"/>
    <numFmt numFmtId="170" formatCode="0.0000000"/>
    <numFmt numFmtId="171" formatCode="0.000E+00"/>
  </numFmts>
  <fonts count="23" x14ac:knownFonts="1">
    <font>
      <sz val="11"/>
      <name val="Calibri"/>
    </font>
    <font>
      <sz val="12"/>
      <color theme="1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z val="11"/>
      <name val="Times New Roman"/>
      <family val="1"/>
    </font>
    <font>
      <b/>
      <sz val="12"/>
      <color theme="0"/>
      <name val="Times New Roman"/>
      <family val="1"/>
    </font>
    <font>
      <sz val="11"/>
      <color theme="0"/>
      <name val="Times New Roman"/>
      <family val="1"/>
    </font>
    <font>
      <b/>
      <sz val="12"/>
      <color theme="1"/>
      <name val="Times New Roman"/>
      <family val="1"/>
    </font>
    <font>
      <sz val="11"/>
      <color theme="4"/>
      <name val="Times New Roman"/>
      <family val="1"/>
    </font>
    <font>
      <i/>
      <sz val="12"/>
      <color theme="1"/>
      <name val="Times New Roman"/>
      <family val="1"/>
    </font>
    <font>
      <i/>
      <sz val="12"/>
      <color rgb="FF00B050"/>
      <name val="Times New Roman"/>
      <family val="1"/>
    </font>
    <font>
      <sz val="11"/>
      <color rgb="FF00B050"/>
      <name val="Times New Roman"/>
      <family val="1"/>
    </font>
    <font>
      <sz val="12"/>
      <color theme="1"/>
      <name val="Times New Roman"/>
      <family val="1"/>
    </font>
    <font>
      <sz val="12"/>
      <color rgb="FF0070C0"/>
      <name val="Times New Roman"/>
      <family val="1"/>
    </font>
    <font>
      <i/>
      <sz val="11"/>
      <name val="Times New Roman"/>
      <family val="1"/>
    </font>
    <font>
      <b/>
      <sz val="11"/>
      <name val="Times New Roman"/>
      <family val="1"/>
    </font>
    <font>
      <sz val="11"/>
      <color rgb="FF0070C0"/>
      <name val="Times New Roman"/>
      <family val="1"/>
    </font>
    <font>
      <b/>
      <sz val="12"/>
      <name val="Calibri"/>
      <family val="2"/>
    </font>
    <font>
      <sz val="12"/>
      <name val="Calibri"/>
      <family val="2"/>
    </font>
    <font>
      <b/>
      <sz val="12"/>
      <name val="Symbol"/>
      <family val="1"/>
      <charset val="2"/>
    </font>
    <font>
      <sz val="12"/>
      <color rgb="FF4472C4"/>
      <name val="Calibri"/>
      <family val="2"/>
    </font>
    <font>
      <i/>
      <sz val="11"/>
      <color rgb="FF00B050"/>
      <name val="Times New Roman"/>
      <family val="1"/>
    </font>
    <font>
      <b/>
      <sz val="1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4472C4"/>
        <bgColor indexed="64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0" borderId="1"/>
    <xf numFmtId="0" fontId="1" fillId="0" borderId="1"/>
    <xf numFmtId="9" fontId="1" fillId="0" borderId="1" applyFont="0" applyFill="0" applyBorder="0" applyAlignment="0" applyProtection="0"/>
  </cellStyleXfs>
  <cellXfs count="140">
    <xf numFmtId="0" fontId="0" fillId="0" borderId="0" xfId="0"/>
    <xf numFmtId="0" fontId="0" fillId="0" borderId="0" xfId="0" quotePrefix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/>
    <xf numFmtId="165" fontId="0" fillId="0" borderId="0" xfId="0" applyNumberFormat="1"/>
    <xf numFmtId="22" fontId="0" fillId="0" borderId="1" xfId="0" applyNumberFormat="1" applyBorder="1"/>
    <xf numFmtId="0" fontId="2" fillId="0" borderId="0" xfId="0" applyFont="1" applyAlignment="1">
      <alignment horizontal="center"/>
    </xf>
    <xf numFmtId="0" fontId="4" fillId="0" borderId="0" xfId="0" applyFont="1"/>
    <xf numFmtId="0" fontId="5" fillId="2" borderId="0" xfId="0" applyFont="1" applyFill="1"/>
    <xf numFmtId="0" fontId="6" fillId="2" borderId="0" xfId="0" applyFont="1" applyFill="1"/>
    <xf numFmtId="2" fontId="4" fillId="0" borderId="0" xfId="0" applyNumberFormat="1" applyFont="1"/>
    <xf numFmtId="0" fontId="15" fillId="0" borderId="0" xfId="0" applyFont="1" applyAlignment="1">
      <alignment horizontal="center" vertical="center"/>
    </xf>
    <xf numFmtId="0" fontId="15" fillId="0" borderId="0" xfId="0" applyFont="1"/>
    <xf numFmtId="0" fontId="15" fillId="0" borderId="1" xfId="0" applyFont="1" applyBorder="1" applyAlignment="1">
      <alignment horizontal="center" vertical="center"/>
    </xf>
    <xf numFmtId="166" fontId="16" fillId="0" borderId="1" xfId="1" applyNumberFormat="1" applyFont="1" applyBorder="1" applyAlignment="1">
      <alignment horizontal="center"/>
    </xf>
    <xf numFmtId="0" fontId="4" fillId="0" borderId="6" xfId="0" applyFont="1" applyBorder="1"/>
    <xf numFmtId="10" fontId="16" fillId="0" borderId="6" xfId="1" applyNumberFormat="1" applyFont="1" applyBorder="1" applyAlignment="1">
      <alignment horizontal="center"/>
    </xf>
    <xf numFmtId="0" fontId="15" fillId="0" borderId="8" xfId="0" applyFont="1" applyBorder="1" applyAlignment="1">
      <alignment horizontal="center" vertical="center"/>
    </xf>
    <xf numFmtId="166" fontId="16" fillId="0" borderId="8" xfId="1" applyNumberFormat="1" applyFont="1" applyBorder="1" applyAlignment="1">
      <alignment horizontal="center"/>
    </xf>
    <xf numFmtId="10" fontId="16" fillId="0" borderId="7" xfId="1" applyNumberFormat="1" applyFont="1" applyBorder="1" applyAlignment="1">
      <alignment horizontal="center"/>
    </xf>
    <xf numFmtId="2" fontId="13" fillId="0" borderId="1" xfId="0" applyNumberFormat="1" applyFont="1" applyBorder="1" applyAlignment="1">
      <alignment horizontal="center"/>
    </xf>
    <xf numFmtId="2" fontId="13" fillId="0" borderId="8" xfId="0" applyNumberFormat="1" applyFont="1" applyBorder="1" applyAlignment="1">
      <alignment horizontal="center"/>
    </xf>
    <xf numFmtId="2" fontId="13" fillId="0" borderId="6" xfId="0" applyNumberFormat="1" applyFont="1" applyBorder="1" applyAlignment="1">
      <alignment horizontal="center"/>
    </xf>
    <xf numFmtId="2" fontId="13" fillId="0" borderId="7" xfId="0" applyNumberFormat="1" applyFont="1" applyBorder="1" applyAlignment="1">
      <alignment horizontal="center"/>
    </xf>
    <xf numFmtId="2" fontId="12" fillId="0" borderId="9" xfId="0" applyNumberFormat="1" applyFont="1" applyBorder="1"/>
    <xf numFmtId="2" fontId="12" fillId="0" borderId="5" xfId="0" applyNumberFormat="1" applyFont="1" applyBorder="1"/>
    <xf numFmtId="0" fontId="7" fillId="0" borderId="1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2" fontId="10" fillId="0" borderId="8" xfId="0" applyNumberFormat="1" applyFont="1" applyBorder="1" applyAlignment="1">
      <alignment horizontal="center" vertical="center"/>
    </xf>
    <xf numFmtId="10" fontId="11" fillId="0" borderId="1" xfId="0" applyNumberFormat="1" applyFont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2" fontId="11" fillId="0" borderId="1" xfId="0" quotePrefix="1" applyNumberFormat="1" applyFont="1" applyBorder="1" applyAlignment="1">
      <alignment horizontal="center" vertical="center"/>
    </xf>
    <xf numFmtId="12" fontId="11" fillId="0" borderId="8" xfId="0" quotePrefix="1" applyNumberFormat="1" applyFont="1" applyBorder="1" applyAlignment="1">
      <alignment horizontal="center" vertical="center"/>
    </xf>
    <xf numFmtId="0" fontId="4" fillId="0" borderId="7" xfId="0" applyFont="1" applyBorder="1"/>
    <xf numFmtId="0" fontId="4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9" fontId="4" fillId="0" borderId="1" xfId="4" applyFont="1" applyBorder="1" applyAlignment="1">
      <alignment horizontal="center" vertical="center"/>
    </xf>
    <xf numFmtId="12" fontId="4" fillId="0" borderId="1" xfId="0" applyNumberFormat="1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10" fontId="4" fillId="0" borderId="6" xfId="0" applyNumberFormat="1" applyFont="1" applyBorder="1" applyAlignment="1">
      <alignment horizontal="center" vertical="center"/>
    </xf>
    <xf numFmtId="9" fontId="4" fillId="0" borderId="6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2" fontId="4" fillId="0" borderId="6" xfId="0" applyNumberFormat="1" applyFont="1" applyBorder="1" applyAlignment="1">
      <alignment horizontal="center" vertical="center"/>
    </xf>
    <xf numFmtId="164" fontId="4" fillId="0" borderId="6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7" xfId="0" applyNumberFormat="1" applyFont="1" applyBorder="1" applyAlignment="1">
      <alignment horizontal="center" vertical="center"/>
    </xf>
    <xf numFmtId="10" fontId="12" fillId="0" borderId="1" xfId="4" applyNumberFormat="1" applyFont="1" applyBorder="1" applyAlignment="1">
      <alignment horizontal="center" vertical="center"/>
    </xf>
    <xf numFmtId="10" fontId="12" fillId="0" borderId="8" xfId="4" applyNumberFormat="1" applyFont="1" applyBorder="1" applyAlignment="1">
      <alignment horizontal="center" vertical="center"/>
    </xf>
    <xf numFmtId="0" fontId="5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0" fontId="4" fillId="0" borderId="9" xfId="0" applyFont="1" applyBorder="1"/>
    <xf numFmtId="0" fontId="9" fillId="0" borderId="9" xfId="0" applyFont="1" applyBorder="1"/>
    <xf numFmtId="0" fontId="12" fillId="0" borderId="9" xfId="0" applyFont="1" applyBorder="1"/>
    <xf numFmtId="0" fontId="14" fillId="0" borderId="5" xfId="0" applyFont="1" applyBorder="1"/>
    <xf numFmtId="0" fontId="5" fillId="3" borderId="2" xfId="0" applyFont="1" applyFill="1" applyBorder="1"/>
    <xf numFmtId="0" fontId="0" fillId="3" borderId="4" xfId="0" applyFill="1" applyBorder="1"/>
    <xf numFmtId="0" fontId="5" fillId="2" borderId="3" xfId="0" applyFont="1" applyFill="1" applyBorder="1"/>
    <xf numFmtId="0" fontId="5" fillId="2" borderId="4" xfId="0" applyFont="1" applyFill="1" applyBorder="1"/>
    <xf numFmtId="0" fontId="17" fillId="0" borderId="9" xfId="0" applyFont="1" applyBorder="1"/>
    <xf numFmtId="0" fontId="17" fillId="0" borderId="5" xfId="0" applyFont="1" applyBorder="1"/>
    <xf numFmtId="0" fontId="18" fillId="0" borderId="9" xfId="0" applyFont="1" applyBorder="1"/>
    <xf numFmtId="0" fontId="19" fillId="0" borderId="8" xfId="0" applyFont="1" applyBorder="1" applyAlignment="1">
      <alignment horizontal="center" vertical="center"/>
    </xf>
    <xf numFmtId="0" fontId="18" fillId="0" borderId="0" xfId="0" applyFont="1"/>
    <xf numFmtId="0" fontId="19" fillId="0" borderId="9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10" fontId="20" fillId="0" borderId="8" xfId="1" applyNumberFormat="1" applyFont="1" applyBorder="1" applyAlignment="1">
      <alignment horizontal="center" vertical="center"/>
    </xf>
    <xf numFmtId="10" fontId="20" fillId="0" borderId="7" xfId="1" applyNumberFormat="1" applyFont="1" applyBorder="1" applyAlignment="1">
      <alignment horizontal="center" vertical="center"/>
    </xf>
    <xf numFmtId="10" fontId="20" fillId="0" borderId="1" xfId="1" applyNumberFormat="1" applyFont="1" applyBorder="1" applyAlignment="1">
      <alignment horizontal="center" vertical="center"/>
    </xf>
    <xf numFmtId="10" fontId="20" fillId="0" borderId="1" xfId="0" applyNumberFormat="1" applyFont="1" applyBorder="1" applyAlignment="1">
      <alignment horizontal="center" vertical="center"/>
    </xf>
    <xf numFmtId="10" fontId="20" fillId="0" borderId="8" xfId="0" applyNumberFormat="1" applyFont="1" applyBorder="1" applyAlignment="1">
      <alignment horizontal="center" vertical="center"/>
    </xf>
    <xf numFmtId="10" fontId="20" fillId="0" borderId="6" xfId="0" applyNumberFormat="1" applyFont="1" applyBorder="1" applyAlignment="1">
      <alignment horizontal="center" vertical="center"/>
    </xf>
    <xf numFmtId="10" fontId="20" fillId="0" borderId="7" xfId="0" applyNumberFormat="1" applyFont="1" applyBorder="1" applyAlignment="1">
      <alignment horizontal="center" vertical="center"/>
    </xf>
    <xf numFmtId="165" fontId="21" fillId="0" borderId="6" xfId="0" applyNumberFormat="1" applyFont="1" applyBorder="1"/>
    <xf numFmtId="0" fontId="15" fillId="0" borderId="9" xfId="0" applyFont="1" applyBorder="1" applyAlignment="1">
      <alignment horizontal="center" vertical="center"/>
    </xf>
    <xf numFmtId="0" fontId="4" fillId="0" borderId="5" xfId="0" applyFont="1" applyBorder="1"/>
    <xf numFmtId="0" fontId="4" fillId="2" borderId="3" xfId="0" applyFont="1" applyFill="1" applyBorder="1"/>
    <xf numFmtId="0" fontId="4" fillId="3" borderId="4" xfId="0" applyFont="1" applyFill="1" applyBorder="1"/>
    <xf numFmtId="2" fontId="13" fillId="0" borderId="5" xfId="0" applyNumberFormat="1" applyFont="1" applyBorder="1" applyAlignment="1">
      <alignment horizontal="center"/>
    </xf>
    <xf numFmtId="0" fontId="4" fillId="2" borderId="4" xfId="0" applyFont="1" applyFill="1" applyBorder="1"/>
    <xf numFmtId="0" fontId="22" fillId="0" borderId="0" xfId="0" applyFont="1"/>
    <xf numFmtId="0" fontId="0" fillId="0" borderId="1" xfId="0" applyBorder="1"/>
    <xf numFmtId="0" fontId="5" fillId="2" borderId="10" xfId="0" applyFont="1" applyFill="1" applyBorder="1"/>
    <xf numFmtId="0" fontId="15" fillId="0" borderId="5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/>
    </xf>
    <xf numFmtId="167" fontId="13" fillId="0" borderId="8" xfId="0" applyNumberFormat="1" applyFont="1" applyBorder="1" applyAlignment="1">
      <alignment horizontal="center"/>
    </xf>
    <xf numFmtId="167" fontId="13" fillId="0" borderId="7" xfId="0" applyNumberFormat="1" applyFont="1" applyBorder="1" applyAlignment="1">
      <alignment horizontal="center"/>
    </xf>
    <xf numFmtId="167" fontId="13" fillId="0" borderId="6" xfId="0" applyNumberFormat="1" applyFont="1" applyBorder="1" applyAlignment="1">
      <alignment horizontal="center"/>
    </xf>
    <xf numFmtId="168" fontId="13" fillId="0" borderId="7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0" fillId="0" borderId="9" xfId="0" applyBorder="1"/>
    <xf numFmtId="2" fontId="7" fillId="0" borderId="1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1" fontId="13" fillId="0" borderId="1" xfId="0" applyNumberFormat="1" applyFont="1" applyBorder="1" applyAlignment="1">
      <alignment horizontal="center"/>
    </xf>
    <xf numFmtId="1" fontId="13" fillId="0" borderId="6" xfId="0" applyNumberFormat="1" applyFont="1" applyBorder="1" applyAlignment="1">
      <alignment horizontal="center"/>
    </xf>
    <xf numFmtId="1" fontId="13" fillId="0" borderId="7" xfId="0" applyNumberFormat="1" applyFont="1" applyBorder="1" applyAlignment="1">
      <alignment horizontal="center"/>
    </xf>
    <xf numFmtId="169" fontId="13" fillId="0" borderId="1" xfId="0" applyNumberFormat="1" applyFont="1" applyBorder="1" applyAlignment="1">
      <alignment horizontal="center"/>
    </xf>
    <xf numFmtId="169" fontId="13" fillId="0" borderId="6" xfId="0" applyNumberFormat="1" applyFont="1" applyBorder="1" applyAlignment="1">
      <alignment horizontal="center"/>
    </xf>
    <xf numFmtId="0" fontId="5" fillId="0" borderId="1" xfId="0" applyFont="1" applyBorder="1"/>
    <xf numFmtId="170" fontId="13" fillId="0" borderId="1" xfId="0" applyNumberFormat="1" applyFont="1" applyBorder="1" applyAlignment="1">
      <alignment horizontal="center"/>
    </xf>
    <xf numFmtId="170" fontId="13" fillId="0" borderId="8" xfId="0" applyNumberFormat="1" applyFont="1" applyBorder="1" applyAlignment="1">
      <alignment horizontal="center"/>
    </xf>
    <xf numFmtId="170" fontId="13" fillId="0" borderId="6" xfId="0" applyNumberFormat="1" applyFont="1" applyBorder="1" applyAlignment="1">
      <alignment horizontal="center"/>
    </xf>
    <xf numFmtId="170" fontId="13" fillId="0" borderId="7" xfId="0" applyNumberFormat="1" applyFont="1" applyBorder="1" applyAlignment="1">
      <alignment horizontal="center"/>
    </xf>
    <xf numFmtId="166" fontId="13" fillId="0" borderId="1" xfId="0" applyNumberFormat="1" applyFont="1" applyBorder="1" applyAlignment="1">
      <alignment horizontal="center"/>
    </xf>
    <xf numFmtId="170" fontId="13" fillId="0" borderId="8" xfId="0" quotePrefix="1" applyNumberFormat="1" applyFont="1" applyBorder="1" applyAlignment="1">
      <alignment horizontal="center"/>
    </xf>
    <xf numFmtId="166" fontId="13" fillId="0" borderId="6" xfId="0" applyNumberFormat="1" applyFont="1" applyBorder="1" applyAlignment="1">
      <alignment horizontal="center"/>
    </xf>
    <xf numFmtId="170" fontId="13" fillId="0" borderId="7" xfId="0" quotePrefix="1" applyNumberFormat="1" applyFont="1" applyBorder="1" applyAlignment="1">
      <alignment horizontal="center"/>
    </xf>
    <xf numFmtId="166" fontId="13" fillId="0" borderId="8" xfId="0" applyNumberFormat="1" applyFont="1" applyBorder="1" applyAlignment="1">
      <alignment horizontal="center"/>
    </xf>
    <xf numFmtId="166" fontId="13" fillId="0" borderId="7" xfId="0" applyNumberFormat="1" applyFont="1" applyBorder="1" applyAlignment="1">
      <alignment horizontal="center"/>
    </xf>
    <xf numFmtId="0" fontId="0" fillId="0" borderId="2" xfId="0" applyBorder="1"/>
    <xf numFmtId="2" fontId="7" fillId="0" borderId="3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0" borderId="9" xfId="0" applyNumberFormat="1" applyFont="1" applyBorder="1" applyAlignment="1">
      <alignment horizontal="left"/>
    </xf>
    <xf numFmtId="2" fontId="7" fillId="0" borderId="5" xfId="0" applyNumberFormat="1" applyFont="1" applyBorder="1" applyAlignment="1">
      <alignment horizontal="left"/>
    </xf>
    <xf numFmtId="0" fontId="5" fillId="2" borderId="3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167" fontId="13" fillId="0" borderId="1" xfId="0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171" fontId="0" fillId="0" borderId="0" xfId="0" applyNumberFormat="1"/>
    <xf numFmtId="11" fontId="0" fillId="0" borderId="0" xfId="0" applyNumberFormat="1"/>
    <xf numFmtId="0" fontId="5" fillId="2" borderId="2" xfId="0" applyFont="1" applyFill="1" applyBorder="1" applyAlignment="1">
      <alignment horizontal="left"/>
    </xf>
    <xf numFmtId="0" fontId="5" fillId="2" borderId="3" xfId="0" applyFont="1" applyFill="1" applyBorder="1" applyAlignment="1">
      <alignment horizontal="left"/>
    </xf>
    <xf numFmtId="0" fontId="5" fillId="2" borderId="4" xfId="0" applyFont="1" applyFill="1" applyBorder="1" applyAlignment="1">
      <alignment horizontal="left"/>
    </xf>
    <xf numFmtId="0" fontId="0" fillId="0" borderId="0" xfId="0" applyAlignment="1">
      <alignment horizontal="center"/>
    </xf>
  </cellXfs>
  <cellStyles count="5">
    <cellStyle name="Normal" xfId="0" builtinId="0"/>
    <cellStyle name="Normal 2" xfId="2" xr:uid="{E5FB050E-0C9C-4D98-9CB7-DF611846BFDA}"/>
    <cellStyle name="Normal 3" xfId="3" xr:uid="{9F786B22-5654-7D45-9B2F-1C8EECE5CE1C}"/>
    <cellStyle name="Per cent 2" xfId="4" xr:uid="{C127DEE7-24F1-F44C-B966-3601DABF1F29}"/>
    <cellStyle name="Percent" xfId="1" builtinId="5"/>
  </cellStyles>
  <dxfs count="0"/>
  <tableStyles count="0" defaultTableStyle="TableStyleMedium2" defaultPivotStyle="PivotStyleLight16"/>
  <colors>
    <mruColors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22/11/relationships/FeaturePropertyBag" Target="featurePropertyBag/featurePropertyBag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Users/mattism/Desktop/Bayes/SMM272%20-%20Risk%20Analysis/CW%20Q3.xlsm" TargetMode="External"/><Relationship Id="rId1" Type="http://schemas.openxmlformats.org/officeDocument/2006/relationships/externalLinkPath" Target="/Users/mattism/Desktop/Bayes/SMM272%20-%20Risk%20Analysis/CW%20Q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ask Q4"/>
      <sheetName val="Summary"/>
      <sheetName val="ExtractReturns"/>
      <sheetName val="Estimating Mean and Cov"/>
      <sheetName val="Cholesky"/>
      <sheetName val="MC"/>
      <sheetName val="AA"/>
      <sheetName val="INTC"/>
      <sheetName val="JPM"/>
      <sheetName val="MSFT"/>
      <sheetName val="PG"/>
    </sheetNames>
    <sheetDataSet>
      <sheetData sheetId="0"/>
      <sheetData sheetId="1"/>
      <sheetData sheetId="2"/>
      <sheetData sheetId="3">
        <row r="7">
          <cell r="C7" t="str">
            <v>m</v>
          </cell>
        </row>
        <row r="8">
          <cell r="C8">
            <v>-2.0267380595431392E-3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B3A1C8-CFC8-4F77-93D1-5DD18746CF7D}" name="LogRetData" displayName="LogRetData" ref="A1:E511" totalsRowShown="0">
  <tableColumns count="5">
    <tableColumn id="1" xr3:uid="{272B87A6-5AF1-41F7-BCCF-8EBEC3F7E57C}" name="Dates"/>
    <tableColumn id="2" xr3:uid="{1ADDB0BB-468F-4A31-A621-230A16BAAF11}" name="AA"/>
    <tableColumn id="3" xr3:uid="{9B9CB645-0FF5-41ED-A965-871A83E0B6EE}" name="INTC"/>
    <tableColumn id="4" xr3:uid="{1374E515-3161-4558-80FE-820E2E10C021}" name="JPM"/>
    <tableColumn id="5" xr3:uid="{F529F445-2429-4C61-BC7C-701B2EE5FF0E}" name="P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62420-744A-0749-8970-4EE2681C3855}">
  <sheetPr codeName="Sheet1">
    <tabColor theme="9"/>
  </sheetPr>
  <dimension ref="A1"/>
  <sheetViews>
    <sheetView workbookViewId="0"/>
  </sheetViews>
  <sheetFormatPr defaultColWidth="11.5546875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B24C4-B0F4-8040-B11C-33C7BBF7E95C}">
  <sheetPr codeName="Sheet2"/>
  <dimension ref="A1:E9"/>
  <sheetViews>
    <sheetView showGridLines="0" workbookViewId="0">
      <selection activeCell="B2" sqref="B2"/>
    </sheetView>
  </sheetViews>
  <sheetFormatPr defaultColWidth="11.5546875" defaultRowHeight="14.4" x14ac:dyDescent="0.3"/>
  <sheetData>
    <row r="1" spans="1:5" ht="15.6" x14ac:dyDescent="0.3">
      <c r="A1" s="58" t="s">
        <v>60</v>
      </c>
      <c r="B1" s="59"/>
      <c r="C1" s="59"/>
      <c r="D1" s="59"/>
      <c r="E1" s="60"/>
    </row>
    <row r="2" spans="1:5" ht="15.6" x14ac:dyDescent="0.3">
      <c r="A2" s="61" t="s">
        <v>16</v>
      </c>
      <c r="B2" s="26" t="s">
        <v>15</v>
      </c>
      <c r="C2" s="26" t="s">
        <v>0</v>
      </c>
      <c r="D2" s="26" t="s">
        <v>1</v>
      </c>
      <c r="E2" s="27" t="s">
        <v>2</v>
      </c>
    </row>
    <row r="3" spans="1:5" x14ac:dyDescent="0.3">
      <c r="A3" s="61" t="s">
        <v>39</v>
      </c>
      <c r="B3" s="28">
        <f ca="1">VLOOKUP($B$9,INDIRECT(B2 &amp; "!A:G"),5)</f>
        <v>27.959999</v>
      </c>
      <c r="C3" s="28">
        <f ca="1">VLOOKUP($B$9,INDIRECT(C2 &amp; "!A:G"),5)</f>
        <v>43.470001000000003</v>
      </c>
      <c r="D3" s="28">
        <f ca="1">VLOOKUP($B$9,INDIRECT(D2 &amp; "!A:G"),5)</f>
        <v>180.89999399999999</v>
      </c>
      <c r="E3" s="29">
        <f ca="1">VLOOKUP($B$9,INDIRECT(E2 &amp; "!A:G"),5)</f>
        <v>160.39999399999999</v>
      </c>
    </row>
    <row r="4" spans="1:5" ht="15.6" x14ac:dyDescent="0.3">
      <c r="A4" s="62" t="s">
        <v>18</v>
      </c>
      <c r="B4" s="30">
        <v>1.05</v>
      </c>
      <c r="C4" s="30">
        <v>0.9</v>
      </c>
      <c r="D4" s="30">
        <v>1</v>
      </c>
      <c r="E4" s="31">
        <v>1.1000000000000001</v>
      </c>
    </row>
    <row r="5" spans="1:5" x14ac:dyDescent="0.3">
      <c r="A5" s="61" t="s">
        <v>40</v>
      </c>
      <c r="B5" s="28">
        <f ca="1">B3*B4</f>
        <v>29.357998950000002</v>
      </c>
      <c r="C5" s="28">
        <f ca="1">C3*C4</f>
        <v>39.123000900000001</v>
      </c>
      <c r="D5" s="28">
        <f ca="1">D3*D4</f>
        <v>180.89999399999999</v>
      </c>
      <c r="E5" s="29">
        <f ca="1">E3*E4</f>
        <v>176.43999340000002</v>
      </c>
    </row>
    <row r="6" spans="1:5" x14ac:dyDescent="0.3">
      <c r="A6" s="61" t="s">
        <v>41</v>
      </c>
      <c r="B6" s="32">
        <v>0.04</v>
      </c>
      <c r="C6" s="33"/>
      <c r="D6" s="33"/>
      <c r="E6" s="34"/>
    </row>
    <row r="7" spans="1:5" x14ac:dyDescent="0.3">
      <c r="A7" s="61" t="s">
        <v>42</v>
      </c>
      <c r="B7" s="35">
        <v>9</v>
      </c>
      <c r="C7" s="35">
        <v>6</v>
      </c>
      <c r="D7" s="35">
        <v>12</v>
      </c>
      <c r="E7" s="36">
        <v>9</v>
      </c>
    </row>
    <row r="8" spans="1:5" ht="15.6" x14ac:dyDescent="0.3">
      <c r="A8" s="63" t="s">
        <v>56</v>
      </c>
      <c r="B8" s="56" t="s">
        <v>57</v>
      </c>
      <c r="C8" s="56" t="s">
        <v>61</v>
      </c>
      <c r="D8" s="56" t="s">
        <v>58</v>
      </c>
      <c r="E8" s="57" t="s">
        <v>59</v>
      </c>
    </row>
    <row r="9" spans="1:5" x14ac:dyDescent="0.3">
      <c r="A9" s="64" t="s">
        <v>50</v>
      </c>
      <c r="B9" s="86">
        <v>45343</v>
      </c>
      <c r="C9" s="15"/>
      <c r="D9" s="15"/>
      <c r="E9" s="3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9FAA8-5DE7-AC4D-BA69-D8CA1F06EEBD}">
  <sheetPr codeName="Sheet3"/>
  <dimension ref="B1:I9"/>
  <sheetViews>
    <sheetView showGridLines="0" workbookViewId="0">
      <selection activeCell="C3" sqref="C3"/>
    </sheetView>
  </sheetViews>
  <sheetFormatPr defaultColWidth="11.5546875" defaultRowHeight="14.4" x14ac:dyDescent="0.3"/>
  <cols>
    <col min="2" max="2" width="7.109375" customWidth="1"/>
    <col min="4" max="4" width="1.109375" customWidth="1"/>
  </cols>
  <sheetData>
    <row r="1" spans="2:9" ht="15.6" x14ac:dyDescent="0.3">
      <c r="B1" s="65" t="s">
        <v>63</v>
      </c>
      <c r="C1" s="66"/>
      <c r="E1" s="58" t="s">
        <v>62</v>
      </c>
      <c r="F1" s="67"/>
      <c r="G1" s="67"/>
      <c r="H1" s="67"/>
      <c r="I1" s="68"/>
    </row>
    <row r="2" spans="2:9" ht="15.6" x14ac:dyDescent="0.3">
      <c r="B2" s="71"/>
      <c r="C2" s="72" t="s">
        <v>11</v>
      </c>
      <c r="D2" s="73"/>
      <c r="E2" s="74" t="s">
        <v>12</v>
      </c>
      <c r="F2" s="75" t="str" cm="1">
        <f t="array" ref="F2:I2">TRANSPOSE(B3:B6)</f>
        <v>AA</v>
      </c>
      <c r="G2" s="75" t="str">
        <v>INTC</v>
      </c>
      <c r="H2" s="75" t="str">
        <v>JPM</v>
      </c>
      <c r="I2" s="76" t="str">
        <v>PG</v>
      </c>
    </row>
    <row r="3" spans="2:9" ht="15.6" x14ac:dyDescent="0.3">
      <c r="B3" s="69" t="s">
        <v>15</v>
      </c>
      <c r="C3" s="79" cm="1">
        <f t="array" aca="1" ref="C3:C6" ca="1">MMULT(TRANSPOSE(_xlfn.ANCHORARRAY(ExtractReturns!B2)),_xlfn.ANCHORARRAY(ExtractReturns!A2))/C8</f>
        <v>-2.0267380595431392E-3</v>
      </c>
      <c r="D3" s="73"/>
      <c r="E3" s="77" t="str" cm="1">
        <f t="array" ref="E3:E6">TRANSPOSE(_xlfn.ANCHORARRAY(F2))</f>
        <v>AA</v>
      </c>
      <c r="F3" s="81" cm="1">
        <f t="array" aca="1" ref="F3:I6" ca="1">(MMULT(TRANSPOSE(_xlfn.ANCHORARRAY(ExtractReturns!B2)),_xlfn.ANCHORARRAY(ExtractReturns!B2))-C8*MMULT(_xlfn.ANCHORARRAY(C3),TRANSPOSE(_xlfn.ANCHORARRAY(C3))))/C8</f>
        <v>1.4051993090490327E-3</v>
      </c>
      <c r="G3" s="82">
        <f ca="1"/>
        <v>2.8797973722588001E-4</v>
      </c>
      <c r="H3" s="82">
        <f ca="1"/>
        <v>2.4571751520815165E-4</v>
      </c>
      <c r="I3" s="83">
        <f ca="1"/>
        <v>8.2919913263586049E-5</v>
      </c>
    </row>
    <row r="4" spans="2:9" ht="15.6" x14ac:dyDescent="0.3">
      <c r="B4" s="69" t="s">
        <v>0</v>
      </c>
      <c r="C4" s="79">
        <f ca="1"/>
        <v>7.0394930776583985E-5</v>
      </c>
      <c r="D4" s="73"/>
      <c r="E4" s="77" t="str">
        <v>INTC</v>
      </c>
      <c r="F4" s="82">
        <f ca="1"/>
        <v>2.8797973722588001E-4</v>
      </c>
      <c r="G4" s="82">
        <f ca="1"/>
        <v>5.9604050773247905E-4</v>
      </c>
      <c r="H4" s="82">
        <f ca="1"/>
        <v>1.3580457573138458E-4</v>
      </c>
      <c r="I4" s="83">
        <f ca="1"/>
        <v>8.3699154953466263E-5</v>
      </c>
    </row>
    <row r="5" spans="2:9" ht="15.6" x14ac:dyDescent="0.3">
      <c r="B5" s="69" t="s">
        <v>1</v>
      </c>
      <c r="C5" s="79">
        <f ca="1"/>
        <v>5.1139538224548873E-4</v>
      </c>
      <c r="D5" s="73"/>
      <c r="E5" s="77" t="str">
        <v>JPM</v>
      </c>
      <c r="F5" s="82">
        <f ca="1"/>
        <v>2.4571751520815165E-4</v>
      </c>
      <c r="G5" s="82">
        <f ca="1"/>
        <v>1.3580457573138458E-4</v>
      </c>
      <c r="H5" s="82">
        <f ca="1"/>
        <v>2.3820801882371438E-4</v>
      </c>
      <c r="I5" s="83">
        <f ca="1"/>
        <v>6.3378917379187523E-5</v>
      </c>
    </row>
    <row r="6" spans="2:9" ht="15.6" x14ac:dyDescent="0.3">
      <c r="B6" s="70" t="s">
        <v>2</v>
      </c>
      <c r="C6" s="80">
        <f ca="1"/>
        <v>8.4068767926962629E-5</v>
      </c>
      <c r="D6" s="73"/>
      <c r="E6" s="78" t="str">
        <v>PG</v>
      </c>
      <c r="F6" s="84">
        <f ca="1"/>
        <v>8.2919913263586049E-5</v>
      </c>
      <c r="G6" s="84">
        <f ca="1"/>
        <v>8.3699154953466263E-5</v>
      </c>
      <c r="H6" s="84">
        <f ca="1"/>
        <v>6.3378917379187523E-5</v>
      </c>
      <c r="I6" s="85">
        <f ca="1"/>
        <v>1.3770328028662329E-4</v>
      </c>
    </row>
    <row r="8" spans="2:9" x14ac:dyDescent="0.3">
      <c r="B8" t="s">
        <v>7</v>
      </c>
      <c r="C8">
        <v>510</v>
      </c>
    </row>
    <row r="9" spans="2:9" x14ac:dyDescent="0.3">
      <c r="B9" t="s">
        <v>10</v>
      </c>
      <c r="C9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E1D94-BAA5-E748-9BEB-5EED49B54053}">
  <sheetPr codeName="Sheet4"/>
  <dimension ref="A1:V23"/>
  <sheetViews>
    <sheetView showGridLines="0" zoomScale="75" workbookViewId="0">
      <selection activeCell="B9" sqref="B9:E9"/>
    </sheetView>
  </sheetViews>
  <sheetFormatPr defaultColWidth="10.77734375" defaultRowHeight="13.8" x14ac:dyDescent="0.25"/>
  <cols>
    <col min="1" max="1" width="17.109375" style="7" bestFit="1" customWidth="1"/>
    <col min="2" max="2" width="11.33203125" style="7" bestFit="1" customWidth="1"/>
    <col min="3" max="3" width="11" style="7" bestFit="1" customWidth="1"/>
    <col min="4" max="4" width="10.77734375" style="7" customWidth="1"/>
    <col min="5" max="5" width="11" style="7" bestFit="1" customWidth="1"/>
    <col min="6" max="6" width="9.109375" style="7" bestFit="1" customWidth="1"/>
    <col min="7" max="11" width="11" style="7" bestFit="1" customWidth="1"/>
    <col min="12" max="12" width="10.77734375" style="7"/>
    <col min="13" max="28" width="11" style="7" bestFit="1" customWidth="1"/>
    <col min="29" max="16384" width="10.77734375" style="7"/>
  </cols>
  <sheetData>
    <row r="1" spans="1:22" ht="15.6" x14ac:dyDescent="0.3">
      <c r="A1" s="8" t="s">
        <v>55</v>
      </c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22" x14ac:dyDescent="0.25">
      <c r="A2" s="50" t="s">
        <v>17</v>
      </c>
      <c r="B2" s="38" t="s">
        <v>18</v>
      </c>
      <c r="C2" s="38" t="s">
        <v>19</v>
      </c>
      <c r="D2" s="38" t="s">
        <v>20</v>
      </c>
      <c r="E2" s="38" t="s">
        <v>21</v>
      </c>
      <c r="F2" s="38" t="s">
        <v>22</v>
      </c>
      <c r="G2" s="38" t="s">
        <v>23</v>
      </c>
      <c r="H2" s="38" t="s">
        <v>24</v>
      </c>
      <c r="I2" s="38" t="s">
        <v>25</v>
      </c>
      <c r="J2" s="38" t="s">
        <v>26</v>
      </c>
      <c r="K2" s="38" t="s">
        <v>27</v>
      </c>
      <c r="L2" s="38" t="s">
        <v>28</v>
      </c>
      <c r="M2" s="38" t="s">
        <v>29</v>
      </c>
      <c r="N2" s="38" t="s">
        <v>30</v>
      </c>
      <c r="O2" s="38" t="s">
        <v>31</v>
      </c>
      <c r="P2" s="38" t="s">
        <v>32</v>
      </c>
      <c r="Q2" s="38" t="s">
        <v>33</v>
      </c>
      <c r="R2" s="38" t="s">
        <v>34</v>
      </c>
      <c r="S2" s="38" t="s">
        <v>35</v>
      </c>
      <c r="T2" s="38" t="s">
        <v>36</v>
      </c>
      <c r="U2" s="38" t="s">
        <v>37</v>
      </c>
      <c r="V2" s="53" t="s">
        <v>38</v>
      </c>
    </row>
    <row r="3" spans="1:22" x14ac:dyDescent="0.25">
      <c r="A3" s="51">
        <f ca="1">'1. Option Portfolio Overview'!B3</f>
        <v>27.959999</v>
      </c>
      <c r="B3" s="39">
        <f ca="1">'1. Option Portfolio Overview'!B5</f>
        <v>29.357998950000002</v>
      </c>
      <c r="C3" s="33" cm="1">
        <f t="array" aca="1" ref="C3:C6" ca="1">TRANSPOSE(B12:E12)</f>
        <v>0.4892877759829633</v>
      </c>
      <c r="D3" s="40">
        <f>'1. Option Portfolio Overview'!$B$6</f>
        <v>0.04</v>
      </c>
      <c r="E3" s="38">
        <v>0</v>
      </c>
      <c r="F3" s="38"/>
      <c r="G3" s="41">
        <f>'1. Option Portfolio Overview'!B7/12</f>
        <v>0.75</v>
      </c>
      <c r="H3" s="42">
        <f ca="1">LN(A3/B3)</f>
        <v>-4.8790164169432056E-2</v>
      </c>
      <c r="I3" s="42">
        <f ca="1">(D3+POWER(C3,2)/2)*G3</f>
        <v>0.11977594789738293</v>
      </c>
      <c r="J3" s="42">
        <f ca="1">C3*SQRT(G3)</f>
        <v>0.42373564376243572</v>
      </c>
      <c r="K3" s="42">
        <f ca="1">(H3+I3)/J3</f>
        <v>0.16752374923585264</v>
      </c>
      <c r="L3" s="42">
        <f ca="1">K3-J3</f>
        <v>-0.25621189452658311</v>
      </c>
      <c r="M3" s="42">
        <f ca="1">_xlfn.NORM.DIST(K3,0,1,TRUE)</f>
        <v>0.56652101880870864</v>
      </c>
      <c r="N3" s="42">
        <f ca="1">_xlfn.NORM.DIST(-K3,0,1,TRUE)</f>
        <v>0.43347898119129141</v>
      </c>
      <c r="O3" s="42">
        <f ca="1">_xlfn.NORM.DIST(L3,0,1,TRUE)</f>
        <v>0.3988936122990302</v>
      </c>
      <c r="P3" s="42">
        <f ca="1">_xlfn.NORM.DIST(-L3,0,1,TRUE)</f>
        <v>0.6011063877009698</v>
      </c>
      <c r="Q3" s="42">
        <f>EXP(-D3*G3)</f>
        <v>0.97044553354850815</v>
      </c>
      <c r="R3" s="42">
        <f ca="1">B3*Q3</f>
        <v>28.490338954949294</v>
      </c>
      <c r="S3" s="42">
        <f>EXP(-E3*G3)</f>
        <v>1</v>
      </c>
      <c r="T3" s="42">
        <f ca="1">A3*S3</f>
        <v>27.959999</v>
      </c>
      <c r="U3" s="42">
        <f ca="1">T3*M3-R3*O3</f>
        <v>4.4753128980069743</v>
      </c>
      <c r="V3" s="54">
        <f ca="1">R3*P3-T3*N3</f>
        <v>5.0056528529562687</v>
      </c>
    </row>
    <row r="4" spans="1:22" x14ac:dyDescent="0.25">
      <c r="A4" s="51">
        <f ca="1">'1. Option Portfolio Overview'!C3</f>
        <v>43.470001000000003</v>
      </c>
      <c r="B4" s="39">
        <f ca="1">'1. Option Portfolio Overview'!C5</f>
        <v>39.123000900000001</v>
      </c>
      <c r="C4" s="33">
        <f ca="1"/>
        <v>0.2974945297544595</v>
      </c>
      <c r="D4" s="43">
        <f>D3</f>
        <v>0.04</v>
      </c>
      <c r="E4" s="38">
        <v>0</v>
      </c>
      <c r="F4" s="38"/>
      <c r="G4" s="41">
        <f>'1. Option Portfolio Overview'!C7/12</f>
        <v>0.5</v>
      </c>
      <c r="H4" s="42">
        <f ca="1">LN(A4/B4)</f>
        <v>0.10536051565782635</v>
      </c>
      <c r="I4" s="42">
        <f ca="1">(D4+POWER(C4,2)/2)*G4</f>
        <v>4.2125748808456751E-2</v>
      </c>
      <c r="J4" s="42">
        <f ca="1">C4*SQRT(G4)</f>
        <v>0.21036039935528147</v>
      </c>
      <c r="K4" s="42">
        <f ca="1">(H4+I4)/J4</f>
        <v>0.70111230496948662</v>
      </c>
      <c r="L4" s="42">
        <f ca="1">K4-J4</f>
        <v>0.49075190561420512</v>
      </c>
      <c r="M4" s="42">
        <f ca="1">_xlfn.NORM.DIST(K4,0,1,TRUE)</f>
        <v>0.75838353412762172</v>
      </c>
      <c r="N4" s="42">
        <f ca="1">_xlfn.NORM.DIST(-K4,0,1,TRUE)</f>
        <v>0.24161646587237834</v>
      </c>
      <c r="O4" s="42">
        <f ca="1">_xlfn.NORM.DIST(L4,0,1,TRUE)</f>
        <v>0.68819903506345792</v>
      </c>
      <c r="P4" s="42">
        <f ca="1">_xlfn.NORM.DIST(-L4,0,1,TRUE)</f>
        <v>0.31180096493654202</v>
      </c>
      <c r="Q4" s="42">
        <f t="shared" ref="Q4:Q6" si="0">EXP(-D4*G4)</f>
        <v>0.98019867330675525</v>
      </c>
      <c r="R4" s="42">
        <f ca="1">B4*Q4</f>
        <v>38.34831357795899</v>
      </c>
      <c r="S4" s="42">
        <f t="shared" ref="S4:S6" si="1">EXP(-E4*G4)</f>
        <v>1</v>
      </c>
      <c r="T4" s="42">
        <f ca="1">A4*S4</f>
        <v>43.470001000000003</v>
      </c>
      <c r="U4" s="42">
        <f ca="1">T4*M4-R4*O4</f>
        <v>6.5756605862489756</v>
      </c>
      <c r="V4" s="54">
        <f ca="1">R4*P4-T4*N4</f>
        <v>1.4539731642079552</v>
      </c>
    </row>
    <row r="5" spans="1:22" x14ac:dyDescent="0.25">
      <c r="A5" s="51">
        <f ca="1">'1. Option Portfolio Overview'!D3</f>
        <v>180.89999399999999</v>
      </c>
      <c r="B5" s="39">
        <f ca="1">'1. Option Portfolio Overview'!D5</f>
        <v>180.89999399999999</v>
      </c>
      <c r="C5" s="33">
        <f ca="1"/>
        <v>0.21182092975255465</v>
      </c>
      <c r="D5" s="43">
        <f>D4</f>
        <v>0.04</v>
      </c>
      <c r="E5" s="38">
        <v>0</v>
      </c>
      <c r="F5" s="38"/>
      <c r="G5" s="41">
        <f>'1. Option Portfolio Overview'!D7/12</f>
        <v>1</v>
      </c>
      <c r="H5" s="42">
        <f ca="1">LN(A5/B5)</f>
        <v>0</v>
      </c>
      <c r="I5" s="42">
        <f ca="1">(D5+POWER(C5,2)/2)*G5</f>
        <v>6.2434053140618347E-2</v>
      </c>
      <c r="J5" s="42">
        <f ca="1">C5*SQRT(G5)</f>
        <v>0.21182092975255465</v>
      </c>
      <c r="K5" s="42">
        <f ca="1">(H5+I5)/J5</f>
        <v>0.29474921677264221</v>
      </c>
      <c r="L5" s="42">
        <f ca="1">K5-J5</f>
        <v>8.292828702008756E-2</v>
      </c>
      <c r="M5" s="42">
        <f ca="1">_xlfn.NORM.DIST(K5,0,1,TRUE)</f>
        <v>0.61590726855809785</v>
      </c>
      <c r="N5" s="42">
        <f ca="1">_xlfn.NORM.DIST(-K5,0,1,TRUE)</f>
        <v>0.38409273144190215</v>
      </c>
      <c r="O5" s="42">
        <f ca="1">_xlfn.NORM.DIST(L5,0,1,TRUE)</f>
        <v>0.5330457191431992</v>
      </c>
      <c r="P5" s="42">
        <f ca="1">_xlfn.NORM.DIST(-L5,0,1,TRUE)</f>
        <v>0.4669542808568008</v>
      </c>
      <c r="Q5" s="42">
        <f t="shared" si="0"/>
        <v>0.96078943915232318</v>
      </c>
      <c r="R5" s="42">
        <f ca="1">B5*Q5</f>
        <v>173.80680377791862</v>
      </c>
      <c r="S5" s="42">
        <f t="shared" si="1"/>
        <v>1</v>
      </c>
      <c r="T5" s="42">
        <f ca="1">A5*S5</f>
        <v>180.89999399999999</v>
      </c>
      <c r="U5" s="42">
        <f ca="1">T5*M5-R5*O5</f>
        <v>18.770648474934745</v>
      </c>
      <c r="V5" s="54">
        <f ca="1">R5*P5-T5*N5</f>
        <v>11.67745825285337</v>
      </c>
    </row>
    <row r="6" spans="1:22" x14ac:dyDescent="0.25">
      <c r="A6" s="52">
        <f ca="1">'1. Option Portfolio Overview'!E3</f>
        <v>160.39999399999999</v>
      </c>
      <c r="B6" s="44">
        <f ca="1">'1. Option Portfolio Overview'!E5</f>
        <v>176.43999340000002</v>
      </c>
      <c r="C6" s="45">
        <f ca="1"/>
        <v>0.16207573436988343</v>
      </c>
      <c r="D6" s="46">
        <f>D5</f>
        <v>0.04</v>
      </c>
      <c r="E6" s="47">
        <v>0</v>
      </c>
      <c r="F6" s="47"/>
      <c r="G6" s="48">
        <f>'1. Option Portfolio Overview'!E7/12</f>
        <v>0.75</v>
      </c>
      <c r="H6" s="49">
        <f ca="1">LN(A6/B6)</f>
        <v>-9.5310179804325018E-2</v>
      </c>
      <c r="I6" s="49">
        <f ca="1">(D6+POWER(C6,2)/2)*G6</f>
        <v>3.9850703876826377E-2</v>
      </c>
      <c r="J6" s="49">
        <f ca="1">C6*SQRT(G6)</f>
        <v>0.14036170330133771</v>
      </c>
      <c r="K6" s="49">
        <f ca="1">(H6+I6)/J6</f>
        <v>-0.39511828813044969</v>
      </c>
      <c r="L6" s="49">
        <f ca="1">K6-J6</f>
        <v>-0.53547999143178737</v>
      </c>
      <c r="M6" s="49">
        <f ca="1">_xlfn.NORM.DIST(K6,0,1,TRUE)</f>
        <v>0.346377796354153</v>
      </c>
      <c r="N6" s="49">
        <f ca="1">_xlfn.NORM.DIST(-K6,0,1,TRUE)</f>
        <v>0.653622203645847</v>
      </c>
      <c r="O6" s="49">
        <f ca="1">_xlfn.NORM.DIST(L6,0,1,TRUE)</f>
        <v>0.29615899486340092</v>
      </c>
      <c r="P6" s="49">
        <f ca="1">_xlfn.NORM.DIST(-L6,0,1,TRUE)</f>
        <v>0.70384100513659908</v>
      </c>
      <c r="Q6" s="49">
        <f t="shared" si="0"/>
        <v>0.97044553354850815</v>
      </c>
      <c r="R6" s="49">
        <f ca="1">B6*Q6</f>
        <v>171.22540353435826</v>
      </c>
      <c r="S6" s="49">
        <f t="shared" si="1"/>
        <v>1</v>
      </c>
      <c r="T6" s="49">
        <f ca="1">A6*S6</f>
        <v>160.39999399999999</v>
      </c>
      <c r="U6" s="49">
        <f ca="1">T6*M6-R6*O6</f>
        <v>4.8490530511236045</v>
      </c>
      <c r="V6" s="55">
        <f ca="1">R6*P6-T6*N6</f>
        <v>15.674462585481862</v>
      </c>
    </row>
    <row r="7" spans="1:22" x14ac:dyDescent="0.25">
      <c r="C7" s="10"/>
    </row>
    <row r="8" spans="1:22" ht="15.6" x14ac:dyDescent="0.3">
      <c r="A8" s="58" t="s">
        <v>51</v>
      </c>
      <c r="B8" s="89"/>
      <c r="C8" s="89"/>
      <c r="D8" s="89"/>
      <c r="E8" s="90"/>
    </row>
    <row r="9" spans="1:22" x14ac:dyDescent="0.25">
      <c r="A9" s="87"/>
      <c r="B9" s="13" t="str">
        <f>'1. Option Portfolio Overview'!B2</f>
        <v>AA</v>
      </c>
      <c r="C9" s="13" t="str">
        <f>'1. Option Portfolio Overview'!C2</f>
        <v>INTC</v>
      </c>
      <c r="D9" s="13" t="str">
        <f>'1. Option Portfolio Overview'!D2</f>
        <v>JPM</v>
      </c>
      <c r="E9" s="17" t="str">
        <f>'1. Option Portfolio Overview'!E2</f>
        <v>PG</v>
      </c>
    </row>
    <row r="10" spans="1:22" x14ac:dyDescent="0.25">
      <c r="A10" s="61" t="s">
        <v>13</v>
      </c>
      <c r="B10" s="14">
        <f ca="1">AVERAGE(INDIRECT('1. Option Portfolio Overview'!B2&amp;"!I2051:I2566"))</f>
        <v>9.500100306601368E-4</v>
      </c>
      <c r="C10" s="14">
        <f ca="1">AVERAGE(INDIRECT('1. Option Portfolio Overview'!C2&amp;"!I2051:I2566"))</f>
        <v>3.5120236203899595E-4</v>
      </c>
      <c r="D10" s="14">
        <f ca="1">AVERAGE(INDIRECT('1. Option Portfolio Overview'!D2&amp;"!I2051:I2566"))</f>
        <v>1.7804804079855828E-4</v>
      </c>
      <c r="E10" s="18">
        <f ca="1">AVERAGE(INDIRECT('1. Option Portfolio Overview'!E2&amp;"!I2051:I2566"))</f>
        <v>1.042402526648294E-4</v>
      </c>
    </row>
    <row r="11" spans="1:22" x14ac:dyDescent="0.25">
      <c r="A11" s="61" t="s">
        <v>53</v>
      </c>
      <c r="B11" s="14">
        <f ca="1">B10^0.5</f>
        <v>3.0822232733209592E-2</v>
      </c>
      <c r="C11" s="14">
        <f ca="1">C10^0.5</f>
        <v>1.8740393860295357E-2</v>
      </c>
      <c r="D11" s="14">
        <f ca="1">D10^0.5</f>
        <v>1.3343464347708143E-2</v>
      </c>
      <c r="E11" s="18">
        <f ca="1">E10^0.5</f>
        <v>1.0209811588116081E-2</v>
      </c>
    </row>
    <row r="12" spans="1:22" x14ac:dyDescent="0.25">
      <c r="A12" s="88" t="s">
        <v>54</v>
      </c>
      <c r="B12" s="16">
        <f ca="1">B11*SQRT(252)</f>
        <v>0.4892877759829633</v>
      </c>
      <c r="C12" s="16">
        <f ca="1">C11*SQRT(252)</f>
        <v>0.2974945297544595</v>
      </c>
      <c r="D12" s="16">
        <f ca="1">D11*SQRT(252)</f>
        <v>0.21182092975255465</v>
      </c>
      <c r="E12" s="19">
        <f ca="1">E11*SQRT(252)</f>
        <v>0.16207573436988343</v>
      </c>
    </row>
    <row r="13" spans="1:22" x14ac:dyDescent="0.25">
      <c r="B13" s="11"/>
      <c r="C13" s="11"/>
      <c r="D13" s="11"/>
      <c r="E13" s="11"/>
    </row>
    <row r="14" spans="1:22" ht="15.6" x14ac:dyDescent="0.3">
      <c r="A14" s="58" t="s">
        <v>64</v>
      </c>
      <c r="B14" s="89"/>
      <c r="C14" s="89"/>
      <c r="D14" s="89"/>
      <c r="E14" s="90"/>
    </row>
    <row r="15" spans="1:22" x14ac:dyDescent="0.25">
      <c r="A15" s="87"/>
      <c r="B15" s="13" t="str">
        <f>B9</f>
        <v>AA</v>
      </c>
      <c r="C15" s="13" t="str">
        <f t="shared" ref="C15:E15" si="2">C9</f>
        <v>INTC</v>
      </c>
      <c r="D15" s="13" t="str">
        <f t="shared" si="2"/>
        <v>JPM</v>
      </c>
      <c r="E15" s="17" t="str">
        <f t="shared" si="2"/>
        <v>PG</v>
      </c>
    </row>
    <row r="16" spans="1:22" ht="15.6" x14ac:dyDescent="0.3">
      <c r="A16" s="24" t="str" cm="1">
        <f t="array" aca="1" ref="A16:E17" ca="1">TRANSPOSE(U2:V6)</f>
        <v>Call Option</v>
      </c>
      <c r="B16" s="20">
        <f ca="1"/>
        <v>4.4753128980069743</v>
      </c>
      <c r="C16" s="20">
        <f ca="1"/>
        <v>6.5756605862489756</v>
      </c>
      <c r="D16" s="20">
        <f ca="1"/>
        <v>18.770648474934745</v>
      </c>
      <c r="E16" s="21">
        <f ca="1"/>
        <v>4.8490530511236045</v>
      </c>
    </row>
    <row r="17" spans="1:5" ht="15.6" x14ac:dyDescent="0.3">
      <c r="A17" s="25" t="str">
        <f ca="1"/>
        <v>Put Option</v>
      </c>
      <c r="B17" s="22">
        <f ca="1"/>
        <v>5.0056528529562687</v>
      </c>
      <c r="C17" s="22">
        <f ca="1"/>
        <v>1.4539731642079552</v>
      </c>
      <c r="D17" s="22">
        <f ca="1"/>
        <v>11.67745825285337</v>
      </c>
      <c r="E17" s="23">
        <f ca="1"/>
        <v>15.674462585481862</v>
      </c>
    </row>
    <row r="23" spans="1:5" x14ac:dyDescent="0.25">
      <c r="A23" s="12"/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D3439-CA53-0D4D-A871-FED45E58437F}">
  <sheetPr codeName="Sheet5"/>
  <dimension ref="A1:S62"/>
  <sheetViews>
    <sheetView showGridLines="0" zoomScale="38" workbookViewId="0">
      <selection activeCell="P33" sqref="P33"/>
    </sheetView>
  </sheetViews>
  <sheetFormatPr defaultColWidth="11.5546875" defaultRowHeight="14.4" x14ac:dyDescent="0.3"/>
  <cols>
    <col min="7" max="7" width="44.6640625" bestFit="1" customWidth="1"/>
    <col min="8" max="8" width="27" customWidth="1"/>
    <col min="10" max="10" width="21.33203125" customWidth="1"/>
    <col min="11" max="11" width="17.33203125" bestFit="1" customWidth="1"/>
    <col min="12" max="12" width="18.77734375" customWidth="1"/>
    <col min="14" max="14" width="47.109375" customWidth="1"/>
    <col min="15" max="15" width="14.109375" bestFit="1" customWidth="1"/>
    <col min="16" max="16" width="16.77734375" customWidth="1"/>
    <col min="17" max="19" width="14.109375" bestFit="1" customWidth="1"/>
  </cols>
  <sheetData>
    <row r="1" spans="1:19" x14ac:dyDescent="0.3">
      <c r="A1" s="93" t="s">
        <v>74</v>
      </c>
      <c r="G1" s="93" t="s">
        <v>75</v>
      </c>
      <c r="J1" s="94"/>
      <c r="K1" s="94"/>
      <c r="L1" s="94"/>
      <c r="N1" s="93" t="s">
        <v>126</v>
      </c>
    </row>
    <row r="2" spans="1:19" x14ac:dyDescent="0.3">
      <c r="J2" s="94"/>
      <c r="K2" s="94"/>
      <c r="L2" s="94"/>
    </row>
    <row r="3" spans="1:19" ht="15.6" x14ac:dyDescent="0.3">
      <c r="A3" s="58" t="s">
        <v>66</v>
      </c>
      <c r="B3" s="89"/>
      <c r="C3" s="89"/>
      <c r="D3" s="89"/>
      <c r="E3" s="90"/>
      <c r="G3" s="58" t="s">
        <v>76</v>
      </c>
      <c r="H3" s="95"/>
      <c r="I3" s="94"/>
      <c r="J3" s="58" t="s">
        <v>84</v>
      </c>
      <c r="K3" s="67"/>
      <c r="L3" s="68"/>
      <c r="M3" s="94"/>
      <c r="N3" s="104"/>
      <c r="O3" s="129" t="s">
        <v>0</v>
      </c>
      <c r="P3" s="129" t="s">
        <v>1</v>
      </c>
      <c r="Q3" s="129" t="s">
        <v>15</v>
      </c>
      <c r="R3" s="129" t="s">
        <v>2</v>
      </c>
      <c r="S3" s="130" t="s">
        <v>127</v>
      </c>
    </row>
    <row r="4" spans="1:19" ht="15.6" x14ac:dyDescent="0.3">
      <c r="A4" s="87" t="s">
        <v>0</v>
      </c>
      <c r="B4" s="13" t="s">
        <v>1</v>
      </c>
      <c r="C4" s="13" t="s">
        <v>15</v>
      </c>
      <c r="D4" s="13" t="s">
        <v>2</v>
      </c>
      <c r="E4" s="17" t="s">
        <v>65</v>
      </c>
      <c r="G4" s="87" t="s">
        <v>77</v>
      </c>
      <c r="H4" s="97">
        <v>2515</v>
      </c>
      <c r="I4" s="94"/>
      <c r="J4" s="87" t="s">
        <v>85</v>
      </c>
      <c r="K4" s="13" t="s">
        <v>86</v>
      </c>
      <c r="L4" s="17" t="s">
        <v>87</v>
      </c>
      <c r="M4" s="94"/>
      <c r="N4" s="131" t="s">
        <v>0</v>
      </c>
      <c r="O4" s="132">
        <v>2.4020000000000001E-4</v>
      </c>
      <c r="P4" s="132">
        <v>9.0800000000000012E-5</v>
      </c>
      <c r="Q4" s="132">
        <v>1.2989999999999999E-4</v>
      </c>
      <c r="R4" s="132">
        <v>4.3600000000000003E-5</v>
      </c>
      <c r="S4" s="98">
        <v>1.3100000000000001E-4</v>
      </c>
    </row>
    <row r="5" spans="1:19" ht="15.6" x14ac:dyDescent="0.3">
      <c r="A5" s="91">
        <v>1.7945</v>
      </c>
      <c r="B5" s="22">
        <v>2.7334999999999998</v>
      </c>
      <c r="C5" s="22">
        <v>1.4483999999999999</v>
      </c>
      <c r="D5" s="22">
        <v>2.8214000000000001</v>
      </c>
      <c r="E5" s="23">
        <v>17.318999999999999</v>
      </c>
      <c r="G5" s="87" t="s">
        <v>78</v>
      </c>
      <c r="H5" s="98">
        <v>5.9635999999999999E-4</v>
      </c>
      <c r="I5" s="94"/>
      <c r="J5" s="91">
        <v>18765.86</v>
      </c>
      <c r="K5" s="100">
        <v>1E-3</v>
      </c>
      <c r="L5" s="101">
        <v>5.9696100000000003</v>
      </c>
      <c r="M5" s="94"/>
      <c r="N5" s="131" t="s">
        <v>1</v>
      </c>
      <c r="O5" s="132">
        <v>9.0800000000000012E-5</v>
      </c>
      <c r="P5" s="132">
        <v>1.7249999999999999E-4</v>
      </c>
      <c r="Q5" s="132">
        <v>1.2880000000000001E-4</v>
      </c>
      <c r="R5" s="132">
        <v>3.7100000000000001E-5</v>
      </c>
      <c r="S5" s="98">
        <v>9.2700000000000004E-5</v>
      </c>
    </row>
    <row r="6" spans="1:19" ht="15.6" x14ac:dyDescent="0.3">
      <c r="G6" s="87" t="s">
        <v>13</v>
      </c>
      <c r="H6" s="98">
        <v>2.0720999999999999E-4</v>
      </c>
      <c r="I6" s="94"/>
      <c r="J6" s="94"/>
      <c r="K6" s="94"/>
      <c r="L6" s="94"/>
      <c r="N6" s="131" t="s">
        <v>15</v>
      </c>
      <c r="O6" s="132">
        <v>1.2989999999999999E-4</v>
      </c>
      <c r="P6" s="132">
        <v>1.2880000000000001E-4</v>
      </c>
      <c r="Q6" s="132">
        <v>6.4090000000000002E-4</v>
      </c>
      <c r="R6" s="132">
        <v>4.2299999999999998E-5</v>
      </c>
      <c r="S6" s="98">
        <v>1.119E-4</v>
      </c>
    </row>
    <row r="7" spans="1:19" ht="15.6" x14ac:dyDescent="0.3">
      <c r="A7" s="58" t="s">
        <v>67</v>
      </c>
      <c r="B7" s="89"/>
      <c r="C7" s="89"/>
      <c r="D7" s="89"/>
      <c r="E7" s="90"/>
      <c r="G7" s="87" t="s">
        <v>79</v>
      </c>
      <c r="H7" s="98">
        <v>1.4395E-2</v>
      </c>
      <c r="I7" s="94"/>
      <c r="J7" s="94"/>
      <c r="K7" s="94"/>
      <c r="L7" s="94"/>
      <c r="N7" s="131" t="s">
        <v>2</v>
      </c>
      <c r="O7" s="132">
        <v>4.3600000000000003E-5</v>
      </c>
      <c r="P7" s="132">
        <v>3.7100000000000001E-5</v>
      </c>
      <c r="Q7" s="132">
        <v>4.2299999999999998E-5</v>
      </c>
      <c r="R7" s="132">
        <v>8.5900000000000001E-5</v>
      </c>
      <c r="S7" s="98">
        <v>4.8699999999999998E-5</v>
      </c>
    </row>
    <row r="8" spans="1:19" ht="15.6" x14ac:dyDescent="0.3">
      <c r="A8" s="87" t="s">
        <v>0</v>
      </c>
      <c r="B8" s="13" t="s">
        <v>1</v>
      </c>
      <c r="C8" s="13" t="s">
        <v>15</v>
      </c>
      <c r="D8" s="13" t="s">
        <v>2</v>
      </c>
      <c r="E8" s="17" t="s">
        <v>65</v>
      </c>
      <c r="G8" s="87" t="s">
        <v>80</v>
      </c>
      <c r="H8" s="98">
        <v>-0.14474000000000001</v>
      </c>
      <c r="I8" s="94"/>
      <c r="J8" s="94"/>
      <c r="K8" s="94"/>
      <c r="L8" s="94"/>
      <c r="N8" s="133" t="s">
        <v>127</v>
      </c>
      <c r="O8" s="100">
        <v>1.3100000000000001E-4</v>
      </c>
      <c r="P8" s="100">
        <v>9.2700000000000004E-5</v>
      </c>
      <c r="Q8" s="100">
        <v>1.119E-4</v>
      </c>
      <c r="R8" s="100">
        <v>4.8699999999999998E-5</v>
      </c>
      <c r="S8" s="99">
        <v>2.118E-4</v>
      </c>
    </row>
    <row r="9" spans="1:19" ht="15.6" x14ac:dyDescent="0.3">
      <c r="A9" s="91">
        <v>2.0467</v>
      </c>
      <c r="B9" s="22">
        <v>3.0499000000000001</v>
      </c>
      <c r="C9" s="22">
        <v>1.5831</v>
      </c>
      <c r="D9" s="22">
        <v>3.2039</v>
      </c>
      <c r="E9" s="23">
        <v>19.350000000000001</v>
      </c>
      <c r="G9" s="87" t="s">
        <v>81</v>
      </c>
      <c r="H9" s="98">
        <v>0.13153000000000001</v>
      </c>
      <c r="I9" s="94"/>
      <c r="J9" s="94"/>
      <c r="K9" s="94"/>
      <c r="L9" s="94"/>
    </row>
    <row r="10" spans="1:19" ht="15.6" x14ac:dyDescent="0.3">
      <c r="G10" s="87" t="s">
        <v>82</v>
      </c>
      <c r="H10" s="98">
        <v>-0.45643</v>
      </c>
      <c r="I10" s="94"/>
      <c r="J10" s="94"/>
      <c r="K10" s="94"/>
      <c r="L10" s="94"/>
      <c r="N10" s="136" t="s">
        <v>128</v>
      </c>
      <c r="O10" s="137"/>
      <c r="P10" s="137"/>
      <c r="Q10" s="138"/>
    </row>
    <row r="11" spans="1:19" ht="15.6" x14ac:dyDescent="0.3">
      <c r="A11" s="58" t="s">
        <v>68</v>
      </c>
      <c r="B11" s="89"/>
      <c r="C11" s="89"/>
      <c r="D11" s="92"/>
      <c r="G11" s="96" t="s">
        <v>83</v>
      </c>
      <c r="H11" s="99">
        <v>16.350999999999999</v>
      </c>
      <c r="I11" s="94"/>
      <c r="J11" s="94"/>
      <c r="K11" s="94"/>
      <c r="L11" s="94"/>
      <c r="N11" s="105"/>
      <c r="O11" s="106" t="s">
        <v>129</v>
      </c>
      <c r="P11" s="106" t="s">
        <v>130</v>
      </c>
      <c r="Q11" s="107" t="s">
        <v>131</v>
      </c>
    </row>
    <row r="12" spans="1:19" ht="15.6" x14ac:dyDescent="0.3">
      <c r="A12" s="87" t="s">
        <v>0</v>
      </c>
      <c r="B12" s="13" t="s">
        <v>1</v>
      </c>
      <c r="C12" s="13" t="s">
        <v>15</v>
      </c>
      <c r="D12" s="17" t="s">
        <v>2</v>
      </c>
      <c r="N12" s="102" t="s">
        <v>0</v>
      </c>
      <c r="O12" s="132">
        <v>0.16946</v>
      </c>
      <c r="P12" s="132">
        <v>4.5358999999999998E-3</v>
      </c>
      <c r="Q12" s="98">
        <v>0.2</v>
      </c>
      <c r="R12" s="134"/>
      <c r="S12" s="134"/>
    </row>
    <row r="13" spans="1:19" ht="15.6" x14ac:dyDescent="0.3">
      <c r="A13" s="91">
        <v>-0.75229999999999997</v>
      </c>
      <c r="B13" s="22">
        <v>2.2174</v>
      </c>
      <c r="C13" s="22">
        <v>0.40439999999999998</v>
      </c>
      <c r="D13" s="23">
        <v>0.35210000000000002</v>
      </c>
      <c r="G13" s="58" t="s">
        <v>88</v>
      </c>
      <c r="H13" s="89"/>
      <c r="I13" s="92"/>
      <c r="N13" s="102" t="s">
        <v>1</v>
      </c>
      <c r="O13" s="132">
        <v>0.20163</v>
      </c>
      <c r="P13" s="132">
        <v>4.5358999999999998E-3</v>
      </c>
      <c r="Q13" s="98">
        <v>0.2</v>
      </c>
      <c r="R13" s="134"/>
      <c r="S13" s="134"/>
    </row>
    <row r="14" spans="1:19" ht="15.6" x14ac:dyDescent="0.3">
      <c r="G14" s="87"/>
      <c r="H14" s="13" t="s">
        <v>89</v>
      </c>
      <c r="I14" s="17" t="s">
        <v>90</v>
      </c>
      <c r="N14" s="102" t="s">
        <v>15</v>
      </c>
      <c r="O14" s="132">
        <v>0.11985999999999999</v>
      </c>
      <c r="P14" s="132">
        <v>4.5358999999999998E-3</v>
      </c>
      <c r="Q14" s="98">
        <v>0.2</v>
      </c>
      <c r="S14" s="134"/>
    </row>
    <row r="15" spans="1:19" ht="15.6" x14ac:dyDescent="0.3">
      <c r="A15" s="58" t="s">
        <v>69</v>
      </c>
      <c r="B15" s="89"/>
      <c r="C15" s="89"/>
      <c r="D15" s="92"/>
      <c r="G15" s="102" t="s">
        <v>91</v>
      </c>
      <c r="H15" s="20">
        <v>201.71</v>
      </c>
      <c r="I15" s="21">
        <v>31.41</v>
      </c>
      <c r="N15" s="102" t="s">
        <v>2</v>
      </c>
      <c r="O15" s="132">
        <v>0.33278999999999997</v>
      </c>
      <c r="P15" s="132">
        <v>4.5358999999999998E-3</v>
      </c>
      <c r="Q15" s="98">
        <v>0.2</v>
      </c>
      <c r="S15" s="134"/>
    </row>
    <row r="16" spans="1:19" ht="15.6" x14ac:dyDescent="0.3">
      <c r="A16" s="87" t="s">
        <v>0</v>
      </c>
      <c r="B16" s="13" t="s">
        <v>1</v>
      </c>
      <c r="C16" s="13" t="s">
        <v>15</v>
      </c>
      <c r="D16" s="17" t="s">
        <v>2</v>
      </c>
      <c r="G16" s="103" t="s">
        <v>92</v>
      </c>
      <c r="H16" s="22">
        <v>3007.5</v>
      </c>
      <c r="I16" s="23">
        <v>31.41</v>
      </c>
      <c r="N16" s="103" t="s">
        <v>127</v>
      </c>
      <c r="O16" s="100">
        <v>0.17624999999999999</v>
      </c>
      <c r="P16" s="100">
        <v>4.5358999999999998E-3</v>
      </c>
      <c r="Q16" s="99">
        <v>0.2</v>
      </c>
      <c r="S16" s="134"/>
    </row>
    <row r="17" spans="1:19" ht="15.6" x14ac:dyDescent="0.3">
      <c r="A17" s="91">
        <v>2.2568000000000001</v>
      </c>
      <c r="B17" s="22">
        <v>13.3043</v>
      </c>
      <c r="C17" s="22">
        <v>2.4264000000000001</v>
      </c>
      <c r="D17" s="23">
        <v>-0.70409999999999995</v>
      </c>
      <c r="S17" s="135"/>
    </row>
    <row r="18" spans="1:19" ht="15.6" x14ac:dyDescent="0.3">
      <c r="G18" s="136" t="s">
        <v>93</v>
      </c>
      <c r="H18" s="137"/>
      <c r="I18" s="138"/>
      <c r="N18" s="58" t="s">
        <v>132</v>
      </c>
      <c r="O18" s="67"/>
      <c r="P18" s="68"/>
      <c r="Q18" s="113"/>
    </row>
    <row r="19" spans="1:19" ht="15.6" x14ac:dyDescent="0.3">
      <c r="A19" s="58" t="s">
        <v>70</v>
      </c>
      <c r="B19" s="89"/>
      <c r="C19" s="89"/>
      <c r="D19" s="92"/>
      <c r="G19" s="105"/>
      <c r="H19" s="106" t="s">
        <v>94</v>
      </c>
      <c r="I19" s="107" t="s">
        <v>95</v>
      </c>
      <c r="N19" s="105"/>
      <c r="O19" s="106" t="s">
        <v>133</v>
      </c>
      <c r="P19" s="107" t="s">
        <v>134</v>
      </c>
      <c r="Q19" s="94"/>
    </row>
    <row r="20" spans="1:19" ht="15.6" x14ac:dyDescent="0.3">
      <c r="A20" s="87" t="s">
        <v>0</v>
      </c>
      <c r="B20" s="13" t="s">
        <v>1</v>
      </c>
      <c r="C20" s="13" t="s">
        <v>15</v>
      </c>
      <c r="D20" s="17" t="s">
        <v>2</v>
      </c>
      <c r="G20" s="102" t="s">
        <v>96</v>
      </c>
      <c r="H20" s="108">
        <v>219</v>
      </c>
      <c r="I20" s="97">
        <v>58</v>
      </c>
      <c r="N20" s="102" t="s">
        <v>135</v>
      </c>
      <c r="O20" s="132">
        <v>0.80603999999999998</v>
      </c>
      <c r="P20" s="98">
        <v>0.42059999999999997</v>
      </c>
      <c r="Q20" s="94"/>
    </row>
    <row r="21" spans="1:19" ht="15.6" x14ac:dyDescent="0.3">
      <c r="A21" s="91">
        <v>0.13059999999999999</v>
      </c>
      <c r="B21" s="22">
        <v>0.76980000000000004</v>
      </c>
      <c r="C21" s="22">
        <v>0.1404</v>
      </c>
      <c r="D21" s="23">
        <v>-4.07E-2</v>
      </c>
      <c r="G21" s="102" t="s">
        <v>97</v>
      </c>
      <c r="H21" s="108">
        <v>254</v>
      </c>
      <c r="I21" s="97">
        <v>38</v>
      </c>
      <c r="N21" s="103" t="s">
        <v>136</v>
      </c>
      <c r="O21" s="100">
        <v>0.75124000000000002</v>
      </c>
      <c r="P21" s="99">
        <v>0.49020999999999998</v>
      </c>
      <c r="Q21" s="94"/>
    </row>
    <row r="22" spans="1:19" ht="15.6" x14ac:dyDescent="0.3">
      <c r="G22" s="103" t="s">
        <v>98</v>
      </c>
      <c r="H22" s="109">
        <v>260</v>
      </c>
      <c r="I22" s="110">
        <v>42</v>
      </c>
      <c r="N22" s="94"/>
      <c r="O22" s="94"/>
      <c r="P22" s="94"/>
      <c r="Q22" s="94"/>
    </row>
    <row r="23" spans="1:19" ht="15.6" x14ac:dyDescent="0.3">
      <c r="A23" s="58" t="s">
        <v>71</v>
      </c>
      <c r="B23" s="89"/>
      <c r="C23" s="89"/>
      <c r="D23" s="92"/>
      <c r="N23" s="136" t="s">
        <v>137</v>
      </c>
      <c r="O23" s="138"/>
    </row>
    <row r="24" spans="1:19" ht="15.6" x14ac:dyDescent="0.3">
      <c r="A24" s="87" t="s">
        <v>0</v>
      </c>
      <c r="B24" s="13" t="s">
        <v>1</v>
      </c>
      <c r="C24" s="13" t="s">
        <v>15</v>
      </c>
      <c r="D24" s="17" t="s">
        <v>2</v>
      </c>
      <c r="G24" s="136" t="s">
        <v>99</v>
      </c>
      <c r="H24" s="137"/>
      <c r="I24" s="137"/>
      <c r="J24" s="137"/>
      <c r="K24" s="138"/>
      <c r="N24" s="102" t="s">
        <v>135</v>
      </c>
      <c r="O24" s="97">
        <v>111</v>
      </c>
    </row>
    <row r="25" spans="1:19" ht="15.6" x14ac:dyDescent="0.3">
      <c r="A25" s="91">
        <v>-0.92859999999999998</v>
      </c>
      <c r="B25" s="22">
        <v>2.3254000000000001</v>
      </c>
      <c r="C25" s="22">
        <v>0.36020000000000002</v>
      </c>
      <c r="D25" s="23">
        <v>-0.22550000000000001</v>
      </c>
      <c r="G25" s="105"/>
      <c r="H25" s="106" t="s">
        <v>100</v>
      </c>
      <c r="I25" s="106" t="s">
        <v>101</v>
      </c>
      <c r="J25" s="106" t="s">
        <v>102</v>
      </c>
      <c r="K25" s="107" t="s">
        <v>103</v>
      </c>
      <c r="N25" s="103" t="s">
        <v>136</v>
      </c>
      <c r="O25" s="110">
        <v>117</v>
      </c>
    </row>
    <row r="26" spans="1:19" ht="15.6" x14ac:dyDescent="0.3">
      <c r="G26" s="102" t="s">
        <v>104</v>
      </c>
      <c r="H26" s="108">
        <v>219</v>
      </c>
      <c r="I26" s="111">
        <v>1.9450000000000001</v>
      </c>
      <c r="J26" s="111">
        <v>0.16313</v>
      </c>
      <c r="K26" s="21" t="s">
        <v>105</v>
      </c>
    </row>
    <row r="27" spans="1:19" ht="15.6" x14ac:dyDescent="0.3">
      <c r="A27" s="58" t="s">
        <v>72</v>
      </c>
      <c r="B27" s="89"/>
      <c r="C27" s="89"/>
      <c r="D27" s="92"/>
      <c r="G27" s="102" t="s">
        <v>106</v>
      </c>
      <c r="H27" s="108">
        <v>58</v>
      </c>
      <c r="I27" s="111">
        <v>35.076999999999998</v>
      </c>
      <c r="J27" s="111">
        <v>3.1699E-9</v>
      </c>
      <c r="K27" s="21" t="s">
        <v>107</v>
      </c>
    </row>
    <row r="28" spans="1:19" ht="15.6" x14ac:dyDescent="0.3">
      <c r="A28" s="87" t="s">
        <v>0</v>
      </c>
      <c r="B28" s="13" t="s">
        <v>1</v>
      </c>
      <c r="C28" s="13" t="s">
        <v>15</v>
      </c>
      <c r="D28" s="17" t="s">
        <v>2</v>
      </c>
      <c r="G28" s="102" t="s">
        <v>108</v>
      </c>
      <c r="H28" s="108">
        <v>254</v>
      </c>
      <c r="I28" s="111">
        <v>0.99938000000000005</v>
      </c>
      <c r="J28" s="111">
        <v>0.31746000000000002</v>
      </c>
      <c r="K28" s="21" t="s">
        <v>105</v>
      </c>
    </row>
    <row r="29" spans="1:19" ht="15.6" x14ac:dyDescent="0.3">
      <c r="A29" s="91">
        <v>2.7858999999999998</v>
      </c>
      <c r="B29" s="22">
        <v>13.952500000000001</v>
      </c>
      <c r="C29" s="22">
        <v>2.1610999999999998</v>
      </c>
      <c r="D29" s="23">
        <v>0.45090000000000002</v>
      </c>
      <c r="G29" s="102" t="s">
        <v>109</v>
      </c>
      <c r="H29" s="108">
        <v>38</v>
      </c>
      <c r="I29" s="111">
        <v>7.1021000000000001</v>
      </c>
      <c r="J29" s="111">
        <v>7.6994000000000003E-3</v>
      </c>
      <c r="K29" s="21" t="s">
        <v>107</v>
      </c>
    </row>
    <row r="30" spans="1:19" ht="15.6" x14ac:dyDescent="0.3">
      <c r="G30" s="102" t="s">
        <v>110</v>
      </c>
      <c r="H30" s="108">
        <v>260</v>
      </c>
      <c r="I30" s="111">
        <v>1.9601</v>
      </c>
      <c r="J30" s="111">
        <v>0.16150999999999999</v>
      </c>
      <c r="K30" s="21" t="s">
        <v>105</v>
      </c>
    </row>
    <row r="31" spans="1:19" ht="15.6" x14ac:dyDescent="0.3">
      <c r="A31" s="58" t="s">
        <v>73</v>
      </c>
      <c r="B31" s="89"/>
      <c r="C31" s="89"/>
      <c r="D31" s="92"/>
      <c r="G31" s="103" t="s">
        <v>111</v>
      </c>
      <c r="H31" s="109">
        <v>42</v>
      </c>
      <c r="I31" s="112">
        <v>11.266999999999999</v>
      </c>
      <c r="J31" s="112">
        <v>7.8914999999999996E-4</v>
      </c>
      <c r="K31" s="23" t="s">
        <v>107</v>
      </c>
    </row>
    <row r="32" spans="1:19" x14ac:dyDescent="0.3">
      <c r="A32" s="87" t="s">
        <v>0</v>
      </c>
      <c r="B32" s="13" t="s">
        <v>1</v>
      </c>
      <c r="C32" s="13" t="s">
        <v>15</v>
      </c>
      <c r="D32" s="17" t="s">
        <v>2</v>
      </c>
    </row>
    <row r="33" spans="1:11" ht="15.6" x14ac:dyDescent="0.3">
      <c r="A33" s="91">
        <v>0.14399999999999999</v>
      </c>
      <c r="B33" s="22">
        <v>0.72099999999999997</v>
      </c>
      <c r="C33" s="22">
        <v>0.11169999999999999</v>
      </c>
      <c r="D33" s="23">
        <v>2.3300000000000001E-2</v>
      </c>
    </row>
    <row r="34" spans="1:11" ht="15.6" x14ac:dyDescent="0.3">
      <c r="G34" s="58" t="s">
        <v>112</v>
      </c>
      <c r="H34" s="67"/>
      <c r="I34" s="68"/>
      <c r="J34" s="113"/>
      <c r="K34" s="113"/>
    </row>
    <row r="35" spans="1:11" ht="15.6" x14ac:dyDescent="0.3">
      <c r="G35" s="105"/>
      <c r="H35" s="106" t="s">
        <v>113</v>
      </c>
      <c r="I35" s="107" t="s">
        <v>102</v>
      </c>
      <c r="J35" s="106"/>
      <c r="K35" s="106"/>
    </row>
    <row r="36" spans="1:11" ht="15.6" x14ac:dyDescent="0.3">
      <c r="G36" s="102" t="s">
        <v>104</v>
      </c>
      <c r="H36" s="114">
        <v>11.5</v>
      </c>
      <c r="I36" s="115">
        <v>6.958E-4</v>
      </c>
      <c r="J36" s="111"/>
      <c r="K36" s="20"/>
    </row>
    <row r="37" spans="1:11" ht="15.6" x14ac:dyDescent="0.3">
      <c r="G37" s="102" t="s">
        <v>106</v>
      </c>
      <c r="H37" s="114">
        <v>12.433999999999999</v>
      </c>
      <c r="I37" s="115">
        <v>4.2150999999999999E-4</v>
      </c>
      <c r="J37" s="111"/>
      <c r="K37" s="20"/>
    </row>
    <row r="38" spans="1:11" ht="15.6" x14ac:dyDescent="0.3">
      <c r="G38" s="102" t="s">
        <v>108</v>
      </c>
      <c r="H38" s="114">
        <v>9.2828999999999997</v>
      </c>
      <c r="I38" s="115">
        <v>2.3130999999999998E-3</v>
      </c>
      <c r="J38" s="111"/>
      <c r="K38" s="20"/>
    </row>
    <row r="39" spans="1:11" ht="15.6" x14ac:dyDescent="0.3">
      <c r="G39" s="102" t="s">
        <v>109</v>
      </c>
      <c r="H39" s="114">
        <v>8.9739000000000004</v>
      </c>
      <c r="I39" s="115">
        <v>2.7385999999999999E-3</v>
      </c>
      <c r="J39" s="111"/>
      <c r="K39" s="20"/>
    </row>
    <row r="40" spans="1:11" ht="15.6" x14ac:dyDescent="0.3">
      <c r="G40" s="102" t="s">
        <v>110</v>
      </c>
      <c r="H40" s="114">
        <v>8.6324000000000005</v>
      </c>
      <c r="I40" s="115">
        <v>3.3024E-3</v>
      </c>
      <c r="J40" s="111"/>
      <c r="K40" s="20"/>
    </row>
    <row r="41" spans="1:11" ht="15.6" x14ac:dyDescent="0.3">
      <c r="G41" s="103" t="s">
        <v>111</v>
      </c>
      <c r="H41" s="116">
        <v>7.5335000000000001</v>
      </c>
      <c r="I41" s="117">
        <v>6.0562000000000003E-3</v>
      </c>
      <c r="J41" s="111"/>
      <c r="K41" s="20"/>
    </row>
    <row r="44" spans="1:11" ht="15.6" x14ac:dyDescent="0.3">
      <c r="G44" s="58" t="s">
        <v>114</v>
      </c>
      <c r="H44" s="67"/>
      <c r="I44" s="68"/>
    </row>
    <row r="45" spans="1:11" ht="15.6" x14ac:dyDescent="0.3">
      <c r="G45" s="105"/>
      <c r="H45" s="106" t="s">
        <v>115</v>
      </c>
      <c r="I45" s="107" t="s">
        <v>102</v>
      </c>
    </row>
    <row r="46" spans="1:11" ht="15.6" x14ac:dyDescent="0.3">
      <c r="G46" s="102" t="s">
        <v>104</v>
      </c>
      <c r="H46" s="118">
        <v>13.445</v>
      </c>
      <c r="I46" s="115">
        <v>2.4561E-4</v>
      </c>
    </row>
    <row r="47" spans="1:11" ht="15.6" x14ac:dyDescent="0.3">
      <c r="G47" s="102" t="s">
        <v>106</v>
      </c>
      <c r="H47" s="118">
        <v>47.512</v>
      </c>
      <c r="I47" s="119" t="s">
        <v>116</v>
      </c>
    </row>
    <row r="48" spans="1:11" ht="15.6" x14ac:dyDescent="0.3">
      <c r="G48" s="102" t="s">
        <v>108</v>
      </c>
      <c r="H48" s="118">
        <v>10.282</v>
      </c>
      <c r="I48" s="115">
        <v>1.3431999999999999E-3</v>
      </c>
    </row>
    <row r="49" spans="7:11" ht="15.6" x14ac:dyDescent="0.3">
      <c r="G49" s="102" t="s">
        <v>109</v>
      </c>
      <c r="H49" s="118">
        <v>16.076000000000001</v>
      </c>
      <c r="I49" s="119" t="s">
        <v>117</v>
      </c>
    </row>
    <row r="50" spans="7:11" ht="15.6" x14ac:dyDescent="0.3">
      <c r="G50" s="102" t="s">
        <v>110</v>
      </c>
      <c r="H50" s="118">
        <v>10.592000000000001</v>
      </c>
      <c r="I50" s="115">
        <v>1.1355E-3</v>
      </c>
    </row>
    <row r="51" spans="7:11" ht="15.6" x14ac:dyDescent="0.3">
      <c r="G51" s="103" t="s">
        <v>111</v>
      </c>
      <c r="H51" s="120">
        <v>18.8</v>
      </c>
      <c r="I51" s="121" t="s">
        <v>118</v>
      </c>
    </row>
    <row r="54" spans="7:11" ht="15.6" x14ac:dyDescent="0.3">
      <c r="G54" s="136" t="s">
        <v>119</v>
      </c>
      <c r="H54" s="137"/>
      <c r="I54" s="137"/>
      <c r="J54" s="137"/>
      <c r="K54" s="138"/>
    </row>
    <row r="55" spans="7:11" ht="15.6" x14ac:dyDescent="0.3">
      <c r="G55" s="102" t="s">
        <v>120</v>
      </c>
      <c r="H55" s="118">
        <v>0.15</v>
      </c>
      <c r="I55" s="118">
        <v>0.1</v>
      </c>
      <c r="J55" s="118">
        <v>0.05</v>
      </c>
      <c r="K55" s="122">
        <v>0.01</v>
      </c>
    </row>
    <row r="56" spans="7:11" ht="15.6" x14ac:dyDescent="0.3">
      <c r="G56" s="103" t="s">
        <v>121</v>
      </c>
      <c r="H56" s="120">
        <v>1.5369999999999999</v>
      </c>
      <c r="I56" s="120">
        <v>1.62</v>
      </c>
      <c r="J56" s="120">
        <v>1.7470000000000001</v>
      </c>
      <c r="K56" s="123">
        <v>2.0009999999999999</v>
      </c>
    </row>
    <row r="58" spans="7:11" ht="15.6" x14ac:dyDescent="0.3">
      <c r="G58" s="136" t="s">
        <v>122</v>
      </c>
      <c r="H58" s="137"/>
      <c r="I58" s="138"/>
    </row>
    <row r="59" spans="7:11" ht="15.6" x14ac:dyDescent="0.3">
      <c r="G59" s="124"/>
      <c r="H59" s="125" t="s">
        <v>40</v>
      </c>
      <c r="I59" s="126" t="s">
        <v>87</v>
      </c>
    </row>
    <row r="60" spans="7:11" ht="15.6" x14ac:dyDescent="0.3">
      <c r="G60" s="127" t="s">
        <v>123</v>
      </c>
      <c r="H60" s="118">
        <v>6.293E-2</v>
      </c>
      <c r="I60" s="122">
        <v>3.0878000000000001</v>
      </c>
    </row>
    <row r="61" spans="7:11" ht="15.6" x14ac:dyDescent="0.3">
      <c r="G61" s="127" t="s">
        <v>124</v>
      </c>
      <c r="H61" s="118">
        <v>2.6112E-2</v>
      </c>
      <c r="I61" s="122">
        <v>1.2813000000000001</v>
      </c>
    </row>
    <row r="62" spans="7:11" ht="15.6" x14ac:dyDescent="0.3">
      <c r="G62" s="128" t="s">
        <v>125</v>
      </c>
      <c r="H62" s="120">
        <v>2.2637999999999998E-2</v>
      </c>
      <c r="I62" s="123">
        <v>1.1108</v>
      </c>
    </row>
  </sheetData>
  <mergeCells count="6">
    <mergeCell ref="G18:I18"/>
    <mergeCell ref="G24:K24"/>
    <mergeCell ref="G54:K54"/>
    <mergeCell ref="G58:I58"/>
    <mergeCell ref="N10:Q10"/>
    <mergeCell ref="N23:O2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218FC-1D8B-FE47-BC8B-52E4DAE97CB5}">
  <sheetPr codeName="Sheet6">
    <tabColor theme="4"/>
  </sheetPr>
  <dimension ref="A1"/>
  <sheetViews>
    <sheetView workbookViewId="0">
      <selection activeCell="K27" sqref="K27"/>
    </sheetView>
  </sheetViews>
  <sheetFormatPr defaultColWidth="11.5546875"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37793-3442-1047-BA14-B4C063F04D06}">
  <sheetPr codeName="Sheet7"/>
  <dimension ref="A1:I2566"/>
  <sheetViews>
    <sheetView workbookViewId="0">
      <selection activeCell="I1" sqref="I1"/>
    </sheetView>
  </sheetViews>
  <sheetFormatPr defaultColWidth="8.77734375" defaultRowHeight="14.4" x14ac:dyDescent="0.3"/>
  <cols>
    <col min="1" max="1" width="15.44140625" customWidth="1"/>
    <col min="2" max="6" width="9.44140625" customWidth="1"/>
    <col min="7" max="7" width="9" customWidth="1"/>
    <col min="9" max="9" width="11.77734375" bestFit="1" customWidth="1"/>
  </cols>
  <sheetData>
    <row r="1" spans="1:9" x14ac:dyDescent="0.3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I1" s="3" t="s">
        <v>52</v>
      </c>
    </row>
    <row r="2" spans="1:9" x14ac:dyDescent="0.3">
      <c r="A2" s="5">
        <v>41641</v>
      </c>
      <c r="B2">
        <v>25.303591000000001</v>
      </c>
      <c r="C2">
        <v>25.423739999999999</v>
      </c>
      <c r="D2">
        <v>24.774929</v>
      </c>
      <c r="E2">
        <v>25.303591000000001</v>
      </c>
      <c r="F2">
        <v>23.880569000000001</v>
      </c>
      <c r="G2">
        <v>9276696</v>
      </c>
      <c r="I2">
        <f>LN(C2/B2)*(LN(C2/B2)-LN(E2/B2))+LN(D2/B2)*(LN(D2/B2)-LN(E2/B2))</f>
        <v>4.6824530133965207E-4</v>
      </c>
    </row>
    <row r="3" spans="1:9" x14ac:dyDescent="0.3">
      <c r="A3" s="5">
        <v>41642</v>
      </c>
      <c r="B3">
        <v>25.32762</v>
      </c>
      <c r="C3">
        <v>25.640011000000001</v>
      </c>
      <c r="D3">
        <v>25.183439</v>
      </c>
      <c r="E3">
        <v>25.399709999999999</v>
      </c>
      <c r="F3">
        <v>23.971278999999999</v>
      </c>
      <c r="G3">
        <v>5259218</v>
      </c>
      <c r="I3">
        <f t="shared" ref="I3:I10" si="0">LN(C3/B3)*(LN(C3/B3)-LN(E3/B3))+LN(D3/B3)*(LN(D3/B3)-LN(E3/B3))</f>
        <v>1.6424809909451233E-4</v>
      </c>
    </row>
    <row r="4" spans="1:9" x14ac:dyDescent="0.3">
      <c r="A4" s="5">
        <v>41645</v>
      </c>
      <c r="B4">
        <v>25.543890000000001</v>
      </c>
      <c r="C4">
        <v>25.66404</v>
      </c>
      <c r="D4">
        <v>25.159410000000001</v>
      </c>
      <c r="E4">
        <v>25.303591000000001</v>
      </c>
      <c r="F4">
        <v>23.880569000000001</v>
      </c>
      <c r="G4">
        <v>6280275</v>
      </c>
      <c r="I4">
        <f t="shared" si="0"/>
        <v>1.53039561663596E-4</v>
      </c>
    </row>
    <row r="5" spans="1:9" x14ac:dyDescent="0.3">
      <c r="A5" s="5">
        <v>41646</v>
      </c>
      <c r="B5">
        <v>25.351649999999999</v>
      </c>
      <c r="C5">
        <v>25.471800000000002</v>
      </c>
      <c r="D5">
        <v>25.039261</v>
      </c>
      <c r="E5">
        <v>25.32762</v>
      </c>
      <c r="F5">
        <v>23.903245999999999</v>
      </c>
      <c r="G5">
        <v>7336663</v>
      </c>
      <c r="I5">
        <f t="shared" si="0"/>
        <v>1.6881095622268857E-4</v>
      </c>
    </row>
    <row r="6" spans="1:9" x14ac:dyDescent="0.3">
      <c r="A6" s="5">
        <v>41647</v>
      </c>
      <c r="B6">
        <v>25.231501000000002</v>
      </c>
      <c r="C6">
        <v>26.144639999999999</v>
      </c>
      <c r="D6">
        <v>25.183439</v>
      </c>
      <c r="E6">
        <v>26.02449</v>
      </c>
      <c r="F6">
        <v>24.560928000000001</v>
      </c>
      <c r="G6">
        <v>14488431</v>
      </c>
      <c r="I6">
        <f t="shared" si="0"/>
        <v>2.2639047839351312E-4</v>
      </c>
    </row>
    <row r="7" spans="1:9" x14ac:dyDescent="0.3">
      <c r="A7" s="5">
        <v>41648</v>
      </c>
      <c r="B7">
        <v>26.02449</v>
      </c>
      <c r="C7">
        <v>26.192699000000001</v>
      </c>
      <c r="D7">
        <v>25.231501000000002</v>
      </c>
      <c r="E7">
        <v>25.68807</v>
      </c>
      <c r="F7">
        <v>24.243421999999999</v>
      </c>
      <c r="G7">
        <v>20635372</v>
      </c>
      <c r="I7">
        <f t="shared" si="0"/>
        <v>6.8028196823838425E-4</v>
      </c>
    </row>
    <row r="8" spans="1:9" x14ac:dyDescent="0.3">
      <c r="A8" s="5">
        <v>41649</v>
      </c>
      <c r="B8">
        <v>23.981939000000001</v>
      </c>
      <c r="C8">
        <v>24.510598999999999</v>
      </c>
      <c r="D8">
        <v>23.597460000000002</v>
      </c>
      <c r="E8">
        <v>24.294331</v>
      </c>
      <c r="F8">
        <v>22.928066000000001</v>
      </c>
      <c r="G8">
        <v>30988806</v>
      </c>
      <c r="I8">
        <f t="shared" si="0"/>
        <v>6.6362176030689468E-4</v>
      </c>
    </row>
    <row r="9" spans="1:9" x14ac:dyDescent="0.3">
      <c r="A9" s="5">
        <v>41652</v>
      </c>
      <c r="B9">
        <v>24.48657</v>
      </c>
      <c r="C9">
        <v>24.630751</v>
      </c>
      <c r="D9">
        <v>24.15015</v>
      </c>
      <c r="E9">
        <v>24.270299999999999</v>
      </c>
      <c r="F9">
        <v>22.905387999999999</v>
      </c>
      <c r="G9">
        <v>10040658</v>
      </c>
      <c r="I9">
        <f t="shared" si="0"/>
        <v>1.5520696821072098E-4</v>
      </c>
    </row>
    <row r="10" spans="1:9" x14ac:dyDescent="0.3">
      <c r="A10" s="5">
        <v>41653</v>
      </c>
      <c r="B10">
        <v>24.414480000000001</v>
      </c>
      <c r="C10">
        <v>24.919108999999999</v>
      </c>
      <c r="D10">
        <v>24.414480000000001</v>
      </c>
      <c r="E10">
        <v>24.798960000000001</v>
      </c>
      <c r="F10">
        <v>23.404319999999998</v>
      </c>
      <c r="G10">
        <v>7566001</v>
      </c>
      <c r="I10">
        <f t="shared" si="0"/>
        <v>9.888066661878116E-5</v>
      </c>
    </row>
    <row r="11" spans="1:9" x14ac:dyDescent="0.3">
      <c r="A11" s="5">
        <v>41654</v>
      </c>
      <c r="B11">
        <v>24.919108999999999</v>
      </c>
      <c r="C11">
        <v>25.471800000000002</v>
      </c>
      <c r="D11">
        <v>24.895081000000001</v>
      </c>
      <c r="E11">
        <v>25.447769000000001</v>
      </c>
      <c r="F11">
        <v>24.016639999999999</v>
      </c>
      <c r="G11">
        <v>13286184</v>
      </c>
      <c r="I11">
        <f>LN(C11/B11)*(LN(C11/B11)-LN(E11/B11))+LN(D11/B11)*(LN(D11/B11)-LN(E11/B11))</f>
        <v>4.1888774758223698E-5</v>
      </c>
    </row>
    <row r="12" spans="1:9" x14ac:dyDescent="0.3">
      <c r="A12" s="5">
        <v>41655</v>
      </c>
      <c r="B12">
        <v>25.447769000000001</v>
      </c>
      <c r="C12">
        <v>26.529119000000001</v>
      </c>
      <c r="D12">
        <v>25.423739999999999</v>
      </c>
      <c r="E12">
        <v>26.529119000000001</v>
      </c>
      <c r="F12">
        <v>25.037175999999999</v>
      </c>
      <c r="G12">
        <v>16593716</v>
      </c>
      <c r="I12">
        <f t="shared" ref="I12:I75" si="1">LN(C12/B12)*(LN(C12/B12)-LN(E12/B12))+LN(D12/B12)*(LN(D12/B12)-LN(E12/B12))</f>
        <v>4.0205771964263555E-5</v>
      </c>
    </row>
    <row r="13" spans="1:9" x14ac:dyDescent="0.3">
      <c r="A13" s="5">
        <v>41656</v>
      </c>
      <c r="B13">
        <v>26.505091</v>
      </c>
      <c r="C13">
        <v>27.706591</v>
      </c>
      <c r="D13">
        <v>26.505091</v>
      </c>
      <c r="E13">
        <v>27.298079999999999</v>
      </c>
      <c r="F13">
        <v>25.762892000000001</v>
      </c>
      <c r="G13">
        <v>22463920</v>
      </c>
      <c r="I13">
        <f t="shared" si="1"/>
        <v>6.5852789700888666E-4</v>
      </c>
    </row>
    <row r="14" spans="1:9" x14ac:dyDescent="0.3">
      <c r="A14" s="5">
        <v>41660</v>
      </c>
      <c r="B14">
        <v>28.307341000000001</v>
      </c>
      <c r="C14">
        <v>29.580931</v>
      </c>
      <c r="D14">
        <v>28.28331</v>
      </c>
      <c r="E14">
        <v>29.148389999999999</v>
      </c>
      <c r="F14">
        <v>27.509146000000001</v>
      </c>
      <c r="G14">
        <v>53458885</v>
      </c>
      <c r="I14">
        <f t="shared" si="1"/>
        <v>6.7384739899568435E-4</v>
      </c>
    </row>
    <row r="15" spans="1:9" x14ac:dyDescent="0.3">
      <c r="A15" s="5">
        <v>41661</v>
      </c>
      <c r="B15">
        <v>29.340630000000001</v>
      </c>
      <c r="C15">
        <v>29.604959000000001</v>
      </c>
      <c r="D15">
        <v>28.860029000000001</v>
      </c>
      <c r="E15">
        <v>29.364660000000001</v>
      </c>
      <c r="F15">
        <v>27.713249000000001</v>
      </c>
      <c r="G15">
        <v>23473700</v>
      </c>
      <c r="I15">
        <f t="shared" si="1"/>
        <v>3.5938285267031781E-4</v>
      </c>
    </row>
    <row r="16" spans="1:9" x14ac:dyDescent="0.3">
      <c r="A16" s="5">
        <v>41662</v>
      </c>
      <c r="B16">
        <v>28.980181000000002</v>
      </c>
      <c r="C16">
        <v>29.364660000000001</v>
      </c>
      <c r="D16">
        <v>28.811969999999999</v>
      </c>
      <c r="E16">
        <v>29.00421</v>
      </c>
      <c r="F16">
        <v>27.373073999999999</v>
      </c>
      <c r="G16">
        <v>24243154</v>
      </c>
      <c r="I16">
        <f t="shared" si="1"/>
        <v>2.0149348948561677E-4</v>
      </c>
    </row>
    <row r="17" spans="1:9" x14ac:dyDescent="0.3">
      <c r="A17" s="5">
        <v>41663</v>
      </c>
      <c r="B17">
        <v>28.619730000000001</v>
      </c>
      <c r="C17">
        <v>28.787939000000001</v>
      </c>
      <c r="D17">
        <v>27.394199</v>
      </c>
      <c r="E17">
        <v>27.490320000000001</v>
      </c>
      <c r="F17">
        <v>25.944326</v>
      </c>
      <c r="G17">
        <v>25729047</v>
      </c>
      <c r="I17">
        <f t="shared" si="1"/>
        <v>4.2358077363968574E-4</v>
      </c>
    </row>
    <row r="18" spans="1:9" x14ac:dyDescent="0.3">
      <c r="A18" s="5">
        <v>41666</v>
      </c>
      <c r="B18">
        <v>27.658529000000001</v>
      </c>
      <c r="C18">
        <v>28.403459999999999</v>
      </c>
      <c r="D18">
        <v>27.322109000000001</v>
      </c>
      <c r="E18">
        <v>27.970921000000001</v>
      </c>
      <c r="F18">
        <v>26.397895999999999</v>
      </c>
      <c r="G18">
        <v>11648564</v>
      </c>
      <c r="I18">
        <f t="shared" si="1"/>
        <v>6.9504974458360754E-4</v>
      </c>
    </row>
    <row r="19" spans="1:9" x14ac:dyDescent="0.3">
      <c r="A19" s="5">
        <v>41667</v>
      </c>
      <c r="B19">
        <v>28.307341000000001</v>
      </c>
      <c r="C19">
        <v>28.571670999999998</v>
      </c>
      <c r="D19">
        <v>28.139130000000002</v>
      </c>
      <c r="E19">
        <v>28.475549999999998</v>
      </c>
      <c r="F19">
        <v>26.874141999999999</v>
      </c>
      <c r="G19">
        <v>7318310</v>
      </c>
      <c r="I19">
        <f t="shared" si="1"/>
        <v>1.0215461991778681E-4</v>
      </c>
    </row>
    <row r="20" spans="1:9" x14ac:dyDescent="0.3">
      <c r="A20" s="5">
        <v>41668</v>
      </c>
      <c r="B20">
        <v>27.970921000000001</v>
      </c>
      <c r="C20">
        <v>29.388691000000001</v>
      </c>
      <c r="D20">
        <v>27.826740000000001</v>
      </c>
      <c r="E20">
        <v>28.811969999999999</v>
      </c>
      <c r="F20">
        <v>27.191641000000001</v>
      </c>
      <c r="G20">
        <v>18490637</v>
      </c>
      <c r="I20">
        <f t="shared" si="1"/>
        <v>1.1597543816301496E-3</v>
      </c>
    </row>
    <row r="21" spans="1:9" x14ac:dyDescent="0.3">
      <c r="A21" s="5">
        <v>41669</v>
      </c>
      <c r="B21">
        <v>28.956150000000001</v>
      </c>
      <c r="C21">
        <v>29.00421</v>
      </c>
      <c r="D21">
        <v>28.427489999999999</v>
      </c>
      <c r="E21">
        <v>28.715851000000001</v>
      </c>
      <c r="F21">
        <v>27.100926999999999</v>
      </c>
      <c r="G21">
        <v>9664378</v>
      </c>
      <c r="I21">
        <f t="shared" si="1"/>
        <v>2.0253673773822835E-4</v>
      </c>
    </row>
    <row r="22" spans="1:9" x14ac:dyDescent="0.3">
      <c r="A22" s="5">
        <v>41670</v>
      </c>
      <c r="B22">
        <v>27.8748</v>
      </c>
      <c r="C22">
        <v>28.355399999999999</v>
      </c>
      <c r="D22">
        <v>27.514351000000001</v>
      </c>
      <c r="E22">
        <v>27.658529000000001</v>
      </c>
      <c r="F22">
        <v>26.103066999999999</v>
      </c>
      <c r="G22">
        <v>13738702</v>
      </c>
      <c r="I22">
        <f t="shared" si="1"/>
        <v>4.9339027432748512E-4</v>
      </c>
    </row>
    <row r="23" spans="1:9" x14ac:dyDescent="0.3">
      <c r="A23" s="5">
        <v>41673</v>
      </c>
      <c r="B23">
        <v>27.682559999999999</v>
      </c>
      <c r="C23">
        <v>28.163160000000001</v>
      </c>
      <c r="D23">
        <v>26.913601</v>
      </c>
      <c r="E23">
        <v>26.985689000000001</v>
      </c>
      <c r="F23">
        <v>25.468067000000001</v>
      </c>
      <c r="G23">
        <v>11057969</v>
      </c>
      <c r="I23">
        <f t="shared" si="1"/>
        <v>8.1045113993146269E-4</v>
      </c>
    </row>
    <row r="24" spans="1:9" x14ac:dyDescent="0.3">
      <c r="A24" s="5">
        <v>41674</v>
      </c>
      <c r="B24">
        <v>27.057779</v>
      </c>
      <c r="C24">
        <v>27.658529000000001</v>
      </c>
      <c r="D24">
        <v>26.961659999999998</v>
      </c>
      <c r="E24">
        <v>27.514351000000001</v>
      </c>
      <c r="F24">
        <v>25.967002999999998</v>
      </c>
      <c r="G24">
        <v>8280108</v>
      </c>
      <c r="I24">
        <f t="shared" si="1"/>
        <v>1.8698247549526884E-4</v>
      </c>
    </row>
    <row r="25" spans="1:9" x14ac:dyDescent="0.3">
      <c r="A25" s="5">
        <v>41675</v>
      </c>
      <c r="B25">
        <v>27.418230000000001</v>
      </c>
      <c r="C25">
        <v>27.442260999999998</v>
      </c>
      <c r="D25">
        <v>26.264790000000001</v>
      </c>
      <c r="E25">
        <v>26.529119000000001</v>
      </c>
      <c r="F25">
        <v>25.102947</v>
      </c>
      <c r="G25">
        <v>15197462</v>
      </c>
      <c r="I25">
        <f t="shared" si="1"/>
        <v>4.6002499164791326E-4</v>
      </c>
    </row>
    <row r="26" spans="1:9" x14ac:dyDescent="0.3">
      <c r="A26" s="5">
        <v>41676</v>
      </c>
      <c r="B26">
        <v>26.601209999999998</v>
      </c>
      <c r="C26">
        <v>27.057779</v>
      </c>
      <c r="D26">
        <v>26.384938999999999</v>
      </c>
      <c r="E26">
        <v>26.553149999999999</v>
      </c>
      <c r="F26">
        <v>25.125689000000001</v>
      </c>
      <c r="G26">
        <v>9200083</v>
      </c>
      <c r="I26">
        <f t="shared" si="1"/>
        <v>3.7225884597446088E-4</v>
      </c>
    </row>
    <row r="27" spans="1:9" x14ac:dyDescent="0.3">
      <c r="A27" s="5">
        <v>41677</v>
      </c>
      <c r="B27">
        <v>26.577181</v>
      </c>
      <c r="C27">
        <v>26.937629999999999</v>
      </c>
      <c r="D27">
        <v>26.553149999999999</v>
      </c>
      <c r="E27">
        <v>26.889569999999999</v>
      </c>
      <c r="F27">
        <v>25.444020999999999</v>
      </c>
      <c r="G27">
        <v>6372160</v>
      </c>
      <c r="I27">
        <f t="shared" si="1"/>
        <v>3.5444798519931542E-5</v>
      </c>
    </row>
    <row r="28" spans="1:9" x14ac:dyDescent="0.3">
      <c r="A28" s="5">
        <v>41680</v>
      </c>
      <c r="B28">
        <v>26.937629999999999</v>
      </c>
      <c r="C28">
        <v>27.129868999999999</v>
      </c>
      <c r="D28">
        <v>26.02449</v>
      </c>
      <c r="E28">
        <v>26.577181</v>
      </c>
      <c r="F28">
        <v>25.148426000000001</v>
      </c>
      <c r="G28">
        <v>9228298</v>
      </c>
      <c r="I28">
        <f t="shared" si="1"/>
        <v>8.7108898317663863E-4</v>
      </c>
    </row>
    <row r="29" spans="1:9" x14ac:dyDescent="0.3">
      <c r="A29" s="5">
        <v>41681</v>
      </c>
      <c r="B29">
        <v>26.985689000000001</v>
      </c>
      <c r="C29">
        <v>27.442260999999998</v>
      </c>
      <c r="D29">
        <v>26.74539</v>
      </c>
      <c r="E29">
        <v>27.225989999999999</v>
      </c>
      <c r="F29">
        <v>25.762356</v>
      </c>
      <c r="G29">
        <v>8558469</v>
      </c>
      <c r="I29">
        <f t="shared" si="1"/>
        <v>2.9204835030150508E-4</v>
      </c>
    </row>
    <row r="30" spans="1:9" x14ac:dyDescent="0.3">
      <c r="A30" s="5">
        <v>41682</v>
      </c>
      <c r="B30">
        <v>27.274049999999999</v>
      </c>
      <c r="C30">
        <v>27.586438999999999</v>
      </c>
      <c r="D30">
        <v>26.937629999999999</v>
      </c>
      <c r="E30">
        <v>27.081810000000001</v>
      </c>
      <c r="F30">
        <v>25.625927000000001</v>
      </c>
      <c r="G30">
        <v>6701207</v>
      </c>
      <c r="I30">
        <f t="shared" si="1"/>
        <v>2.7651058640625986E-4</v>
      </c>
    </row>
    <row r="31" spans="1:9" x14ac:dyDescent="0.3">
      <c r="A31" s="5">
        <v>41683</v>
      </c>
      <c r="B31">
        <v>26.74539</v>
      </c>
      <c r="C31">
        <v>27.514351000000001</v>
      </c>
      <c r="D31">
        <v>26.721359</v>
      </c>
      <c r="E31">
        <v>27.394199</v>
      </c>
      <c r="F31">
        <v>25.921526</v>
      </c>
      <c r="G31">
        <v>4974407</v>
      </c>
      <c r="I31">
        <f t="shared" si="1"/>
        <v>1.464072846729617E-4</v>
      </c>
    </row>
    <row r="32" spans="1:9" x14ac:dyDescent="0.3">
      <c r="A32" s="5">
        <v>41684</v>
      </c>
      <c r="B32">
        <v>27.418230000000001</v>
      </c>
      <c r="C32">
        <v>27.610469999999999</v>
      </c>
      <c r="D32">
        <v>27.1539</v>
      </c>
      <c r="E32">
        <v>27.322109000000001</v>
      </c>
      <c r="F32">
        <v>25.85331</v>
      </c>
      <c r="G32">
        <v>4770204</v>
      </c>
      <c r="I32">
        <f t="shared" si="1"/>
        <v>1.3317971873030889E-4</v>
      </c>
    </row>
    <row r="33" spans="1:9" x14ac:dyDescent="0.3">
      <c r="A33" s="5">
        <v>41688</v>
      </c>
      <c r="B33">
        <v>27.250019000000002</v>
      </c>
      <c r="C33">
        <v>27.490320000000001</v>
      </c>
      <c r="D33">
        <v>26.937629999999999</v>
      </c>
      <c r="E33">
        <v>27.394199</v>
      </c>
      <c r="F33">
        <v>25.921526</v>
      </c>
      <c r="G33">
        <v>5950104</v>
      </c>
      <c r="I33">
        <f t="shared" si="1"/>
        <v>2.2453851660982256E-4</v>
      </c>
    </row>
    <row r="34" spans="1:9" x14ac:dyDescent="0.3">
      <c r="A34" s="5">
        <v>41689</v>
      </c>
      <c r="B34">
        <v>27.346139999999998</v>
      </c>
      <c r="C34">
        <v>28.835999999999999</v>
      </c>
      <c r="D34">
        <v>27.250019000000002</v>
      </c>
      <c r="E34">
        <v>28.259278999999999</v>
      </c>
      <c r="F34">
        <v>26.740096999999999</v>
      </c>
      <c r="G34">
        <v>13907907</v>
      </c>
      <c r="I34">
        <f t="shared" si="1"/>
        <v>1.1997963209529736E-3</v>
      </c>
    </row>
    <row r="35" spans="1:9" x14ac:dyDescent="0.3">
      <c r="A35" s="5">
        <v>41690</v>
      </c>
      <c r="B35">
        <v>28.259278999999999</v>
      </c>
      <c r="C35">
        <v>28.451521</v>
      </c>
      <c r="D35">
        <v>27.8748</v>
      </c>
      <c r="E35">
        <v>28.307341000000001</v>
      </c>
      <c r="F35">
        <v>26.78557</v>
      </c>
      <c r="G35">
        <v>9275739</v>
      </c>
      <c r="I35">
        <f t="shared" si="1"/>
        <v>2.4538006813398756E-4</v>
      </c>
    </row>
    <row r="36" spans="1:9" x14ac:dyDescent="0.3">
      <c r="A36" s="5">
        <v>41691</v>
      </c>
      <c r="B36">
        <v>28.451521</v>
      </c>
      <c r="C36">
        <v>28.643761000000001</v>
      </c>
      <c r="D36">
        <v>28.187189</v>
      </c>
      <c r="E36">
        <v>28.187189</v>
      </c>
      <c r="F36">
        <v>26.671885</v>
      </c>
      <c r="G36">
        <v>8436246</v>
      </c>
      <c r="I36">
        <f t="shared" si="1"/>
        <v>1.0820289237570022E-4</v>
      </c>
    </row>
    <row r="37" spans="1:9" x14ac:dyDescent="0.3">
      <c r="A37" s="5">
        <v>41694</v>
      </c>
      <c r="B37">
        <v>28.163160000000001</v>
      </c>
      <c r="C37">
        <v>28.403459999999999</v>
      </c>
      <c r="D37">
        <v>27.94689</v>
      </c>
      <c r="E37">
        <v>28.28331</v>
      </c>
      <c r="F37">
        <v>26.762836</v>
      </c>
      <c r="G37">
        <v>6983313</v>
      </c>
      <c r="I37">
        <f t="shared" si="1"/>
        <v>1.282596431561988E-4</v>
      </c>
    </row>
    <row r="38" spans="1:9" x14ac:dyDescent="0.3">
      <c r="A38" s="5">
        <v>41695</v>
      </c>
      <c r="B38">
        <v>28.211220000000001</v>
      </c>
      <c r="C38">
        <v>28.331368999999999</v>
      </c>
      <c r="D38">
        <v>27.778680999999999</v>
      </c>
      <c r="E38">
        <v>27.922858999999999</v>
      </c>
      <c r="F38">
        <v>26.421764</v>
      </c>
      <c r="G38">
        <v>8876821</v>
      </c>
      <c r="I38">
        <f t="shared" si="1"/>
        <v>1.4171143308549088E-4</v>
      </c>
    </row>
    <row r="39" spans="1:9" x14ac:dyDescent="0.3">
      <c r="A39" s="5">
        <v>41696</v>
      </c>
      <c r="B39">
        <v>27.994948999999998</v>
      </c>
      <c r="C39">
        <v>29.220479999999998</v>
      </c>
      <c r="D39">
        <v>27.730619000000001</v>
      </c>
      <c r="E39">
        <v>28.956150000000001</v>
      </c>
      <c r="F39">
        <v>27.399504</v>
      </c>
      <c r="G39">
        <v>13654016</v>
      </c>
      <c r="I39">
        <f t="shared" si="1"/>
        <v>7.996143993322742E-4</v>
      </c>
    </row>
    <row r="40" spans="1:9" x14ac:dyDescent="0.3">
      <c r="A40" s="5">
        <v>41697</v>
      </c>
      <c r="B40">
        <v>28.835999999999999</v>
      </c>
      <c r="C40">
        <v>29.220479999999998</v>
      </c>
      <c r="D40">
        <v>28.619730000000001</v>
      </c>
      <c r="E40">
        <v>28.908090999999999</v>
      </c>
      <c r="F40">
        <v>27.354026999999999</v>
      </c>
      <c r="G40">
        <v>6436330</v>
      </c>
      <c r="I40">
        <f t="shared" si="1"/>
        <v>2.1783606415638724E-4</v>
      </c>
    </row>
    <row r="41" spans="1:9" x14ac:dyDescent="0.3">
      <c r="A41" s="5">
        <v>41698</v>
      </c>
      <c r="B41">
        <v>28.763909999999999</v>
      </c>
      <c r="C41">
        <v>28.884060000000002</v>
      </c>
      <c r="D41">
        <v>28.091069999999998</v>
      </c>
      <c r="E41">
        <v>28.211220000000001</v>
      </c>
      <c r="F41">
        <v>26.694624000000001</v>
      </c>
      <c r="G41">
        <v>7913233</v>
      </c>
      <c r="I41">
        <f t="shared" si="1"/>
        <v>1.9927327982731651E-4</v>
      </c>
    </row>
    <row r="42" spans="1:9" x14ac:dyDescent="0.3">
      <c r="A42" s="5">
        <v>41701</v>
      </c>
      <c r="B42">
        <v>27.754650000000002</v>
      </c>
      <c r="C42">
        <v>28.259278999999999</v>
      </c>
      <c r="D42">
        <v>27.53838</v>
      </c>
      <c r="E42">
        <v>27.922858999999999</v>
      </c>
      <c r="F42">
        <v>26.421764</v>
      </c>
      <c r="G42">
        <v>7680358</v>
      </c>
      <c r="I42">
        <f t="shared" si="1"/>
        <v>3.2425477355884827E-4</v>
      </c>
    </row>
    <row r="43" spans="1:9" x14ac:dyDescent="0.3">
      <c r="A43" s="5">
        <v>41702</v>
      </c>
      <c r="B43">
        <v>28.139130000000002</v>
      </c>
      <c r="C43">
        <v>28.571670999999998</v>
      </c>
      <c r="D43">
        <v>28.018979999999999</v>
      </c>
      <c r="E43">
        <v>28.355399999999999</v>
      </c>
      <c r="F43">
        <v>26.831054999999999</v>
      </c>
      <c r="G43">
        <v>7714315</v>
      </c>
      <c r="I43">
        <f t="shared" si="1"/>
        <v>1.6697880182865783E-4</v>
      </c>
    </row>
    <row r="44" spans="1:9" x14ac:dyDescent="0.3">
      <c r="A44" s="5">
        <v>41703</v>
      </c>
      <c r="B44">
        <v>28.331368999999999</v>
      </c>
      <c r="C44">
        <v>29.172421</v>
      </c>
      <c r="D44">
        <v>28.139130000000002</v>
      </c>
      <c r="E44">
        <v>29.0763</v>
      </c>
      <c r="F44">
        <v>27.513193000000001</v>
      </c>
      <c r="G44">
        <v>8325593</v>
      </c>
      <c r="I44">
        <f t="shared" si="1"/>
        <v>3.1961141256015664E-4</v>
      </c>
    </row>
    <row r="45" spans="1:9" x14ac:dyDescent="0.3">
      <c r="A45" s="5">
        <v>41704</v>
      </c>
      <c r="B45">
        <v>29.292570000000001</v>
      </c>
      <c r="C45">
        <v>29.701080000000001</v>
      </c>
      <c r="D45">
        <v>28.956150000000001</v>
      </c>
      <c r="E45">
        <v>28.980181000000002</v>
      </c>
      <c r="F45">
        <v>27.422241</v>
      </c>
      <c r="G45">
        <v>16531169</v>
      </c>
      <c r="I45">
        <f t="shared" si="1"/>
        <v>3.4988195791885949E-4</v>
      </c>
    </row>
    <row r="46" spans="1:9" x14ac:dyDescent="0.3">
      <c r="A46" s="5">
        <v>41705</v>
      </c>
      <c r="B46">
        <v>29.052271000000001</v>
      </c>
      <c r="C46">
        <v>29.364660000000001</v>
      </c>
      <c r="D46">
        <v>28.523609</v>
      </c>
      <c r="E46">
        <v>29.220479999999998</v>
      </c>
      <c r="F46">
        <v>27.649626000000001</v>
      </c>
      <c r="G46">
        <v>14246775</v>
      </c>
      <c r="I46">
        <f t="shared" si="1"/>
        <v>4.9592033076993668E-4</v>
      </c>
    </row>
    <row r="47" spans="1:9" x14ac:dyDescent="0.3">
      <c r="A47" s="5">
        <v>41708</v>
      </c>
      <c r="B47">
        <v>28.884060000000002</v>
      </c>
      <c r="C47">
        <v>28.908090999999999</v>
      </c>
      <c r="D47">
        <v>28.139130000000002</v>
      </c>
      <c r="E47">
        <v>28.69182</v>
      </c>
      <c r="F47">
        <v>27.149387000000001</v>
      </c>
      <c r="G47">
        <v>10485393</v>
      </c>
      <c r="I47">
        <f t="shared" si="1"/>
        <v>5.1447365613074218E-4</v>
      </c>
    </row>
    <row r="48" spans="1:9" x14ac:dyDescent="0.3">
      <c r="A48" s="5">
        <v>41709</v>
      </c>
      <c r="B48">
        <v>28.811969999999999</v>
      </c>
      <c r="C48">
        <v>29.701080000000001</v>
      </c>
      <c r="D48">
        <v>28.643761000000001</v>
      </c>
      <c r="E48">
        <v>29.292570000000001</v>
      </c>
      <c r="F48">
        <v>27.717842000000001</v>
      </c>
      <c r="G48">
        <v>13457345</v>
      </c>
      <c r="I48">
        <f t="shared" si="1"/>
        <v>5.5206879178402524E-4</v>
      </c>
    </row>
    <row r="49" spans="1:9" x14ac:dyDescent="0.3">
      <c r="A49" s="5">
        <v>41710</v>
      </c>
      <c r="B49">
        <v>29.00421</v>
      </c>
      <c r="C49">
        <v>29.749140000000001</v>
      </c>
      <c r="D49">
        <v>28.956150000000001</v>
      </c>
      <c r="E49">
        <v>29.244510999999999</v>
      </c>
      <c r="F49">
        <v>27.672360999999999</v>
      </c>
      <c r="G49">
        <v>8031253</v>
      </c>
      <c r="I49">
        <f t="shared" si="1"/>
        <v>4.502873182843024E-4</v>
      </c>
    </row>
    <row r="50" spans="1:9" x14ac:dyDescent="0.3">
      <c r="A50" s="5">
        <v>41711</v>
      </c>
      <c r="B50">
        <v>29.316600999999999</v>
      </c>
      <c r="C50">
        <v>29.388691000000001</v>
      </c>
      <c r="D50">
        <v>28.307341000000001</v>
      </c>
      <c r="E50">
        <v>28.499580000000002</v>
      </c>
      <c r="F50">
        <v>26.967479999999998</v>
      </c>
      <c r="G50">
        <v>8471660</v>
      </c>
      <c r="I50">
        <f t="shared" si="1"/>
        <v>3.1255781368903773E-4</v>
      </c>
    </row>
    <row r="51" spans="1:9" x14ac:dyDescent="0.3">
      <c r="A51" s="5">
        <v>41712</v>
      </c>
      <c r="B51">
        <v>28.643761000000001</v>
      </c>
      <c r="C51">
        <v>28.715851000000001</v>
      </c>
      <c r="D51">
        <v>27.89883</v>
      </c>
      <c r="E51">
        <v>28.451521</v>
      </c>
      <c r="F51">
        <v>26.922004999999999</v>
      </c>
      <c r="G51">
        <v>9538161</v>
      </c>
      <c r="I51">
        <f t="shared" si="1"/>
        <v>5.4016721050073515E-4</v>
      </c>
    </row>
    <row r="52" spans="1:9" x14ac:dyDescent="0.3">
      <c r="A52" s="5">
        <v>41715</v>
      </c>
      <c r="B52">
        <v>28.595699</v>
      </c>
      <c r="C52">
        <v>28.956150000000001</v>
      </c>
      <c r="D52">
        <v>28.451521</v>
      </c>
      <c r="E52">
        <v>28.595699</v>
      </c>
      <c r="F52">
        <v>27.058426000000001</v>
      </c>
      <c r="G52">
        <v>5053808</v>
      </c>
      <c r="I52">
        <f t="shared" si="1"/>
        <v>1.8245805874053238E-4</v>
      </c>
    </row>
    <row r="53" spans="1:9" x14ac:dyDescent="0.3">
      <c r="A53" s="5">
        <v>41716</v>
      </c>
      <c r="B53">
        <v>28.643761000000001</v>
      </c>
      <c r="C53">
        <v>28.908090999999999</v>
      </c>
      <c r="D53">
        <v>28.451521</v>
      </c>
      <c r="E53">
        <v>28.835999999999999</v>
      </c>
      <c r="F53">
        <v>27.285812</v>
      </c>
      <c r="G53">
        <v>4163878</v>
      </c>
      <c r="I53">
        <f t="shared" si="1"/>
        <v>1.1332714078917807E-4</v>
      </c>
    </row>
    <row r="54" spans="1:9" x14ac:dyDescent="0.3">
      <c r="A54" s="5">
        <v>41717</v>
      </c>
      <c r="B54">
        <v>28.860029000000001</v>
      </c>
      <c r="C54">
        <v>28.884060000000002</v>
      </c>
      <c r="D54">
        <v>28.259278999999999</v>
      </c>
      <c r="E54">
        <v>28.451521</v>
      </c>
      <c r="F54">
        <v>26.922004999999999</v>
      </c>
      <c r="G54">
        <v>6638868</v>
      </c>
      <c r="I54">
        <f t="shared" si="1"/>
        <v>1.5517528696731329E-4</v>
      </c>
    </row>
    <row r="55" spans="1:9" x14ac:dyDescent="0.3">
      <c r="A55" s="5">
        <v>41718</v>
      </c>
      <c r="B55">
        <v>28.355399999999999</v>
      </c>
      <c r="C55">
        <v>28.811969999999999</v>
      </c>
      <c r="D55">
        <v>28.163160000000001</v>
      </c>
      <c r="E55">
        <v>28.619730000000001</v>
      </c>
      <c r="F55">
        <v>27.081175000000002</v>
      </c>
      <c r="G55">
        <v>7132709</v>
      </c>
      <c r="I55">
        <f t="shared" si="1"/>
        <v>2.1633460230557807E-4</v>
      </c>
    </row>
    <row r="56" spans="1:9" x14ac:dyDescent="0.3">
      <c r="A56" s="5">
        <v>41719</v>
      </c>
      <c r="B56">
        <v>29.00421</v>
      </c>
      <c r="C56">
        <v>29.0763</v>
      </c>
      <c r="D56">
        <v>28.69182</v>
      </c>
      <c r="E56">
        <v>28.860029000000001</v>
      </c>
      <c r="F56">
        <v>27.308551999999999</v>
      </c>
      <c r="G56">
        <v>13490720</v>
      </c>
      <c r="I56">
        <f t="shared" si="1"/>
        <v>8.1833782517259338E-5</v>
      </c>
    </row>
    <row r="57" spans="1:9" x14ac:dyDescent="0.3">
      <c r="A57" s="5">
        <v>41722</v>
      </c>
      <c r="B57">
        <v>28.980181000000002</v>
      </c>
      <c r="C57">
        <v>29.388691000000001</v>
      </c>
      <c r="D57">
        <v>28.69182</v>
      </c>
      <c r="E57">
        <v>28.860029000000001</v>
      </c>
      <c r="F57">
        <v>27.308551999999999</v>
      </c>
      <c r="G57">
        <v>12023263</v>
      </c>
      <c r="I57">
        <f t="shared" si="1"/>
        <v>3.1254827650098834E-4</v>
      </c>
    </row>
    <row r="58" spans="1:9" x14ac:dyDescent="0.3">
      <c r="A58" s="5">
        <v>41723</v>
      </c>
      <c r="B58">
        <v>28.980181000000002</v>
      </c>
      <c r="C58">
        <v>29.316600999999999</v>
      </c>
      <c r="D58">
        <v>28.860029000000001</v>
      </c>
      <c r="E58">
        <v>28.884060000000002</v>
      </c>
      <c r="F58">
        <v>27.331289000000002</v>
      </c>
      <c r="G58">
        <v>8753600</v>
      </c>
      <c r="I58">
        <f t="shared" si="1"/>
        <v>1.7501538500156279E-4</v>
      </c>
    </row>
    <row r="59" spans="1:9" x14ac:dyDescent="0.3">
      <c r="A59" s="5">
        <v>41724</v>
      </c>
      <c r="B59">
        <v>29.10033</v>
      </c>
      <c r="C59">
        <v>29.196449000000001</v>
      </c>
      <c r="D59">
        <v>28.475549999999998</v>
      </c>
      <c r="E59">
        <v>28.499580000000002</v>
      </c>
      <c r="F59">
        <v>26.967479999999998</v>
      </c>
      <c r="G59">
        <v>6110362</v>
      </c>
      <c r="I59">
        <f t="shared" si="1"/>
        <v>9.7969664278956559E-5</v>
      </c>
    </row>
    <row r="60" spans="1:9" x14ac:dyDescent="0.3">
      <c r="A60" s="5">
        <v>41725</v>
      </c>
      <c r="B60">
        <v>29.292570000000001</v>
      </c>
      <c r="C60">
        <v>30.470039</v>
      </c>
      <c r="D60">
        <v>29.124358999999998</v>
      </c>
      <c r="E60">
        <v>30.253771</v>
      </c>
      <c r="F60">
        <v>28.627365000000001</v>
      </c>
      <c r="G60">
        <v>21034582</v>
      </c>
      <c r="I60">
        <f t="shared" si="1"/>
        <v>4.9982504955491688E-4</v>
      </c>
    </row>
    <row r="61" spans="1:9" x14ac:dyDescent="0.3">
      <c r="A61" s="5">
        <v>41726</v>
      </c>
      <c r="B61">
        <v>30.470039</v>
      </c>
      <c r="C61">
        <v>30.638249999999999</v>
      </c>
      <c r="D61">
        <v>29.797198999999999</v>
      </c>
      <c r="E61">
        <v>29.989440999999999</v>
      </c>
      <c r="F61">
        <v>28.377248999999999</v>
      </c>
      <c r="G61">
        <v>13978527</v>
      </c>
      <c r="I61">
        <f t="shared" si="1"/>
        <v>2.6143585344766862E-4</v>
      </c>
    </row>
    <row r="62" spans="1:9" x14ac:dyDescent="0.3">
      <c r="A62" s="5">
        <v>41729</v>
      </c>
      <c r="B62">
        <v>30.085560000000001</v>
      </c>
      <c r="C62">
        <v>31.166910000000001</v>
      </c>
      <c r="D62">
        <v>30.061529</v>
      </c>
      <c r="E62">
        <v>30.926611000000001</v>
      </c>
      <c r="F62">
        <v>29.264036000000001</v>
      </c>
      <c r="G62">
        <v>16545277</v>
      </c>
      <c r="I62">
        <f t="shared" si="1"/>
        <v>2.9598042478640971E-4</v>
      </c>
    </row>
    <row r="63" spans="1:9" x14ac:dyDescent="0.3">
      <c r="A63" s="5">
        <v>41730</v>
      </c>
      <c r="B63">
        <v>31.118850999999999</v>
      </c>
      <c r="C63">
        <v>31.671538999999999</v>
      </c>
      <c r="D63">
        <v>30.734369000000001</v>
      </c>
      <c r="E63">
        <v>31.335118999999999</v>
      </c>
      <c r="F63">
        <v>29.650583000000001</v>
      </c>
      <c r="G63">
        <v>10195880</v>
      </c>
      <c r="I63">
        <f t="shared" si="1"/>
        <v>4.2866239254273086E-4</v>
      </c>
    </row>
    <row r="64" spans="1:9" x14ac:dyDescent="0.3">
      <c r="A64" s="5">
        <v>41731</v>
      </c>
      <c r="B64">
        <v>30.758400000000002</v>
      </c>
      <c r="C64">
        <v>30.998698999999998</v>
      </c>
      <c r="D64">
        <v>30.54213</v>
      </c>
      <c r="E64">
        <v>30.878550000000001</v>
      </c>
      <c r="F64">
        <v>29.218561000000001</v>
      </c>
      <c r="G64">
        <v>11020516</v>
      </c>
      <c r="I64">
        <f t="shared" si="1"/>
        <v>1.0751905301454584E-4</v>
      </c>
    </row>
    <row r="65" spans="1:9" x14ac:dyDescent="0.3">
      <c r="A65" s="5">
        <v>41732</v>
      </c>
      <c r="B65">
        <v>30.830490000000001</v>
      </c>
      <c r="C65">
        <v>30.97467</v>
      </c>
      <c r="D65">
        <v>30.494070000000001</v>
      </c>
      <c r="E65">
        <v>30.61422</v>
      </c>
      <c r="F65">
        <v>28.968439</v>
      </c>
      <c r="G65">
        <v>8788889</v>
      </c>
      <c r="I65">
        <f t="shared" si="1"/>
        <v>9.7757615695624536E-5</v>
      </c>
    </row>
    <row r="66" spans="1:9" x14ac:dyDescent="0.3">
      <c r="A66" s="5">
        <v>41733</v>
      </c>
      <c r="B66">
        <v>30.782430999999999</v>
      </c>
      <c r="C66">
        <v>31.407209000000002</v>
      </c>
      <c r="D66">
        <v>30.301829999999999</v>
      </c>
      <c r="E66">
        <v>30.349889999999998</v>
      </c>
      <c r="F66">
        <v>28.718316999999999</v>
      </c>
      <c r="G66">
        <v>6827008</v>
      </c>
      <c r="I66">
        <f t="shared" si="1"/>
        <v>7.1302602537629976E-4</v>
      </c>
    </row>
    <row r="67" spans="1:9" x14ac:dyDescent="0.3">
      <c r="A67" s="5">
        <v>41736</v>
      </c>
      <c r="B67">
        <v>30.373919999999998</v>
      </c>
      <c r="C67">
        <v>30.758400000000002</v>
      </c>
      <c r="D67">
        <v>29.701080000000001</v>
      </c>
      <c r="E67">
        <v>29.965409999999999</v>
      </c>
      <c r="F67">
        <v>28.354507000000002</v>
      </c>
      <c r="G67">
        <v>12659051</v>
      </c>
      <c r="I67">
        <f t="shared" si="1"/>
        <v>5.2702957627117058E-4</v>
      </c>
    </row>
    <row r="68" spans="1:9" x14ac:dyDescent="0.3">
      <c r="A68" s="5">
        <v>41737</v>
      </c>
      <c r="B68">
        <v>30.085560000000001</v>
      </c>
      <c r="C68">
        <v>30.734369000000001</v>
      </c>
      <c r="D68">
        <v>29.725109</v>
      </c>
      <c r="E68">
        <v>30.109591000000002</v>
      </c>
      <c r="F68">
        <v>28.490938</v>
      </c>
      <c r="G68">
        <v>12304578</v>
      </c>
      <c r="I68">
        <f t="shared" si="1"/>
        <v>5.9310222448409589E-4</v>
      </c>
    </row>
    <row r="69" spans="1:9" x14ac:dyDescent="0.3">
      <c r="A69" s="5">
        <v>41738</v>
      </c>
      <c r="B69">
        <v>31.407209000000002</v>
      </c>
      <c r="C69">
        <v>31.623480000000001</v>
      </c>
      <c r="D69">
        <v>30.830490000000001</v>
      </c>
      <c r="E69">
        <v>31.239000000000001</v>
      </c>
      <c r="F69">
        <v>29.559629000000001</v>
      </c>
      <c r="G69">
        <v>20759925</v>
      </c>
      <c r="I69">
        <f t="shared" si="1"/>
        <v>3.2790251412308257E-4</v>
      </c>
    </row>
    <row r="70" spans="1:9" x14ac:dyDescent="0.3">
      <c r="A70" s="5">
        <v>41739</v>
      </c>
      <c r="B70">
        <v>31.239000000000001</v>
      </c>
      <c r="C70">
        <v>31.335118999999999</v>
      </c>
      <c r="D70">
        <v>30.470039</v>
      </c>
      <c r="E70">
        <v>30.518101000000001</v>
      </c>
      <c r="F70">
        <v>28.877486999999999</v>
      </c>
      <c r="G70">
        <v>11097545</v>
      </c>
      <c r="I70">
        <f t="shared" si="1"/>
        <v>1.2044720034133007E-4</v>
      </c>
    </row>
    <row r="71" spans="1:9" x14ac:dyDescent="0.3">
      <c r="A71" s="5">
        <v>41740</v>
      </c>
      <c r="B71">
        <v>30.109591000000002</v>
      </c>
      <c r="C71">
        <v>30.301829999999999</v>
      </c>
      <c r="D71">
        <v>29.653020999999999</v>
      </c>
      <c r="E71">
        <v>30.133618999999999</v>
      </c>
      <c r="F71">
        <v>28.513677999999999</v>
      </c>
      <c r="G71">
        <v>18771660</v>
      </c>
      <c r="I71">
        <f t="shared" si="1"/>
        <v>2.8108749656845342E-4</v>
      </c>
    </row>
    <row r="72" spans="1:9" x14ac:dyDescent="0.3">
      <c r="A72" s="5">
        <v>41743</v>
      </c>
      <c r="B72">
        <v>30.15765</v>
      </c>
      <c r="C72">
        <v>31.046761</v>
      </c>
      <c r="D72">
        <v>30.037500000000001</v>
      </c>
      <c r="E72">
        <v>30.90258</v>
      </c>
      <c r="F72">
        <v>29.241295000000001</v>
      </c>
      <c r="G72">
        <v>12348980</v>
      </c>
      <c r="I72">
        <f t="shared" si="1"/>
        <v>2.4859533918998133E-4</v>
      </c>
    </row>
    <row r="73" spans="1:9" x14ac:dyDescent="0.3">
      <c r="A73" s="5">
        <v>41744</v>
      </c>
      <c r="B73">
        <v>30.782430999999999</v>
      </c>
      <c r="C73">
        <v>31.431239999999999</v>
      </c>
      <c r="D73">
        <v>30.54213</v>
      </c>
      <c r="E73">
        <v>31.35915</v>
      </c>
      <c r="F73">
        <v>29.673318999999999</v>
      </c>
      <c r="G73">
        <v>13426966</v>
      </c>
      <c r="I73">
        <f t="shared" si="1"/>
        <v>2.5478586100318844E-4</v>
      </c>
    </row>
    <row r="74" spans="1:9" x14ac:dyDescent="0.3">
      <c r="A74" s="5">
        <v>41745</v>
      </c>
      <c r="B74">
        <v>31.503329999999998</v>
      </c>
      <c r="C74">
        <v>32.296322000000004</v>
      </c>
      <c r="D74">
        <v>31.431239999999999</v>
      </c>
      <c r="E74">
        <v>32.248260000000002</v>
      </c>
      <c r="F74">
        <v>30.514634999999998</v>
      </c>
      <c r="G74">
        <v>15333042</v>
      </c>
      <c r="I74">
        <f t="shared" si="1"/>
        <v>9.5813199931444595E-5</v>
      </c>
    </row>
    <row r="75" spans="1:9" x14ac:dyDescent="0.3">
      <c r="A75" s="5">
        <v>41746</v>
      </c>
      <c r="B75">
        <v>32.440497999999998</v>
      </c>
      <c r="C75">
        <v>32.873038999999999</v>
      </c>
      <c r="D75">
        <v>32.104080000000003</v>
      </c>
      <c r="E75">
        <v>32.584679000000001</v>
      </c>
      <c r="F75">
        <v>30.83297</v>
      </c>
      <c r="G75">
        <v>17050770</v>
      </c>
      <c r="I75">
        <f t="shared" si="1"/>
        <v>2.7159692637805557E-4</v>
      </c>
    </row>
    <row r="76" spans="1:9" x14ac:dyDescent="0.3">
      <c r="A76" s="5">
        <v>41750</v>
      </c>
      <c r="B76">
        <v>32.560650000000003</v>
      </c>
      <c r="C76">
        <v>32.680801000000002</v>
      </c>
      <c r="D76">
        <v>32.344379000000004</v>
      </c>
      <c r="E76">
        <v>32.416469999999997</v>
      </c>
      <c r="F76">
        <v>30.673798000000001</v>
      </c>
      <c r="G76">
        <v>5728631</v>
      </c>
      <c r="I76">
        <f t="shared" ref="I76:I139" si="2">LN(C76/B76)*(LN(C76/B76)-LN(E76/B76))+LN(D76/B76)*(LN(D76/B76)-LN(E76/B76))</f>
        <v>4.4749589864219008E-5</v>
      </c>
    </row>
    <row r="77" spans="1:9" x14ac:dyDescent="0.3">
      <c r="A77" s="5">
        <v>41751</v>
      </c>
      <c r="B77">
        <v>32.416469999999997</v>
      </c>
      <c r="C77">
        <v>32.704830000000001</v>
      </c>
      <c r="D77">
        <v>32.152141999999998</v>
      </c>
      <c r="E77">
        <v>32.464531000000001</v>
      </c>
      <c r="F77">
        <v>30.719277999999999</v>
      </c>
      <c r="G77">
        <v>9866334</v>
      </c>
      <c r="I77">
        <f t="shared" si="2"/>
        <v>1.4447683000967204E-4</v>
      </c>
    </row>
    <row r="78" spans="1:9" x14ac:dyDescent="0.3">
      <c r="A78" s="5">
        <v>41752</v>
      </c>
      <c r="B78">
        <v>32.464531000000001</v>
      </c>
      <c r="C78">
        <v>32.776919999999997</v>
      </c>
      <c r="D78">
        <v>32.272289000000001</v>
      </c>
      <c r="E78">
        <v>32.752892000000003</v>
      </c>
      <c r="F78">
        <v>30.992139999999999</v>
      </c>
      <c r="G78">
        <v>5263213</v>
      </c>
      <c r="I78">
        <f t="shared" si="2"/>
        <v>9.4818107823903559E-5</v>
      </c>
    </row>
    <row r="79" spans="1:9" x14ac:dyDescent="0.3">
      <c r="A79" s="5">
        <v>41753</v>
      </c>
      <c r="B79">
        <v>32.824981999999999</v>
      </c>
      <c r="C79">
        <v>32.921101</v>
      </c>
      <c r="D79">
        <v>32.584679000000001</v>
      </c>
      <c r="E79">
        <v>32.632739999999998</v>
      </c>
      <c r="F79">
        <v>30.878443000000001</v>
      </c>
      <c r="G79">
        <v>5118352</v>
      </c>
      <c r="I79">
        <f t="shared" si="2"/>
        <v>3.6553641338607107E-5</v>
      </c>
    </row>
    <row r="80" spans="1:9" x14ac:dyDescent="0.3">
      <c r="A80" s="5">
        <v>41754</v>
      </c>
      <c r="B80">
        <v>32.464531000000001</v>
      </c>
      <c r="C80">
        <v>32.464531000000001</v>
      </c>
      <c r="D80">
        <v>31.767659999999999</v>
      </c>
      <c r="E80">
        <v>32.03199</v>
      </c>
      <c r="F80">
        <v>30.309989999999999</v>
      </c>
      <c r="G80">
        <v>9556263</v>
      </c>
      <c r="I80">
        <f t="shared" si="2"/>
        <v>1.7980730519005745E-4</v>
      </c>
    </row>
    <row r="81" spans="1:9" x14ac:dyDescent="0.3">
      <c r="A81" s="5">
        <v>41757</v>
      </c>
      <c r="B81">
        <v>32.152141999999998</v>
      </c>
      <c r="C81">
        <v>32.152141999999998</v>
      </c>
      <c r="D81">
        <v>31.35915</v>
      </c>
      <c r="E81">
        <v>31.815719999999999</v>
      </c>
      <c r="F81">
        <v>30.105349</v>
      </c>
      <c r="G81">
        <v>9038535</v>
      </c>
      <c r="I81">
        <f t="shared" si="2"/>
        <v>3.6096990548745752E-4</v>
      </c>
    </row>
    <row r="82" spans="1:9" x14ac:dyDescent="0.3">
      <c r="A82" s="5">
        <v>41758</v>
      </c>
      <c r="B82">
        <v>31.911840000000002</v>
      </c>
      <c r="C82">
        <v>32.320351000000002</v>
      </c>
      <c r="D82">
        <v>31.671538999999999</v>
      </c>
      <c r="E82">
        <v>32.296322000000004</v>
      </c>
      <c r="F82">
        <v>30.560112</v>
      </c>
      <c r="G82">
        <v>4555597</v>
      </c>
      <c r="I82">
        <f t="shared" si="2"/>
        <v>1.5711776795593506E-4</v>
      </c>
    </row>
    <row r="83" spans="1:9" x14ac:dyDescent="0.3">
      <c r="A83" s="5">
        <v>41759</v>
      </c>
      <c r="B83">
        <v>32.200198999999998</v>
      </c>
      <c r="C83">
        <v>32.416469999999997</v>
      </c>
      <c r="D83">
        <v>32.104080000000003</v>
      </c>
      <c r="E83">
        <v>32.368408000000002</v>
      </c>
      <c r="F83">
        <v>30.628321</v>
      </c>
      <c r="G83">
        <v>7976363</v>
      </c>
      <c r="I83">
        <f t="shared" si="2"/>
        <v>3.4445405734843834E-5</v>
      </c>
    </row>
    <row r="84" spans="1:9" x14ac:dyDescent="0.3">
      <c r="A84" s="5">
        <v>41760</v>
      </c>
      <c r="B84">
        <v>32.320351000000002</v>
      </c>
      <c r="C84">
        <v>32.776919999999997</v>
      </c>
      <c r="D84">
        <v>32.152141999999998</v>
      </c>
      <c r="E84">
        <v>32.776919999999997</v>
      </c>
      <c r="F84">
        <v>31.014875</v>
      </c>
      <c r="G84">
        <v>4727757</v>
      </c>
      <c r="I84">
        <f t="shared" si="2"/>
        <v>1.0042359081916641E-4</v>
      </c>
    </row>
    <row r="85" spans="1:9" x14ac:dyDescent="0.3">
      <c r="A85" s="5">
        <v>41761</v>
      </c>
      <c r="B85">
        <v>32.84901</v>
      </c>
      <c r="C85">
        <v>33.377670000000002</v>
      </c>
      <c r="D85">
        <v>32.728859</v>
      </c>
      <c r="E85">
        <v>32.969158</v>
      </c>
      <c r="F85">
        <v>31.196774999999999</v>
      </c>
      <c r="G85">
        <v>5326675</v>
      </c>
      <c r="I85">
        <f t="shared" si="2"/>
        <v>2.2341475473772822E-4</v>
      </c>
    </row>
    <row r="86" spans="1:9" x14ac:dyDescent="0.3">
      <c r="A86" s="5">
        <v>41764</v>
      </c>
      <c r="B86">
        <v>32.728859</v>
      </c>
      <c r="C86">
        <v>32.84901</v>
      </c>
      <c r="D86">
        <v>32.392440999999998</v>
      </c>
      <c r="E86">
        <v>32.512588999999998</v>
      </c>
      <c r="F86">
        <v>30.764749999999999</v>
      </c>
      <c r="G86">
        <v>5046151</v>
      </c>
      <c r="I86">
        <f t="shared" si="2"/>
        <v>7.5974411926688562E-5</v>
      </c>
    </row>
    <row r="87" spans="1:9" x14ac:dyDescent="0.3">
      <c r="A87" s="5">
        <v>41765</v>
      </c>
      <c r="B87">
        <v>32.512588999999998</v>
      </c>
      <c r="C87">
        <v>32.512588999999998</v>
      </c>
      <c r="D87">
        <v>31.959900000000001</v>
      </c>
      <c r="E87">
        <v>31.983930999999998</v>
      </c>
      <c r="F87">
        <v>30.264513000000001</v>
      </c>
      <c r="G87">
        <v>5463088</v>
      </c>
      <c r="I87">
        <f t="shared" si="2"/>
        <v>1.2886952450618554E-5</v>
      </c>
    </row>
    <row r="88" spans="1:9" x14ac:dyDescent="0.3">
      <c r="A88" s="5">
        <v>41766</v>
      </c>
      <c r="B88">
        <v>32.03199</v>
      </c>
      <c r="C88">
        <v>32.224232000000001</v>
      </c>
      <c r="D88">
        <v>31.69557</v>
      </c>
      <c r="E88">
        <v>32.007961000000002</v>
      </c>
      <c r="F88">
        <v>30.287254000000001</v>
      </c>
      <c r="G88">
        <v>8235123</v>
      </c>
      <c r="I88">
        <f t="shared" si="2"/>
        <v>1.4384576067479179E-4</v>
      </c>
    </row>
    <row r="89" spans="1:9" x14ac:dyDescent="0.3">
      <c r="A89" s="5">
        <v>41767</v>
      </c>
      <c r="B89">
        <v>31.911840000000002</v>
      </c>
      <c r="C89">
        <v>32.416469999999997</v>
      </c>
      <c r="D89">
        <v>31.791691</v>
      </c>
      <c r="E89">
        <v>31.911840000000002</v>
      </c>
      <c r="F89">
        <v>30.264462000000002</v>
      </c>
      <c r="G89">
        <v>4925926</v>
      </c>
      <c r="I89">
        <f t="shared" si="2"/>
        <v>2.6039022991690007E-4</v>
      </c>
    </row>
    <row r="90" spans="1:9" x14ac:dyDescent="0.3">
      <c r="A90" s="5">
        <v>41768</v>
      </c>
      <c r="B90">
        <v>31.959900000000001</v>
      </c>
      <c r="C90">
        <v>32.152141999999998</v>
      </c>
      <c r="D90">
        <v>31.671538999999999</v>
      </c>
      <c r="E90">
        <v>31.839749999999999</v>
      </c>
      <c r="F90">
        <v>30.196096000000001</v>
      </c>
      <c r="G90">
        <v>3960757</v>
      </c>
      <c r="I90">
        <f t="shared" si="2"/>
        <v>1.0656295081437453E-4</v>
      </c>
    </row>
    <row r="91" spans="1:9" x14ac:dyDescent="0.3">
      <c r="A91" s="5">
        <v>41771</v>
      </c>
      <c r="B91">
        <v>32.296322000000004</v>
      </c>
      <c r="C91">
        <v>33.209460999999997</v>
      </c>
      <c r="D91">
        <v>32.272289000000001</v>
      </c>
      <c r="E91">
        <v>33.185428999999999</v>
      </c>
      <c r="F91">
        <v>31.472304999999999</v>
      </c>
      <c r="G91">
        <v>8388598</v>
      </c>
      <c r="I91">
        <f t="shared" si="2"/>
        <v>4.095439882132132E-5</v>
      </c>
    </row>
    <row r="92" spans="1:9" x14ac:dyDescent="0.3">
      <c r="A92" s="5">
        <v>41772</v>
      </c>
      <c r="B92">
        <v>33.353642000000001</v>
      </c>
      <c r="C92">
        <v>33.521850999999998</v>
      </c>
      <c r="D92">
        <v>32.969158</v>
      </c>
      <c r="E92">
        <v>33.137371000000002</v>
      </c>
      <c r="F92">
        <v>31.426727</v>
      </c>
      <c r="G92">
        <v>4666542</v>
      </c>
      <c r="I92">
        <f t="shared" si="2"/>
        <v>1.1703722147985443E-4</v>
      </c>
    </row>
    <row r="93" spans="1:9" x14ac:dyDescent="0.3">
      <c r="A93" s="5">
        <v>41773</v>
      </c>
      <c r="B93">
        <v>33.1614</v>
      </c>
      <c r="C93">
        <v>33.1614</v>
      </c>
      <c r="D93">
        <v>32.512588999999998</v>
      </c>
      <c r="E93">
        <v>32.584679000000001</v>
      </c>
      <c r="F93">
        <v>30.902570999999998</v>
      </c>
      <c r="G93">
        <v>5834956</v>
      </c>
      <c r="I93">
        <f t="shared" si="2"/>
        <v>4.3763431721514211E-5</v>
      </c>
    </row>
    <row r="94" spans="1:9" x14ac:dyDescent="0.3">
      <c r="A94" s="5">
        <v>41774</v>
      </c>
      <c r="B94">
        <v>32.464531000000001</v>
      </c>
      <c r="C94">
        <v>32.512588999999998</v>
      </c>
      <c r="D94">
        <v>31.479299999999999</v>
      </c>
      <c r="E94">
        <v>32.007961000000002</v>
      </c>
      <c r="F94">
        <v>30.355619000000001</v>
      </c>
      <c r="G94">
        <v>5554682</v>
      </c>
      <c r="I94">
        <f t="shared" si="2"/>
        <v>5.3639570007568325E-4</v>
      </c>
    </row>
    <row r="95" spans="1:9" x14ac:dyDescent="0.3">
      <c r="A95" s="5">
        <v>41775</v>
      </c>
      <c r="B95">
        <v>31.959900000000001</v>
      </c>
      <c r="C95">
        <v>32.368408000000002</v>
      </c>
      <c r="D95">
        <v>31.671538999999999</v>
      </c>
      <c r="E95">
        <v>32.320351000000002</v>
      </c>
      <c r="F95">
        <v>30.651883999999999</v>
      </c>
      <c r="G95">
        <v>7003371</v>
      </c>
      <c r="I95">
        <f t="shared" si="2"/>
        <v>2.0266709537228111E-4</v>
      </c>
    </row>
    <row r="96" spans="1:9" x14ac:dyDescent="0.3">
      <c r="A96" s="5">
        <v>41778</v>
      </c>
      <c r="B96">
        <v>32.176169999999999</v>
      </c>
      <c r="C96">
        <v>32.512588999999998</v>
      </c>
      <c r="D96">
        <v>32.176169999999999</v>
      </c>
      <c r="E96">
        <v>32.464531000000001</v>
      </c>
      <c r="F96">
        <v>30.788623999999999</v>
      </c>
      <c r="G96">
        <v>4970454</v>
      </c>
      <c r="I96">
        <f t="shared" si="2"/>
        <v>1.5385829547904106E-5</v>
      </c>
    </row>
    <row r="97" spans="1:9" x14ac:dyDescent="0.3">
      <c r="A97" s="5">
        <v>41779</v>
      </c>
      <c r="B97">
        <v>32.200198999999998</v>
      </c>
      <c r="C97">
        <v>32.320351000000002</v>
      </c>
      <c r="D97">
        <v>31.28706</v>
      </c>
      <c r="E97">
        <v>31.599449</v>
      </c>
      <c r="F97">
        <v>29.968197</v>
      </c>
      <c r="G97">
        <v>14509863</v>
      </c>
      <c r="I97">
        <f t="shared" si="2"/>
        <v>3.6982725926821376E-4</v>
      </c>
    </row>
    <row r="98" spans="1:9" x14ac:dyDescent="0.3">
      <c r="A98" s="5">
        <v>41780</v>
      </c>
      <c r="B98">
        <v>31.791691</v>
      </c>
      <c r="C98">
        <v>32.152141999999998</v>
      </c>
      <c r="D98">
        <v>31.35915</v>
      </c>
      <c r="E98">
        <v>31.527360999999999</v>
      </c>
      <c r="F98">
        <v>29.899836000000001</v>
      </c>
      <c r="G98">
        <v>4428215</v>
      </c>
      <c r="I98">
        <f t="shared" si="2"/>
        <v>2.9451983109020862E-4</v>
      </c>
    </row>
    <row r="99" spans="1:9" x14ac:dyDescent="0.3">
      <c r="A99" s="5">
        <v>41781</v>
      </c>
      <c r="B99">
        <v>31.767659999999999</v>
      </c>
      <c r="C99">
        <v>31.911840000000002</v>
      </c>
      <c r="D99">
        <v>31.551390000000001</v>
      </c>
      <c r="E99">
        <v>31.791691</v>
      </c>
      <c r="F99">
        <v>30.150521999999999</v>
      </c>
      <c r="G99">
        <v>3381939</v>
      </c>
      <c r="I99">
        <f t="shared" si="2"/>
        <v>6.8911492960235652E-5</v>
      </c>
    </row>
    <row r="100" spans="1:9" x14ac:dyDescent="0.3">
      <c r="A100" s="5">
        <v>41782</v>
      </c>
      <c r="B100">
        <v>31.719601000000001</v>
      </c>
      <c r="C100">
        <v>32.536620999999997</v>
      </c>
      <c r="D100">
        <v>31.671538999999999</v>
      </c>
      <c r="E100">
        <v>32.48856</v>
      </c>
      <c r="F100">
        <v>30.811416999999999</v>
      </c>
      <c r="G100">
        <v>4594632</v>
      </c>
      <c r="I100">
        <f t="shared" si="2"/>
        <v>7.6214586373114438E-5</v>
      </c>
    </row>
    <row r="101" spans="1:9" x14ac:dyDescent="0.3">
      <c r="A101" s="5">
        <v>41786</v>
      </c>
      <c r="B101">
        <v>32.48856</v>
      </c>
      <c r="C101">
        <v>32.921101</v>
      </c>
      <c r="D101">
        <v>32.344379000000004</v>
      </c>
      <c r="E101">
        <v>32.392440999999998</v>
      </c>
      <c r="F101">
        <v>30.720257</v>
      </c>
      <c r="G101">
        <v>4820558</v>
      </c>
      <c r="I101">
        <f t="shared" si="2"/>
        <v>2.2071299501173674E-4</v>
      </c>
    </row>
    <row r="102" spans="1:9" x14ac:dyDescent="0.3">
      <c r="A102" s="5">
        <v>41787</v>
      </c>
      <c r="B102">
        <v>32.344379000000004</v>
      </c>
      <c r="C102">
        <v>32.440497999999998</v>
      </c>
      <c r="D102">
        <v>32.056018999999999</v>
      </c>
      <c r="E102">
        <v>32.128109000000002</v>
      </c>
      <c r="F102">
        <v>30.469566</v>
      </c>
      <c r="G102">
        <v>3886683</v>
      </c>
      <c r="I102">
        <f t="shared" si="2"/>
        <v>4.8829381118676517E-5</v>
      </c>
    </row>
    <row r="103" spans="1:9" x14ac:dyDescent="0.3">
      <c r="A103" s="5">
        <v>41788</v>
      </c>
      <c r="B103">
        <v>32.152141999999998</v>
      </c>
      <c r="C103">
        <v>32.632739999999998</v>
      </c>
      <c r="D103">
        <v>32.007961000000002</v>
      </c>
      <c r="E103">
        <v>32.632739999999998</v>
      </c>
      <c r="F103">
        <v>30.948143000000002</v>
      </c>
      <c r="G103">
        <v>3161590</v>
      </c>
      <c r="I103">
        <f t="shared" si="2"/>
        <v>8.6883557266235085E-5</v>
      </c>
    </row>
    <row r="104" spans="1:9" x14ac:dyDescent="0.3">
      <c r="A104" s="5">
        <v>41789</v>
      </c>
      <c r="B104">
        <v>32.464531000000001</v>
      </c>
      <c r="C104">
        <v>32.704830000000001</v>
      </c>
      <c r="D104">
        <v>32.224232000000001</v>
      </c>
      <c r="E104">
        <v>32.704830000000001</v>
      </c>
      <c r="F104">
        <v>31.016515999999999</v>
      </c>
      <c r="G104">
        <v>4010112</v>
      </c>
      <c r="I104">
        <f t="shared" si="2"/>
        <v>1.0998560999530611E-4</v>
      </c>
    </row>
    <row r="105" spans="1:9" x14ac:dyDescent="0.3">
      <c r="A105" s="5">
        <v>41792</v>
      </c>
      <c r="B105">
        <v>33.089309999999998</v>
      </c>
      <c r="C105">
        <v>33.329608999999998</v>
      </c>
      <c r="D105">
        <v>32.536620999999997</v>
      </c>
      <c r="E105">
        <v>33.233490000000003</v>
      </c>
      <c r="F105">
        <v>31.517890999999999</v>
      </c>
      <c r="G105">
        <v>5901290</v>
      </c>
      <c r="I105">
        <f t="shared" si="2"/>
        <v>3.7785346557854944E-4</v>
      </c>
    </row>
    <row r="106" spans="1:9" x14ac:dyDescent="0.3">
      <c r="A106" s="5">
        <v>41793</v>
      </c>
      <c r="B106">
        <v>33.017220000000002</v>
      </c>
      <c r="C106">
        <v>33.089309999999998</v>
      </c>
      <c r="D106">
        <v>32.536620999999997</v>
      </c>
      <c r="E106">
        <v>32.800949000000003</v>
      </c>
      <c r="F106">
        <v>31.107669999999999</v>
      </c>
      <c r="G106">
        <v>4472409</v>
      </c>
      <c r="I106">
        <f t="shared" si="2"/>
        <v>1.3773120043176896E-4</v>
      </c>
    </row>
    <row r="107" spans="1:9" x14ac:dyDescent="0.3">
      <c r="A107" s="5">
        <v>41794</v>
      </c>
      <c r="B107">
        <v>32.704830000000001</v>
      </c>
      <c r="C107">
        <v>33.281551</v>
      </c>
      <c r="D107">
        <v>32.536620999999997</v>
      </c>
      <c r="E107">
        <v>33.209460999999997</v>
      </c>
      <c r="F107">
        <v>31.495092</v>
      </c>
      <c r="G107">
        <v>3288015</v>
      </c>
      <c r="I107">
        <f t="shared" si="2"/>
        <v>1.4345130467484149E-4</v>
      </c>
    </row>
    <row r="108" spans="1:9" x14ac:dyDescent="0.3">
      <c r="A108" s="5">
        <v>41795</v>
      </c>
      <c r="B108">
        <v>33.1614</v>
      </c>
      <c r="C108">
        <v>33.954391000000001</v>
      </c>
      <c r="D108">
        <v>32.993191000000003</v>
      </c>
      <c r="E108">
        <v>33.641998000000001</v>
      </c>
      <c r="F108">
        <v>31.905304000000001</v>
      </c>
      <c r="G108">
        <v>5330795</v>
      </c>
      <c r="I108">
        <f t="shared" si="2"/>
        <v>3.1745820634604654E-4</v>
      </c>
    </row>
    <row r="109" spans="1:9" x14ac:dyDescent="0.3">
      <c r="A109" s="5">
        <v>41796</v>
      </c>
      <c r="B109">
        <v>33.521850999999998</v>
      </c>
      <c r="C109">
        <v>34.483051000000003</v>
      </c>
      <c r="D109">
        <v>33.497821999999999</v>
      </c>
      <c r="E109">
        <v>34.483051000000003</v>
      </c>
      <c r="F109">
        <v>32.702950000000001</v>
      </c>
      <c r="G109">
        <v>6615439</v>
      </c>
      <c r="I109">
        <f t="shared" si="2"/>
        <v>2.0786159775753545E-5</v>
      </c>
    </row>
    <row r="110" spans="1:9" x14ac:dyDescent="0.3">
      <c r="A110" s="5">
        <v>41799</v>
      </c>
      <c r="B110">
        <v>34.459018999999998</v>
      </c>
      <c r="C110">
        <v>35.035739999999997</v>
      </c>
      <c r="D110">
        <v>34.266781000000002</v>
      </c>
      <c r="E110">
        <v>34.483051000000003</v>
      </c>
      <c r="F110">
        <v>32.702950000000001</v>
      </c>
      <c r="G110">
        <v>4745360</v>
      </c>
      <c r="I110">
        <f t="shared" si="2"/>
        <v>2.9911655214261455E-4</v>
      </c>
    </row>
    <row r="111" spans="1:9" x14ac:dyDescent="0.3">
      <c r="A111" s="5">
        <v>41800</v>
      </c>
      <c r="B111">
        <v>34.266781000000002</v>
      </c>
      <c r="C111">
        <v>34.434989999999999</v>
      </c>
      <c r="D111">
        <v>33.906329999999997</v>
      </c>
      <c r="E111">
        <v>34.194690999999999</v>
      </c>
      <c r="F111">
        <v>32.429465999999998</v>
      </c>
      <c r="G111">
        <v>3343779</v>
      </c>
      <c r="I111">
        <f t="shared" si="2"/>
        <v>1.2384481602856749E-4</v>
      </c>
    </row>
    <row r="112" spans="1:9" x14ac:dyDescent="0.3">
      <c r="A112" s="5">
        <v>41801</v>
      </c>
      <c r="B112">
        <v>34.074539000000001</v>
      </c>
      <c r="C112">
        <v>34.338870999999997</v>
      </c>
      <c r="D112">
        <v>33.906329999999997</v>
      </c>
      <c r="E112">
        <v>34.074539000000001</v>
      </c>
      <c r="F112">
        <v>32.315514</v>
      </c>
      <c r="G112">
        <v>3409072</v>
      </c>
      <c r="I112">
        <f t="shared" si="2"/>
        <v>8.4204597138978464E-5</v>
      </c>
    </row>
    <row r="113" spans="1:9" x14ac:dyDescent="0.3">
      <c r="A113" s="5">
        <v>41802</v>
      </c>
      <c r="B113">
        <v>33.906329999999997</v>
      </c>
      <c r="C113">
        <v>34.098571999999997</v>
      </c>
      <c r="D113">
        <v>33.473788999999996</v>
      </c>
      <c r="E113">
        <v>33.666030999999997</v>
      </c>
      <c r="F113">
        <v>31.928094999999999</v>
      </c>
      <c r="G113">
        <v>4255597</v>
      </c>
      <c r="I113">
        <f t="shared" si="2"/>
        <v>1.4570138485407505E-4</v>
      </c>
    </row>
    <row r="114" spans="1:9" x14ac:dyDescent="0.3">
      <c r="A114" s="5">
        <v>41803</v>
      </c>
      <c r="B114">
        <v>33.858269</v>
      </c>
      <c r="C114">
        <v>34.987679</v>
      </c>
      <c r="D114">
        <v>33.810211000000002</v>
      </c>
      <c r="E114">
        <v>34.891559999999998</v>
      </c>
      <c r="F114">
        <v>33.090350999999998</v>
      </c>
      <c r="G114">
        <v>5999293</v>
      </c>
      <c r="I114">
        <f t="shared" si="2"/>
        <v>1.3498499483587578E-4</v>
      </c>
    </row>
    <row r="115" spans="1:9" x14ac:dyDescent="0.3">
      <c r="A115" s="5">
        <v>41806</v>
      </c>
      <c r="B115">
        <v>34.819468999999998</v>
      </c>
      <c r="C115">
        <v>34.891559999999998</v>
      </c>
      <c r="D115">
        <v>34.410961</v>
      </c>
      <c r="E115">
        <v>34.483051000000003</v>
      </c>
      <c r="F115">
        <v>32.702950000000001</v>
      </c>
      <c r="G115">
        <v>3105784</v>
      </c>
      <c r="I115">
        <f t="shared" si="2"/>
        <v>4.9056261427776223E-5</v>
      </c>
    </row>
    <row r="116" spans="1:9" x14ac:dyDescent="0.3">
      <c r="A116" s="5">
        <v>41807</v>
      </c>
      <c r="B116">
        <v>34.483051000000003</v>
      </c>
      <c r="C116">
        <v>34.891559999999998</v>
      </c>
      <c r="D116">
        <v>34.314838000000002</v>
      </c>
      <c r="E116">
        <v>34.795440999999997</v>
      </c>
      <c r="F116">
        <v>32.999206999999998</v>
      </c>
      <c r="G116">
        <v>3075406</v>
      </c>
      <c r="I116">
        <f t="shared" si="2"/>
        <v>1.0050172127361624E-4</v>
      </c>
    </row>
    <row r="117" spans="1:9" x14ac:dyDescent="0.3">
      <c r="A117" s="5">
        <v>41808</v>
      </c>
      <c r="B117">
        <v>34.627231999999999</v>
      </c>
      <c r="C117">
        <v>35.252009999999999</v>
      </c>
      <c r="D117">
        <v>34.338870999999997</v>
      </c>
      <c r="E117">
        <v>35.179920000000003</v>
      </c>
      <c r="F117">
        <v>33.363838000000001</v>
      </c>
      <c r="G117">
        <v>4687599</v>
      </c>
      <c r="I117">
        <f t="shared" si="2"/>
        <v>2.3895640334061719E-4</v>
      </c>
    </row>
    <row r="118" spans="1:9" x14ac:dyDescent="0.3">
      <c r="A118" s="5">
        <v>41809</v>
      </c>
      <c r="B118">
        <v>35.348129</v>
      </c>
      <c r="C118">
        <v>35.348129</v>
      </c>
      <c r="D118">
        <v>34.651260000000001</v>
      </c>
      <c r="E118">
        <v>34.747379000000002</v>
      </c>
      <c r="F118">
        <v>32.953631999999999</v>
      </c>
      <c r="G118">
        <v>5322805</v>
      </c>
      <c r="I118">
        <f t="shared" si="2"/>
        <v>5.515562419413412E-5</v>
      </c>
    </row>
    <row r="119" spans="1:9" x14ac:dyDescent="0.3">
      <c r="A119" s="5">
        <v>41810</v>
      </c>
      <c r="B119">
        <v>34.915588</v>
      </c>
      <c r="C119">
        <v>35.203949000000001</v>
      </c>
      <c r="D119">
        <v>34.747379000000002</v>
      </c>
      <c r="E119">
        <v>35.131858999999999</v>
      </c>
      <c r="F119">
        <v>33.318260000000002</v>
      </c>
      <c r="G119">
        <v>6171702</v>
      </c>
      <c r="I119">
        <f t="shared" si="2"/>
        <v>7.0002062410519676E-5</v>
      </c>
    </row>
    <row r="120" spans="1:9" x14ac:dyDescent="0.3">
      <c r="A120" s="5">
        <v>41813</v>
      </c>
      <c r="B120">
        <v>35.300072</v>
      </c>
      <c r="C120">
        <v>35.540371</v>
      </c>
      <c r="D120">
        <v>35.203949000000001</v>
      </c>
      <c r="E120">
        <v>35.492310000000003</v>
      </c>
      <c r="F120">
        <v>33.660110000000003</v>
      </c>
      <c r="G120">
        <v>3185809</v>
      </c>
      <c r="I120">
        <f t="shared" si="2"/>
        <v>3.1424683524571269E-5</v>
      </c>
    </row>
    <row r="121" spans="1:9" x14ac:dyDescent="0.3">
      <c r="A121" s="5">
        <v>41814</v>
      </c>
      <c r="B121">
        <v>35.492310000000003</v>
      </c>
      <c r="C121">
        <v>35.540371</v>
      </c>
      <c r="D121">
        <v>34.699322000000002</v>
      </c>
      <c r="E121">
        <v>34.771411999999998</v>
      </c>
      <c r="F121">
        <v>32.976413999999998</v>
      </c>
      <c r="G121">
        <v>3977403</v>
      </c>
      <c r="I121">
        <f t="shared" si="2"/>
        <v>7.6495383475518286E-5</v>
      </c>
    </row>
    <row r="122" spans="1:9" x14ac:dyDescent="0.3">
      <c r="A122" s="5">
        <v>41815</v>
      </c>
      <c r="B122">
        <v>34.651260000000001</v>
      </c>
      <c r="C122">
        <v>35.083801000000001</v>
      </c>
      <c r="D122">
        <v>34.483051000000003</v>
      </c>
      <c r="E122">
        <v>34.963650000000001</v>
      </c>
      <c r="F122">
        <v>33.158732999999998</v>
      </c>
      <c r="G122">
        <v>3404161</v>
      </c>
      <c r="I122">
        <f t="shared" si="2"/>
        <v>1.0991023932173654E-4</v>
      </c>
    </row>
    <row r="123" spans="1:9" x14ac:dyDescent="0.3">
      <c r="A123" s="5">
        <v>41816</v>
      </c>
      <c r="B123">
        <v>36.309330000000003</v>
      </c>
      <c r="C123">
        <v>36.477539</v>
      </c>
      <c r="D123">
        <v>35.420219000000003</v>
      </c>
      <c r="E123">
        <v>35.900821999999998</v>
      </c>
      <c r="F123">
        <v>34.047522999999998</v>
      </c>
      <c r="G123">
        <v>12024594</v>
      </c>
      <c r="I123">
        <f t="shared" si="2"/>
        <v>4.0778805885523895E-4</v>
      </c>
    </row>
    <row r="124" spans="1:9" x14ac:dyDescent="0.3">
      <c r="A124" s="5">
        <v>41817</v>
      </c>
      <c r="B124">
        <v>35.852760000000004</v>
      </c>
      <c r="C124">
        <v>36.044998</v>
      </c>
      <c r="D124">
        <v>35.444248000000002</v>
      </c>
      <c r="E124">
        <v>35.876789000000002</v>
      </c>
      <c r="F124">
        <v>34.024734000000002</v>
      </c>
      <c r="G124">
        <v>7452268</v>
      </c>
      <c r="I124">
        <f t="shared" si="2"/>
        <v>1.6401299222811182E-4</v>
      </c>
    </row>
    <row r="125" spans="1:9" x14ac:dyDescent="0.3">
      <c r="A125" s="5">
        <v>41820</v>
      </c>
      <c r="B125">
        <v>35.780670000000001</v>
      </c>
      <c r="C125">
        <v>35.804698999999999</v>
      </c>
      <c r="D125">
        <v>35.276038999999997</v>
      </c>
      <c r="E125">
        <v>35.780670000000001</v>
      </c>
      <c r="F125">
        <v>33.933574999999998</v>
      </c>
      <c r="G125">
        <v>5393342</v>
      </c>
      <c r="I125">
        <f t="shared" si="2"/>
        <v>2.0220010273524014E-4</v>
      </c>
    </row>
    <row r="126" spans="1:9" x14ac:dyDescent="0.3">
      <c r="A126" s="5">
        <v>41821</v>
      </c>
      <c r="B126">
        <v>35.876789000000002</v>
      </c>
      <c r="C126">
        <v>36.044998</v>
      </c>
      <c r="D126">
        <v>35.444248000000002</v>
      </c>
      <c r="E126">
        <v>35.564399999999999</v>
      </c>
      <c r="F126">
        <v>33.728462</v>
      </c>
      <c r="G126">
        <v>4327507</v>
      </c>
      <c r="I126">
        <f t="shared" si="2"/>
        <v>1.0383504436191969E-4</v>
      </c>
    </row>
    <row r="127" spans="1:9" x14ac:dyDescent="0.3">
      <c r="A127" s="5">
        <v>41822</v>
      </c>
      <c r="B127">
        <v>35.684550999999999</v>
      </c>
      <c r="C127">
        <v>35.780670000000001</v>
      </c>
      <c r="D127">
        <v>35.564399999999999</v>
      </c>
      <c r="E127">
        <v>35.684550999999999</v>
      </c>
      <c r="F127">
        <v>33.842421999999999</v>
      </c>
      <c r="G127">
        <v>4325926</v>
      </c>
      <c r="I127">
        <f t="shared" si="2"/>
        <v>1.8611039043580701E-5</v>
      </c>
    </row>
    <row r="128" spans="1:9" x14ac:dyDescent="0.3">
      <c r="A128" s="5">
        <v>41823</v>
      </c>
      <c r="B128">
        <v>35.780670000000001</v>
      </c>
      <c r="C128">
        <v>36.213211000000001</v>
      </c>
      <c r="D128">
        <v>35.636490000000002</v>
      </c>
      <c r="E128">
        <v>35.996941</v>
      </c>
      <c r="F128">
        <v>34.138680000000001</v>
      </c>
      <c r="G128">
        <v>3252809</v>
      </c>
      <c r="I128">
        <f t="shared" si="2"/>
        <v>1.1261212343166793E-4</v>
      </c>
    </row>
    <row r="129" spans="1:9" x14ac:dyDescent="0.3">
      <c r="A129" s="5">
        <v>41827</v>
      </c>
      <c r="B129">
        <v>36.020969000000001</v>
      </c>
      <c r="C129">
        <v>36.165149999999997</v>
      </c>
      <c r="D129">
        <v>35.324100000000001</v>
      </c>
      <c r="E129">
        <v>35.420219000000003</v>
      </c>
      <c r="F129">
        <v>33.591728000000003</v>
      </c>
      <c r="G129">
        <v>6859093</v>
      </c>
      <c r="I129">
        <f t="shared" si="2"/>
        <v>1.3622823200159831E-4</v>
      </c>
    </row>
    <row r="130" spans="1:9" x14ac:dyDescent="0.3">
      <c r="A130" s="5">
        <v>41828</v>
      </c>
      <c r="B130">
        <v>35.516337999999998</v>
      </c>
      <c r="C130">
        <v>35.780670000000001</v>
      </c>
      <c r="D130">
        <v>34.987679</v>
      </c>
      <c r="E130">
        <v>35.684550999999999</v>
      </c>
      <c r="F130">
        <v>33.842421999999999</v>
      </c>
      <c r="G130">
        <v>11376404</v>
      </c>
      <c r="I130">
        <f t="shared" si="2"/>
        <v>3.1571193513970546E-4</v>
      </c>
    </row>
    <row r="131" spans="1:9" x14ac:dyDescent="0.3">
      <c r="A131" s="5">
        <v>41829</v>
      </c>
      <c r="B131">
        <v>36.621718999999999</v>
      </c>
      <c r="C131">
        <v>37.871281000000003</v>
      </c>
      <c r="D131">
        <v>36.429482</v>
      </c>
      <c r="E131">
        <v>37.703071999999999</v>
      </c>
      <c r="F131">
        <v>35.756729</v>
      </c>
      <c r="G131">
        <v>22589888</v>
      </c>
      <c r="I131">
        <f t="shared" si="2"/>
        <v>3.30211052296495E-4</v>
      </c>
    </row>
    <row r="132" spans="1:9" x14ac:dyDescent="0.3">
      <c r="A132" s="5">
        <v>41830</v>
      </c>
      <c r="B132">
        <v>37.438740000000003</v>
      </c>
      <c r="C132">
        <v>38.375912</v>
      </c>
      <c r="D132">
        <v>37.054259999999999</v>
      </c>
      <c r="E132">
        <v>37.534858999999997</v>
      </c>
      <c r="F132">
        <v>35.597206</v>
      </c>
      <c r="G132">
        <v>11826675</v>
      </c>
      <c r="I132">
        <f t="shared" si="2"/>
        <v>6.8090639809707094E-4</v>
      </c>
    </row>
    <row r="133" spans="1:9" x14ac:dyDescent="0.3">
      <c r="A133" s="5">
        <v>41831</v>
      </c>
      <c r="B133">
        <v>37.582920000000001</v>
      </c>
      <c r="C133">
        <v>38.399940000000001</v>
      </c>
      <c r="D133">
        <v>37.534858999999997</v>
      </c>
      <c r="E133">
        <v>38.375912</v>
      </c>
      <c r="F133">
        <v>36.394843999999999</v>
      </c>
      <c r="G133">
        <v>6475572</v>
      </c>
      <c r="I133">
        <f t="shared" si="2"/>
        <v>4.181748098008248E-5</v>
      </c>
    </row>
    <row r="134" spans="1:9" x14ac:dyDescent="0.3">
      <c r="A134" s="5">
        <v>41834</v>
      </c>
      <c r="B134">
        <v>38.85651</v>
      </c>
      <c r="C134">
        <v>39.048752</v>
      </c>
      <c r="D134">
        <v>38.231731000000003</v>
      </c>
      <c r="E134">
        <v>38.712330000000001</v>
      </c>
      <c r="F134">
        <v>36.713894000000003</v>
      </c>
      <c r="G134">
        <v>10096712</v>
      </c>
      <c r="I134">
        <f t="shared" si="2"/>
        <v>2.4520207561766076E-4</v>
      </c>
    </row>
    <row r="135" spans="1:9" x14ac:dyDescent="0.3">
      <c r="A135" s="5">
        <v>41835</v>
      </c>
      <c r="B135">
        <v>38.736359</v>
      </c>
      <c r="C135">
        <v>38.904572000000002</v>
      </c>
      <c r="D135">
        <v>38.279789000000001</v>
      </c>
      <c r="E135">
        <v>38.736359</v>
      </c>
      <c r="F135">
        <v>36.736671000000001</v>
      </c>
      <c r="G135">
        <v>8154141</v>
      </c>
      <c r="I135">
        <f t="shared" si="2"/>
        <v>1.5935510634984277E-4</v>
      </c>
    </row>
    <row r="136" spans="1:9" x14ac:dyDescent="0.3">
      <c r="A136" s="5">
        <v>41836</v>
      </c>
      <c r="B136">
        <v>38.832481000000001</v>
      </c>
      <c r="C136">
        <v>40.154128999999998</v>
      </c>
      <c r="D136">
        <v>38.736359</v>
      </c>
      <c r="E136">
        <v>39.889800999999999</v>
      </c>
      <c r="F136">
        <v>37.830593</v>
      </c>
      <c r="G136">
        <v>9828797</v>
      </c>
      <c r="I136">
        <f t="shared" si="2"/>
        <v>2.9376452335847208E-4</v>
      </c>
    </row>
    <row r="137" spans="1:9" x14ac:dyDescent="0.3">
      <c r="A137" s="5">
        <v>41837</v>
      </c>
      <c r="B137">
        <v>39.553379</v>
      </c>
      <c r="C137">
        <v>39.817711000000003</v>
      </c>
      <c r="D137">
        <v>39.096809</v>
      </c>
      <c r="E137">
        <v>39.240989999999996</v>
      </c>
      <c r="F137">
        <v>37.215271000000001</v>
      </c>
      <c r="G137">
        <v>9299958</v>
      </c>
      <c r="I137">
        <f t="shared" si="2"/>
        <v>1.3991663267854038E-4</v>
      </c>
    </row>
    <row r="138" spans="1:9" x14ac:dyDescent="0.3">
      <c r="A138" s="5">
        <v>41838</v>
      </c>
      <c r="B138">
        <v>39.240989999999996</v>
      </c>
      <c r="C138">
        <v>39.841740000000001</v>
      </c>
      <c r="D138">
        <v>39.216960999999998</v>
      </c>
      <c r="E138">
        <v>39.625469000000002</v>
      </c>
      <c r="F138">
        <v>37.579895</v>
      </c>
      <c r="G138">
        <v>5247441</v>
      </c>
      <c r="I138">
        <f t="shared" si="2"/>
        <v>8.9044910189717443E-5</v>
      </c>
    </row>
    <row r="139" spans="1:9" x14ac:dyDescent="0.3">
      <c r="A139" s="5">
        <v>41841</v>
      </c>
      <c r="B139">
        <v>39.385170000000002</v>
      </c>
      <c r="C139">
        <v>40.082039000000002</v>
      </c>
      <c r="D139">
        <v>39.313079999999999</v>
      </c>
      <c r="E139">
        <v>39.937859000000003</v>
      </c>
      <c r="F139">
        <v>37.876167000000002</v>
      </c>
      <c r="G139">
        <v>7728548</v>
      </c>
      <c r="I139">
        <f t="shared" si="2"/>
        <v>9.2090507342984214E-5</v>
      </c>
    </row>
    <row r="140" spans="1:9" x14ac:dyDescent="0.3">
      <c r="A140" s="5">
        <v>41842</v>
      </c>
      <c r="B140">
        <v>40.106071</v>
      </c>
      <c r="C140">
        <v>41.235481</v>
      </c>
      <c r="D140">
        <v>40.106071</v>
      </c>
      <c r="E140">
        <v>41.067267999999999</v>
      </c>
      <c r="F140">
        <v>38.947262000000002</v>
      </c>
      <c r="G140">
        <v>13128007</v>
      </c>
      <c r="I140">
        <f t="shared" ref="I140:I203" si="3">LN(C140/B140)*(LN(C140/B140)-LN(E140/B140))+LN(D140/B140)*(LN(D140/B140)-LN(E140/B140))</f>
        <v>1.135201343417764E-4</v>
      </c>
    </row>
    <row r="141" spans="1:9" x14ac:dyDescent="0.3">
      <c r="A141" s="5">
        <v>41843</v>
      </c>
      <c r="B141">
        <v>41.379662000000003</v>
      </c>
      <c r="C141">
        <v>41.379662000000003</v>
      </c>
      <c r="D141">
        <v>40.851002000000001</v>
      </c>
      <c r="E141">
        <v>40.971148999999997</v>
      </c>
      <c r="F141">
        <v>38.856102</v>
      </c>
      <c r="G141">
        <v>8800957</v>
      </c>
      <c r="I141">
        <f t="shared" si="3"/>
        <v>3.7761651540255504E-5</v>
      </c>
    </row>
    <row r="142" spans="1:9" x14ac:dyDescent="0.3">
      <c r="A142" s="5">
        <v>41844</v>
      </c>
      <c r="B142">
        <v>40.995178000000003</v>
      </c>
      <c r="C142">
        <v>41.283538999999998</v>
      </c>
      <c r="D142">
        <v>40.754879000000003</v>
      </c>
      <c r="E142">
        <v>40.851002000000001</v>
      </c>
      <c r="F142">
        <v>38.742161000000003</v>
      </c>
      <c r="G142">
        <v>8720391</v>
      </c>
      <c r="I142">
        <f t="shared" si="3"/>
        <v>8.7675898517379942E-5</v>
      </c>
    </row>
    <row r="143" spans="1:9" x14ac:dyDescent="0.3">
      <c r="A143" s="5">
        <v>41845</v>
      </c>
      <c r="B143">
        <v>40.706820999999998</v>
      </c>
      <c r="C143">
        <v>40.706820999999998</v>
      </c>
      <c r="D143">
        <v>39.721587999999997</v>
      </c>
      <c r="E143">
        <v>39.793678</v>
      </c>
      <c r="F143">
        <v>37.739421999999998</v>
      </c>
      <c r="G143">
        <v>8875239</v>
      </c>
      <c r="I143">
        <f t="shared" si="3"/>
        <v>4.4425857212571023E-5</v>
      </c>
    </row>
    <row r="144" spans="1:9" x14ac:dyDescent="0.3">
      <c r="A144" s="5">
        <v>41848</v>
      </c>
      <c r="B144">
        <v>39.889800999999999</v>
      </c>
      <c r="C144">
        <v>40.923091999999997</v>
      </c>
      <c r="D144">
        <v>39.889800999999999</v>
      </c>
      <c r="E144">
        <v>40.875031</v>
      </c>
      <c r="F144">
        <v>38.764946000000002</v>
      </c>
      <c r="G144">
        <v>7494590</v>
      </c>
      <c r="I144">
        <f t="shared" si="3"/>
        <v>3.0052123669813244E-5</v>
      </c>
    </row>
    <row r="145" spans="1:9" x14ac:dyDescent="0.3">
      <c r="A145" s="5">
        <v>41849</v>
      </c>
      <c r="B145">
        <v>41.067267999999999</v>
      </c>
      <c r="C145">
        <v>41.187420000000003</v>
      </c>
      <c r="D145">
        <v>40.610698999999997</v>
      </c>
      <c r="E145">
        <v>40.634731000000002</v>
      </c>
      <c r="F145">
        <v>38.537067</v>
      </c>
      <c r="G145">
        <v>7015980</v>
      </c>
      <c r="I145">
        <f t="shared" si="3"/>
        <v>4.6082077698211062E-5</v>
      </c>
    </row>
    <row r="146" spans="1:9" x14ac:dyDescent="0.3">
      <c r="A146" s="5">
        <v>41850</v>
      </c>
      <c r="B146">
        <v>40.851002000000001</v>
      </c>
      <c r="C146">
        <v>40.995178000000003</v>
      </c>
      <c r="D146">
        <v>39.961891000000001</v>
      </c>
      <c r="E146">
        <v>40.178162</v>
      </c>
      <c r="F146">
        <v>38.104050000000001</v>
      </c>
      <c r="G146">
        <v>5695089</v>
      </c>
      <c r="I146">
        <f t="shared" si="3"/>
        <v>1.8969180592141472E-4</v>
      </c>
    </row>
    <row r="147" spans="1:9" x14ac:dyDescent="0.3">
      <c r="A147" s="5">
        <v>41851</v>
      </c>
      <c r="B147">
        <v>39.913829999999997</v>
      </c>
      <c r="C147">
        <v>39.961891000000001</v>
      </c>
      <c r="D147">
        <v>38.736359</v>
      </c>
      <c r="E147">
        <v>39.385170000000002</v>
      </c>
      <c r="F147">
        <v>37.351996999999997</v>
      </c>
      <c r="G147">
        <v>10814981</v>
      </c>
      <c r="I147">
        <f t="shared" si="3"/>
        <v>5.1488743176736124E-4</v>
      </c>
    </row>
    <row r="148" spans="1:9" x14ac:dyDescent="0.3">
      <c r="A148" s="5">
        <v>41852</v>
      </c>
      <c r="B148">
        <v>39.072780999999999</v>
      </c>
      <c r="C148">
        <v>39.913829999999997</v>
      </c>
      <c r="D148">
        <v>38.928600000000003</v>
      </c>
      <c r="E148">
        <v>39.505322</v>
      </c>
      <c r="F148">
        <v>37.465949999999999</v>
      </c>
      <c r="G148">
        <v>6069413</v>
      </c>
      <c r="I148">
        <f t="shared" si="3"/>
        <v>2.7345757247320779E-4</v>
      </c>
    </row>
    <row r="149" spans="1:9" x14ac:dyDescent="0.3">
      <c r="A149" s="5">
        <v>41855</v>
      </c>
      <c r="B149">
        <v>39.841740000000001</v>
      </c>
      <c r="C149">
        <v>40.226219</v>
      </c>
      <c r="D149">
        <v>39.529350000000001</v>
      </c>
      <c r="E149">
        <v>40.154128999999998</v>
      </c>
      <c r="F149">
        <v>38.081268000000001</v>
      </c>
      <c r="G149">
        <v>6229338</v>
      </c>
      <c r="I149">
        <f t="shared" si="3"/>
        <v>1.4066902693809249E-4</v>
      </c>
    </row>
    <row r="150" spans="1:9" x14ac:dyDescent="0.3">
      <c r="A150" s="5">
        <v>41856</v>
      </c>
      <c r="B150">
        <v>39.961891000000001</v>
      </c>
      <c r="C150">
        <v>39.98592</v>
      </c>
      <c r="D150">
        <v>39.337108999999998</v>
      </c>
      <c r="E150">
        <v>39.505322</v>
      </c>
      <c r="F150">
        <v>37.465949999999999</v>
      </c>
      <c r="G150">
        <v>7094007</v>
      </c>
      <c r="I150">
        <f t="shared" si="3"/>
        <v>7.4509058848257296E-5</v>
      </c>
    </row>
    <row r="151" spans="1:9" x14ac:dyDescent="0.3">
      <c r="A151" s="5">
        <v>41857</v>
      </c>
      <c r="B151">
        <v>39.048752</v>
      </c>
      <c r="C151">
        <v>39.889800999999999</v>
      </c>
      <c r="D151">
        <v>39.048752</v>
      </c>
      <c r="E151">
        <v>39.505322</v>
      </c>
      <c r="F151">
        <v>37.534438999999999</v>
      </c>
      <c r="G151">
        <v>4787516</v>
      </c>
      <c r="I151">
        <f t="shared" si="3"/>
        <v>2.0639100035404849E-4</v>
      </c>
    </row>
    <row r="152" spans="1:9" x14ac:dyDescent="0.3">
      <c r="A152" s="5">
        <v>41858</v>
      </c>
      <c r="B152">
        <v>39.553379</v>
      </c>
      <c r="C152">
        <v>39.745621</v>
      </c>
      <c r="D152">
        <v>38.135609000000002</v>
      </c>
      <c r="E152">
        <v>38.448002000000002</v>
      </c>
      <c r="F152">
        <v>36.529868999999998</v>
      </c>
      <c r="G152">
        <v>8014940</v>
      </c>
      <c r="I152">
        <f t="shared" si="3"/>
        <v>4.5873588001300733E-4</v>
      </c>
    </row>
    <row r="153" spans="1:9" x14ac:dyDescent="0.3">
      <c r="A153" s="5">
        <v>41859</v>
      </c>
      <c r="B153">
        <v>37.775162000000002</v>
      </c>
      <c r="C153">
        <v>38.808449000000003</v>
      </c>
      <c r="D153">
        <v>37.486801</v>
      </c>
      <c r="E153">
        <v>38.688301000000003</v>
      </c>
      <c r="F153">
        <v>36.758186000000002</v>
      </c>
      <c r="G153">
        <v>5771993</v>
      </c>
      <c r="I153">
        <f t="shared" si="3"/>
        <v>3.2542863697547085E-4</v>
      </c>
    </row>
    <row r="154" spans="1:9" x14ac:dyDescent="0.3">
      <c r="A154" s="5">
        <v>41862</v>
      </c>
      <c r="B154">
        <v>39.168900000000001</v>
      </c>
      <c r="C154">
        <v>39.433230999999999</v>
      </c>
      <c r="D154">
        <v>38.808449000000003</v>
      </c>
      <c r="E154">
        <v>38.904572000000002</v>
      </c>
      <c r="F154">
        <v>36.963661000000002</v>
      </c>
      <c r="G154">
        <v>4123221</v>
      </c>
      <c r="I154">
        <f t="shared" si="3"/>
        <v>1.1364962147233924E-4</v>
      </c>
    </row>
    <row r="155" spans="1:9" x14ac:dyDescent="0.3">
      <c r="A155" s="5">
        <v>41863</v>
      </c>
      <c r="B155">
        <v>38.976661999999997</v>
      </c>
      <c r="C155">
        <v>39.433230999999999</v>
      </c>
      <c r="D155">
        <v>38.808449000000003</v>
      </c>
      <c r="E155">
        <v>38.904572000000002</v>
      </c>
      <c r="F155">
        <v>36.963661000000002</v>
      </c>
      <c r="G155">
        <v>6336621</v>
      </c>
      <c r="I155">
        <f t="shared" si="3"/>
        <v>1.6788442313886418E-4</v>
      </c>
    </row>
    <row r="156" spans="1:9" x14ac:dyDescent="0.3">
      <c r="A156" s="5">
        <v>41864</v>
      </c>
      <c r="B156">
        <v>38.976661999999997</v>
      </c>
      <c r="C156">
        <v>39.144871000000002</v>
      </c>
      <c r="D156">
        <v>38.760390999999998</v>
      </c>
      <c r="E156">
        <v>39.024718999999997</v>
      </c>
      <c r="F156">
        <v>37.077815999999999</v>
      </c>
      <c r="G156">
        <v>3913317</v>
      </c>
      <c r="I156">
        <f t="shared" si="3"/>
        <v>5.1054670902949511E-5</v>
      </c>
    </row>
    <row r="157" spans="1:9" x14ac:dyDescent="0.3">
      <c r="A157" s="5">
        <v>41865</v>
      </c>
      <c r="B157">
        <v>38.904572000000002</v>
      </c>
      <c r="C157">
        <v>39.096809</v>
      </c>
      <c r="D157">
        <v>38.832481000000001</v>
      </c>
      <c r="E157">
        <v>39.000689999999999</v>
      </c>
      <c r="F157">
        <v>37.054993000000003</v>
      </c>
      <c r="G157">
        <v>2487640</v>
      </c>
      <c r="I157">
        <f t="shared" si="3"/>
        <v>2.0149740344205551E-5</v>
      </c>
    </row>
    <row r="158" spans="1:9" x14ac:dyDescent="0.3">
      <c r="A158" s="5">
        <v>41866</v>
      </c>
      <c r="B158">
        <v>39.096809</v>
      </c>
      <c r="C158">
        <v>39.216960999999998</v>
      </c>
      <c r="D158">
        <v>38.496059000000002</v>
      </c>
      <c r="E158">
        <v>38.712330000000001</v>
      </c>
      <c r="F158">
        <v>36.781010000000002</v>
      </c>
      <c r="G158">
        <v>4703704</v>
      </c>
      <c r="I158">
        <f t="shared" si="3"/>
        <v>1.2649163950801965E-4</v>
      </c>
    </row>
    <row r="159" spans="1:9" x14ac:dyDescent="0.3">
      <c r="A159" s="5">
        <v>41869</v>
      </c>
      <c r="B159">
        <v>38.928600000000003</v>
      </c>
      <c r="C159">
        <v>39.313079999999999</v>
      </c>
      <c r="D159">
        <v>38.808449000000003</v>
      </c>
      <c r="E159">
        <v>39.216960999999998</v>
      </c>
      <c r="F159">
        <v>37.260463999999999</v>
      </c>
      <c r="G159">
        <v>4908822</v>
      </c>
      <c r="I159">
        <f t="shared" si="3"/>
        <v>5.6427963292206188E-5</v>
      </c>
    </row>
    <row r="160" spans="1:9" x14ac:dyDescent="0.3">
      <c r="A160" s="5">
        <v>41870</v>
      </c>
      <c r="B160">
        <v>39.337108999999998</v>
      </c>
      <c r="C160">
        <v>39.577412000000002</v>
      </c>
      <c r="D160">
        <v>39.096809</v>
      </c>
      <c r="E160">
        <v>39.481288999999997</v>
      </c>
      <c r="F160">
        <v>37.511612</v>
      </c>
      <c r="G160">
        <v>5479109</v>
      </c>
      <c r="I160">
        <f t="shared" si="3"/>
        <v>7.4773028465536633E-5</v>
      </c>
    </row>
    <row r="161" spans="1:9" x14ac:dyDescent="0.3">
      <c r="A161" s="5">
        <v>41871</v>
      </c>
      <c r="B161">
        <v>39.361141000000003</v>
      </c>
      <c r="C161">
        <v>40.106071</v>
      </c>
      <c r="D161">
        <v>39.313079999999999</v>
      </c>
      <c r="E161">
        <v>39.649501999999998</v>
      </c>
      <c r="F161">
        <v>37.671429000000003</v>
      </c>
      <c r="G161">
        <v>5449355</v>
      </c>
      <c r="I161">
        <f t="shared" si="3"/>
        <v>2.2507045219313619E-4</v>
      </c>
    </row>
    <row r="162" spans="1:9" x14ac:dyDescent="0.3">
      <c r="A162" s="5">
        <v>41872</v>
      </c>
      <c r="B162">
        <v>39.697558999999998</v>
      </c>
      <c r="C162">
        <v>39.697558999999998</v>
      </c>
      <c r="D162">
        <v>39.072780999999999</v>
      </c>
      <c r="E162">
        <v>39.289051000000001</v>
      </c>
      <c r="F162">
        <v>37.328960000000002</v>
      </c>
      <c r="G162">
        <v>3560383</v>
      </c>
      <c r="I162">
        <f t="shared" si="3"/>
        <v>8.7563862349964889E-5</v>
      </c>
    </row>
    <row r="163" spans="1:9" x14ac:dyDescent="0.3">
      <c r="A163" s="5">
        <v>41873</v>
      </c>
      <c r="B163">
        <v>39.168900000000001</v>
      </c>
      <c r="C163">
        <v>39.721587999999997</v>
      </c>
      <c r="D163">
        <v>39.024718999999997</v>
      </c>
      <c r="E163">
        <v>39.529350000000001</v>
      </c>
      <c r="F163">
        <v>37.557277999999997</v>
      </c>
      <c r="G163">
        <v>3160633</v>
      </c>
      <c r="I163">
        <f t="shared" si="3"/>
        <v>1.153578590412621E-4</v>
      </c>
    </row>
    <row r="164" spans="1:9" x14ac:dyDescent="0.3">
      <c r="A164" s="5">
        <v>41876</v>
      </c>
      <c r="B164">
        <v>39.601439999999997</v>
      </c>
      <c r="C164">
        <v>39.817711000000003</v>
      </c>
      <c r="D164">
        <v>39.337108999999998</v>
      </c>
      <c r="E164">
        <v>39.601439999999997</v>
      </c>
      <c r="F164">
        <v>37.625762999999999</v>
      </c>
      <c r="G164">
        <v>3031586</v>
      </c>
      <c r="I164">
        <f t="shared" si="3"/>
        <v>7.4514465270376858E-5</v>
      </c>
    </row>
    <row r="165" spans="1:9" x14ac:dyDescent="0.3">
      <c r="A165" s="5">
        <v>41877</v>
      </c>
      <c r="B165">
        <v>39.577412000000002</v>
      </c>
      <c r="C165">
        <v>40.154128999999998</v>
      </c>
      <c r="D165">
        <v>39.481288999999997</v>
      </c>
      <c r="E165">
        <v>39.865768000000003</v>
      </c>
      <c r="F165">
        <v>37.876907000000003</v>
      </c>
      <c r="G165">
        <v>3043071</v>
      </c>
      <c r="I165">
        <f t="shared" si="3"/>
        <v>1.2783133360000606E-4</v>
      </c>
    </row>
    <row r="166" spans="1:9" x14ac:dyDescent="0.3">
      <c r="A166" s="5">
        <v>41878</v>
      </c>
      <c r="B166">
        <v>39.913829999999997</v>
      </c>
      <c r="C166">
        <v>40.178162</v>
      </c>
      <c r="D166">
        <v>39.673530999999997</v>
      </c>
      <c r="E166">
        <v>40.154128999999998</v>
      </c>
      <c r="F166">
        <v>38.150883</v>
      </c>
      <c r="G166">
        <v>3163379</v>
      </c>
      <c r="I166">
        <f t="shared" si="3"/>
        <v>7.6660960133852267E-5</v>
      </c>
    </row>
    <row r="167" spans="1:9" x14ac:dyDescent="0.3">
      <c r="A167" s="5">
        <v>41879</v>
      </c>
      <c r="B167">
        <v>39.937859000000003</v>
      </c>
      <c r="C167">
        <v>40.082039000000002</v>
      </c>
      <c r="D167">
        <v>39.697558999999998</v>
      </c>
      <c r="E167">
        <v>39.817711000000003</v>
      </c>
      <c r="F167">
        <v>37.831237999999999</v>
      </c>
      <c r="G167">
        <v>2778027</v>
      </c>
      <c r="I167">
        <f t="shared" si="3"/>
        <v>4.2081846055379651E-5</v>
      </c>
    </row>
    <row r="168" spans="1:9" x14ac:dyDescent="0.3">
      <c r="A168" s="5">
        <v>41880</v>
      </c>
      <c r="B168">
        <v>39.961891000000001</v>
      </c>
      <c r="C168">
        <v>40.106071</v>
      </c>
      <c r="D168">
        <v>39.577412000000002</v>
      </c>
      <c r="E168">
        <v>39.913829999999997</v>
      </c>
      <c r="F168">
        <v>37.922569000000003</v>
      </c>
      <c r="G168">
        <v>3811402</v>
      </c>
      <c r="I168">
        <f t="shared" si="3"/>
        <v>9.9135151824892236E-5</v>
      </c>
    </row>
    <row r="169" spans="1:9" x14ac:dyDescent="0.3">
      <c r="A169" s="5">
        <v>41884</v>
      </c>
      <c r="B169">
        <v>39.98592</v>
      </c>
      <c r="C169">
        <v>40.178162</v>
      </c>
      <c r="D169">
        <v>39.793678</v>
      </c>
      <c r="E169">
        <v>40.058010000000003</v>
      </c>
      <c r="F169">
        <v>38.059555000000003</v>
      </c>
      <c r="G169">
        <v>4474407</v>
      </c>
      <c r="I169">
        <f t="shared" si="3"/>
        <v>4.6271387587884942E-5</v>
      </c>
    </row>
    <row r="170" spans="1:9" x14ac:dyDescent="0.3">
      <c r="A170" s="5">
        <v>41885</v>
      </c>
      <c r="B170">
        <v>40.082039000000002</v>
      </c>
      <c r="C170">
        <v>40.851002000000001</v>
      </c>
      <c r="D170">
        <v>40.058010000000003</v>
      </c>
      <c r="E170">
        <v>40.682789</v>
      </c>
      <c r="F170">
        <v>38.653163999999997</v>
      </c>
      <c r="G170">
        <v>4523512</v>
      </c>
      <c r="I170">
        <f t="shared" si="3"/>
        <v>8.7691531417792378E-5</v>
      </c>
    </row>
    <row r="171" spans="1:9" x14ac:dyDescent="0.3">
      <c r="A171" s="5">
        <v>41886</v>
      </c>
      <c r="B171">
        <v>40.80294</v>
      </c>
      <c r="C171">
        <v>41.716079999999998</v>
      </c>
      <c r="D171">
        <v>40.634731000000002</v>
      </c>
      <c r="E171">
        <v>41.091301000000001</v>
      </c>
      <c r="F171">
        <v>39.041294000000001</v>
      </c>
      <c r="G171">
        <v>6497961</v>
      </c>
      <c r="I171">
        <f t="shared" si="3"/>
        <v>3.8014158213899111E-4</v>
      </c>
    </row>
    <row r="172" spans="1:9" x14ac:dyDescent="0.3">
      <c r="A172" s="5">
        <v>41887</v>
      </c>
      <c r="B172">
        <v>41.11533</v>
      </c>
      <c r="C172">
        <v>41.547871000000001</v>
      </c>
      <c r="D172">
        <v>40.875031</v>
      </c>
      <c r="E172">
        <v>41.523842000000002</v>
      </c>
      <c r="F172">
        <v>39.452250999999997</v>
      </c>
      <c r="G172">
        <v>3995755</v>
      </c>
      <c r="I172">
        <f t="shared" si="3"/>
        <v>9.8365873139551787E-5</v>
      </c>
    </row>
    <row r="173" spans="1:9" x14ac:dyDescent="0.3">
      <c r="A173" s="5">
        <v>41890</v>
      </c>
      <c r="B173">
        <v>41.523842000000002</v>
      </c>
      <c r="C173">
        <v>41.571899000000002</v>
      </c>
      <c r="D173">
        <v>40.754879000000003</v>
      </c>
      <c r="E173">
        <v>40.875031</v>
      </c>
      <c r="F173">
        <v>38.835819000000001</v>
      </c>
      <c r="G173">
        <v>4661756</v>
      </c>
      <c r="I173">
        <f t="shared" si="3"/>
        <v>7.4580074390380514E-5</v>
      </c>
    </row>
    <row r="174" spans="1:9" x14ac:dyDescent="0.3">
      <c r="A174" s="5">
        <v>41891</v>
      </c>
      <c r="B174">
        <v>41.11533</v>
      </c>
      <c r="C174">
        <v>41.523842000000002</v>
      </c>
      <c r="D174">
        <v>40.923091999999997</v>
      </c>
      <c r="E174">
        <v>41.11533</v>
      </c>
      <c r="F174">
        <v>39.064124999999997</v>
      </c>
      <c r="G174">
        <v>6203204</v>
      </c>
      <c r="I174">
        <f t="shared" si="3"/>
        <v>1.1971100228593562E-4</v>
      </c>
    </row>
    <row r="175" spans="1:9" x14ac:dyDescent="0.3">
      <c r="A175" s="5">
        <v>41892</v>
      </c>
      <c r="B175">
        <v>40.971148999999997</v>
      </c>
      <c r="C175">
        <v>41.331600000000002</v>
      </c>
      <c r="D175">
        <v>40.730849999999997</v>
      </c>
      <c r="E175">
        <v>41.331600000000002</v>
      </c>
      <c r="F175">
        <v>39.269607999999998</v>
      </c>
      <c r="G175">
        <v>5972909</v>
      </c>
      <c r="I175">
        <f t="shared" si="3"/>
        <v>8.6126655650322712E-5</v>
      </c>
    </row>
    <row r="176" spans="1:9" x14ac:dyDescent="0.3">
      <c r="A176" s="5">
        <v>41893</v>
      </c>
      <c r="B176">
        <v>41.499808999999999</v>
      </c>
      <c r="C176">
        <v>41.547871000000001</v>
      </c>
      <c r="D176">
        <v>40.442489999999999</v>
      </c>
      <c r="E176">
        <v>40.610698999999997</v>
      </c>
      <c r="F176">
        <v>38.584679000000001</v>
      </c>
      <c r="G176">
        <v>7072576</v>
      </c>
      <c r="I176">
        <f t="shared" si="3"/>
        <v>1.335248571082045E-4</v>
      </c>
    </row>
    <row r="177" spans="1:9" x14ac:dyDescent="0.3">
      <c r="A177" s="5">
        <v>41894</v>
      </c>
      <c r="B177">
        <v>40.80294</v>
      </c>
      <c r="C177">
        <v>40.80294</v>
      </c>
      <c r="D177">
        <v>39.769649999999999</v>
      </c>
      <c r="E177">
        <v>40.178162</v>
      </c>
      <c r="F177">
        <v>38.173721</v>
      </c>
      <c r="G177">
        <v>8400666</v>
      </c>
      <c r="I177">
        <f t="shared" si="3"/>
        <v>2.6213240940129145E-4</v>
      </c>
    </row>
    <row r="178" spans="1:9" x14ac:dyDescent="0.3">
      <c r="A178" s="5">
        <v>41897</v>
      </c>
      <c r="B178">
        <v>40.178162</v>
      </c>
      <c r="C178">
        <v>40.250252000000003</v>
      </c>
      <c r="D178">
        <v>38.976661999999997</v>
      </c>
      <c r="E178">
        <v>39.385170000000002</v>
      </c>
      <c r="F178">
        <v>37.420284000000002</v>
      </c>
      <c r="G178">
        <v>8678277</v>
      </c>
      <c r="I178">
        <f t="shared" si="3"/>
        <v>3.5549682599788176E-4</v>
      </c>
    </row>
    <row r="179" spans="1:9" x14ac:dyDescent="0.3">
      <c r="A179" s="5">
        <v>41898</v>
      </c>
      <c r="B179">
        <v>38.616211</v>
      </c>
      <c r="C179">
        <v>39.625469000000002</v>
      </c>
      <c r="D179">
        <v>38.568150000000003</v>
      </c>
      <c r="E179">
        <v>38.832481000000001</v>
      </c>
      <c r="F179">
        <v>36.895172000000002</v>
      </c>
      <c r="G179">
        <v>18171660</v>
      </c>
      <c r="I179">
        <f t="shared" si="3"/>
        <v>5.3005199925106679E-4</v>
      </c>
    </row>
    <row r="180" spans="1:9" x14ac:dyDescent="0.3">
      <c r="A180" s="5">
        <v>41899</v>
      </c>
      <c r="B180">
        <v>38.688301000000003</v>
      </c>
      <c r="C180">
        <v>39.289051000000001</v>
      </c>
      <c r="D180">
        <v>38.664268</v>
      </c>
      <c r="E180">
        <v>39.120837999999999</v>
      </c>
      <c r="F180">
        <v>37.169144000000003</v>
      </c>
      <c r="G180">
        <v>15309655</v>
      </c>
      <c r="I180">
        <f t="shared" si="3"/>
        <v>7.3407180851655331E-5</v>
      </c>
    </row>
    <row r="181" spans="1:9" x14ac:dyDescent="0.3">
      <c r="A181" s="5">
        <v>41900</v>
      </c>
      <c r="B181">
        <v>39.240989999999996</v>
      </c>
      <c r="C181">
        <v>39.457259999999998</v>
      </c>
      <c r="D181">
        <v>38.784419999999997</v>
      </c>
      <c r="E181">
        <v>38.928600000000003</v>
      </c>
      <c r="F181">
        <v>36.986491999999998</v>
      </c>
      <c r="G181">
        <v>7158677</v>
      </c>
      <c r="I181">
        <f t="shared" si="3"/>
        <v>1.1756325882724512E-4</v>
      </c>
    </row>
    <row r="182" spans="1:9" x14ac:dyDescent="0.3">
      <c r="A182" s="5">
        <v>41901</v>
      </c>
      <c r="B182">
        <v>39.120837999999999</v>
      </c>
      <c r="C182">
        <v>39.265017999999998</v>
      </c>
      <c r="D182">
        <v>38.832481000000001</v>
      </c>
      <c r="E182">
        <v>38.952629000000002</v>
      </c>
      <c r="F182">
        <v>37.009323000000002</v>
      </c>
      <c r="G182">
        <v>8313816</v>
      </c>
      <c r="I182">
        <f t="shared" si="3"/>
        <v>5.2239533586891332E-5</v>
      </c>
    </row>
    <row r="183" spans="1:9" x14ac:dyDescent="0.3">
      <c r="A183" s="5">
        <v>41904</v>
      </c>
      <c r="B183">
        <v>38.85651</v>
      </c>
      <c r="C183">
        <v>38.85651</v>
      </c>
      <c r="D183">
        <v>37.799191</v>
      </c>
      <c r="E183">
        <v>38.039490000000001</v>
      </c>
      <c r="F183">
        <v>36.141742999999998</v>
      </c>
      <c r="G183">
        <v>9391719</v>
      </c>
      <c r="I183">
        <f t="shared" si="3"/>
        <v>1.7482830937030146E-4</v>
      </c>
    </row>
    <row r="184" spans="1:9" x14ac:dyDescent="0.3">
      <c r="A184" s="5">
        <v>41905</v>
      </c>
      <c r="B184">
        <v>37.606949</v>
      </c>
      <c r="C184">
        <v>38.399940000000001</v>
      </c>
      <c r="D184">
        <v>37.390678000000001</v>
      </c>
      <c r="E184">
        <v>37.7271</v>
      </c>
      <c r="F184">
        <v>35.844940000000001</v>
      </c>
      <c r="G184">
        <v>6856846</v>
      </c>
      <c r="I184">
        <f t="shared" si="3"/>
        <v>4.2053185120995043E-4</v>
      </c>
    </row>
    <row r="185" spans="1:9" x14ac:dyDescent="0.3">
      <c r="A185" s="5">
        <v>41906</v>
      </c>
      <c r="B185">
        <v>37.895308999999997</v>
      </c>
      <c r="C185">
        <v>38.327849999999998</v>
      </c>
      <c r="D185">
        <v>37.606949</v>
      </c>
      <c r="E185">
        <v>38.207698999999998</v>
      </c>
      <c r="F185">
        <v>36.301555999999998</v>
      </c>
      <c r="G185">
        <v>5344028</v>
      </c>
      <c r="I185">
        <f t="shared" si="3"/>
        <v>1.5669057591228367E-4</v>
      </c>
    </row>
    <row r="186" spans="1:9" x14ac:dyDescent="0.3">
      <c r="A186" s="5">
        <v>41907</v>
      </c>
      <c r="B186">
        <v>38.159641000000001</v>
      </c>
      <c r="C186">
        <v>38.303821999999997</v>
      </c>
      <c r="D186">
        <v>37.318587999999998</v>
      </c>
      <c r="E186">
        <v>37.558891000000003</v>
      </c>
      <c r="F186">
        <v>35.685116000000001</v>
      </c>
      <c r="G186">
        <v>8023055</v>
      </c>
      <c r="I186">
        <f t="shared" si="3"/>
        <v>2.1711595096029468E-4</v>
      </c>
    </row>
    <row r="187" spans="1:9" x14ac:dyDescent="0.3">
      <c r="A187" s="5">
        <v>41908</v>
      </c>
      <c r="B187">
        <v>37.7271</v>
      </c>
      <c r="C187">
        <v>39.000689999999999</v>
      </c>
      <c r="D187">
        <v>37.606949</v>
      </c>
      <c r="E187">
        <v>38.904572000000002</v>
      </c>
      <c r="F187">
        <v>36.963661000000002</v>
      </c>
      <c r="G187">
        <v>8205160</v>
      </c>
      <c r="I187">
        <f t="shared" si="3"/>
        <v>1.9013282675591907E-4</v>
      </c>
    </row>
    <row r="188" spans="1:9" x14ac:dyDescent="0.3">
      <c r="A188" s="5">
        <v>41911</v>
      </c>
      <c r="B188">
        <v>38.279789000000001</v>
      </c>
      <c r="C188">
        <v>38.664268</v>
      </c>
      <c r="D188">
        <v>37.847251999999997</v>
      </c>
      <c r="E188">
        <v>38.279789000000001</v>
      </c>
      <c r="F188">
        <v>36.370049000000002</v>
      </c>
      <c r="G188">
        <v>7222514</v>
      </c>
      <c r="I188">
        <f t="shared" si="3"/>
        <v>2.2900948380143659E-4</v>
      </c>
    </row>
    <row r="189" spans="1:9" x14ac:dyDescent="0.3">
      <c r="A189" s="5">
        <v>41912</v>
      </c>
      <c r="B189">
        <v>39.000689999999999</v>
      </c>
      <c r="C189">
        <v>39.265017999999998</v>
      </c>
      <c r="D189">
        <v>38.399940000000001</v>
      </c>
      <c r="E189">
        <v>38.664268</v>
      </c>
      <c r="F189">
        <v>36.735343999999998</v>
      </c>
      <c r="G189">
        <v>9066583</v>
      </c>
      <c r="I189">
        <f t="shared" si="3"/>
        <v>2.1063449836044619E-4</v>
      </c>
    </row>
    <row r="190" spans="1:9" x14ac:dyDescent="0.3">
      <c r="A190" s="5">
        <v>41913</v>
      </c>
      <c r="B190">
        <v>38.760390999999998</v>
      </c>
      <c r="C190">
        <v>38.784419999999997</v>
      </c>
      <c r="D190">
        <v>37.558891000000003</v>
      </c>
      <c r="E190">
        <v>37.7271</v>
      </c>
      <c r="F190">
        <v>35.844940000000001</v>
      </c>
      <c r="G190">
        <v>9045235</v>
      </c>
      <c r="I190">
        <f t="shared" si="3"/>
        <v>1.5783848427947217E-4</v>
      </c>
    </row>
    <row r="191" spans="1:9" x14ac:dyDescent="0.3">
      <c r="A191" s="5">
        <v>41914</v>
      </c>
      <c r="B191">
        <v>37.775162000000002</v>
      </c>
      <c r="C191">
        <v>37.823219000000002</v>
      </c>
      <c r="D191">
        <v>35.780670000000001</v>
      </c>
      <c r="E191">
        <v>36.910080000000001</v>
      </c>
      <c r="F191">
        <v>35.068671999999999</v>
      </c>
      <c r="G191">
        <v>10478777</v>
      </c>
      <c r="I191">
        <f t="shared" si="3"/>
        <v>1.7168046474258921E-3</v>
      </c>
    </row>
    <row r="192" spans="1:9" x14ac:dyDescent="0.3">
      <c r="A192" s="5">
        <v>41915</v>
      </c>
      <c r="B192">
        <v>37.150379000000001</v>
      </c>
      <c r="C192">
        <v>37.919338000000003</v>
      </c>
      <c r="D192">
        <v>36.982170000000004</v>
      </c>
      <c r="E192">
        <v>37.486801</v>
      </c>
      <c r="F192">
        <v>35.616622999999997</v>
      </c>
      <c r="G192">
        <v>8449854</v>
      </c>
      <c r="I192">
        <f t="shared" si="3"/>
        <v>2.9654069219636157E-4</v>
      </c>
    </row>
    <row r="193" spans="1:9" x14ac:dyDescent="0.3">
      <c r="A193" s="5">
        <v>41918</v>
      </c>
      <c r="B193">
        <v>37.871281000000003</v>
      </c>
      <c r="C193">
        <v>38.568150000000003</v>
      </c>
      <c r="D193">
        <v>37.679039000000003</v>
      </c>
      <c r="E193">
        <v>38.423969</v>
      </c>
      <c r="F193">
        <v>36.507033999999997</v>
      </c>
      <c r="G193">
        <v>9895672</v>
      </c>
      <c r="I193">
        <f t="shared" si="3"/>
        <v>1.6792406881958416E-4</v>
      </c>
    </row>
    <row r="194" spans="1:9" x14ac:dyDescent="0.3">
      <c r="A194" s="5">
        <v>41919</v>
      </c>
      <c r="B194">
        <v>38.303821999999997</v>
      </c>
      <c r="C194">
        <v>38.976661999999997</v>
      </c>
      <c r="D194">
        <v>37.991427999999999</v>
      </c>
      <c r="E194">
        <v>38.327849999999998</v>
      </c>
      <c r="F194">
        <v>36.415706999999998</v>
      </c>
      <c r="G194">
        <v>10867041</v>
      </c>
      <c r="I194">
        <f t="shared" si="3"/>
        <v>3.6450285054633161E-4</v>
      </c>
    </row>
    <row r="195" spans="1:9" x14ac:dyDescent="0.3">
      <c r="A195" s="5">
        <v>41920</v>
      </c>
      <c r="B195">
        <v>38.423969</v>
      </c>
      <c r="C195">
        <v>38.616211</v>
      </c>
      <c r="D195">
        <v>37.222468999999997</v>
      </c>
      <c r="E195">
        <v>38.616211</v>
      </c>
      <c r="F195">
        <v>36.689692999999998</v>
      </c>
      <c r="G195">
        <v>14277570</v>
      </c>
      <c r="I195">
        <f t="shared" si="3"/>
        <v>1.1678103770735653E-3</v>
      </c>
    </row>
    <row r="196" spans="1:9" x14ac:dyDescent="0.3">
      <c r="A196" s="5">
        <v>41921</v>
      </c>
      <c r="B196">
        <v>39.289051000000001</v>
      </c>
      <c r="C196">
        <v>39.481288999999997</v>
      </c>
      <c r="D196">
        <v>36.453510000000001</v>
      </c>
      <c r="E196">
        <v>36.982170000000004</v>
      </c>
      <c r="F196">
        <v>35.137177000000001</v>
      </c>
      <c r="G196">
        <v>23219684</v>
      </c>
      <c r="I196">
        <f t="shared" si="3"/>
        <v>1.3977110392805081E-3</v>
      </c>
    </row>
    <row r="197" spans="1:9" x14ac:dyDescent="0.3">
      <c r="A197" s="5">
        <v>41922</v>
      </c>
      <c r="B197">
        <v>36.597690999999998</v>
      </c>
      <c r="C197">
        <v>36.886051000000002</v>
      </c>
      <c r="D197">
        <v>35.131858999999999</v>
      </c>
      <c r="E197">
        <v>35.348129</v>
      </c>
      <c r="F197">
        <v>33.584651999999998</v>
      </c>
      <c r="G197">
        <v>16532792</v>
      </c>
      <c r="I197">
        <f t="shared" si="3"/>
        <v>5.8510767083408681E-4</v>
      </c>
    </row>
    <row r="198" spans="1:9" x14ac:dyDescent="0.3">
      <c r="A198" s="5">
        <v>41925</v>
      </c>
      <c r="B198">
        <v>35.780670000000001</v>
      </c>
      <c r="C198">
        <v>36.669781</v>
      </c>
      <c r="D198">
        <v>34.723351000000001</v>
      </c>
      <c r="E198">
        <v>34.819468999999998</v>
      </c>
      <c r="F198">
        <v>33.082366999999998</v>
      </c>
      <c r="G198">
        <v>10422555</v>
      </c>
      <c r="I198">
        <f t="shared" si="3"/>
        <v>1.3537764191485851E-3</v>
      </c>
    </row>
    <row r="199" spans="1:9" x14ac:dyDescent="0.3">
      <c r="A199" s="5">
        <v>41926</v>
      </c>
      <c r="B199">
        <v>35.203949000000001</v>
      </c>
      <c r="C199">
        <v>35.396191000000002</v>
      </c>
      <c r="D199">
        <v>33.786178999999997</v>
      </c>
      <c r="E199">
        <v>34.338870999999997</v>
      </c>
      <c r="F199">
        <v>32.625731999999999</v>
      </c>
      <c r="G199">
        <v>15021307</v>
      </c>
      <c r="I199">
        <f t="shared" si="3"/>
        <v>8.3215523965011616E-4</v>
      </c>
    </row>
    <row r="200" spans="1:9" x14ac:dyDescent="0.3">
      <c r="A200" s="5">
        <v>41927</v>
      </c>
      <c r="B200">
        <v>33.641998000000001</v>
      </c>
      <c r="C200">
        <v>35.011710999999998</v>
      </c>
      <c r="D200">
        <v>32.945129000000001</v>
      </c>
      <c r="E200">
        <v>34.843497999999997</v>
      </c>
      <c r="F200">
        <v>33.10519</v>
      </c>
      <c r="G200">
        <v>15308156</v>
      </c>
      <c r="I200">
        <f t="shared" si="3"/>
        <v>1.3648615164067192E-3</v>
      </c>
    </row>
    <row r="201" spans="1:9" x14ac:dyDescent="0.3">
      <c r="A201" s="5">
        <v>41928</v>
      </c>
      <c r="B201">
        <v>33.810211000000002</v>
      </c>
      <c r="C201">
        <v>35.203949000000001</v>
      </c>
      <c r="D201">
        <v>33.666030999999997</v>
      </c>
      <c r="E201">
        <v>35.083801000000001</v>
      </c>
      <c r="F201">
        <v>33.333511000000001</v>
      </c>
      <c r="G201">
        <v>11025177</v>
      </c>
      <c r="I201">
        <f t="shared" si="3"/>
        <v>3.1438481772082727E-4</v>
      </c>
    </row>
    <row r="202" spans="1:9" x14ac:dyDescent="0.3">
      <c r="A202" s="5">
        <v>41929</v>
      </c>
      <c r="B202">
        <v>35.708579999999998</v>
      </c>
      <c r="C202">
        <v>37.534858999999997</v>
      </c>
      <c r="D202">
        <v>35.612461000000003</v>
      </c>
      <c r="E202">
        <v>37.534858999999997</v>
      </c>
      <c r="F202">
        <v>35.662284999999997</v>
      </c>
      <c r="G202">
        <v>14881981</v>
      </c>
      <c r="I202">
        <f t="shared" si="3"/>
        <v>1.4170877074713456E-4</v>
      </c>
    </row>
    <row r="203" spans="1:9" x14ac:dyDescent="0.3">
      <c r="A203" s="5">
        <v>41932</v>
      </c>
      <c r="B203">
        <v>37.342621000000001</v>
      </c>
      <c r="C203">
        <v>37.751128999999999</v>
      </c>
      <c r="D203">
        <v>37.102322000000001</v>
      </c>
      <c r="E203">
        <v>37.703071999999999</v>
      </c>
      <c r="F203">
        <v>35.822108999999998</v>
      </c>
      <c r="G203">
        <v>6332792</v>
      </c>
      <c r="I203">
        <f t="shared" si="3"/>
        <v>1.1755184485278845E-4</v>
      </c>
    </row>
    <row r="204" spans="1:9" x14ac:dyDescent="0.3">
      <c r="A204" s="5">
        <v>41933</v>
      </c>
      <c r="B204">
        <v>38.087550999999998</v>
      </c>
      <c r="C204">
        <v>39.481288999999997</v>
      </c>
      <c r="D204">
        <v>38.039490000000001</v>
      </c>
      <c r="E204">
        <v>39.289051000000001</v>
      </c>
      <c r="F204">
        <v>37.328960000000002</v>
      </c>
      <c r="G204">
        <v>9573159</v>
      </c>
      <c r="I204">
        <f t="shared" ref="I204:I267" si="4">LN(C204/B204)*(LN(C204/B204)-LN(E204/B204))+LN(D204/B204)*(LN(D204/B204)-LN(E204/B204))</f>
        <v>2.1622979595159255E-4</v>
      </c>
    </row>
    <row r="205" spans="1:9" x14ac:dyDescent="0.3">
      <c r="A205" s="5">
        <v>41934</v>
      </c>
      <c r="B205">
        <v>39.433230999999999</v>
      </c>
      <c r="C205">
        <v>39.697558999999998</v>
      </c>
      <c r="D205">
        <v>38.568150000000003</v>
      </c>
      <c r="E205">
        <v>38.736359</v>
      </c>
      <c r="F205">
        <v>36.803840999999998</v>
      </c>
      <c r="G205">
        <v>11426425</v>
      </c>
      <c r="I205">
        <f t="shared" si="4"/>
        <v>2.6028695306034829E-4</v>
      </c>
    </row>
    <row r="206" spans="1:9" x14ac:dyDescent="0.3">
      <c r="A206" s="5">
        <v>41935</v>
      </c>
      <c r="B206">
        <v>39.289051000000001</v>
      </c>
      <c r="C206">
        <v>39.577412000000002</v>
      </c>
      <c r="D206">
        <v>38.736359</v>
      </c>
      <c r="E206">
        <v>39.024718999999997</v>
      </c>
      <c r="F206">
        <v>37.077815999999999</v>
      </c>
      <c r="G206">
        <v>7168747</v>
      </c>
      <c r="I206">
        <f t="shared" si="4"/>
        <v>2.0791270446129882E-4</v>
      </c>
    </row>
    <row r="207" spans="1:9" x14ac:dyDescent="0.3">
      <c r="A207" s="5">
        <v>41936</v>
      </c>
      <c r="B207">
        <v>39.240989999999996</v>
      </c>
      <c r="C207">
        <v>39.817711000000003</v>
      </c>
      <c r="D207">
        <v>38.976661999999997</v>
      </c>
      <c r="E207">
        <v>39.769649999999999</v>
      </c>
      <c r="F207">
        <v>37.785583000000003</v>
      </c>
      <c r="G207">
        <v>5349105</v>
      </c>
      <c r="I207">
        <f t="shared" si="4"/>
        <v>1.5375022435523106E-4</v>
      </c>
    </row>
    <row r="208" spans="1:9" x14ac:dyDescent="0.3">
      <c r="A208" s="5">
        <v>41939</v>
      </c>
      <c r="B208">
        <v>39.793678</v>
      </c>
      <c r="C208">
        <v>39.817711000000003</v>
      </c>
      <c r="D208">
        <v>39.192928000000002</v>
      </c>
      <c r="E208">
        <v>39.361141000000003</v>
      </c>
      <c r="F208">
        <v>37.397452999999999</v>
      </c>
      <c r="G208">
        <v>6426966</v>
      </c>
      <c r="I208">
        <f t="shared" si="4"/>
        <v>7.2110860875211082E-5</v>
      </c>
    </row>
    <row r="209" spans="1:9" x14ac:dyDescent="0.3">
      <c r="A209" s="5">
        <v>41940</v>
      </c>
      <c r="B209">
        <v>39.649501999999998</v>
      </c>
      <c r="C209">
        <v>40.009948999999999</v>
      </c>
      <c r="D209">
        <v>39.433230999999999</v>
      </c>
      <c r="E209">
        <v>39.889800999999999</v>
      </c>
      <c r="F209">
        <v>37.899734000000002</v>
      </c>
      <c r="G209">
        <v>5121598</v>
      </c>
      <c r="I209">
        <f t="shared" si="4"/>
        <v>9.0180636475628462E-5</v>
      </c>
    </row>
    <row r="210" spans="1:9" x14ac:dyDescent="0.3">
      <c r="A210" s="5">
        <v>41941</v>
      </c>
      <c r="B210">
        <v>39.841740000000001</v>
      </c>
      <c r="C210">
        <v>40.130099999999999</v>
      </c>
      <c r="D210">
        <v>38.568150000000003</v>
      </c>
      <c r="E210">
        <v>39.096809</v>
      </c>
      <c r="F210">
        <v>37.146312999999999</v>
      </c>
      <c r="G210">
        <v>12972742</v>
      </c>
      <c r="I210">
        <f t="shared" si="4"/>
        <v>6.3041695166120683E-4</v>
      </c>
    </row>
    <row r="211" spans="1:9" x14ac:dyDescent="0.3">
      <c r="A211" s="5">
        <v>41942</v>
      </c>
      <c r="B211">
        <v>38.85651</v>
      </c>
      <c r="C211">
        <v>39.313079999999999</v>
      </c>
      <c r="D211">
        <v>38.039490000000001</v>
      </c>
      <c r="E211">
        <v>38.976661999999997</v>
      </c>
      <c r="F211">
        <v>37.032150000000001</v>
      </c>
      <c r="G211">
        <v>7431169</v>
      </c>
      <c r="I211">
        <f t="shared" si="4"/>
        <v>6.1760163375309846E-4</v>
      </c>
    </row>
    <row r="212" spans="1:9" x14ac:dyDescent="0.3">
      <c r="A212" s="5">
        <v>41943</v>
      </c>
      <c r="B212">
        <v>39.481288999999997</v>
      </c>
      <c r="C212">
        <v>40.274281000000002</v>
      </c>
      <c r="D212">
        <v>39.024718999999997</v>
      </c>
      <c r="E212">
        <v>40.274281000000002</v>
      </c>
      <c r="F212">
        <v>38.265034</v>
      </c>
      <c r="G212">
        <v>7749230</v>
      </c>
      <c r="I212">
        <f t="shared" si="4"/>
        <v>3.6660249254437627E-4</v>
      </c>
    </row>
    <row r="213" spans="1:9" x14ac:dyDescent="0.3">
      <c r="A213" s="5">
        <v>41946</v>
      </c>
      <c r="B213">
        <v>40.322338000000002</v>
      </c>
      <c r="C213">
        <v>40.923091999999997</v>
      </c>
      <c r="D213">
        <v>40.009948999999999</v>
      </c>
      <c r="E213">
        <v>40.682789</v>
      </c>
      <c r="F213">
        <v>38.653163999999997</v>
      </c>
      <c r="G213">
        <v>6643945</v>
      </c>
      <c r="I213">
        <f t="shared" si="4"/>
        <v>2.1680183282635828E-4</v>
      </c>
    </row>
    <row r="214" spans="1:9" x14ac:dyDescent="0.3">
      <c r="A214" s="5">
        <v>41947</v>
      </c>
      <c r="B214">
        <v>40.490551000000004</v>
      </c>
      <c r="C214">
        <v>40.538609000000001</v>
      </c>
      <c r="D214">
        <v>39.481288999999997</v>
      </c>
      <c r="E214">
        <v>39.793678</v>
      </c>
      <c r="F214">
        <v>37.808413999999999</v>
      </c>
      <c r="G214">
        <v>5499043</v>
      </c>
      <c r="I214">
        <f t="shared" si="4"/>
        <v>2.2093527705430659E-4</v>
      </c>
    </row>
    <row r="215" spans="1:9" x14ac:dyDescent="0.3">
      <c r="A215" s="5">
        <v>41948</v>
      </c>
      <c r="B215">
        <v>40.082039000000002</v>
      </c>
      <c r="C215">
        <v>40.106071</v>
      </c>
      <c r="D215">
        <v>38.85651</v>
      </c>
      <c r="E215">
        <v>39.072780999999999</v>
      </c>
      <c r="F215">
        <v>37.190849</v>
      </c>
      <c r="G215">
        <v>7575697</v>
      </c>
      <c r="I215">
        <f t="shared" si="4"/>
        <v>1.8800171403467826E-4</v>
      </c>
    </row>
    <row r="216" spans="1:9" x14ac:dyDescent="0.3">
      <c r="A216" s="5">
        <v>41949</v>
      </c>
      <c r="B216">
        <v>39.337108999999998</v>
      </c>
      <c r="C216">
        <v>39.457259999999998</v>
      </c>
      <c r="D216">
        <v>38.808449000000003</v>
      </c>
      <c r="E216">
        <v>39.337108999999998</v>
      </c>
      <c r="F216">
        <v>37.442455000000002</v>
      </c>
      <c r="G216">
        <v>5918935</v>
      </c>
      <c r="I216">
        <f t="shared" si="4"/>
        <v>1.9237105852886957E-4</v>
      </c>
    </row>
    <row r="217" spans="1:9" x14ac:dyDescent="0.3">
      <c r="A217" s="5">
        <v>41950</v>
      </c>
      <c r="B217">
        <v>39.577412000000002</v>
      </c>
      <c r="C217">
        <v>39.625469000000002</v>
      </c>
      <c r="D217">
        <v>39.024718999999997</v>
      </c>
      <c r="E217">
        <v>39.240989999999996</v>
      </c>
      <c r="F217">
        <v>37.350966999999997</v>
      </c>
      <c r="G217">
        <v>5621099</v>
      </c>
      <c r="I217">
        <f t="shared" si="4"/>
        <v>8.9554159324766288E-5</v>
      </c>
    </row>
    <row r="218" spans="1:9" x14ac:dyDescent="0.3">
      <c r="A218" s="5">
        <v>41953</v>
      </c>
      <c r="B218">
        <v>39.096809</v>
      </c>
      <c r="C218">
        <v>39.553379</v>
      </c>
      <c r="D218">
        <v>38.832481000000001</v>
      </c>
      <c r="E218">
        <v>39.216960999999998</v>
      </c>
      <c r="F218">
        <v>37.328086999999996</v>
      </c>
      <c r="G218">
        <v>4461631</v>
      </c>
      <c r="I218">
        <f t="shared" si="4"/>
        <v>1.6600875478495441E-4</v>
      </c>
    </row>
    <row r="219" spans="1:9" x14ac:dyDescent="0.3">
      <c r="A219" s="5">
        <v>41954</v>
      </c>
      <c r="B219">
        <v>39.144871000000002</v>
      </c>
      <c r="C219">
        <v>39.601439999999997</v>
      </c>
      <c r="D219">
        <v>38.928600000000003</v>
      </c>
      <c r="E219">
        <v>39.529350000000001</v>
      </c>
      <c r="F219">
        <v>37.625435000000003</v>
      </c>
      <c r="G219">
        <v>2901082</v>
      </c>
      <c r="I219">
        <f t="shared" si="4"/>
        <v>1.0597261448785655E-4</v>
      </c>
    </row>
    <row r="220" spans="1:9" x14ac:dyDescent="0.3">
      <c r="A220" s="5">
        <v>41955</v>
      </c>
      <c r="B220">
        <v>39.457259999999998</v>
      </c>
      <c r="C220">
        <v>40.658760000000001</v>
      </c>
      <c r="D220">
        <v>39.265017999999998</v>
      </c>
      <c r="E220">
        <v>40.562640999999999</v>
      </c>
      <c r="F220">
        <v>38.608963000000003</v>
      </c>
      <c r="G220">
        <v>6602705</v>
      </c>
      <c r="I220">
        <f t="shared" si="4"/>
        <v>2.2979427946599756E-4</v>
      </c>
    </row>
    <row r="221" spans="1:9" x14ac:dyDescent="0.3">
      <c r="A221" s="5">
        <v>41956</v>
      </c>
      <c r="B221">
        <v>40.634731000000002</v>
      </c>
      <c r="C221">
        <v>40.826968999999998</v>
      </c>
      <c r="D221">
        <v>40.058010000000003</v>
      </c>
      <c r="E221">
        <v>40.226219</v>
      </c>
      <c r="F221">
        <v>38.288741999999999</v>
      </c>
      <c r="G221">
        <v>5184644</v>
      </c>
      <c r="I221">
        <f t="shared" si="4"/>
        <v>1.2986340034993821E-4</v>
      </c>
    </row>
    <row r="222" spans="1:9" x14ac:dyDescent="0.3">
      <c r="A222" s="5">
        <v>41957</v>
      </c>
      <c r="B222">
        <v>40.226219</v>
      </c>
      <c r="C222">
        <v>40.80294</v>
      </c>
      <c r="D222">
        <v>39.913829999999997</v>
      </c>
      <c r="E222">
        <v>40.706820999999998</v>
      </c>
      <c r="F222">
        <v>38.746192999999998</v>
      </c>
      <c r="G222">
        <v>3676696</v>
      </c>
      <c r="I222">
        <f t="shared" si="4"/>
        <v>1.8694447637913853E-4</v>
      </c>
    </row>
    <row r="223" spans="1:9" x14ac:dyDescent="0.3">
      <c r="A223" s="5">
        <v>41960</v>
      </c>
      <c r="B223">
        <v>40.634731000000002</v>
      </c>
      <c r="C223">
        <v>40.730849999999997</v>
      </c>
      <c r="D223">
        <v>40.250252000000003</v>
      </c>
      <c r="E223">
        <v>40.442489999999999</v>
      </c>
      <c r="F223">
        <v>38.494598000000003</v>
      </c>
      <c r="G223">
        <v>3189430</v>
      </c>
      <c r="I223">
        <f t="shared" si="4"/>
        <v>6.2083621362067032E-5</v>
      </c>
    </row>
    <row r="224" spans="1:9" x14ac:dyDescent="0.3">
      <c r="A224" s="5">
        <v>41961</v>
      </c>
      <c r="B224">
        <v>40.418461000000001</v>
      </c>
      <c r="C224">
        <v>41.355629</v>
      </c>
      <c r="D224">
        <v>40.418461000000001</v>
      </c>
      <c r="E224">
        <v>41.235481</v>
      </c>
      <c r="F224">
        <v>39.249389999999998</v>
      </c>
      <c r="G224">
        <v>6127133</v>
      </c>
      <c r="I224">
        <f t="shared" si="4"/>
        <v>6.6690548069140419E-5</v>
      </c>
    </row>
    <row r="225" spans="1:9" x14ac:dyDescent="0.3">
      <c r="A225" s="5">
        <v>41962</v>
      </c>
      <c r="B225">
        <v>41.163390999999997</v>
      </c>
      <c r="C225">
        <v>41.163390999999997</v>
      </c>
      <c r="D225">
        <v>39.937859000000003</v>
      </c>
      <c r="E225">
        <v>40.106071</v>
      </c>
      <c r="F225">
        <v>38.174377</v>
      </c>
      <c r="G225">
        <v>6601748</v>
      </c>
      <c r="I225">
        <f t="shared" si="4"/>
        <v>1.27033823305874E-4</v>
      </c>
    </row>
    <row r="226" spans="1:9" x14ac:dyDescent="0.3">
      <c r="A226" s="5">
        <v>41963</v>
      </c>
      <c r="B226">
        <v>39.817711000000003</v>
      </c>
      <c r="C226">
        <v>41.283538999999998</v>
      </c>
      <c r="D226">
        <v>39.721587999999997</v>
      </c>
      <c r="E226">
        <v>41.139358999999999</v>
      </c>
      <c r="F226">
        <v>39.157893999999999</v>
      </c>
      <c r="G226">
        <v>5652726</v>
      </c>
      <c r="I226">
        <f t="shared" si="4"/>
        <v>2.1124474672533117E-4</v>
      </c>
    </row>
    <row r="227" spans="1:9" x14ac:dyDescent="0.3">
      <c r="A227" s="5">
        <v>41964</v>
      </c>
      <c r="B227">
        <v>42.100558999999997</v>
      </c>
      <c r="C227">
        <v>42.653252000000002</v>
      </c>
      <c r="D227">
        <v>41.643990000000002</v>
      </c>
      <c r="E227">
        <v>41.93235</v>
      </c>
      <c r="F227">
        <v>39.912689</v>
      </c>
      <c r="G227">
        <v>8607615</v>
      </c>
      <c r="I227">
        <f t="shared" si="4"/>
        <v>2.975646056492894E-4</v>
      </c>
    </row>
    <row r="228" spans="1:9" x14ac:dyDescent="0.3">
      <c r="A228" s="5">
        <v>41967</v>
      </c>
      <c r="B228">
        <v>42.052501999999997</v>
      </c>
      <c r="C228">
        <v>42.316830000000003</v>
      </c>
      <c r="D228">
        <v>41.235481</v>
      </c>
      <c r="E228">
        <v>41.379662000000003</v>
      </c>
      <c r="F228">
        <v>39.386631000000001</v>
      </c>
      <c r="G228">
        <v>5386558</v>
      </c>
      <c r="I228">
        <f t="shared" si="4"/>
        <v>2.0881084175189066E-4</v>
      </c>
    </row>
    <row r="229" spans="1:9" x14ac:dyDescent="0.3">
      <c r="A229" s="5">
        <v>41968</v>
      </c>
      <c r="B229">
        <v>41.571899000000002</v>
      </c>
      <c r="C229">
        <v>42.436981000000003</v>
      </c>
      <c r="D229">
        <v>41.499808999999999</v>
      </c>
      <c r="E229">
        <v>41.740107999999999</v>
      </c>
      <c r="F229">
        <v>39.729709999999997</v>
      </c>
      <c r="G229">
        <v>6050395</v>
      </c>
      <c r="I229">
        <f t="shared" si="4"/>
        <v>3.5103865144318734E-4</v>
      </c>
    </row>
    <row r="230" spans="1:9" x14ac:dyDescent="0.3">
      <c r="A230" s="5">
        <v>41969</v>
      </c>
      <c r="B230">
        <v>41.956378999999998</v>
      </c>
      <c r="C230">
        <v>42.292800999999997</v>
      </c>
      <c r="D230">
        <v>41.451751999999999</v>
      </c>
      <c r="E230">
        <v>42.292800999999997</v>
      </c>
      <c r="F230">
        <v>40.255778999999997</v>
      </c>
      <c r="G230">
        <v>3803745</v>
      </c>
      <c r="I230">
        <f t="shared" si="4"/>
        <v>2.4305620700875322E-4</v>
      </c>
    </row>
    <row r="231" spans="1:9" x14ac:dyDescent="0.3">
      <c r="A231" s="5">
        <v>41971</v>
      </c>
      <c r="B231">
        <v>42.24474</v>
      </c>
      <c r="C231">
        <v>42.268768000000001</v>
      </c>
      <c r="D231">
        <v>41.235481</v>
      </c>
      <c r="E231">
        <v>41.547871000000001</v>
      </c>
      <c r="F231">
        <v>39.546729999999997</v>
      </c>
      <c r="G231">
        <v>3668706</v>
      </c>
      <c r="I231">
        <f t="shared" si="4"/>
        <v>1.9227876276703296E-4</v>
      </c>
    </row>
    <row r="232" spans="1:9" x14ac:dyDescent="0.3">
      <c r="A232" s="5">
        <v>41974</v>
      </c>
      <c r="B232">
        <v>41.812199</v>
      </c>
      <c r="C232">
        <v>41.860259999999997</v>
      </c>
      <c r="D232">
        <v>40.851002000000001</v>
      </c>
      <c r="E232">
        <v>41.187420000000003</v>
      </c>
      <c r="F232">
        <v>39.203648000000001</v>
      </c>
      <c r="G232">
        <v>5544985</v>
      </c>
      <c r="I232">
        <f t="shared" si="4"/>
        <v>2.0935607192611286E-4</v>
      </c>
    </row>
    <row r="233" spans="1:9" x14ac:dyDescent="0.3">
      <c r="A233" s="5">
        <v>41975</v>
      </c>
      <c r="B233">
        <v>41.139358999999999</v>
      </c>
      <c r="C233">
        <v>41.740107999999999</v>
      </c>
      <c r="D233">
        <v>40.995178000000003</v>
      </c>
      <c r="E233">
        <v>41.571899000000002</v>
      </c>
      <c r="F233">
        <v>39.569611000000002</v>
      </c>
      <c r="G233">
        <v>5619434</v>
      </c>
      <c r="I233">
        <f t="shared" si="4"/>
        <v>1.0758699515607276E-4</v>
      </c>
    </row>
    <row r="234" spans="1:9" x14ac:dyDescent="0.3">
      <c r="A234" s="5">
        <v>41976</v>
      </c>
      <c r="B234">
        <v>41.595928000000001</v>
      </c>
      <c r="C234">
        <v>41.836230999999998</v>
      </c>
      <c r="D234">
        <v>41.235481</v>
      </c>
      <c r="E234">
        <v>41.355629</v>
      </c>
      <c r="F234">
        <v>39.363757999999997</v>
      </c>
      <c r="G234">
        <v>6766292</v>
      </c>
      <c r="I234">
        <f t="shared" si="4"/>
        <v>9.1879106916820889E-5</v>
      </c>
    </row>
    <row r="235" spans="1:9" x14ac:dyDescent="0.3">
      <c r="A235" s="5">
        <v>41977</v>
      </c>
      <c r="B235">
        <v>41.643990000000002</v>
      </c>
      <c r="C235">
        <v>41.93235</v>
      </c>
      <c r="D235">
        <v>41.211449000000002</v>
      </c>
      <c r="E235">
        <v>41.427719000000003</v>
      </c>
      <c r="F235">
        <v>39.432372999999998</v>
      </c>
      <c r="G235">
        <v>5707324</v>
      </c>
      <c r="I235">
        <f t="shared" si="4"/>
        <v>1.3819662287258206E-4</v>
      </c>
    </row>
    <row r="236" spans="1:9" x14ac:dyDescent="0.3">
      <c r="A236" s="5">
        <v>41978</v>
      </c>
      <c r="B236">
        <v>41.716079999999998</v>
      </c>
      <c r="C236">
        <v>41.788170000000001</v>
      </c>
      <c r="D236">
        <v>40.634731000000002</v>
      </c>
      <c r="E236">
        <v>40.730849999999997</v>
      </c>
      <c r="F236">
        <v>38.769066000000002</v>
      </c>
      <c r="G236">
        <v>6791719</v>
      </c>
      <c r="I236">
        <f t="shared" si="4"/>
        <v>1.0630033499701739E-4</v>
      </c>
    </row>
    <row r="237" spans="1:9" x14ac:dyDescent="0.3">
      <c r="A237" s="5">
        <v>41981</v>
      </c>
      <c r="B237">
        <v>40.610698999999997</v>
      </c>
      <c r="C237">
        <v>40.754879000000003</v>
      </c>
      <c r="D237">
        <v>39.000689999999999</v>
      </c>
      <c r="E237">
        <v>39.144871000000002</v>
      </c>
      <c r="F237">
        <v>37.259475999999999</v>
      </c>
      <c r="G237">
        <v>9152809</v>
      </c>
      <c r="I237">
        <f t="shared" si="4"/>
        <v>2.921167379523831E-4</v>
      </c>
    </row>
    <row r="238" spans="1:9" x14ac:dyDescent="0.3">
      <c r="A238" s="5">
        <v>41982</v>
      </c>
      <c r="B238">
        <v>38.255760000000002</v>
      </c>
      <c r="C238">
        <v>38.880538999999999</v>
      </c>
      <c r="D238">
        <v>37.847251999999997</v>
      </c>
      <c r="E238">
        <v>38.544120999999997</v>
      </c>
      <c r="F238">
        <v>36.687655999999997</v>
      </c>
      <c r="G238">
        <v>9425427</v>
      </c>
      <c r="I238">
        <f t="shared" si="4"/>
        <v>3.3665585317242127E-4</v>
      </c>
    </row>
    <row r="239" spans="1:9" x14ac:dyDescent="0.3">
      <c r="A239" s="5">
        <v>41983</v>
      </c>
      <c r="B239">
        <v>38.399940000000001</v>
      </c>
      <c r="C239">
        <v>38.85651</v>
      </c>
      <c r="D239">
        <v>37.438740000000003</v>
      </c>
      <c r="E239">
        <v>37.558891000000003</v>
      </c>
      <c r="F239">
        <v>35.749878000000002</v>
      </c>
      <c r="G239">
        <v>7654973</v>
      </c>
      <c r="I239">
        <f t="shared" si="4"/>
        <v>4.8268757000469143E-4</v>
      </c>
    </row>
    <row r="240" spans="1:9" x14ac:dyDescent="0.3">
      <c r="A240" s="5">
        <v>41984</v>
      </c>
      <c r="B240">
        <v>37.558891000000003</v>
      </c>
      <c r="C240">
        <v>37.799191</v>
      </c>
      <c r="D240">
        <v>36.309330000000003</v>
      </c>
      <c r="E240">
        <v>36.429482</v>
      </c>
      <c r="F240">
        <v>34.674877000000002</v>
      </c>
      <c r="G240">
        <v>8445526</v>
      </c>
      <c r="I240">
        <f t="shared" si="4"/>
        <v>3.4717238983365844E-4</v>
      </c>
    </row>
    <row r="241" spans="1:9" x14ac:dyDescent="0.3">
      <c r="A241" s="5">
        <v>41985</v>
      </c>
      <c r="B241">
        <v>36.093060000000001</v>
      </c>
      <c r="C241">
        <v>36.741871000000003</v>
      </c>
      <c r="D241">
        <v>35.684550999999999</v>
      </c>
      <c r="E241">
        <v>35.732608999999997</v>
      </c>
      <c r="F241">
        <v>34.011558999999998</v>
      </c>
      <c r="G241">
        <v>7967000</v>
      </c>
      <c r="I241">
        <f t="shared" si="4"/>
        <v>5.11565173845868E-4</v>
      </c>
    </row>
    <row r="242" spans="1:9" x14ac:dyDescent="0.3">
      <c r="A242" s="5">
        <v>41988</v>
      </c>
      <c r="B242">
        <v>36.189177999999998</v>
      </c>
      <c r="C242">
        <v>36.741871000000003</v>
      </c>
      <c r="D242">
        <v>35.804698999999999</v>
      </c>
      <c r="E242">
        <v>35.876789000000002</v>
      </c>
      <c r="F242">
        <v>34.148795999999997</v>
      </c>
      <c r="G242">
        <v>10707532</v>
      </c>
      <c r="I242">
        <f t="shared" si="4"/>
        <v>3.8261856201895247E-4</v>
      </c>
    </row>
    <row r="243" spans="1:9" x14ac:dyDescent="0.3">
      <c r="A243" s="5">
        <v>41989</v>
      </c>
      <c r="B243">
        <v>36.141120999999998</v>
      </c>
      <c r="C243">
        <v>36.549629000000003</v>
      </c>
      <c r="D243">
        <v>34.627231999999999</v>
      </c>
      <c r="E243">
        <v>34.675288999999999</v>
      </c>
      <c r="F243">
        <v>33.005164999999998</v>
      </c>
      <c r="G243">
        <v>12223970</v>
      </c>
      <c r="I243">
        <f t="shared" si="4"/>
        <v>6.510471602799296E-4</v>
      </c>
    </row>
    <row r="244" spans="1:9" x14ac:dyDescent="0.3">
      <c r="A244" s="5">
        <v>41990</v>
      </c>
      <c r="B244">
        <v>35.035739999999997</v>
      </c>
      <c r="C244">
        <v>36.213211000000001</v>
      </c>
      <c r="D244">
        <v>34.819468999999998</v>
      </c>
      <c r="E244">
        <v>36.165149999999997</v>
      </c>
      <c r="F244">
        <v>34.423264000000003</v>
      </c>
      <c r="G244">
        <v>11023762</v>
      </c>
      <c r="I244">
        <f t="shared" si="4"/>
        <v>2.7869511912262575E-4</v>
      </c>
    </row>
    <row r="245" spans="1:9" x14ac:dyDescent="0.3">
      <c r="A245" s="5">
        <v>41991</v>
      </c>
      <c r="B245">
        <v>37.198441000000003</v>
      </c>
      <c r="C245">
        <v>37.943370999999999</v>
      </c>
      <c r="D245">
        <v>36.910080000000001</v>
      </c>
      <c r="E245">
        <v>37.919338000000003</v>
      </c>
      <c r="F245">
        <v>36.092972000000003</v>
      </c>
      <c r="G245">
        <v>12256929</v>
      </c>
      <c r="I245">
        <f t="shared" si="4"/>
        <v>2.224987444056931E-4</v>
      </c>
    </row>
    <row r="246" spans="1:9" x14ac:dyDescent="0.3">
      <c r="A246" s="5">
        <v>41992</v>
      </c>
      <c r="B246">
        <v>37.919338000000003</v>
      </c>
      <c r="C246">
        <v>38.544120999999997</v>
      </c>
      <c r="D246">
        <v>37.799191</v>
      </c>
      <c r="E246">
        <v>38.303821999999997</v>
      </c>
      <c r="F246">
        <v>36.458939000000001</v>
      </c>
      <c r="G246">
        <v>8393591</v>
      </c>
      <c r="I246">
        <f t="shared" si="4"/>
        <v>1.4429072075161054E-4</v>
      </c>
    </row>
    <row r="247" spans="1:9" x14ac:dyDescent="0.3">
      <c r="A247" s="5">
        <v>41995</v>
      </c>
      <c r="B247">
        <v>38.375912</v>
      </c>
      <c r="C247">
        <v>38.423969</v>
      </c>
      <c r="D247">
        <v>37.198441000000003</v>
      </c>
      <c r="E247">
        <v>37.823219000000002</v>
      </c>
      <c r="F247">
        <v>36.001483999999998</v>
      </c>
      <c r="G247">
        <v>7135581</v>
      </c>
      <c r="I247">
        <f t="shared" si="4"/>
        <v>5.3878421383967096E-4</v>
      </c>
    </row>
    <row r="248" spans="1:9" x14ac:dyDescent="0.3">
      <c r="A248" s="5">
        <v>41996</v>
      </c>
      <c r="B248">
        <v>37.967399999999998</v>
      </c>
      <c r="C248">
        <v>38.399940000000001</v>
      </c>
      <c r="D248">
        <v>37.655009999999997</v>
      </c>
      <c r="E248">
        <v>37.799191</v>
      </c>
      <c r="F248">
        <v>35.978606999999997</v>
      </c>
      <c r="G248">
        <v>4383313</v>
      </c>
      <c r="I248">
        <f t="shared" si="4"/>
        <v>2.1019647300501418E-4</v>
      </c>
    </row>
    <row r="249" spans="1:9" x14ac:dyDescent="0.3">
      <c r="A249" s="5">
        <v>41997</v>
      </c>
      <c r="B249">
        <v>37.895308999999997</v>
      </c>
      <c r="C249">
        <v>38.063518999999999</v>
      </c>
      <c r="D249">
        <v>37.390678000000001</v>
      </c>
      <c r="E249">
        <v>37.895308999999997</v>
      </c>
      <c r="F249">
        <v>36.070090999999998</v>
      </c>
      <c r="G249">
        <v>2057511</v>
      </c>
      <c r="I249">
        <f t="shared" si="4"/>
        <v>1.9933431764971351E-4</v>
      </c>
    </row>
    <row r="250" spans="1:9" x14ac:dyDescent="0.3">
      <c r="A250" s="5">
        <v>41999</v>
      </c>
      <c r="B250">
        <v>38.159641000000001</v>
      </c>
      <c r="C250">
        <v>38.279789000000001</v>
      </c>
      <c r="D250">
        <v>37.919338000000003</v>
      </c>
      <c r="E250">
        <v>38.015461000000002</v>
      </c>
      <c r="F250">
        <v>36.184455999999997</v>
      </c>
      <c r="G250">
        <v>2644944</v>
      </c>
      <c r="I250">
        <f t="shared" si="4"/>
        <v>3.7775925125177145E-5</v>
      </c>
    </row>
    <row r="251" spans="1:9" x14ac:dyDescent="0.3">
      <c r="A251" s="5">
        <v>42002</v>
      </c>
      <c r="B251">
        <v>38.063518999999999</v>
      </c>
      <c r="C251">
        <v>38.351878999999997</v>
      </c>
      <c r="D251">
        <v>37.799191</v>
      </c>
      <c r="E251">
        <v>38.015461000000002</v>
      </c>
      <c r="F251">
        <v>36.184455999999997</v>
      </c>
      <c r="G251">
        <v>2949563</v>
      </c>
      <c r="I251">
        <f t="shared" si="4"/>
        <v>1.0625290618764463E-4</v>
      </c>
    </row>
    <row r="252" spans="1:9" x14ac:dyDescent="0.3">
      <c r="A252" s="5">
        <v>42003</v>
      </c>
      <c r="B252">
        <v>37.799191</v>
      </c>
      <c r="C252">
        <v>38.279789000000001</v>
      </c>
      <c r="D252">
        <v>37.558891000000003</v>
      </c>
      <c r="E252">
        <v>38.087550999999998</v>
      </c>
      <c r="F252">
        <v>36.253081999999999</v>
      </c>
      <c r="G252">
        <v>3854390</v>
      </c>
      <c r="I252">
        <f t="shared" si="4"/>
        <v>1.5275015413939949E-4</v>
      </c>
    </row>
    <row r="253" spans="1:9" x14ac:dyDescent="0.3">
      <c r="A253" s="5">
        <v>42004</v>
      </c>
      <c r="B253">
        <v>38.087550999999998</v>
      </c>
      <c r="C253">
        <v>38.520088000000001</v>
      </c>
      <c r="D253">
        <v>37.895308999999997</v>
      </c>
      <c r="E253">
        <v>37.943370999999999</v>
      </c>
      <c r="F253">
        <v>36.115848999999997</v>
      </c>
      <c r="G253">
        <v>3679734</v>
      </c>
      <c r="I253">
        <f t="shared" si="4"/>
        <v>1.7675999487182879E-4</v>
      </c>
    </row>
    <row r="254" spans="1:9" x14ac:dyDescent="0.3">
      <c r="A254" s="5">
        <v>42006</v>
      </c>
      <c r="B254">
        <v>38.135609000000002</v>
      </c>
      <c r="C254">
        <v>38.399940000000001</v>
      </c>
      <c r="D254">
        <v>37.655009999999997</v>
      </c>
      <c r="E254">
        <v>38.159641000000001</v>
      </c>
      <c r="F254">
        <v>36.321700999999997</v>
      </c>
      <c r="G254">
        <v>4340408</v>
      </c>
      <c r="I254">
        <f t="shared" si="4"/>
        <v>2.1219531527668942E-4</v>
      </c>
    </row>
    <row r="255" spans="1:9" x14ac:dyDescent="0.3">
      <c r="A255" s="5">
        <v>42009</v>
      </c>
      <c r="B255">
        <v>37.582920000000001</v>
      </c>
      <c r="C255">
        <v>37.606949</v>
      </c>
      <c r="D255">
        <v>35.780670000000001</v>
      </c>
      <c r="E255">
        <v>35.948878999999998</v>
      </c>
      <c r="F255">
        <v>34.217415000000003</v>
      </c>
      <c r="G255">
        <v>9026467</v>
      </c>
      <c r="I255">
        <f t="shared" si="4"/>
        <v>2.5930039014917741E-4</v>
      </c>
    </row>
    <row r="256" spans="1:9" x14ac:dyDescent="0.3">
      <c r="A256" s="5">
        <v>42010</v>
      </c>
      <c r="B256">
        <v>36.093060000000001</v>
      </c>
      <c r="C256">
        <v>36.934108999999999</v>
      </c>
      <c r="D256">
        <v>35.684550999999999</v>
      </c>
      <c r="E256">
        <v>36.213211000000001</v>
      </c>
      <c r="F256">
        <v>34.469012999999997</v>
      </c>
      <c r="G256">
        <v>8063670</v>
      </c>
      <c r="I256">
        <f t="shared" si="4"/>
        <v>6.2144833309282462E-4</v>
      </c>
    </row>
    <row r="257" spans="1:9" x14ac:dyDescent="0.3">
      <c r="A257" s="5">
        <v>42011</v>
      </c>
      <c r="B257">
        <v>36.717838</v>
      </c>
      <c r="C257">
        <v>37.414710999999997</v>
      </c>
      <c r="D257">
        <v>36.549629000000003</v>
      </c>
      <c r="E257">
        <v>37.150379000000001</v>
      </c>
      <c r="F257">
        <v>35.361046000000002</v>
      </c>
      <c r="G257">
        <v>6637744</v>
      </c>
      <c r="I257">
        <f t="shared" si="4"/>
        <v>2.0815841768656904E-4</v>
      </c>
    </row>
    <row r="258" spans="1:9" x14ac:dyDescent="0.3">
      <c r="A258" s="5">
        <v>42012</v>
      </c>
      <c r="B258">
        <v>37.630980999999998</v>
      </c>
      <c r="C258">
        <v>38.568150000000003</v>
      </c>
      <c r="D258">
        <v>37.36665</v>
      </c>
      <c r="E258">
        <v>38.207698999999998</v>
      </c>
      <c r="F258">
        <v>36.367435</v>
      </c>
      <c r="G258">
        <v>8185851</v>
      </c>
      <c r="I258">
        <f t="shared" si="4"/>
        <v>3.8788163257798389E-4</v>
      </c>
    </row>
    <row r="259" spans="1:9" x14ac:dyDescent="0.3">
      <c r="A259" s="5">
        <v>42013</v>
      </c>
      <c r="B259">
        <v>38.520088000000001</v>
      </c>
      <c r="C259">
        <v>38.808449000000003</v>
      </c>
      <c r="D259">
        <v>37.847251999999997</v>
      </c>
      <c r="E259">
        <v>38.712330000000001</v>
      </c>
      <c r="F259">
        <v>36.847763</v>
      </c>
      <c r="G259">
        <v>6963088</v>
      </c>
      <c r="I259">
        <f t="shared" si="4"/>
        <v>4.1673674817592688E-4</v>
      </c>
    </row>
    <row r="260" spans="1:9" x14ac:dyDescent="0.3">
      <c r="A260" s="5">
        <v>42016</v>
      </c>
      <c r="B260">
        <v>39.409199000000001</v>
      </c>
      <c r="C260">
        <v>39.481288999999997</v>
      </c>
      <c r="D260">
        <v>38.279789000000001</v>
      </c>
      <c r="E260">
        <v>38.85651</v>
      </c>
      <c r="F260">
        <v>36.985000999999997</v>
      </c>
      <c r="G260">
        <v>12658843</v>
      </c>
      <c r="I260">
        <f t="shared" si="4"/>
        <v>4.6396071833787987E-4</v>
      </c>
    </row>
    <row r="261" spans="1:9" x14ac:dyDescent="0.3">
      <c r="A261" s="5">
        <v>42017</v>
      </c>
      <c r="B261">
        <v>39.577412000000002</v>
      </c>
      <c r="C261">
        <v>39.721587999999997</v>
      </c>
      <c r="D261">
        <v>37.7271</v>
      </c>
      <c r="E261">
        <v>37.967399999999998</v>
      </c>
      <c r="F261">
        <v>36.138720999999997</v>
      </c>
      <c r="G261">
        <v>15726051</v>
      </c>
      <c r="I261">
        <f t="shared" si="4"/>
        <v>4.6823924946505616E-4</v>
      </c>
    </row>
    <row r="262" spans="1:9" x14ac:dyDescent="0.3">
      <c r="A262" s="5">
        <v>42018</v>
      </c>
      <c r="B262">
        <v>37.150379000000001</v>
      </c>
      <c r="C262">
        <v>37.198441000000003</v>
      </c>
      <c r="D262">
        <v>34.939621000000002</v>
      </c>
      <c r="E262">
        <v>35.924849999999999</v>
      </c>
      <c r="F262">
        <v>34.194541999999998</v>
      </c>
      <c r="G262">
        <v>22831752</v>
      </c>
      <c r="I262">
        <f t="shared" si="4"/>
        <v>1.751119214763138E-3</v>
      </c>
    </row>
    <row r="263" spans="1:9" x14ac:dyDescent="0.3">
      <c r="A263" s="5">
        <v>42019</v>
      </c>
      <c r="B263">
        <v>36.429482</v>
      </c>
      <c r="C263">
        <v>36.597690999999998</v>
      </c>
      <c r="D263">
        <v>35.804698999999999</v>
      </c>
      <c r="E263">
        <v>35.972912000000001</v>
      </c>
      <c r="F263">
        <v>34.240288</v>
      </c>
      <c r="G263">
        <v>11009155</v>
      </c>
      <c r="I263">
        <f t="shared" si="4"/>
        <v>1.6040628870179108E-4</v>
      </c>
    </row>
    <row r="264" spans="1:9" x14ac:dyDescent="0.3">
      <c r="A264" s="5">
        <v>42020</v>
      </c>
      <c r="B264">
        <v>35.948878999999998</v>
      </c>
      <c r="C264">
        <v>36.717838</v>
      </c>
      <c r="D264">
        <v>35.948878999999998</v>
      </c>
      <c r="E264">
        <v>36.717838</v>
      </c>
      <c r="F264">
        <v>34.949337</v>
      </c>
      <c r="G264">
        <v>9056513</v>
      </c>
      <c r="I264">
        <f t="shared" si="4"/>
        <v>0</v>
      </c>
    </row>
    <row r="265" spans="1:9" x14ac:dyDescent="0.3">
      <c r="A265" s="5">
        <v>42024</v>
      </c>
      <c r="B265">
        <v>36.910080000000001</v>
      </c>
      <c r="C265">
        <v>37.438740000000003</v>
      </c>
      <c r="D265">
        <v>36.189177999999998</v>
      </c>
      <c r="E265">
        <v>37.36665</v>
      </c>
      <c r="F265">
        <v>35.566895000000002</v>
      </c>
      <c r="G265">
        <v>10799001</v>
      </c>
      <c r="I265">
        <f t="shared" si="4"/>
        <v>6.5896046618996683E-4</v>
      </c>
    </row>
    <row r="266" spans="1:9" x14ac:dyDescent="0.3">
      <c r="A266" s="5">
        <v>42025</v>
      </c>
      <c r="B266">
        <v>37.36665</v>
      </c>
      <c r="C266">
        <v>38.520088000000001</v>
      </c>
      <c r="D266">
        <v>37.078288999999998</v>
      </c>
      <c r="E266">
        <v>38.255760000000002</v>
      </c>
      <c r="F266">
        <v>36.413189000000003</v>
      </c>
      <c r="G266">
        <v>8572992</v>
      </c>
      <c r="I266">
        <f t="shared" si="4"/>
        <v>4.5152598978941827E-4</v>
      </c>
    </row>
    <row r="267" spans="1:9" x14ac:dyDescent="0.3">
      <c r="A267" s="5">
        <v>42026</v>
      </c>
      <c r="B267">
        <v>38.520088000000001</v>
      </c>
      <c r="C267">
        <v>38.616211</v>
      </c>
      <c r="D267">
        <v>37.751128999999999</v>
      </c>
      <c r="E267">
        <v>38.544120999999997</v>
      </c>
      <c r="F267">
        <v>36.687655999999997</v>
      </c>
      <c r="G267">
        <v>6397670</v>
      </c>
      <c r="I267">
        <f t="shared" si="4"/>
        <v>4.2384051932119519E-4</v>
      </c>
    </row>
    <row r="268" spans="1:9" x14ac:dyDescent="0.3">
      <c r="A268" s="5">
        <v>42027</v>
      </c>
      <c r="B268">
        <v>37.967399999999998</v>
      </c>
      <c r="C268">
        <v>38.327849999999998</v>
      </c>
      <c r="D268">
        <v>37.342621000000001</v>
      </c>
      <c r="E268">
        <v>37.871281000000003</v>
      </c>
      <c r="F268">
        <v>36.047229999999999</v>
      </c>
      <c r="G268">
        <v>7765085</v>
      </c>
      <c r="I268">
        <f t="shared" ref="I268:I331" si="5">LN(C268/B268)*(LN(C268/B268)-LN(E268/B268))+LN(D268/B268)*(LN(D268/B268)-LN(E268/B268))</f>
        <v>3.4648682393658391E-4</v>
      </c>
    </row>
    <row r="269" spans="1:9" x14ac:dyDescent="0.3">
      <c r="A269" s="5">
        <v>42030</v>
      </c>
      <c r="B269">
        <v>37.751128999999999</v>
      </c>
      <c r="C269">
        <v>38.712330000000001</v>
      </c>
      <c r="D269">
        <v>37.390678000000001</v>
      </c>
      <c r="E269">
        <v>38.640239999999999</v>
      </c>
      <c r="F269">
        <v>36.779152000000003</v>
      </c>
      <c r="G269">
        <v>5157095</v>
      </c>
      <c r="I269">
        <f t="shared" si="5"/>
        <v>3.6224478316178424E-4</v>
      </c>
    </row>
    <row r="270" spans="1:9" x14ac:dyDescent="0.3">
      <c r="A270" s="5">
        <v>42031</v>
      </c>
      <c r="B270">
        <v>37.775162000000002</v>
      </c>
      <c r="C270">
        <v>38.568150000000003</v>
      </c>
      <c r="D270">
        <v>37.775162000000002</v>
      </c>
      <c r="E270">
        <v>38.255760000000002</v>
      </c>
      <c r="F270">
        <v>36.413189000000003</v>
      </c>
      <c r="G270">
        <v>6497462</v>
      </c>
      <c r="I270">
        <f t="shared" si="5"/>
        <v>1.6895628011318257E-4</v>
      </c>
    </row>
    <row r="271" spans="1:9" x14ac:dyDescent="0.3">
      <c r="A271" s="5">
        <v>42032</v>
      </c>
      <c r="B271">
        <v>38.520088000000001</v>
      </c>
      <c r="C271">
        <v>38.880538999999999</v>
      </c>
      <c r="D271">
        <v>37.871281000000003</v>
      </c>
      <c r="E271">
        <v>37.967399999999998</v>
      </c>
      <c r="F271">
        <v>36.138720999999997</v>
      </c>
      <c r="G271">
        <v>6707199</v>
      </c>
      <c r="I271">
        <f t="shared" si="5"/>
        <v>2.644139821016864E-4</v>
      </c>
    </row>
    <row r="272" spans="1:9" x14ac:dyDescent="0.3">
      <c r="A272" s="5">
        <v>42033</v>
      </c>
      <c r="B272">
        <v>38.255760000000002</v>
      </c>
      <c r="C272">
        <v>38.448002000000002</v>
      </c>
      <c r="D272">
        <v>37.510829999999999</v>
      </c>
      <c r="E272">
        <v>38.399940000000001</v>
      </c>
      <c r="F272">
        <v>36.550426000000002</v>
      </c>
      <c r="G272">
        <v>6128007</v>
      </c>
      <c r="I272">
        <f t="shared" si="5"/>
        <v>4.6693327895277033E-4</v>
      </c>
    </row>
    <row r="273" spans="1:9" x14ac:dyDescent="0.3">
      <c r="A273" s="5">
        <v>42034</v>
      </c>
      <c r="B273">
        <v>38.087550999999998</v>
      </c>
      <c r="C273">
        <v>38.568150000000003</v>
      </c>
      <c r="D273">
        <v>37.534858999999997</v>
      </c>
      <c r="E273">
        <v>37.606949</v>
      </c>
      <c r="F273">
        <v>35.795628000000001</v>
      </c>
      <c r="G273">
        <v>6991178</v>
      </c>
      <c r="I273">
        <f t="shared" si="5"/>
        <v>3.445144058440131E-4</v>
      </c>
    </row>
    <row r="274" spans="1:9" x14ac:dyDescent="0.3">
      <c r="A274" s="5">
        <v>42037</v>
      </c>
      <c r="B274">
        <v>38.015461000000002</v>
      </c>
      <c r="C274">
        <v>38.688301000000003</v>
      </c>
      <c r="D274">
        <v>37.871281000000003</v>
      </c>
      <c r="E274">
        <v>38.616211</v>
      </c>
      <c r="F274">
        <v>36.756275000000002</v>
      </c>
      <c r="G274">
        <v>6117728</v>
      </c>
      <c r="I274">
        <f t="shared" si="5"/>
        <v>1.0673993422510321E-4</v>
      </c>
    </row>
    <row r="275" spans="1:9" x14ac:dyDescent="0.3">
      <c r="A275" s="5">
        <v>42038</v>
      </c>
      <c r="B275">
        <v>39.289051000000001</v>
      </c>
      <c r="C275">
        <v>39.937859000000003</v>
      </c>
      <c r="D275">
        <v>38.832481000000001</v>
      </c>
      <c r="E275">
        <v>39.913829999999997</v>
      </c>
      <c r="F275">
        <v>37.991397999999997</v>
      </c>
      <c r="G275">
        <v>8083729</v>
      </c>
      <c r="I275">
        <f t="shared" si="5"/>
        <v>3.3090142814913754E-4</v>
      </c>
    </row>
    <row r="276" spans="1:9" x14ac:dyDescent="0.3">
      <c r="A276" s="5">
        <v>42039</v>
      </c>
      <c r="B276">
        <v>39.601439999999997</v>
      </c>
      <c r="C276">
        <v>40.009948999999999</v>
      </c>
      <c r="D276">
        <v>39.313079999999999</v>
      </c>
      <c r="E276">
        <v>39.457259999999998</v>
      </c>
      <c r="F276">
        <v>37.624778999999997</v>
      </c>
      <c r="G276">
        <v>6317978</v>
      </c>
      <c r="I276">
        <f t="shared" si="5"/>
        <v>1.6950822997384313E-4</v>
      </c>
    </row>
    <row r="277" spans="1:9" x14ac:dyDescent="0.3">
      <c r="A277" s="5">
        <v>42040</v>
      </c>
      <c r="B277">
        <v>39.505322</v>
      </c>
      <c r="C277">
        <v>41.091301000000001</v>
      </c>
      <c r="D277">
        <v>39.433230999999999</v>
      </c>
      <c r="E277">
        <v>41.019210999999999</v>
      </c>
      <c r="F277">
        <v>39.114184999999999</v>
      </c>
      <c r="G277">
        <v>10063171</v>
      </c>
      <c r="I277">
        <f t="shared" si="5"/>
        <v>1.4113737247321048E-4</v>
      </c>
    </row>
    <row r="278" spans="1:9" x14ac:dyDescent="0.3">
      <c r="A278" s="5">
        <v>42041</v>
      </c>
      <c r="B278">
        <v>40.851002000000001</v>
      </c>
      <c r="C278">
        <v>40.851002000000001</v>
      </c>
      <c r="D278">
        <v>39.577412000000002</v>
      </c>
      <c r="E278">
        <v>39.817711000000003</v>
      </c>
      <c r="F278">
        <v>37.968482999999999</v>
      </c>
      <c r="G278">
        <v>8717936</v>
      </c>
      <c r="I278">
        <f t="shared" si="5"/>
        <v>1.9172374092952198E-4</v>
      </c>
    </row>
    <row r="279" spans="1:9" x14ac:dyDescent="0.3">
      <c r="A279" s="5">
        <v>42044</v>
      </c>
      <c r="B279">
        <v>38.688301000000003</v>
      </c>
      <c r="C279">
        <v>38.688301000000003</v>
      </c>
      <c r="D279">
        <v>37.36665</v>
      </c>
      <c r="E279">
        <v>37.606949</v>
      </c>
      <c r="F279">
        <v>35.860396999999999</v>
      </c>
      <c r="G279">
        <v>12946275</v>
      </c>
      <c r="I279">
        <f t="shared" si="5"/>
        <v>2.228117567446562E-4</v>
      </c>
    </row>
    <row r="280" spans="1:9" x14ac:dyDescent="0.3">
      <c r="A280" s="5">
        <v>42045</v>
      </c>
      <c r="B280">
        <v>37.775162000000002</v>
      </c>
      <c r="C280">
        <v>38.255760000000002</v>
      </c>
      <c r="D280">
        <v>37.36665</v>
      </c>
      <c r="E280">
        <v>38.231731000000003</v>
      </c>
      <c r="F280">
        <v>36.456161000000002</v>
      </c>
      <c r="G280">
        <v>10461132</v>
      </c>
      <c r="I280">
        <f t="shared" si="5"/>
        <v>2.56800791256538E-4</v>
      </c>
    </row>
    <row r="281" spans="1:9" x14ac:dyDescent="0.3">
      <c r="A281" s="5">
        <v>42046</v>
      </c>
      <c r="B281">
        <v>37.823219000000002</v>
      </c>
      <c r="C281">
        <v>37.823219000000002</v>
      </c>
      <c r="D281">
        <v>36.645747999999998</v>
      </c>
      <c r="E281">
        <v>37.150379000000001</v>
      </c>
      <c r="F281">
        <v>35.425026000000003</v>
      </c>
      <c r="G281">
        <v>11489263</v>
      </c>
      <c r="I281">
        <f t="shared" si="5"/>
        <v>4.3253196017360078E-4</v>
      </c>
    </row>
    <row r="282" spans="1:9" x14ac:dyDescent="0.3">
      <c r="A282" s="5">
        <v>42047</v>
      </c>
      <c r="B282">
        <v>37.751128999999999</v>
      </c>
      <c r="C282">
        <v>37.943370999999999</v>
      </c>
      <c r="D282">
        <v>37.342621000000001</v>
      </c>
      <c r="E282">
        <v>37.606949</v>
      </c>
      <c r="F282">
        <v>35.860396999999999</v>
      </c>
      <c r="G282">
        <v>8046442</v>
      </c>
      <c r="I282">
        <f t="shared" si="5"/>
        <v>1.2197987609736618E-4</v>
      </c>
    </row>
    <row r="283" spans="1:9" x14ac:dyDescent="0.3">
      <c r="A283" s="5">
        <v>42048</v>
      </c>
      <c r="B283">
        <v>37.967399999999998</v>
      </c>
      <c r="C283">
        <v>38.255760000000002</v>
      </c>
      <c r="D283">
        <v>37.486801</v>
      </c>
      <c r="E283">
        <v>37.991427999999999</v>
      </c>
      <c r="F283">
        <v>36.227012999999999</v>
      </c>
      <c r="G283">
        <v>6689846</v>
      </c>
      <c r="I283">
        <f t="shared" si="5"/>
        <v>2.2280268164715043E-4</v>
      </c>
    </row>
    <row r="284" spans="1:9" x14ac:dyDescent="0.3">
      <c r="A284" s="5">
        <v>42052</v>
      </c>
      <c r="B284">
        <v>38.063518999999999</v>
      </c>
      <c r="C284">
        <v>38.111579999999996</v>
      </c>
      <c r="D284">
        <v>37.582920000000001</v>
      </c>
      <c r="E284">
        <v>37.847251999999997</v>
      </c>
      <c r="F284">
        <v>36.089539000000002</v>
      </c>
      <c r="G284">
        <v>5404411</v>
      </c>
      <c r="I284">
        <f t="shared" si="5"/>
        <v>9.7838970208498658E-5</v>
      </c>
    </row>
    <row r="285" spans="1:9" x14ac:dyDescent="0.3">
      <c r="A285" s="5">
        <v>42053</v>
      </c>
      <c r="B285">
        <v>37.799191</v>
      </c>
      <c r="C285">
        <v>38.159641000000001</v>
      </c>
      <c r="D285">
        <v>37.534858999999997</v>
      </c>
      <c r="E285">
        <v>38.087550999999998</v>
      </c>
      <c r="F285">
        <v>36.318676000000004</v>
      </c>
      <c r="G285">
        <v>5190720</v>
      </c>
      <c r="I285">
        <f t="shared" si="5"/>
        <v>1.2052606819772812E-4</v>
      </c>
    </row>
    <row r="286" spans="1:9" x14ac:dyDescent="0.3">
      <c r="A286" s="5">
        <v>42054</v>
      </c>
      <c r="B286">
        <v>37.919338000000003</v>
      </c>
      <c r="C286">
        <v>38.496059000000002</v>
      </c>
      <c r="D286">
        <v>37.630980999999998</v>
      </c>
      <c r="E286">
        <v>38.448002000000002</v>
      </c>
      <c r="F286">
        <v>36.662394999999997</v>
      </c>
      <c r="G286">
        <v>6917520</v>
      </c>
      <c r="I286">
        <f t="shared" si="5"/>
        <v>1.8281671669388713E-4</v>
      </c>
    </row>
    <row r="287" spans="1:9" x14ac:dyDescent="0.3">
      <c r="A287" s="5">
        <v>42055</v>
      </c>
      <c r="B287">
        <v>38.279789000000001</v>
      </c>
      <c r="C287">
        <v>38.616211</v>
      </c>
      <c r="D287">
        <v>37.7271</v>
      </c>
      <c r="E287">
        <v>37.943370999999999</v>
      </c>
      <c r="F287">
        <v>36.181193999999998</v>
      </c>
      <c r="G287">
        <v>5900791</v>
      </c>
      <c r="I287">
        <f t="shared" si="5"/>
        <v>2.3693577737169319E-4</v>
      </c>
    </row>
    <row r="288" spans="1:9" x14ac:dyDescent="0.3">
      <c r="A288" s="5">
        <v>42058</v>
      </c>
      <c r="B288">
        <v>37.558891000000003</v>
      </c>
      <c r="C288">
        <v>37.582920000000001</v>
      </c>
      <c r="D288">
        <v>36.958140999999998</v>
      </c>
      <c r="E288">
        <v>37.270530999999998</v>
      </c>
      <c r="F288">
        <v>35.539593000000004</v>
      </c>
      <c r="G288">
        <v>5818851</v>
      </c>
      <c r="I288">
        <f t="shared" si="5"/>
        <v>1.4105569937900269E-4</v>
      </c>
    </row>
    <row r="289" spans="1:9" x14ac:dyDescent="0.3">
      <c r="A289" s="5">
        <v>42059</v>
      </c>
      <c r="B289">
        <v>37.414710999999997</v>
      </c>
      <c r="C289">
        <v>37.919338000000003</v>
      </c>
      <c r="D289">
        <v>37.318587999999998</v>
      </c>
      <c r="E289">
        <v>37.823219000000002</v>
      </c>
      <c r="F289">
        <v>36.066623999999997</v>
      </c>
      <c r="G289">
        <v>4144902</v>
      </c>
      <c r="I289">
        <f t="shared" si="5"/>
        <v>6.855476096040807E-5</v>
      </c>
    </row>
    <row r="290" spans="1:9" x14ac:dyDescent="0.3">
      <c r="A290" s="5">
        <v>42060</v>
      </c>
      <c r="B290">
        <v>37.630980999999998</v>
      </c>
      <c r="C290">
        <v>37.7271</v>
      </c>
      <c r="D290">
        <v>35.684550999999999</v>
      </c>
      <c r="E290">
        <v>36.044998</v>
      </c>
      <c r="F290">
        <v>34.370987</v>
      </c>
      <c r="G290">
        <v>14294673</v>
      </c>
      <c r="I290">
        <f t="shared" si="5"/>
        <v>6.5011946941012297E-4</v>
      </c>
    </row>
    <row r="291" spans="1:9" x14ac:dyDescent="0.3">
      <c r="A291" s="5">
        <v>42061</v>
      </c>
      <c r="B291">
        <v>36.261268999999999</v>
      </c>
      <c r="C291">
        <v>36.501572000000003</v>
      </c>
      <c r="D291">
        <v>35.900821999999998</v>
      </c>
      <c r="E291">
        <v>36.309330000000003</v>
      </c>
      <c r="F291">
        <v>34.623047</v>
      </c>
      <c r="G291">
        <v>7813816</v>
      </c>
      <c r="I291">
        <f t="shared" si="5"/>
        <v>1.4791137118714894E-4</v>
      </c>
    </row>
    <row r="292" spans="1:9" x14ac:dyDescent="0.3">
      <c r="A292" s="5">
        <v>42062</v>
      </c>
      <c r="B292">
        <v>36.285300999999997</v>
      </c>
      <c r="C292">
        <v>36.405448999999997</v>
      </c>
      <c r="D292">
        <v>35.324100000000001</v>
      </c>
      <c r="E292">
        <v>35.540371</v>
      </c>
      <c r="F292">
        <v>33.889797000000002</v>
      </c>
      <c r="G292">
        <v>8656471</v>
      </c>
      <c r="I292">
        <f t="shared" si="5"/>
        <v>2.4337094572004603E-4</v>
      </c>
    </row>
    <row r="293" spans="1:9" x14ac:dyDescent="0.3">
      <c r="A293" s="5">
        <v>42065</v>
      </c>
      <c r="B293">
        <v>35.540371</v>
      </c>
      <c r="C293">
        <v>36.093060000000001</v>
      </c>
      <c r="D293">
        <v>35.420219000000003</v>
      </c>
      <c r="E293">
        <v>35.924849999999999</v>
      </c>
      <c r="F293">
        <v>34.256424000000003</v>
      </c>
      <c r="G293">
        <v>8059675</v>
      </c>
      <c r="I293">
        <f t="shared" si="5"/>
        <v>1.1999130724856579E-4</v>
      </c>
    </row>
    <row r="294" spans="1:9" x14ac:dyDescent="0.3">
      <c r="A294" s="5">
        <v>42066</v>
      </c>
      <c r="B294">
        <v>35.756641000000002</v>
      </c>
      <c r="C294">
        <v>36.813960999999999</v>
      </c>
      <c r="D294">
        <v>35.756641000000002</v>
      </c>
      <c r="E294">
        <v>36.477539</v>
      </c>
      <c r="F294">
        <v>34.783431999999998</v>
      </c>
      <c r="G294">
        <v>6827591</v>
      </c>
      <c r="I294">
        <f t="shared" si="5"/>
        <v>2.6752863491155281E-4</v>
      </c>
    </row>
    <row r="295" spans="1:9" x14ac:dyDescent="0.3">
      <c r="A295" s="5">
        <v>42067</v>
      </c>
      <c r="B295">
        <v>35.420219000000003</v>
      </c>
      <c r="C295">
        <v>35.516337999999998</v>
      </c>
      <c r="D295">
        <v>34.002448999999999</v>
      </c>
      <c r="E295">
        <v>35.059769000000003</v>
      </c>
      <c r="F295">
        <v>33.431511</v>
      </c>
      <c r="G295">
        <v>16788681</v>
      </c>
      <c r="I295">
        <f t="shared" si="5"/>
        <v>1.2859695433158225E-3</v>
      </c>
    </row>
    <row r="296" spans="1:9" x14ac:dyDescent="0.3">
      <c r="A296" s="5">
        <v>42068</v>
      </c>
      <c r="B296">
        <v>34.675288999999999</v>
      </c>
      <c r="C296">
        <v>34.819468999999998</v>
      </c>
      <c r="D296">
        <v>34.170658000000003</v>
      </c>
      <c r="E296">
        <v>34.555140999999999</v>
      </c>
      <c r="F296">
        <v>32.950324999999999</v>
      </c>
      <c r="G296">
        <v>7139700</v>
      </c>
      <c r="I296">
        <f t="shared" si="5"/>
        <v>1.9565046135115529E-4</v>
      </c>
    </row>
    <row r="297" spans="1:9" x14ac:dyDescent="0.3">
      <c r="A297" s="5">
        <v>42069</v>
      </c>
      <c r="B297">
        <v>34.386929000000002</v>
      </c>
      <c r="C297">
        <v>34.987679</v>
      </c>
      <c r="D297">
        <v>34.194690999999999</v>
      </c>
      <c r="E297">
        <v>34.795440999999997</v>
      </c>
      <c r="F297">
        <v>33.179465999999998</v>
      </c>
      <c r="G297">
        <v>8322472</v>
      </c>
      <c r="I297">
        <f t="shared" si="5"/>
        <v>1.9305931075339571E-4</v>
      </c>
    </row>
    <row r="298" spans="1:9" x14ac:dyDescent="0.3">
      <c r="A298" s="5">
        <v>42072</v>
      </c>
      <c r="B298">
        <v>33.473788999999996</v>
      </c>
      <c r="C298">
        <v>33.61797</v>
      </c>
      <c r="D298">
        <v>32.056018999999999</v>
      </c>
      <c r="E298">
        <v>32.921101</v>
      </c>
      <c r="F298">
        <v>31.392168000000002</v>
      </c>
      <c r="G298">
        <v>32623096</v>
      </c>
      <c r="I298">
        <f t="shared" si="5"/>
        <v>1.2424673760163226E-3</v>
      </c>
    </row>
    <row r="299" spans="1:9" x14ac:dyDescent="0.3">
      <c r="A299" s="5">
        <v>42073</v>
      </c>
      <c r="B299">
        <v>32.752892000000003</v>
      </c>
      <c r="C299">
        <v>32.969158</v>
      </c>
      <c r="D299">
        <v>32.296322000000004</v>
      </c>
      <c r="E299">
        <v>32.440497999999998</v>
      </c>
      <c r="F299">
        <v>30.933886000000001</v>
      </c>
      <c r="G299">
        <v>14035913</v>
      </c>
      <c r="I299">
        <f t="shared" si="5"/>
        <v>1.6891360921111255E-4</v>
      </c>
    </row>
    <row r="300" spans="1:9" x14ac:dyDescent="0.3">
      <c r="A300" s="5">
        <v>42074</v>
      </c>
      <c r="B300">
        <v>32.632739999999998</v>
      </c>
      <c r="C300">
        <v>32.752892000000003</v>
      </c>
      <c r="D300">
        <v>32.440497999999998</v>
      </c>
      <c r="E300">
        <v>32.656768999999997</v>
      </c>
      <c r="F300">
        <v>31.140111999999998</v>
      </c>
      <c r="G300">
        <v>9652476</v>
      </c>
      <c r="I300">
        <f t="shared" si="5"/>
        <v>5.0061222048013488E-5</v>
      </c>
    </row>
    <row r="301" spans="1:9" x14ac:dyDescent="0.3">
      <c r="A301" s="5">
        <v>42075</v>
      </c>
      <c r="B301">
        <v>32.993191000000003</v>
      </c>
      <c r="C301">
        <v>33.353642000000001</v>
      </c>
      <c r="D301">
        <v>32.728859</v>
      </c>
      <c r="E301">
        <v>33.1614</v>
      </c>
      <c r="F301">
        <v>31.621310999999999</v>
      </c>
      <c r="G301">
        <v>8986226</v>
      </c>
      <c r="I301">
        <f t="shared" si="5"/>
        <v>1.6842071885414159E-4</v>
      </c>
    </row>
    <row r="302" spans="1:9" x14ac:dyDescent="0.3">
      <c r="A302" s="5">
        <v>42076</v>
      </c>
      <c r="B302">
        <v>32.993191000000003</v>
      </c>
      <c r="C302">
        <v>33.113337999999999</v>
      </c>
      <c r="D302">
        <v>32.248260000000002</v>
      </c>
      <c r="E302">
        <v>32.608711</v>
      </c>
      <c r="F302">
        <v>31.094290000000001</v>
      </c>
      <c r="G302">
        <v>7036704</v>
      </c>
      <c r="I302">
        <f t="shared" si="5"/>
        <v>3.0966400758963505E-4</v>
      </c>
    </row>
    <row r="303" spans="1:9" x14ac:dyDescent="0.3">
      <c r="A303" s="5">
        <v>42079</v>
      </c>
      <c r="B303">
        <v>32.776919999999997</v>
      </c>
      <c r="C303">
        <v>32.84901</v>
      </c>
      <c r="D303">
        <v>31.671538999999999</v>
      </c>
      <c r="E303">
        <v>31.935869</v>
      </c>
      <c r="F303">
        <v>30.452696</v>
      </c>
      <c r="G303">
        <v>12438119</v>
      </c>
      <c r="I303">
        <f t="shared" si="5"/>
        <v>3.4706760953836477E-4</v>
      </c>
    </row>
    <row r="304" spans="1:9" x14ac:dyDescent="0.3">
      <c r="A304" s="5">
        <v>42080</v>
      </c>
      <c r="B304">
        <v>31.599449</v>
      </c>
      <c r="C304">
        <v>31.815719999999999</v>
      </c>
      <c r="D304">
        <v>31.263029</v>
      </c>
      <c r="E304">
        <v>31.383181</v>
      </c>
      <c r="F304">
        <v>29.925674000000001</v>
      </c>
      <c r="G304">
        <v>12205285</v>
      </c>
      <c r="I304">
        <f t="shared" si="5"/>
        <v>1.3442350060137448E-4</v>
      </c>
    </row>
    <row r="305" spans="1:9" x14ac:dyDescent="0.3">
      <c r="A305" s="5">
        <v>42081</v>
      </c>
      <c r="B305">
        <v>31.263029</v>
      </c>
      <c r="C305">
        <v>32.272289000000001</v>
      </c>
      <c r="D305">
        <v>31.142879000000001</v>
      </c>
      <c r="E305">
        <v>31.911840000000002</v>
      </c>
      <c r="F305">
        <v>30.429780999999998</v>
      </c>
      <c r="G305">
        <v>23164295</v>
      </c>
      <c r="I305">
        <f t="shared" si="5"/>
        <v>4.5078784842283965E-4</v>
      </c>
    </row>
    <row r="306" spans="1:9" x14ac:dyDescent="0.3">
      <c r="A306" s="5">
        <v>42082</v>
      </c>
      <c r="B306">
        <v>31.623480000000001</v>
      </c>
      <c r="C306">
        <v>31.647511000000002</v>
      </c>
      <c r="D306">
        <v>30.710339999999999</v>
      </c>
      <c r="E306">
        <v>31.142879000000001</v>
      </c>
      <c r="F306">
        <v>29.696529000000002</v>
      </c>
      <c r="G306">
        <v>14340574</v>
      </c>
      <c r="I306">
        <f t="shared" si="5"/>
        <v>4.2201269034366178E-4</v>
      </c>
    </row>
    <row r="307" spans="1:9" x14ac:dyDescent="0.3">
      <c r="A307" s="5">
        <v>42083</v>
      </c>
      <c r="B307">
        <v>31.28706</v>
      </c>
      <c r="C307">
        <v>31.455271</v>
      </c>
      <c r="D307">
        <v>30.998698999999998</v>
      </c>
      <c r="E307">
        <v>31.166910000000001</v>
      </c>
      <c r="F307">
        <v>29.719446000000001</v>
      </c>
      <c r="G307">
        <v>16130795</v>
      </c>
      <c r="I307">
        <f t="shared" si="5"/>
        <v>9.9490759987870864E-5</v>
      </c>
    </row>
    <row r="308" spans="1:9" x14ac:dyDescent="0.3">
      <c r="A308" s="5">
        <v>42086</v>
      </c>
      <c r="B308">
        <v>31.094819999999999</v>
      </c>
      <c r="C308">
        <v>31.719601000000001</v>
      </c>
      <c r="D308">
        <v>30.998698999999998</v>
      </c>
      <c r="E308">
        <v>31.239000000000001</v>
      </c>
      <c r="F308">
        <v>29.788187000000001</v>
      </c>
      <c r="G308">
        <v>10528215</v>
      </c>
      <c r="I308">
        <f t="shared" si="5"/>
        <v>3.2763281548997688E-4</v>
      </c>
    </row>
    <row r="309" spans="1:9" x14ac:dyDescent="0.3">
      <c r="A309" s="5">
        <v>42087</v>
      </c>
      <c r="B309">
        <v>30.998698999999998</v>
      </c>
      <c r="C309">
        <v>31.503329999999998</v>
      </c>
      <c r="D309">
        <v>30.638249999999999</v>
      </c>
      <c r="E309">
        <v>31.455271</v>
      </c>
      <c r="F309">
        <v>29.994409999999998</v>
      </c>
      <c r="G309">
        <v>13435789</v>
      </c>
      <c r="I309">
        <f t="shared" si="5"/>
        <v>3.3246076242746651E-4</v>
      </c>
    </row>
    <row r="310" spans="1:9" x14ac:dyDescent="0.3">
      <c r="A310" s="5">
        <v>42088</v>
      </c>
      <c r="B310">
        <v>31.407209000000002</v>
      </c>
      <c r="C310">
        <v>31.887810000000002</v>
      </c>
      <c r="D310">
        <v>31.142879000000001</v>
      </c>
      <c r="E310">
        <v>31.166910000000001</v>
      </c>
      <c r="F310">
        <v>29.719446000000001</v>
      </c>
      <c r="G310">
        <v>10876654</v>
      </c>
      <c r="I310">
        <f t="shared" si="5"/>
        <v>3.5378328183001959E-4</v>
      </c>
    </row>
    <row r="311" spans="1:9" x14ac:dyDescent="0.3">
      <c r="A311" s="5">
        <v>42089</v>
      </c>
      <c r="B311">
        <v>30.90258</v>
      </c>
      <c r="C311">
        <v>31.263029</v>
      </c>
      <c r="D311">
        <v>30.854520999999998</v>
      </c>
      <c r="E311">
        <v>30.95064</v>
      </c>
      <c r="F311">
        <v>29.513221999999999</v>
      </c>
      <c r="G311">
        <v>12676571</v>
      </c>
      <c r="I311">
        <f t="shared" si="5"/>
        <v>1.2129970666784118E-4</v>
      </c>
    </row>
    <row r="312" spans="1:9" x14ac:dyDescent="0.3">
      <c r="A312" s="5">
        <v>42090</v>
      </c>
      <c r="B312">
        <v>30.830490000000001</v>
      </c>
      <c r="C312">
        <v>30.878550000000001</v>
      </c>
      <c r="D312">
        <v>30.397949000000001</v>
      </c>
      <c r="E312">
        <v>30.518101000000001</v>
      </c>
      <c r="F312">
        <v>29.100771000000002</v>
      </c>
      <c r="G312">
        <v>7071785</v>
      </c>
      <c r="I312">
        <f t="shared" si="5"/>
        <v>7.4026074454360983E-5</v>
      </c>
    </row>
    <row r="313" spans="1:9" x14ac:dyDescent="0.3">
      <c r="A313" s="5">
        <v>42093</v>
      </c>
      <c r="B313">
        <v>30.878550000000001</v>
      </c>
      <c r="C313">
        <v>31.263029</v>
      </c>
      <c r="D313">
        <v>30.710339999999999</v>
      </c>
      <c r="E313">
        <v>31.142879000000001</v>
      </c>
      <c r="F313">
        <v>29.696529000000002</v>
      </c>
      <c r="G313">
        <v>6711902</v>
      </c>
      <c r="I313">
        <f t="shared" si="5"/>
        <v>1.2404682217501288E-4</v>
      </c>
    </row>
    <row r="314" spans="1:9" x14ac:dyDescent="0.3">
      <c r="A314" s="5">
        <v>42094</v>
      </c>
      <c r="B314">
        <v>30.806459</v>
      </c>
      <c r="C314">
        <v>31.214970000000001</v>
      </c>
      <c r="D314">
        <v>30.758400000000002</v>
      </c>
      <c r="E314">
        <v>31.046761</v>
      </c>
      <c r="F314">
        <v>29.604876000000001</v>
      </c>
      <c r="G314">
        <v>9575239</v>
      </c>
      <c r="I314">
        <f t="shared" si="5"/>
        <v>8.5748464298209884E-5</v>
      </c>
    </row>
    <row r="315" spans="1:9" x14ac:dyDescent="0.3">
      <c r="A315" s="5">
        <v>42095</v>
      </c>
      <c r="B315">
        <v>31.022729999999999</v>
      </c>
      <c r="C315">
        <v>31.479299999999999</v>
      </c>
      <c r="D315">
        <v>30.90258</v>
      </c>
      <c r="E315">
        <v>31.239000000000001</v>
      </c>
      <c r="F315">
        <v>29.788187000000001</v>
      </c>
      <c r="G315">
        <v>15962921</v>
      </c>
      <c r="I315">
        <f t="shared" si="5"/>
        <v>1.5397126578929908E-4</v>
      </c>
    </row>
    <row r="316" spans="1:9" x14ac:dyDescent="0.3">
      <c r="A316" s="5">
        <v>42096</v>
      </c>
      <c r="B316">
        <v>31.046761</v>
      </c>
      <c r="C316">
        <v>31.911840000000002</v>
      </c>
      <c r="D316">
        <v>30.734369000000001</v>
      </c>
      <c r="E316">
        <v>31.575420000000001</v>
      </c>
      <c r="F316">
        <v>30.108984</v>
      </c>
      <c r="G316">
        <v>9750104</v>
      </c>
      <c r="I316">
        <f t="shared" si="5"/>
        <v>5.6428793022707388E-4</v>
      </c>
    </row>
    <row r="317" spans="1:9" x14ac:dyDescent="0.3">
      <c r="A317" s="5">
        <v>42100</v>
      </c>
      <c r="B317">
        <v>31.887810000000002</v>
      </c>
      <c r="C317">
        <v>32.296322000000004</v>
      </c>
      <c r="D317">
        <v>31.743628999999999</v>
      </c>
      <c r="E317">
        <v>32.104080000000003</v>
      </c>
      <c r="F317">
        <v>30.613091000000001</v>
      </c>
      <c r="G317">
        <v>9484811</v>
      </c>
      <c r="I317">
        <f t="shared" si="5"/>
        <v>1.2716680396113677E-4</v>
      </c>
    </row>
    <row r="318" spans="1:9" x14ac:dyDescent="0.3">
      <c r="A318" s="5">
        <v>42101</v>
      </c>
      <c r="B318">
        <v>32.416469999999997</v>
      </c>
      <c r="C318">
        <v>32.704830000000001</v>
      </c>
      <c r="D318">
        <v>32.248260000000002</v>
      </c>
      <c r="E318">
        <v>32.272289000000001</v>
      </c>
      <c r="F318">
        <v>30.773486999999999</v>
      </c>
      <c r="G318">
        <v>9525968</v>
      </c>
      <c r="I318">
        <f t="shared" si="5"/>
        <v>1.2178439176956533E-4</v>
      </c>
    </row>
    <row r="319" spans="1:9" x14ac:dyDescent="0.3">
      <c r="A319" s="5">
        <v>42102</v>
      </c>
      <c r="B319">
        <v>32.704830000000001</v>
      </c>
      <c r="C319">
        <v>33.1614</v>
      </c>
      <c r="D319">
        <v>32.536620999999997</v>
      </c>
      <c r="E319">
        <v>32.84901</v>
      </c>
      <c r="F319">
        <v>31.323426999999999</v>
      </c>
      <c r="G319">
        <v>17737703</v>
      </c>
      <c r="I319">
        <f t="shared" si="5"/>
        <v>1.8049217456638363E-4</v>
      </c>
    </row>
    <row r="320" spans="1:9" x14ac:dyDescent="0.3">
      <c r="A320" s="5">
        <v>42103</v>
      </c>
      <c r="B320">
        <v>32.248260000000002</v>
      </c>
      <c r="C320">
        <v>32.320351000000002</v>
      </c>
      <c r="D320">
        <v>31.142879000000001</v>
      </c>
      <c r="E320">
        <v>31.743628999999999</v>
      </c>
      <c r="F320">
        <v>30.269383999999999</v>
      </c>
      <c r="G320">
        <v>24279900</v>
      </c>
      <c r="I320">
        <f t="shared" si="5"/>
        <v>7.0660841013397253E-4</v>
      </c>
    </row>
    <row r="321" spans="1:9" x14ac:dyDescent="0.3">
      <c r="A321" s="5">
        <v>42104</v>
      </c>
      <c r="B321">
        <v>31.815719999999999</v>
      </c>
      <c r="C321">
        <v>31.887810000000002</v>
      </c>
      <c r="D321">
        <v>31.239000000000001</v>
      </c>
      <c r="E321">
        <v>31.599449</v>
      </c>
      <c r="F321">
        <v>30.131900999999999</v>
      </c>
      <c r="G321">
        <v>15169330</v>
      </c>
      <c r="I321">
        <f t="shared" si="5"/>
        <v>2.3042634249246149E-4</v>
      </c>
    </row>
    <row r="322" spans="1:9" x14ac:dyDescent="0.3">
      <c r="A322" s="5">
        <v>42107</v>
      </c>
      <c r="B322">
        <v>31.575420000000001</v>
      </c>
      <c r="C322">
        <v>32.152141999999998</v>
      </c>
      <c r="D322">
        <v>31.455271</v>
      </c>
      <c r="E322">
        <v>31.935869</v>
      </c>
      <c r="F322">
        <v>30.452696</v>
      </c>
      <c r="G322">
        <v>9541032</v>
      </c>
      <c r="I322">
        <f t="shared" si="5"/>
        <v>1.7997090457954297E-4</v>
      </c>
    </row>
    <row r="323" spans="1:9" x14ac:dyDescent="0.3">
      <c r="A323" s="5">
        <v>42108</v>
      </c>
      <c r="B323">
        <v>32.128109000000002</v>
      </c>
      <c r="C323">
        <v>32.296322000000004</v>
      </c>
      <c r="D323">
        <v>31.959900000000001</v>
      </c>
      <c r="E323">
        <v>32.128109000000002</v>
      </c>
      <c r="F323">
        <v>30.636006999999999</v>
      </c>
      <c r="G323">
        <v>9130670</v>
      </c>
      <c r="I323">
        <f t="shared" si="5"/>
        <v>5.4825081218929156E-5</v>
      </c>
    </row>
    <row r="324" spans="1:9" x14ac:dyDescent="0.3">
      <c r="A324" s="5">
        <v>42109</v>
      </c>
      <c r="B324">
        <v>32.200198999999998</v>
      </c>
      <c r="C324">
        <v>32.272289000000001</v>
      </c>
      <c r="D324">
        <v>31.911840000000002</v>
      </c>
      <c r="E324">
        <v>32.056018999999999</v>
      </c>
      <c r="F324">
        <v>30.567263000000001</v>
      </c>
      <c r="G324">
        <v>14400832</v>
      </c>
      <c r="I324">
        <f t="shared" si="5"/>
        <v>5.5587484600870061E-5</v>
      </c>
    </row>
    <row r="325" spans="1:9" x14ac:dyDescent="0.3">
      <c r="A325" s="5">
        <v>42110</v>
      </c>
      <c r="B325">
        <v>32.752892000000003</v>
      </c>
      <c r="C325">
        <v>32.921101</v>
      </c>
      <c r="D325">
        <v>32.296322000000004</v>
      </c>
      <c r="E325">
        <v>32.320351000000002</v>
      </c>
      <c r="F325">
        <v>30.819319</v>
      </c>
      <c r="G325">
        <v>18078985</v>
      </c>
      <c r="I325">
        <f t="shared" si="5"/>
        <v>1.0478127400110766E-4</v>
      </c>
    </row>
    <row r="326" spans="1:9" x14ac:dyDescent="0.3">
      <c r="A326" s="5">
        <v>42111</v>
      </c>
      <c r="B326">
        <v>32.176169999999999</v>
      </c>
      <c r="C326">
        <v>32.48856</v>
      </c>
      <c r="D326">
        <v>31.959900000000001</v>
      </c>
      <c r="E326">
        <v>32.344379000000004</v>
      </c>
      <c r="F326">
        <v>30.842230000000001</v>
      </c>
      <c r="G326">
        <v>9893134</v>
      </c>
      <c r="I326">
        <f t="shared" si="5"/>
        <v>1.2362200912120194E-4</v>
      </c>
    </row>
    <row r="327" spans="1:9" x14ac:dyDescent="0.3">
      <c r="A327" s="5">
        <v>42114</v>
      </c>
      <c r="B327">
        <v>32.512588999999998</v>
      </c>
      <c r="C327">
        <v>32.993191000000003</v>
      </c>
      <c r="D327">
        <v>32.344379000000004</v>
      </c>
      <c r="E327">
        <v>32.632739999999998</v>
      </c>
      <c r="F327">
        <v>31.117198999999999</v>
      </c>
      <c r="G327">
        <v>7364628</v>
      </c>
      <c r="I327">
        <f t="shared" si="5"/>
        <v>2.0723396798016334E-4</v>
      </c>
    </row>
    <row r="328" spans="1:9" x14ac:dyDescent="0.3">
      <c r="A328" s="5">
        <v>42115</v>
      </c>
      <c r="B328">
        <v>32.84901</v>
      </c>
      <c r="C328">
        <v>32.84901</v>
      </c>
      <c r="D328">
        <v>32.296322000000004</v>
      </c>
      <c r="E328">
        <v>32.48856</v>
      </c>
      <c r="F328">
        <v>30.979714999999999</v>
      </c>
      <c r="G328">
        <v>7323263</v>
      </c>
      <c r="I328">
        <f t="shared" si="5"/>
        <v>1.0070104724190701E-4</v>
      </c>
    </row>
    <row r="329" spans="1:9" x14ac:dyDescent="0.3">
      <c r="A329" s="5">
        <v>42116</v>
      </c>
      <c r="B329">
        <v>32.536620999999997</v>
      </c>
      <c r="C329">
        <v>32.632739999999998</v>
      </c>
      <c r="D329">
        <v>32.272289000000001</v>
      </c>
      <c r="E329">
        <v>32.608711</v>
      </c>
      <c r="F329">
        <v>31.094290000000001</v>
      </c>
      <c r="G329">
        <v>5732543</v>
      </c>
      <c r="I329">
        <f t="shared" si="5"/>
        <v>8.6768569171593855E-5</v>
      </c>
    </row>
    <row r="330" spans="1:9" x14ac:dyDescent="0.3">
      <c r="A330" s="5">
        <v>42117</v>
      </c>
      <c r="B330">
        <v>31.959900000000001</v>
      </c>
      <c r="C330">
        <v>32.248260000000002</v>
      </c>
      <c r="D330">
        <v>31.479299999999999</v>
      </c>
      <c r="E330">
        <v>31.69557</v>
      </c>
      <c r="F330">
        <v>30.223552999999999</v>
      </c>
      <c r="G330">
        <v>19165751</v>
      </c>
      <c r="I330">
        <f t="shared" si="5"/>
        <v>2.5901539620030111E-4</v>
      </c>
    </row>
    <row r="331" spans="1:9" x14ac:dyDescent="0.3">
      <c r="A331" s="5">
        <v>42118</v>
      </c>
      <c r="B331">
        <v>31.887810000000002</v>
      </c>
      <c r="C331">
        <v>31.935869</v>
      </c>
      <c r="D331">
        <v>31.647511000000002</v>
      </c>
      <c r="E331">
        <v>31.767659999999999</v>
      </c>
      <c r="F331">
        <v>30.292297000000001</v>
      </c>
      <c r="G331">
        <v>8515148</v>
      </c>
      <c r="I331">
        <f t="shared" si="5"/>
        <v>3.6616467859238272E-5</v>
      </c>
    </row>
    <row r="332" spans="1:9" x14ac:dyDescent="0.3">
      <c r="A332" s="5">
        <v>42121</v>
      </c>
      <c r="B332">
        <v>31.911840000000002</v>
      </c>
      <c r="C332">
        <v>32.752892000000003</v>
      </c>
      <c r="D332">
        <v>31.887810000000002</v>
      </c>
      <c r="E332">
        <v>32.320351000000002</v>
      </c>
      <c r="F332">
        <v>30.819319</v>
      </c>
      <c r="G332">
        <v>11902081</v>
      </c>
      <c r="I332">
        <f t="shared" ref="I332:I395" si="6">LN(C332/B332)*(LN(C332/B332)-LN(E332/B332))+LN(D332/B332)*(LN(D332/B332)-LN(E332/B332))</f>
        <v>3.5598606648174478E-4</v>
      </c>
    </row>
    <row r="333" spans="1:9" x14ac:dyDescent="0.3">
      <c r="A333" s="5">
        <v>42122</v>
      </c>
      <c r="B333">
        <v>32.536620999999997</v>
      </c>
      <c r="C333">
        <v>33.017220000000002</v>
      </c>
      <c r="D333">
        <v>32.320351000000002</v>
      </c>
      <c r="E333">
        <v>32.392440999999998</v>
      </c>
      <c r="F333">
        <v>30.888059999999999</v>
      </c>
      <c r="G333">
        <v>6221764</v>
      </c>
      <c r="I333">
        <f t="shared" si="6"/>
        <v>2.9498282662924108E-4</v>
      </c>
    </row>
    <row r="334" spans="1:9" x14ac:dyDescent="0.3">
      <c r="A334" s="5">
        <v>42123</v>
      </c>
      <c r="B334">
        <v>32.080050999999997</v>
      </c>
      <c r="C334">
        <v>32.752892000000003</v>
      </c>
      <c r="D334">
        <v>32.03199</v>
      </c>
      <c r="E334">
        <v>32.680801000000002</v>
      </c>
      <c r="F334">
        <v>31.163032999999999</v>
      </c>
      <c r="G334">
        <v>6195089</v>
      </c>
      <c r="I334">
        <f t="shared" si="6"/>
        <v>7.5802097287923001E-5</v>
      </c>
    </row>
    <row r="335" spans="1:9" x14ac:dyDescent="0.3">
      <c r="A335" s="5">
        <v>42124</v>
      </c>
      <c r="B335">
        <v>32.608711</v>
      </c>
      <c r="C335">
        <v>32.608711</v>
      </c>
      <c r="D335">
        <v>32.007961000000002</v>
      </c>
      <c r="E335">
        <v>32.248260000000002</v>
      </c>
      <c r="F335">
        <v>30.750579999999999</v>
      </c>
      <c r="G335">
        <v>10469122</v>
      </c>
      <c r="I335">
        <f t="shared" si="6"/>
        <v>1.3907866247802768E-4</v>
      </c>
    </row>
    <row r="336" spans="1:9" x14ac:dyDescent="0.3">
      <c r="A336" s="5">
        <v>42125</v>
      </c>
      <c r="B336">
        <v>32.440497999999998</v>
      </c>
      <c r="C336">
        <v>34.338870999999997</v>
      </c>
      <c r="D336">
        <v>32.392440999999998</v>
      </c>
      <c r="E336">
        <v>34.002448999999999</v>
      </c>
      <c r="F336">
        <v>32.423293999999999</v>
      </c>
      <c r="G336">
        <v>20958635</v>
      </c>
      <c r="I336">
        <f t="shared" si="6"/>
        <v>6.3182500732543315E-4</v>
      </c>
    </row>
    <row r="337" spans="1:9" x14ac:dyDescent="0.3">
      <c r="A337" s="5">
        <v>42128</v>
      </c>
      <c r="B337">
        <v>33.954391000000001</v>
      </c>
      <c r="C337">
        <v>34.242747999999999</v>
      </c>
      <c r="D337">
        <v>33.666030999999997</v>
      </c>
      <c r="E337">
        <v>33.666030999999997</v>
      </c>
      <c r="F337">
        <v>32.102505000000001</v>
      </c>
      <c r="G337">
        <v>7292052</v>
      </c>
      <c r="I337">
        <f t="shared" si="6"/>
        <v>1.4363960269001919E-4</v>
      </c>
    </row>
    <row r="338" spans="1:9" x14ac:dyDescent="0.3">
      <c r="A338" s="5">
        <v>42129</v>
      </c>
      <c r="B338">
        <v>33.954391000000001</v>
      </c>
      <c r="C338">
        <v>34.026482000000001</v>
      </c>
      <c r="D338">
        <v>33.1614</v>
      </c>
      <c r="E338">
        <v>33.209460999999997</v>
      </c>
      <c r="F338">
        <v>31.667148999999998</v>
      </c>
      <c r="G338">
        <v>6519892</v>
      </c>
      <c r="I338">
        <f t="shared" si="6"/>
        <v>8.5772157256964847E-5</v>
      </c>
    </row>
    <row r="339" spans="1:9" x14ac:dyDescent="0.3">
      <c r="A339" s="5">
        <v>42130</v>
      </c>
      <c r="B339">
        <v>33.497821999999999</v>
      </c>
      <c r="C339">
        <v>33.569907999999998</v>
      </c>
      <c r="D339">
        <v>32.800949000000003</v>
      </c>
      <c r="E339">
        <v>32.921101</v>
      </c>
      <c r="F339">
        <v>31.392168000000002</v>
      </c>
      <c r="G339">
        <v>5770995</v>
      </c>
      <c r="I339">
        <f t="shared" si="6"/>
        <v>1.1882089606139405E-4</v>
      </c>
    </row>
    <row r="340" spans="1:9" x14ac:dyDescent="0.3">
      <c r="A340" s="5">
        <v>42131</v>
      </c>
      <c r="B340">
        <v>32.680801000000002</v>
      </c>
      <c r="C340">
        <v>33.113337999999999</v>
      </c>
      <c r="D340">
        <v>32.344379000000004</v>
      </c>
      <c r="E340">
        <v>32.945129000000001</v>
      </c>
      <c r="F340">
        <v>31.484020000000001</v>
      </c>
      <c r="G340">
        <v>5345360</v>
      </c>
      <c r="I340">
        <f t="shared" si="6"/>
        <v>2.5738866963811758E-4</v>
      </c>
    </row>
    <row r="341" spans="1:9" x14ac:dyDescent="0.3">
      <c r="A341" s="5">
        <v>42132</v>
      </c>
      <c r="B341">
        <v>33.257519000000002</v>
      </c>
      <c r="C341">
        <v>33.353642000000001</v>
      </c>
      <c r="D341">
        <v>32.800949000000003</v>
      </c>
      <c r="E341">
        <v>33.209460999999997</v>
      </c>
      <c r="F341">
        <v>31.736644999999999</v>
      </c>
      <c r="G341">
        <v>5215397</v>
      </c>
      <c r="I341">
        <f t="shared" si="6"/>
        <v>1.8360056365691614E-4</v>
      </c>
    </row>
    <row r="342" spans="1:9" x14ac:dyDescent="0.3">
      <c r="A342" s="5">
        <v>42135</v>
      </c>
      <c r="B342">
        <v>33.305579999999999</v>
      </c>
      <c r="C342">
        <v>33.377670000000002</v>
      </c>
      <c r="D342">
        <v>32.728859</v>
      </c>
      <c r="E342">
        <v>32.800949000000003</v>
      </c>
      <c r="F342">
        <v>31.346233000000002</v>
      </c>
      <c r="G342">
        <v>4553516</v>
      </c>
      <c r="I342">
        <f t="shared" si="6"/>
        <v>7.6118630057746134E-5</v>
      </c>
    </row>
    <row r="343" spans="1:9" x14ac:dyDescent="0.3">
      <c r="A343" s="5">
        <v>42136</v>
      </c>
      <c r="B343">
        <v>32.632739999999998</v>
      </c>
      <c r="C343">
        <v>32.824981999999999</v>
      </c>
      <c r="D343">
        <v>32.48856</v>
      </c>
      <c r="E343">
        <v>32.560650000000003</v>
      </c>
      <c r="F343">
        <v>31.116592000000001</v>
      </c>
      <c r="G343">
        <v>5127382</v>
      </c>
      <c r="I343">
        <f t="shared" si="6"/>
        <v>5.730644905432817E-5</v>
      </c>
    </row>
    <row r="344" spans="1:9" x14ac:dyDescent="0.3">
      <c r="A344" s="5">
        <v>42137</v>
      </c>
      <c r="B344">
        <v>32.656768999999997</v>
      </c>
      <c r="C344">
        <v>33.329608999999998</v>
      </c>
      <c r="D344">
        <v>32.656768999999997</v>
      </c>
      <c r="E344">
        <v>32.752892000000003</v>
      </c>
      <c r="F344">
        <v>31.30031</v>
      </c>
      <c r="G344">
        <v>6376280</v>
      </c>
      <c r="I344">
        <f t="shared" si="6"/>
        <v>3.5597529904469457E-4</v>
      </c>
    </row>
    <row r="345" spans="1:9" x14ac:dyDescent="0.3">
      <c r="A345" s="5">
        <v>42138</v>
      </c>
      <c r="B345">
        <v>33.065280999999999</v>
      </c>
      <c r="C345">
        <v>33.281551</v>
      </c>
      <c r="D345">
        <v>32.752892000000003</v>
      </c>
      <c r="E345">
        <v>32.776919999999997</v>
      </c>
      <c r="F345">
        <v>31.323274999999999</v>
      </c>
      <c r="G345">
        <v>4640616</v>
      </c>
      <c r="I345">
        <f t="shared" si="6"/>
        <v>1.0656869528679433E-4</v>
      </c>
    </row>
    <row r="346" spans="1:9" x14ac:dyDescent="0.3">
      <c r="A346" s="5">
        <v>42139</v>
      </c>
      <c r="B346">
        <v>32.776919999999997</v>
      </c>
      <c r="C346">
        <v>32.800949000000003</v>
      </c>
      <c r="D346">
        <v>32.464531000000001</v>
      </c>
      <c r="E346">
        <v>32.536620999999997</v>
      </c>
      <c r="F346">
        <v>31.093636</v>
      </c>
      <c r="G346">
        <v>3870662</v>
      </c>
      <c r="I346">
        <f t="shared" si="6"/>
        <v>2.7171254743407475E-5</v>
      </c>
    </row>
    <row r="347" spans="1:9" x14ac:dyDescent="0.3">
      <c r="A347" s="5">
        <v>42142</v>
      </c>
      <c r="B347">
        <v>32.48856</v>
      </c>
      <c r="C347">
        <v>32.512588999999998</v>
      </c>
      <c r="D347">
        <v>31.959900000000001</v>
      </c>
      <c r="E347">
        <v>32.200198999999998</v>
      </c>
      <c r="F347">
        <v>30.772124999999999</v>
      </c>
      <c r="G347">
        <v>6537120</v>
      </c>
      <c r="I347">
        <f t="shared" si="6"/>
        <v>1.3002985594897626E-4</v>
      </c>
    </row>
    <row r="348" spans="1:9" x14ac:dyDescent="0.3">
      <c r="A348" s="5">
        <v>42143</v>
      </c>
      <c r="B348">
        <v>32.056018999999999</v>
      </c>
      <c r="C348">
        <v>32.128109000000002</v>
      </c>
      <c r="D348">
        <v>31.31109</v>
      </c>
      <c r="E348">
        <v>31.431239999999999</v>
      </c>
      <c r="F348">
        <v>30.037272999999999</v>
      </c>
      <c r="G348">
        <v>12825759</v>
      </c>
      <c r="I348">
        <f t="shared" si="6"/>
        <v>1.3931252271323191E-4</v>
      </c>
    </row>
    <row r="349" spans="1:9" x14ac:dyDescent="0.3">
      <c r="A349" s="5">
        <v>42144</v>
      </c>
      <c r="B349">
        <v>31.551390000000001</v>
      </c>
      <c r="C349">
        <v>31.623480000000001</v>
      </c>
      <c r="D349">
        <v>31.28706</v>
      </c>
      <c r="E349">
        <v>31.407209000000002</v>
      </c>
      <c r="F349">
        <v>30.014309000000001</v>
      </c>
      <c r="G349">
        <v>6775697</v>
      </c>
      <c r="I349">
        <f t="shared" si="6"/>
        <v>4.7907736307508617E-5</v>
      </c>
    </row>
    <row r="350" spans="1:9" x14ac:dyDescent="0.3">
      <c r="A350" s="5">
        <v>42145</v>
      </c>
      <c r="B350">
        <v>31.479299999999999</v>
      </c>
      <c r="C350">
        <v>31.503329999999998</v>
      </c>
      <c r="D350">
        <v>31.214970000000001</v>
      </c>
      <c r="E350">
        <v>31.239000000000001</v>
      </c>
      <c r="F350">
        <v>29.853559000000001</v>
      </c>
      <c r="G350">
        <v>7028756</v>
      </c>
      <c r="I350">
        <f t="shared" si="6"/>
        <v>1.291851903345303E-5</v>
      </c>
    </row>
    <row r="351" spans="1:9" x14ac:dyDescent="0.3">
      <c r="A351" s="5">
        <v>42146</v>
      </c>
      <c r="B351">
        <v>31.214970000000001</v>
      </c>
      <c r="C351">
        <v>31.35915</v>
      </c>
      <c r="D351">
        <v>31.070789000000001</v>
      </c>
      <c r="E351">
        <v>31.094819999999999</v>
      </c>
      <c r="F351">
        <v>29.715775000000001</v>
      </c>
      <c r="G351">
        <v>5460633</v>
      </c>
      <c r="I351">
        <f t="shared" si="6"/>
        <v>4.2587899701080961E-5</v>
      </c>
    </row>
    <row r="352" spans="1:9" x14ac:dyDescent="0.3">
      <c r="A352" s="5">
        <v>42150</v>
      </c>
      <c r="B352">
        <v>31.022729999999999</v>
      </c>
      <c r="C352">
        <v>31.022729999999999</v>
      </c>
      <c r="D352">
        <v>30.421980000000001</v>
      </c>
      <c r="E352">
        <v>30.662279000000002</v>
      </c>
      <c r="F352">
        <v>29.302417999999999</v>
      </c>
      <c r="G352">
        <v>9174365</v>
      </c>
      <c r="I352">
        <f t="shared" si="6"/>
        <v>1.5385372116538828E-4</v>
      </c>
    </row>
    <row r="353" spans="1:9" x14ac:dyDescent="0.3">
      <c r="A353" s="5">
        <v>42151</v>
      </c>
      <c r="B353">
        <v>30.61422</v>
      </c>
      <c r="C353">
        <v>30.878550000000001</v>
      </c>
      <c r="D353">
        <v>30.470039</v>
      </c>
      <c r="E353">
        <v>30.734369000000001</v>
      </c>
      <c r="F353">
        <v>29.371307000000002</v>
      </c>
      <c r="G353">
        <v>6888972</v>
      </c>
      <c r="I353">
        <f t="shared" si="6"/>
        <v>8.1012804274453693E-5</v>
      </c>
    </row>
    <row r="354" spans="1:9" x14ac:dyDescent="0.3">
      <c r="A354" s="5">
        <v>42152</v>
      </c>
      <c r="B354">
        <v>30.494070000000001</v>
      </c>
      <c r="C354">
        <v>30.590191000000001</v>
      </c>
      <c r="D354">
        <v>30.205708999999999</v>
      </c>
      <c r="E354">
        <v>30.470039</v>
      </c>
      <c r="F354">
        <v>29.118701999999999</v>
      </c>
      <c r="G354">
        <v>7518935</v>
      </c>
      <c r="I354">
        <f t="shared" si="6"/>
        <v>9.5169816275251788E-5</v>
      </c>
    </row>
    <row r="355" spans="1:9" x14ac:dyDescent="0.3">
      <c r="A355" s="5">
        <v>42153</v>
      </c>
      <c r="B355">
        <v>30.325859000000001</v>
      </c>
      <c r="C355">
        <v>30.397949000000001</v>
      </c>
      <c r="D355">
        <v>29.893319999999999</v>
      </c>
      <c r="E355">
        <v>30.037500000000001</v>
      </c>
      <c r="F355">
        <v>28.705345000000001</v>
      </c>
      <c r="G355">
        <v>9207948</v>
      </c>
      <c r="I355">
        <f t="shared" si="6"/>
        <v>9.744418275704772E-5</v>
      </c>
    </row>
    <row r="356" spans="1:9" x14ac:dyDescent="0.3">
      <c r="A356" s="5">
        <v>42156</v>
      </c>
      <c r="B356">
        <v>30.133618999999999</v>
      </c>
      <c r="C356">
        <v>30.15765</v>
      </c>
      <c r="D356">
        <v>29.532869000000002</v>
      </c>
      <c r="E356">
        <v>29.845261000000001</v>
      </c>
      <c r="F356">
        <v>28.521636999999998</v>
      </c>
      <c r="G356">
        <v>5834915</v>
      </c>
      <c r="I356">
        <f t="shared" si="6"/>
        <v>2.2019290268683183E-4</v>
      </c>
    </row>
    <row r="357" spans="1:9" x14ac:dyDescent="0.3">
      <c r="A357" s="5">
        <v>42157</v>
      </c>
      <c r="B357">
        <v>29.845261000000001</v>
      </c>
      <c r="C357">
        <v>30.758400000000002</v>
      </c>
      <c r="D357">
        <v>29.82123</v>
      </c>
      <c r="E357">
        <v>30.325859000000001</v>
      </c>
      <c r="F357">
        <v>28.980913000000001</v>
      </c>
      <c r="G357">
        <v>7900624</v>
      </c>
      <c r="I357">
        <f t="shared" si="6"/>
        <v>4.4032816014240046E-4</v>
      </c>
    </row>
    <row r="358" spans="1:9" x14ac:dyDescent="0.3">
      <c r="A358" s="5">
        <v>42158</v>
      </c>
      <c r="B358">
        <v>30.349889999999998</v>
      </c>
      <c r="C358">
        <v>30.758400000000002</v>
      </c>
      <c r="D358">
        <v>30.277799999999999</v>
      </c>
      <c r="E358">
        <v>30.301829999999999</v>
      </c>
      <c r="F358">
        <v>28.957958000000001</v>
      </c>
      <c r="G358">
        <v>6128881</v>
      </c>
      <c r="I358">
        <f t="shared" si="6"/>
        <v>2.0183878814424101E-4</v>
      </c>
    </row>
    <row r="359" spans="1:9" x14ac:dyDescent="0.3">
      <c r="A359" s="5">
        <v>42159</v>
      </c>
      <c r="B359">
        <v>30.109591000000002</v>
      </c>
      <c r="C359">
        <v>30.397949000000001</v>
      </c>
      <c r="D359">
        <v>29.965409999999999</v>
      </c>
      <c r="E359">
        <v>30.037500000000001</v>
      </c>
      <c r="F359">
        <v>28.705345000000001</v>
      </c>
      <c r="G359">
        <v>5840200</v>
      </c>
      <c r="I359">
        <f t="shared" si="6"/>
        <v>1.2522937819629961E-4</v>
      </c>
    </row>
    <row r="360" spans="1:9" x14ac:dyDescent="0.3">
      <c r="A360" s="5">
        <v>42160</v>
      </c>
      <c r="B360">
        <v>29.917351</v>
      </c>
      <c r="C360">
        <v>30.013470000000002</v>
      </c>
      <c r="D360">
        <v>29.677050000000001</v>
      </c>
      <c r="E360">
        <v>29.845261000000001</v>
      </c>
      <c r="F360">
        <v>28.521636999999998</v>
      </c>
      <c r="G360">
        <v>7181773</v>
      </c>
      <c r="I360">
        <f t="shared" si="6"/>
        <v>6.3609239538200968E-5</v>
      </c>
    </row>
    <row r="361" spans="1:9" x14ac:dyDescent="0.3">
      <c r="A361" s="5">
        <v>42163</v>
      </c>
      <c r="B361">
        <v>29.797198999999999</v>
      </c>
      <c r="C361">
        <v>29.845261000000001</v>
      </c>
      <c r="D361">
        <v>29.41272</v>
      </c>
      <c r="E361">
        <v>29.43675</v>
      </c>
      <c r="F361">
        <v>28.131240999999999</v>
      </c>
      <c r="G361">
        <v>7347566</v>
      </c>
      <c r="I361">
        <f t="shared" si="6"/>
        <v>3.2818422510970638E-5</v>
      </c>
    </row>
    <row r="362" spans="1:9" x14ac:dyDescent="0.3">
      <c r="A362" s="5">
        <v>42164</v>
      </c>
      <c r="B362">
        <v>29.48481</v>
      </c>
      <c r="C362">
        <v>29.653020999999999</v>
      </c>
      <c r="D362">
        <v>29.196449000000001</v>
      </c>
      <c r="E362">
        <v>29.292570000000001</v>
      </c>
      <c r="F362">
        <v>27.993455999999998</v>
      </c>
      <c r="G362">
        <v>6256221</v>
      </c>
      <c r="I362">
        <f t="shared" si="6"/>
        <v>1.0187771614463043E-4</v>
      </c>
    </row>
    <row r="363" spans="1:9" x14ac:dyDescent="0.3">
      <c r="A363" s="5">
        <v>42165</v>
      </c>
      <c r="B363">
        <v>29.508841</v>
      </c>
      <c r="C363">
        <v>29.604959000000001</v>
      </c>
      <c r="D363">
        <v>29.172421</v>
      </c>
      <c r="E363">
        <v>29.244510999999999</v>
      </c>
      <c r="F363">
        <v>27.947523</v>
      </c>
      <c r="G363">
        <v>6789680</v>
      </c>
      <c r="I363">
        <f t="shared" si="6"/>
        <v>6.8136365743458238E-5</v>
      </c>
    </row>
    <row r="364" spans="1:9" x14ac:dyDescent="0.3">
      <c r="A364" s="5">
        <v>42166</v>
      </c>
      <c r="B364">
        <v>29.244510999999999</v>
      </c>
      <c r="C364">
        <v>29.292570000000001</v>
      </c>
      <c r="D364">
        <v>28.908090999999999</v>
      </c>
      <c r="E364">
        <v>29.052271000000001</v>
      </c>
      <c r="F364">
        <v>27.763812999999999</v>
      </c>
      <c r="G364">
        <v>6413442</v>
      </c>
      <c r="I364">
        <f t="shared" si="6"/>
        <v>7.1089753829430854E-5</v>
      </c>
    </row>
    <row r="365" spans="1:9" x14ac:dyDescent="0.3">
      <c r="A365" s="5">
        <v>42167</v>
      </c>
      <c r="B365">
        <v>29.00421</v>
      </c>
      <c r="C365">
        <v>29.220479999999998</v>
      </c>
      <c r="D365">
        <v>28.884060000000002</v>
      </c>
      <c r="E365">
        <v>28.980181000000002</v>
      </c>
      <c r="F365">
        <v>27.69492</v>
      </c>
      <c r="G365">
        <v>6051727</v>
      </c>
      <c r="I365">
        <f t="shared" si="6"/>
        <v>7.5135983631460765E-5</v>
      </c>
    </row>
    <row r="366" spans="1:9" x14ac:dyDescent="0.3">
      <c r="A366" s="5">
        <v>42170</v>
      </c>
      <c r="B366">
        <v>28.763909999999999</v>
      </c>
      <c r="C366">
        <v>29.10033</v>
      </c>
      <c r="D366">
        <v>28.643761000000001</v>
      </c>
      <c r="E366">
        <v>28.835999999999999</v>
      </c>
      <c r="F366">
        <v>27.557130999999998</v>
      </c>
      <c r="G366">
        <v>5308032</v>
      </c>
      <c r="I366">
        <f t="shared" si="6"/>
        <v>1.3410354878827971E-4</v>
      </c>
    </row>
    <row r="367" spans="1:9" x14ac:dyDescent="0.3">
      <c r="A367" s="5">
        <v>42171</v>
      </c>
      <c r="B367">
        <v>28.763909999999999</v>
      </c>
      <c r="C367">
        <v>28.956150000000001</v>
      </c>
      <c r="D367">
        <v>28.643761000000001</v>
      </c>
      <c r="E367">
        <v>28.884060000000002</v>
      </c>
      <c r="F367">
        <v>27.603058000000001</v>
      </c>
      <c r="G367">
        <v>4998252</v>
      </c>
      <c r="I367">
        <f t="shared" si="6"/>
        <v>5.1573768918166988E-5</v>
      </c>
    </row>
    <row r="368" spans="1:9" x14ac:dyDescent="0.3">
      <c r="A368" s="5">
        <v>42172</v>
      </c>
      <c r="B368">
        <v>28.908090999999999</v>
      </c>
      <c r="C368">
        <v>28.932119</v>
      </c>
      <c r="D368">
        <v>28.475549999999998</v>
      </c>
      <c r="E368">
        <v>28.739879999999999</v>
      </c>
      <c r="F368">
        <v>27.465277</v>
      </c>
      <c r="G368">
        <v>6135248</v>
      </c>
      <c r="I368">
        <f t="shared" si="6"/>
        <v>1.448365754192184E-4</v>
      </c>
    </row>
    <row r="369" spans="1:9" x14ac:dyDescent="0.3">
      <c r="A369" s="5">
        <v>42173</v>
      </c>
      <c r="B369">
        <v>28.835999999999999</v>
      </c>
      <c r="C369">
        <v>29.00421</v>
      </c>
      <c r="D369">
        <v>28.523609</v>
      </c>
      <c r="E369">
        <v>28.643761000000001</v>
      </c>
      <c r="F369">
        <v>27.373417</v>
      </c>
      <c r="G369">
        <v>5586267</v>
      </c>
      <c r="I369">
        <f t="shared" si="6"/>
        <v>1.1852264182942552E-4</v>
      </c>
    </row>
    <row r="370" spans="1:9" x14ac:dyDescent="0.3">
      <c r="A370" s="5">
        <v>42174</v>
      </c>
      <c r="B370">
        <v>28.595699</v>
      </c>
      <c r="C370">
        <v>28.835999999999999</v>
      </c>
      <c r="D370">
        <v>28.499580000000002</v>
      </c>
      <c r="E370">
        <v>28.667788999999999</v>
      </c>
      <c r="F370">
        <v>27.396383</v>
      </c>
      <c r="G370">
        <v>7951144</v>
      </c>
      <c r="I370">
        <f t="shared" si="6"/>
        <v>6.8772198954759051E-5</v>
      </c>
    </row>
    <row r="371" spans="1:9" x14ac:dyDescent="0.3">
      <c r="A371" s="5">
        <v>42177</v>
      </c>
      <c r="B371">
        <v>28.595699</v>
      </c>
      <c r="C371">
        <v>28.595699</v>
      </c>
      <c r="D371">
        <v>28.091069999999998</v>
      </c>
      <c r="E371">
        <v>28.259278999999999</v>
      </c>
      <c r="F371">
        <v>27.005989</v>
      </c>
      <c r="G371">
        <v>10027258</v>
      </c>
      <c r="I371">
        <f t="shared" si="6"/>
        <v>1.0629574337155982E-4</v>
      </c>
    </row>
    <row r="372" spans="1:9" x14ac:dyDescent="0.3">
      <c r="A372" s="5">
        <v>42178</v>
      </c>
      <c r="B372">
        <v>28.331368999999999</v>
      </c>
      <c r="C372">
        <v>28.427489999999999</v>
      </c>
      <c r="D372">
        <v>28.139130000000002</v>
      </c>
      <c r="E372">
        <v>28.211220000000001</v>
      </c>
      <c r="F372">
        <v>26.960059999999999</v>
      </c>
      <c r="G372">
        <v>6852143</v>
      </c>
      <c r="I372">
        <f t="shared" si="6"/>
        <v>4.3286530130562595E-5</v>
      </c>
    </row>
    <row r="373" spans="1:9" x14ac:dyDescent="0.3">
      <c r="A373" s="5">
        <v>42179</v>
      </c>
      <c r="B373">
        <v>28.139130000000002</v>
      </c>
      <c r="C373">
        <v>28.475549999999998</v>
      </c>
      <c r="D373">
        <v>28.091069999999998</v>
      </c>
      <c r="E373">
        <v>28.211220000000001</v>
      </c>
      <c r="F373">
        <v>26.960059999999999</v>
      </c>
      <c r="G373">
        <v>7503079</v>
      </c>
      <c r="I373">
        <f t="shared" si="6"/>
        <v>1.1813304551161163E-4</v>
      </c>
    </row>
    <row r="374" spans="1:9" x14ac:dyDescent="0.3">
      <c r="A374" s="5">
        <v>42180</v>
      </c>
      <c r="B374">
        <v>28.259278999999999</v>
      </c>
      <c r="C374">
        <v>28.28331</v>
      </c>
      <c r="D374">
        <v>27.754650000000002</v>
      </c>
      <c r="E374">
        <v>27.802710000000001</v>
      </c>
      <c r="F374">
        <v>26.569672000000001</v>
      </c>
      <c r="G374">
        <v>6462588</v>
      </c>
      <c r="I374">
        <f t="shared" si="6"/>
        <v>4.5741697727448383E-5</v>
      </c>
    </row>
    <row r="375" spans="1:9" x14ac:dyDescent="0.3">
      <c r="A375" s="5">
        <v>42181</v>
      </c>
      <c r="B375">
        <v>27.826740000000001</v>
      </c>
      <c r="C375">
        <v>28.259278999999999</v>
      </c>
      <c r="D375">
        <v>27.778680999999999</v>
      </c>
      <c r="E375">
        <v>28.091069999999998</v>
      </c>
      <c r="F375">
        <v>26.845236</v>
      </c>
      <c r="G375">
        <v>6763754</v>
      </c>
      <c r="I375">
        <f t="shared" si="6"/>
        <v>1.1141632327412897E-4</v>
      </c>
    </row>
    <row r="376" spans="1:9" x14ac:dyDescent="0.3">
      <c r="A376" s="5">
        <v>42184</v>
      </c>
      <c r="B376">
        <v>27.586438999999999</v>
      </c>
      <c r="C376">
        <v>27.89883</v>
      </c>
      <c r="D376">
        <v>27.250019000000002</v>
      </c>
      <c r="E376">
        <v>27.274049999999999</v>
      </c>
      <c r="F376">
        <v>26.064454999999999</v>
      </c>
      <c r="G376">
        <v>8292426</v>
      </c>
      <c r="I376">
        <f t="shared" si="6"/>
        <v>2.6585418298396126E-4</v>
      </c>
    </row>
    <row r="377" spans="1:9" x14ac:dyDescent="0.3">
      <c r="A377" s="5">
        <v>42185</v>
      </c>
      <c r="B377">
        <v>27.514351000000001</v>
      </c>
      <c r="C377">
        <v>27.634501</v>
      </c>
      <c r="D377">
        <v>26.793448999999999</v>
      </c>
      <c r="E377">
        <v>26.793448999999999</v>
      </c>
      <c r="F377">
        <v>25.605170999999999</v>
      </c>
      <c r="G377">
        <v>9414440</v>
      </c>
      <c r="I377">
        <f t="shared" si="6"/>
        <v>1.3467389434708489E-4</v>
      </c>
    </row>
    <row r="378" spans="1:9" x14ac:dyDescent="0.3">
      <c r="A378" s="5">
        <v>42186</v>
      </c>
      <c r="B378">
        <v>26.913601</v>
      </c>
      <c r="C378">
        <v>26.985689000000001</v>
      </c>
      <c r="D378">
        <v>26.288820000000001</v>
      </c>
      <c r="E378">
        <v>26.601209999999998</v>
      </c>
      <c r="F378">
        <v>25.421453</v>
      </c>
      <c r="G378">
        <v>11789804</v>
      </c>
      <c r="I378">
        <f t="shared" si="6"/>
        <v>3.1584778908609856E-4</v>
      </c>
    </row>
    <row r="379" spans="1:9" x14ac:dyDescent="0.3">
      <c r="A379" s="5">
        <v>42187</v>
      </c>
      <c r="B379">
        <v>26.649269</v>
      </c>
      <c r="C379">
        <v>26.985689000000001</v>
      </c>
      <c r="D379">
        <v>26.529119000000001</v>
      </c>
      <c r="E379">
        <v>26.673300000000001</v>
      </c>
      <c r="F379">
        <v>25.490348999999998</v>
      </c>
      <c r="G379">
        <v>6013733</v>
      </c>
      <c r="I379">
        <f t="shared" si="6"/>
        <v>1.7056103908341894E-4</v>
      </c>
    </row>
    <row r="380" spans="1:9" x14ac:dyDescent="0.3">
      <c r="A380" s="5">
        <v>42191</v>
      </c>
      <c r="B380">
        <v>26.312850999999998</v>
      </c>
      <c r="C380">
        <v>26.74539</v>
      </c>
      <c r="D380">
        <v>26.240760999999999</v>
      </c>
      <c r="E380">
        <v>26.505091</v>
      </c>
      <c r="F380">
        <v>25.329599000000002</v>
      </c>
      <c r="G380">
        <v>7507407</v>
      </c>
      <c r="I380">
        <f t="shared" si="6"/>
        <v>1.746520358662411E-4</v>
      </c>
    </row>
    <row r="381" spans="1:9" x14ac:dyDescent="0.3">
      <c r="A381" s="5">
        <v>42192</v>
      </c>
      <c r="B381">
        <v>26.336880000000001</v>
      </c>
      <c r="C381">
        <v>26.697330000000001</v>
      </c>
      <c r="D381">
        <v>25.423739999999999</v>
      </c>
      <c r="E381">
        <v>26.577181</v>
      </c>
      <c r="F381">
        <v>25.398489000000001</v>
      </c>
      <c r="G381">
        <v>13095547</v>
      </c>
      <c r="I381">
        <f t="shared" si="6"/>
        <v>1.6269775329110794E-3</v>
      </c>
    </row>
    <row r="382" spans="1:9" x14ac:dyDescent="0.3">
      <c r="A382" s="5">
        <v>42193</v>
      </c>
      <c r="B382">
        <v>26.312850999999998</v>
      </c>
      <c r="C382">
        <v>26.433001000000001</v>
      </c>
      <c r="D382">
        <v>24.967171</v>
      </c>
      <c r="E382">
        <v>25.231501000000002</v>
      </c>
      <c r="F382">
        <v>24.112494000000002</v>
      </c>
      <c r="G382">
        <v>19133000</v>
      </c>
      <c r="I382">
        <f t="shared" si="6"/>
        <v>7.647920296924046E-4</v>
      </c>
    </row>
    <row r="383" spans="1:9" x14ac:dyDescent="0.3">
      <c r="A383" s="5">
        <v>42194</v>
      </c>
      <c r="B383">
        <v>25.808219999999999</v>
      </c>
      <c r="C383">
        <v>26.360910000000001</v>
      </c>
      <c r="D383">
        <v>25.399709999999999</v>
      </c>
      <c r="E383">
        <v>25.447769000000001</v>
      </c>
      <c r="F383">
        <v>24.319164000000001</v>
      </c>
      <c r="G383">
        <v>16702455</v>
      </c>
      <c r="I383">
        <f t="shared" si="6"/>
        <v>7.771674069842622E-4</v>
      </c>
    </row>
    <row r="384" spans="1:9" x14ac:dyDescent="0.3">
      <c r="A384" s="5">
        <v>42195</v>
      </c>
      <c r="B384">
        <v>25.880310000000001</v>
      </c>
      <c r="C384">
        <v>26.120609000000002</v>
      </c>
      <c r="D384">
        <v>25.495830999999999</v>
      </c>
      <c r="E384">
        <v>25.543890000000001</v>
      </c>
      <c r="F384">
        <v>24.411028000000002</v>
      </c>
      <c r="G384">
        <v>9911902</v>
      </c>
      <c r="I384">
        <f t="shared" si="6"/>
        <v>2.3453187563724122E-4</v>
      </c>
    </row>
    <row r="385" spans="1:9" x14ac:dyDescent="0.3">
      <c r="A385" s="5">
        <v>42198</v>
      </c>
      <c r="B385">
        <v>25.880310000000001</v>
      </c>
      <c r="C385">
        <v>26.048518999999999</v>
      </c>
      <c r="D385">
        <v>25.68807</v>
      </c>
      <c r="E385">
        <v>26.00046</v>
      </c>
      <c r="F385">
        <v>24.847346999999999</v>
      </c>
      <c r="G385">
        <v>7938285</v>
      </c>
      <c r="I385">
        <f t="shared" si="6"/>
        <v>1.0208561549359313E-4</v>
      </c>
    </row>
    <row r="386" spans="1:9" x14ac:dyDescent="0.3">
      <c r="A386" s="5">
        <v>42199</v>
      </c>
      <c r="B386">
        <v>25.880310000000001</v>
      </c>
      <c r="C386">
        <v>26.096581</v>
      </c>
      <c r="D386">
        <v>25.591949</v>
      </c>
      <c r="E386">
        <v>25.880310000000001</v>
      </c>
      <c r="F386">
        <v>24.732524999999999</v>
      </c>
      <c r="G386">
        <v>7226425</v>
      </c>
      <c r="I386">
        <f t="shared" si="6"/>
        <v>1.9479729610831053E-4</v>
      </c>
    </row>
    <row r="387" spans="1:9" x14ac:dyDescent="0.3">
      <c r="A387" s="5">
        <v>42200</v>
      </c>
      <c r="B387">
        <v>25.880310000000001</v>
      </c>
      <c r="C387">
        <v>25.928370000000001</v>
      </c>
      <c r="D387">
        <v>25.27956</v>
      </c>
      <c r="E387">
        <v>25.399709999999999</v>
      </c>
      <c r="F387">
        <v>24.273240999999999</v>
      </c>
      <c r="G387">
        <v>8022722</v>
      </c>
      <c r="I387">
        <f t="shared" si="6"/>
        <v>1.4958128575671265E-4</v>
      </c>
    </row>
    <row r="388" spans="1:9" x14ac:dyDescent="0.3">
      <c r="A388" s="5">
        <v>42201</v>
      </c>
      <c r="B388">
        <v>25.591949</v>
      </c>
      <c r="C388">
        <v>25.591949</v>
      </c>
      <c r="D388">
        <v>25.063289999999999</v>
      </c>
      <c r="E388">
        <v>25.255528999999999</v>
      </c>
      <c r="F388">
        <v>24.135452000000001</v>
      </c>
      <c r="G388">
        <v>6801748</v>
      </c>
      <c r="I388">
        <f t="shared" si="6"/>
        <v>1.5949247340206349E-4</v>
      </c>
    </row>
    <row r="389" spans="1:9" x14ac:dyDescent="0.3">
      <c r="A389" s="5">
        <v>42202</v>
      </c>
      <c r="B389">
        <v>25.207470000000001</v>
      </c>
      <c r="C389">
        <v>25.351649999999999</v>
      </c>
      <c r="D389">
        <v>24.895081000000001</v>
      </c>
      <c r="E389">
        <v>25.207470000000001</v>
      </c>
      <c r="F389">
        <v>24.089524999999998</v>
      </c>
      <c r="G389">
        <v>6659842</v>
      </c>
      <c r="I389">
        <f t="shared" si="6"/>
        <v>1.8803372597851601E-4</v>
      </c>
    </row>
    <row r="390" spans="1:9" x14ac:dyDescent="0.3">
      <c r="A390" s="5">
        <v>42205</v>
      </c>
      <c r="B390">
        <v>25.111349000000001</v>
      </c>
      <c r="C390">
        <v>25.159410000000001</v>
      </c>
      <c r="D390">
        <v>24.462540000000001</v>
      </c>
      <c r="E390">
        <v>24.510598999999999</v>
      </c>
      <c r="F390">
        <v>23.423563000000001</v>
      </c>
      <c r="G390">
        <v>9474324</v>
      </c>
      <c r="I390">
        <f t="shared" si="6"/>
        <v>1.0133245448022083E-4</v>
      </c>
    </row>
    <row r="391" spans="1:9" x14ac:dyDescent="0.3">
      <c r="A391" s="5">
        <v>42206</v>
      </c>
      <c r="B391">
        <v>24.510598999999999</v>
      </c>
      <c r="C391">
        <v>25.087319999999998</v>
      </c>
      <c r="D391">
        <v>24.414480000000001</v>
      </c>
      <c r="E391">
        <v>24.582688999999998</v>
      </c>
      <c r="F391">
        <v>23.492456000000001</v>
      </c>
      <c r="G391">
        <v>10094590</v>
      </c>
      <c r="I391">
        <f t="shared" si="6"/>
        <v>4.9955979745522014E-4</v>
      </c>
    </row>
    <row r="392" spans="1:9" x14ac:dyDescent="0.3">
      <c r="A392" s="5">
        <v>42207</v>
      </c>
      <c r="B392">
        <v>24.414480000000001</v>
      </c>
      <c r="C392">
        <v>24.414480000000001</v>
      </c>
      <c r="D392">
        <v>23.933879999999998</v>
      </c>
      <c r="E392">
        <v>24.005970000000001</v>
      </c>
      <c r="F392">
        <v>22.941314999999999</v>
      </c>
      <c r="G392">
        <v>16907615</v>
      </c>
      <c r="I392">
        <f t="shared" si="6"/>
        <v>5.979364072094333E-5</v>
      </c>
    </row>
    <row r="393" spans="1:9" x14ac:dyDescent="0.3">
      <c r="A393" s="5">
        <v>42208</v>
      </c>
      <c r="B393">
        <v>24.246269000000002</v>
      </c>
      <c r="C393">
        <v>24.48657</v>
      </c>
      <c r="D393">
        <v>23.7897</v>
      </c>
      <c r="E393">
        <v>23.933879999999998</v>
      </c>
      <c r="F393">
        <v>22.872420999999999</v>
      </c>
      <c r="G393">
        <v>9152643</v>
      </c>
      <c r="I393">
        <f t="shared" si="6"/>
        <v>3.4001309794060957E-4</v>
      </c>
    </row>
    <row r="394" spans="1:9" x14ac:dyDescent="0.3">
      <c r="A394" s="5">
        <v>42209</v>
      </c>
      <c r="B394">
        <v>23.81373</v>
      </c>
      <c r="C394">
        <v>23.81373</v>
      </c>
      <c r="D394">
        <v>23.188949999999998</v>
      </c>
      <c r="E394">
        <v>23.573429000000001</v>
      </c>
      <c r="F394">
        <v>22.527956</v>
      </c>
      <c r="G394">
        <v>11491635</v>
      </c>
      <c r="I394">
        <f t="shared" si="6"/>
        <v>4.3719570025207272E-4</v>
      </c>
    </row>
    <row r="395" spans="1:9" x14ac:dyDescent="0.3">
      <c r="A395" s="5">
        <v>42212</v>
      </c>
      <c r="B395">
        <v>23.333130000000001</v>
      </c>
      <c r="C395">
        <v>24.005970000000001</v>
      </c>
      <c r="D395">
        <v>23.044768999999999</v>
      </c>
      <c r="E395">
        <v>23.116859000000002</v>
      </c>
      <c r="F395">
        <v>22.091635</v>
      </c>
      <c r="G395">
        <v>11601207</v>
      </c>
      <c r="I395">
        <f t="shared" si="6"/>
        <v>1.1117355304763228E-3</v>
      </c>
    </row>
    <row r="396" spans="1:9" x14ac:dyDescent="0.3">
      <c r="A396" s="5">
        <v>42213</v>
      </c>
      <c r="B396">
        <v>23.429251000000001</v>
      </c>
      <c r="C396">
        <v>23.861789999999999</v>
      </c>
      <c r="D396">
        <v>23.092831</v>
      </c>
      <c r="E396">
        <v>23.717608999999999</v>
      </c>
      <c r="F396">
        <v>22.665741000000001</v>
      </c>
      <c r="G396">
        <v>11293633</v>
      </c>
      <c r="I396">
        <f t="shared" ref="I396:I459" si="7">LN(C396/B396)*(LN(C396/B396)-LN(E396/B396))+LN(D396/B396)*(LN(D396/B396)-LN(E396/B396))</f>
        <v>4.9696799517214832E-4</v>
      </c>
    </row>
    <row r="397" spans="1:9" x14ac:dyDescent="0.3">
      <c r="A397" s="5">
        <v>42214</v>
      </c>
      <c r="B397">
        <v>23.837761</v>
      </c>
      <c r="C397">
        <v>24.558661000000001</v>
      </c>
      <c r="D397">
        <v>23.765671000000001</v>
      </c>
      <c r="E397">
        <v>24.414480000000001</v>
      </c>
      <c r="F397">
        <v>23.331704999999999</v>
      </c>
      <c r="G397">
        <v>13152559</v>
      </c>
      <c r="I397">
        <f t="shared" si="7"/>
        <v>2.5700835669683914E-4</v>
      </c>
    </row>
    <row r="398" spans="1:9" x14ac:dyDescent="0.3">
      <c r="A398" s="5">
        <v>42215</v>
      </c>
      <c r="B398">
        <v>24.48657</v>
      </c>
      <c r="C398">
        <v>24.630751</v>
      </c>
      <c r="D398">
        <v>23.74164</v>
      </c>
      <c r="E398">
        <v>23.981939000000001</v>
      </c>
      <c r="F398">
        <v>22.918348000000002</v>
      </c>
      <c r="G398">
        <v>8254141</v>
      </c>
      <c r="I398">
        <f t="shared" si="7"/>
        <v>4.6784441618949782E-4</v>
      </c>
    </row>
    <row r="399" spans="1:9" x14ac:dyDescent="0.3">
      <c r="A399" s="5">
        <v>42216</v>
      </c>
      <c r="B399">
        <v>24.246269000000002</v>
      </c>
      <c r="C399">
        <v>24.366420999999999</v>
      </c>
      <c r="D399">
        <v>23.693580999999998</v>
      </c>
      <c r="E399">
        <v>23.717608999999999</v>
      </c>
      <c r="F399">
        <v>22.665741000000001</v>
      </c>
      <c r="G399">
        <v>7629838</v>
      </c>
      <c r="I399">
        <f t="shared" si="7"/>
        <v>1.5678164159004679E-4</v>
      </c>
    </row>
    <row r="400" spans="1:9" x14ac:dyDescent="0.3">
      <c r="A400" s="5">
        <v>42219</v>
      </c>
      <c r="B400">
        <v>23.597460000000002</v>
      </c>
      <c r="C400">
        <v>23.597460000000002</v>
      </c>
      <c r="D400">
        <v>23.020741000000001</v>
      </c>
      <c r="E400">
        <v>23.164921</v>
      </c>
      <c r="F400">
        <v>22.137564000000001</v>
      </c>
      <c r="G400">
        <v>8966375</v>
      </c>
      <c r="I400">
        <f t="shared" si="7"/>
        <v>1.5448636577207537E-4</v>
      </c>
    </row>
    <row r="401" spans="1:9" x14ac:dyDescent="0.3">
      <c r="A401" s="5">
        <v>42220</v>
      </c>
      <c r="B401">
        <v>23.885819999999999</v>
      </c>
      <c r="C401">
        <v>24.19821</v>
      </c>
      <c r="D401">
        <v>23.261040000000001</v>
      </c>
      <c r="E401">
        <v>23.381188999999999</v>
      </c>
      <c r="F401">
        <v>22.344238000000001</v>
      </c>
      <c r="G401">
        <v>10217062</v>
      </c>
      <c r="I401">
        <f t="shared" si="7"/>
        <v>5.8284533553394592E-4</v>
      </c>
    </row>
    <row r="402" spans="1:9" x14ac:dyDescent="0.3">
      <c r="A402" s="5">
        <v>42221</v>
      </c>
      <c r="B402">
        <v>23.81373</v>
      </c>
      <c r="C402">
        <v>24.390450000000001</v>
      </c>
      <c r="D402">
        <v>23.429251000000001</v>
      </c>
      <c r="E402">
        <v>23.453278999999998</v>
      </c>
      <c r="F402">
        <v>22.482455999999999</v>
      </c>
      <c r="G402">
        <v>10390179</v>
      </c>
      <c r="I402">
        <f t="shared" si="7"/>
        <v>9.5426889862239685E-4</v>
      </c>
    </row>
    <row r="403" spans="1:9" x14ac:dyDescent="0.3">
      <c r="A403" s="5">
        <v>42222</v>
      </c>
      <c r="B403">
        <v>23.453278999999998</v>
      </c>
      <c r="C403">
        <v>23.933879999999998</v>
      </c>
      <c r="D403">
        <v>23.164921</v>
      </c>
      <c r="E403">
        <v>23.81373</v>
      </c>
      <c r="F403">
        <v>22.827981999999999</v>
      </c>
      <c r="G403">
        <v>9430712</v>
      </c>
      <c r="I403">
        <f t="shared" si="7"/>
        <v>4.4381960569525158E-4</v>
      </c>
    </row>
    <row r="404" spans="1:9" x14ac:dyDescent="0.3">
      <c r="A404" s="5">
        <v>42223</v>
      </c>
      <c r="B404">
        <v>23.597460000000002</v>
      </c>
      <c r="C404">
        <v>24.174178999999999</v>
      </c>
      <c r="D404">
        <v>22.492080999999999</v>
      </c>
      <c r="E404">
        <v>22.61223</v>
      </c>
      <c r="F404">
        <v>21.676220000000001</v>
      </c>
      <c r="G404">
        <v>13834748</v>
      </c>
      <c r="I404">
        <f t="shared" si="7"/>
        <v>1.8684087841495255E-3</v>
      </c>
    </row>
    <row r="405" spans="1:9" x14ac:dyDescent="0.3">
      <c r="A405" s="5">
        <v>42226</v>
      </c>
      <c r="B405">
        <v>22.900590999999999</v>
      </c>
      <c r="C405">
        <v>24.246269000000002</v>
      </c>
      <c r="D405">
        <v>22.61223</v>
      </c>
      <c r="E405">
        <v>24.222239999999999</v>
      </c>
      <c r="F405">
        <v>23.219587000000001</v>
      </c>
      <c r="G405">
        <v>11631960</v>
      </c>
      <c r="I405">
        <f t="shared" si="7"/>
        <v>9.2818727410157761E-4</v>
      </c>
    </row>
    <row r="406" spans="1:9" x14ac:dyDescent="0.3">
      <c r="A406" s="5">
        <v>42227</v>
      </c>
      <c r="B406">
        <v>23.309099</v>
      </c>
      <c r="C406">
        <v>23.40522</v>
      </c>
      <c r="D406">
        <v>22.636258999999999</v>
      </c>
      <c r="E406">
        <v>22.780439000000001</v>
      </c>
      <c r="F406">
        <v>21.837465000000002</v>
      </c>
      <c r="G406">
        <v>16559134</v>
      </c>
      <c r="I406">
        <f t="shared" si="7"/>
        <v>2.9732031507346841E-4</v>
      </c>
    </row>
    <row r="407" spans="1:9" x14ac:dyDescent="0.3">
      <c r="A407" s="5">
        <v>42228</v>
      </c>
      <c r="B407">
        <v>22.564171000000002</v>
      </c>
      <c r="C407">
        <v>22.972678999999999</v>
      </c>
      <c r="D407">
        <v>22.299841000000001</v>
      </c>
      <c r="E407">
        <v>22.852530000000002</v>
      </c>
      <c r="F407">
        <v>21.906566999999999</v>
      </c>
      <c r="G407">
        <v>11937412</v>
      </c>
      <c r="I407">
        <f t="shared" si="7"/>
        <v>3.8257922351542516E-4</v>
      </c>
    </row>
    <row r="408" spans="1:9" x14ac:dyDescent="0.3">
      <c r="A408" s="5">
        <v>42229</v>
      </c>
      <c r="B408">
        <v>22.876560000000001</v>
      </c>
      <c r="C408">
        <v>22.876560000000001</v>
      </c>
      <c r="D408">
        <v>22.347899999999999</v>
      </c>
      <c r="E408">
        <v>22.371929000000002</v>
      </c>
      <c r="F408">
        <v>21.445864</v>
      </c>
      <c r="G408">
        <v>6024053</v>
      </c>
      <c r="I408">
        <f t="shared" si="7"/>
        <v>2.5125715688047953E-5</v>
      </c>
    </row>
    <row r="409" spans="1:9" x14ac:dyDescent="0.3">
      <c r="A409" s="5">
        <v>42230</v>
      </c>
      <c r="B409">
        <v>22.395959999999999</v>
      </c>
      <c r="C409">
        <v>22.66029</v>
      </c>
      <c r="D409">
        <v>22.299841000000001</v>
      </c>
      <c r="E409">
        <v>22.61223</v>
      </c>
      <c r="F409">
        <v>21.676220000000001</v>
      </c>
      <c r="G409">
        <v>5513150</v>
      </c>
      <c r="I409">
        <f t="shared" si="7"/>
        <v>8.4745114175003547E-5</v>
      </c>
    </row>
    <row r="410" spans="1:9" x14ac:dyDescent="0.3">
      <c r="A410" s="5">
        <v>42233</v>
      </c>
      <c r="B410">
        <v>22.371929000000002</v>
      </c>
      <c r="C410">
        <v>22.804469999999998</v>
      </c>
      <c r="D410">
        <v>22.25178</v>
      </c>
      <c r="E410">
        <v>22.66029</v>
      </c>
      <c r="F410">
        <v>21.722291999999999</v>
      </c>
      <c r="G410">
        <v>4549355</v>
      </c>
      <c r="I410">
        <f t="shared" si="7"/>
        <v>2.1942056928937287E-4</v>
      </c>
    </row>
    <row r="411" spans="1:9" x14ac:dyDescent="0.3">
      <c r="A411" s="5">
        <v>42234</v>
      </c>
      <c r="B411">
        <v>22.347899999999999</v>
      </c>
      <c r="C411">
        <v>22.492080999999999</v>
      </c>
      <c r="D411">
        <v>22.203720000000001</v>
      </c>
      <c r="E411">
        <v>22.27581</v>
      </c>
      <c r="F411">
        <v>21.353724</v>
      </c>
      <c r="G411">
        <v>6753225</v>
      </c>
      <c r="I411">
        <f t="shared" si="7"/>
        <v>8.3116021387904626E-5</v>
      </c>
    </row>
    <row r="412" spans="1:9" x14ac:dyDescent="0.3">
      <c r="A412" s="5">
        <v>42235</v>
      </c>
      <c r="B412">
        <v>22.059539999999998</v>
      </c>
      <c r="C412">
        <v>22.323869999999999</v>
      </c>
      <c r="D412">
        <v>21.8673</v>
      </c>
      <c r="E412">
        <v>21.891331000000001</v>
      </c>
      <c r="F412">
        <v>20.985158999999999</v>
      </c>
      <c r="G412">
        <v>7732667</v>
      </c>
      <c r="I412">
        <f t="shared" si="7"/>
        <v>2.4266857793436188E-4</v>
      </c>
    </row>
    <row r="413" spans="1:9" x14ac:dyDescent="0.3">
      <c r="A413" s="5">
        <v>42236</v>
      </c>
      <c r="B413">
        <v>22.083570000000002</v>
      </c>
      <c r="C413">
        <v>22.155660999999998</v>
      </c>
      <c r="D413">
        <v>21.578938999999998</v>
      </c>
      <c r="E413">
        <v>21.699089000000001</v>
      </c>
      <c r="F413">
        <v>20.800877</v>
      </c>
      <c r="G413">
        <v>7367166</v>
      </c>
      <c r="I413">
        <f t="shared" si="7"/>
        <v>1.9621623567936462E-4</v>
      </c>
    </row>
    <row r="414" spans="1:9" x14ac:dyDescent="0.3">
      <c r="A414" s="5">
        <v>42237</v>
      </c>
      <c r="B414">
        <v>21.554911000000001</v>
      </c>
      <c r="C414">
        <v>21.578938999999998</v>
      </c>
      <c r="D414">
        <v>20.978189</v>
      </c>
      <c r="E414">
        <v>20.978189</v>
      </c>
      <c r="F414">
        <v>20.109814</v>
      </c>
      <c r="G414">
        <v>10484852</v>
      </c>
      <c r="I414">
        <f t="shared" si="7"/>
        <v>3.1456453226970702E-5</v>
      </c>
    </row>
    <row r="415" spans="1:9" x14ac:dyDescent="0.3">
      <c r="A415" s="5">
        <v>42240</v>
      </c>
      <c r="B415">
        <v>19.704599000000002</v>
      </c>
      <c r="C415">
        <v>20.521619999999999</v>
      </c>
      <c r="D415">
        <v>19.151910999999998</v>
      </c>
      <c r="E415">
        <v>19.704599000000002</v>
      </c>
      <c r="F415">
        <v>18.888950000000001</v>
      </c>
      <c r="G415">
        <v>17121556</v>
      </c>
      <c r="I415">
        <f t="shared" si="7"/>
        <v>2.4599227304588039E-3</v>
      </c>
    </row>
    <row r="416" spans="1:9" x14ac:dyDescent="0.3">
      <c r="A416" s="5">
        <v>42241</v>
      </c>
      <c r="B416">
        <v>20.73789</v>
      </c>
      <c r="C416">
        <v>20.809979999999999</v>
      </c>
      <c r="D416">
        <v>19.488330999999999</v>
      </c>
      <c r="E416">
        <v>19.488330999999999</v>
      </c>
      <c r="F416">
        <v>18.681625</v>
      </c>
      <c r="G416">
        <v>10946692</v>
      </c>
      <c r="I416">
        <f t="shared" si="7"/>
        <v>2.2770457715309077E-4</v>
      </c>
    </row>
    <row r="417" spans="1:9" x14ac:dyDescent="0.3">
      <c r="A417" s="5">
        <v>42242</v>
      </c>
      <c r="B417">
        <v>19.848780000000001</v>
      </c>
      <c r="C417">
        <v>19.920870000000001</v>
      </c>
      <c r="D417">
        <v>19.27206</v>
      </c>
      <c r="E417">
        <v>19.848780000000001</v>
      </c>
      <c r="F417">
        <v>19.027155</v>
      </c>
      <c r="G417">
        <v>11574657</v>
      </c>
      <c r="I417">
        <f t="shared" si="7"/>
        <v>8.8257735685189867E-4</v>
      </c>
    </row>
    <row r="418" spans="1:9" x14ac:dyDescent="0.3">
      <c r="A418" s="5">
        <v>42243</v>
      </c>
      <c r="B418">
        <v>20.185199999999998</v>
      </c>
      <c r="C418">
        <v>21.434759</v>
      </c>
      <c r="D418">
        <v>20.137139999999999</v>
      </c>
      <c r="E418">
        <v>21.290581</v>
      </c>
      <c r="F418">
        <v>20.409276999999999</v>
      </c>
      <c r="G418">
        <v>11411402</v>
      </c>
      <c r="I418">
        <f t="shared" si="7"/>
        <v>5.3815310212445644E-4</v>
      </c>
    </row>
    <row r="419" spans="1:9" x14ac:dyDescent="0.3">
      <c r="A419" s="5">
        <v>42244</v>
      </c>
      <c r="B419">
        <v>21.338640000000002</v>
      </c>
      <c r="C419">
        <v>22.636258999999999</v>
      </c>
      <c r="D419">
        <v>21.1464</v>
      </c>
      <c r="E419">
        <v>22.61223</v>
      </c>
      <c r="F419">
        <v>21.676220000000001</v>
      </c>
      <c r="G419">
        <v>17511028</v>
      </c>
      <c r="I419">
        <f t="shared" si="7"/>
        <v>6.6923005166404483E-4</v>
      </c>
    </row>
    <row r="420" spans="1:9" x14ac:dyDescent="0.3">
      <c r="A420" s="5">
        <v>42247</v>
      </c>
      <c r="B420">
        <v>22.27581</v>
      </c>
      <c r="C420">
        <v>22.900590999999999</v>
      </c>
      <c r="D420">
        <v>22.155660999999998</v>
      </c>
      <c r="E420">
        <v>22.708348999999998</v>
      </c>
      <c r="F420">
        <v>21.768362</v>
      </c>
      <c r="G420">
        <v>12678485</v>
      </c>
      <c r="I420">
        <f t="shared" si="7"/>
        <v>3.6644556628077712E-4</v>
      </c>
    </row>
    <row r="421" spans="1:9" x14ac:dyDescent="0.3">
      <c r="A421" s="5">
        <v>42248</v>
      </c>
      <c r="B421">
        <v>21.987449999999999</v>
      </c>
      <c r="C421">
        <v>22.395959999999999</v>
      </c>
      <c r="D421">
        <v>21.795210000000001</v>
      </c>
      <c r="E421">
        <v>22.155660999999998</v>
      </c>
      <c r="F421">
        <v>21.238545999999999</v>
      </c>
      <c r="G421">
        <v>13576321</v>
      </c>
      <c r="I421">
        <f t="shared" si="7"/>
        <v>3.42628471235307E-4</v>
      </c>
    </row>
    <row r="422" spans="1:9" x14ac:dyDescent="0.3">
      <c r="A422" s="5">
        <v>42249</v>
      </c>
      <c r="B422">
        <v>22.564171000000002</v>
      </c>
      <c r="C422">
        <v>22.564171000000002</v>
      </c>
      <c r="D422">
        <v>21.651029999999999</v>
      </c>
      <c r="E422">
        <v>22.395959999999999</v>
      </c>
      <c r="F422">
        <v>21.468899</v>
      </c>
      <c r="G422">
        <v>16846733</v>
      </c>
      <c r="I422">
        <f t="shared" si="7"/>
        <v>1.3974253782167577E-3</v>
      </c>
    </row>
    <row r="423" spans="1:9" x14ac:dyDescent="0.3">
      <c r="A423" s="5">
        <v>42250</v>
      </c>
      <c r="B423">
        <v>22.588200000000001</v>
      </c>
      <c r="C423">
        <v>23.429251000000001</v>
      </c>
      <c r="D423">
        <v>22.468050000000002</v>
      </c>
      <c r="E423">
        <v>22.99671</v>
      </c>
      <c r="F423">
        <v>22.044781</v>
      </c>
      <c r="G423">
        <v>11740574</v>
      </c>
      <c r="I423">
        <f t="shared" si="7"/>
        <v>8.0525639477275113E-4</v>
      </c>
    </row>
    <row r="424" spans="1:9" x14ac:dyDescent="0.3">
      <c r="A424" s="5">
        <v>42251</v>
      </c>
      <c r="B424">
        <v>22.564171000000002</v>
      </c>
      <c r="C424">
        <v>23.164921</v>
      </c>
      <c r="D424">
        <v>22.347899999999999</v>
      </c>
      <c r="E424">
        <v>22.804469999999998</v>
      </c>
      <c r="F424">
        <v>21.860493000000002</v>
      </c>
      <c r="G424">
        <v>20015730</v>
      </c>
      <c r="I424">
        <f t="shared" si="7"/>
        <v>6.0684960999560006E-4</v>
      </c>
    </row>
    <row r="425" spans="1:9" x14ac:dyDescent="0.3">
      <c r="A425" s="5">
        <v>42255</v>
      </c>
      <c r="B425">
        <v>23.717608999999999</v>
      </c>
      <c r="C425">
        <v>23.717608999999999</v>
      </c>
      <c r="D425">
        <v>23.0688</v>
      </c>
      <c r="E425">
        <v>23.357161000000001</v>
      </c>
      <c r="F425">
        <v>22.390318000000001</v>
      </c>
      <c r="G425">
        <v>7507782</v>
      </c>
      <c r="I425">
        <f t="shared" si="7"/>
        <v>3.4456105706561066E-4</v>
      </c>
    </row>
    <row r="426" spans="1:9" x14ac:dyDescent="0.3">
      <c r="A426" s="5">
        <v>42256</v>
      </c>
      <c r="B426">
        <v>23.837761</v>
      </c>
      <c r="C426">
        <v>23.885819999999999</v>
      </c>
      <c r="D426">
        <v>22.900590999999999</v>
      </c>
      <c r="E426">
        <v>22.99671</v>
      </c>
      <c r="F426">
        <v>22.044781</v>
      </c>
      <c r="G426">
        <v>12260965</v>
      </c>
      <c r="I426">
        <f t="shared" si="7"/>
        <v>2.4439184497648966E-4</v>
      </c>
    </row>
    <row r="427" spans="1:9" x14ac:dyDescent="0.3">
      <c r="A427" s="5">
        <v>42257</v>
      </c>
      <c r="B427">
        <v>22.972678999999999</v>
      </c>
      <c r="C427">
        <v>23.357161000000001</v>
      </c>
      <c r="D427">
        <v>22.852530000000002</v>
      </c>
      <c r="E427">
        <v>23.140889999999999</v>
      </c>
      <c r="F427">
        <v>22.182997</v>
      </c>
      <c r="G427">
        <v>12295714</v>
      </c>
      <c r="I427">
        <f t="shared" si="7"/>
        <v>2.2015554415622242E-4</v>
      </c>
    </row>
    <row r="428" spans="1:9" x14ac:dyDescent="0.3">
      <c r="A428" s="5">
        <v>42258</v>
      </c>
      <c r="B428">
        <v>23.0688</v>
      </c>
      <c r="C428">
        <v>23.429251000000001</v>
      </c>
      <c r="D428">
        <v>22.924620000000001</v>
      </c>
      <c r="E428">
        <v>23.188949999999998</v>
      </c>
      <c r="F428">
        <v>22.229061000000002</v>
      </c>
      <c r="G428">
        <v>8154598</v>
      </c>
      <c r="I428">
        <f t="shared" si="7"/>
        <v>2.3171703086340443E-4</v>
      </c>
    </row>
    <row r="429" spans="1:9" x14ac:dyDescent="0.3">
      <c r="A429" s="5">
        <v>42261</v>
      </c>
      <c r="B429">
        <v>23.020741000000001</v>
      </c>
      <c r="C429">
        <v>23.092831</v>
      </c>
      <c r="D429">
        <v>22.395959999999999</v>
      </c>
      <c r="E429">
        <v>22.540140000000001</v>
      </c>
      <c r="F429">
        <v>21.607112999999998</v>
      </c>
      <c r="G429">
        <v>13011278</v>
      </c>
      <c r="I429">
        <f t="shared" si="7"/>
        <v>2.5230857356052679E-4</v>
      </c>
    </row>
    <row r="430" spans="1:9" x14ac:dyDescent="0.3">
      <c r="A430" s="5">
        <v>42262</v>
      </c>
      <c r="B430">
        <v>22.564171000000002</v>
      </c>
      <c r="C430">
        <v>23.333130000000001</v>
      </c>
      <c r="D430">
        <v>22.516109</v>
      </c>
      <c r="E430">
        <v>23.140889999999999</v>
      </c>
      <c r="F430">
        <v>22.182997</v>
      </c>
      <c r="G430">
        <v>7468914</v>
      </c>
      <c r="I430">
        <f t="shared" si="7"/>
        <v>3.3559896976384274E-4</v>
      </c>
    </row>
    <row r="431" spans="1:9" x14ac:dyDescent="0.3">
      <c r="A431" s="5">
        <v>42263</v>
      </c>
      <c r="B431">
        <v>23.309099</v>
      </c>
      <c r="C431">
        <v>23.74164</v>
      </c>
      <c r="D431">
        <v>23.309099</v>
      </c>
      <c r="E431">
        <v>23.693580999999998</v>
      </c>
      <c r="F431">
        <v>22.712807000000002</v>
      </c>
      <c r="G431">
        <v>8279359</v>
      </c>
      <c r="I431">
        <f t="shared" si="7"/>
        <v>3.7256924981076715E-5</v>
      </c>
    </row>
    <row r="432" spans="1:9" x14ac:dyDescent="0.3">
      <c r="A432" s="5">
        <v>42264</v>
      </c>
      <c r="B432">
        <v>23.573429000000001</v>
      </c>
      <c r="C432">
        <v>24.414480000000001</v>
      </c>
      <c r="D432">
        <v>23.429251000000001</v>
      </c>
      <c r="E432">
        <v>23.909849000000001</v>
      </c>
      <c r="F432">
        <v>22.920120000000001</v>
      </c>
      <c r="G432">
        <v>10203163</v>
      </c>
      <c r="I432">
        <f t="shared" si="7"/>
        <v>8.5675199646167988E-4</v>
      </c>
    </row>
    <row r="433" spans="1:9" x14ac:dyDescent="0.3">
      <c r="A433" s="5">
        <v>42265</v>
      </c>
      <c r="B433">
        <v>23.669550000000001</v>
      </c>
      <c r="C433">
        <v>24.102091000000001</v>
      </c>
      <c r="D433">
        <v>23.453278999999998</v>
      </c>
      <c r="E433">
        <v>23.957910999999999</v>
      </c>
      <c r="F433">
        <v>22.966191999999999</v>
      </c>
      <c r="G433">
        <v>12108656</v>
      </c>
      <c r="I433">
        <f t="shared" si="7"/>
        <v>3.0406253583613709E-4</v>
      </c>
    </row>
    <row r="434" spans="1:9" x14ac:dyDescent="0.3">
      <c r="A434" s="5">
        <v>42268</v>
      </c>
      <c r="B434">
        <v>23.981939000000001</v>
      </c>
      <c r="C434">
        <v>24.270299999999999</v>
      </c>
      <c r="D434">
        <v>23.7897</v>
      </c>
      <c r="E434">
        <v>23.7897</v>
      </c>
      <c r="F434">
        <v>22.804950999999999</v>
      </c>
      <c r="G434">
        <v>7369705</v>
      </c>
      <c r="I434">
        <f t="shared" si="7"/>
        <v>2.3905547316600779E-4</v>
      </c>
    </row>
    <row r="435" spans="1:9" x14ac:dyDescent="0.3">
      <c r="A435" s="5">
        <v>42269</v>
      </c>
      <c r="B435">
        <v>23.0688</v>
      </c>
      <c r="C435">
        <v>23.140889999999999</v>
      </c>
      <c r="D435">
        <v>22.540140000000001</v>
      </c>
      <c r="E435">
        <v>22.828500999999999</v>
      </c>
      <c r="F435">
        <v>21.883533</v>
      </c>
      <c r="G435">
        <v>10525052</v>
      </c>
      <c r="I435">
        <f t="shared" si="7"/>
        <v>3.3711524779223565E-4</v>
      </c>
    </row>
    <row r="436" spans="1:9" x14ac:dyDescent="0.3">
      <c r="A436" s="5">
        <v>42270</v>
      </c>
      <c r="B436">
        <v>23.020741000000001</v>
      </c>
      <c r="C436">
        <v>23.044768999999999</v>
      </c>
      <c r="D436">
        <v>22.083570000000002</v>
      </c>
      <c r="E436">
        <v>22.107599</v>
      </c>
      <c r="F436">
        <v>21.192474000000001</v>
      </c>
      <c r="G436">
        <v>8713733</v>
      </c>
      <c r="I436">
        <f t="shared" si="7"/>
        <v>8.850982684860448E-5</v>
      </c>
    </row>
    <row r="437" spans="1:9" x14ac:dyDescent="0.3">
      <c r="A437" s="5">
        <v>42271</v>
      </c>
      <c r="B437">
        <v>21.795210000000001</v>
      </c>
      <c r="C437">
        <v>22.25178</v>
      </c>
      <c r="D437">
        <v>21.290581</v>
      </c>
      <c r="E437">
        <v>22.059539999999998</v>
      </c>
      <c r="F437">
        <v>21.146404</v>
      </c>
      <c r="G437">
        <v>10723804</v>
      </c>
      <c r="I437">
        <f t="shared" si="7"/>
        <v>1.0110307241891795E-3</v>
      </c>
    </row>
    <row r="438" spans="1:9" x14ac:dyDescent="0.3">
      <c r="A438" s="5">
        <v>42272</v>
      </c>
      <c r="B438">
        <v>22.227751000000001</v>
      </c>
      <c r="C438">
        <v>22.323869999999999</v>
      </c>
      <c r="D438">
        <v>21.53088</v>
      </c>
      <c r="E438">
        <v>21.795210000000001</v>
      </c>
      <c r="F438">
        <v>20.893014999999998</v>
      </c>
      <c r="G438">
        <v>7908906</v>
      </c>
      <c r="I438">
        <f t="shared" si="7"/>
        <v>4.92089486710838E-4</v>
      </c>
    </row>
    <row r="439" spans="1:9" x14ac:dyDescent="0.3">
      <c r="A439" s="5">
        <v>42275</v>
      </c>
      <c r="B439">
        <v>22.732379999999999</v>
      </c>
      <c r="C439">
        <v>23.164921</v>
      </c>
      <c r="D439">
        <v>22.107599</v>
      </c>
      <c r="E439">
        <v>23.044768999999999</v>
      </c>
      <c r="F439">
        <v>22.090857</v>
      </c>
      <c r="G439">
        <v>39826675</v>
      </c>
      <c r="I439">
        <f t="shared" si="7"/>
        <v>1.2550656624029206E-3</v>
      </c>
    </row>
    <row r="440" spans="1:9" x14ac:dyDescent="0.3">
      <c r="A440" s="5">
        <v>42276</v>
      </c>
      <c r="B440">
        <v>23.116859000000002</v>
      </c>
      <c r="C440">
        <v>23.477309999999999</v>
      </c>
      <c r="D440">
        <v>22.492080999999999</v>
      </c>
      <c r="E440">
        <v>22.708348999999998</v>
      </c>
      <c r="F440">
        <v>21.768362</v>
      </c>
      <c r="G440">
        <v>16354765</v>
      </c>
      <c r="I440">
        <f t="shared" si="7"/>
        <v>7.7744298760919564E-4</v>
      </c>
    </row>
    <row r="441" spans="1:9" x14ac:dyDescent="0.3">
      <c r="A441" s="5">
        <v>42277</v>
      </c>
      <c r="B441">
        <v>23.092831</v>
      </c>
      <c r="C441">
        <v>23.333130000000001</v>
      </c>
      <c r="D441">
        <v>22.66029</v>
      </c>
      <c r="E441">
        <v>23.212980000000002</v>
      </c>
      <c r="F441">
        <v>22.252096000000002</v>
      </c>
      <c r="G441">
        <v>17459634</v>
      </c>
      <c r="I441">
        <f t="shared" si="7"/>
        <v>5.090842638497497E-4</v>
      </c>
    </row>
    <row r="442" spans="1:9" x14ac:dyDescent="0.3">
      <c r="A442" s="5">
        <v>42278</v>
      </c>
      <c r="B442">
        <v>23.333130000000001</v>
      </c>
      <c r="C442">
        <v>23.669550000000001</v>
      </c>
      <c r="D442">
        <v>22.083570000000002</v>
      </c>
      <c r="E442">
        <v>22.25178</v>
      </c>
      <c r="F442">
        <v>21.330687000000001</v>
      </c>
      <c r="G442">
        <v>15341240</v>
      </c>
      <c r="I442">
        <f t="shared" si="7"/>
        <v>1.3018634282819883E-3</v>
      </c>
    </row>
    <row r="443" spans="1:9" x14ac:dyDescent="0.3">
      <c r="A443" s="5">
        <v>42279</v>
      </c>
      <c r="B443">
        <v>21.987449999999999</v>
      </c>
      <c r="C443">
        <v>22.876560000000001</v>
      </c>
      <c r="D443">
        <v>21.8673</v>
      </c>
      <c r="E443">
        <v>22.876560000000001</v>
      </c>
      <c r="F443">
        <v>21.929604999999999</v>
      </c>
      <c r="G443">
        <v>11710196</v>
      </c>
      <c r="I443">
        <f t="shared" si="7"/>
        <v>2.4723588040433288E-4</v>
      </c>
    </row>
    <row r="444" spans="1:9" x14ac:dyDescent="0.3">
      <c r="A444" s="5">
        <v>42282</v>
      </c>
      <c r="B444">
        <v>23.092831</v>
      </c>
      <c r="C444">
        <v>25.111349000000001</v>
      </c>
      <c r="D444">
        <v>23.0688</v>
      </c>
      <c r="E444">
        <v>25.015229999999999</v>
      </c>
      <c r="F444">
        <v>23.979745999999999</v>
      </c>
      <c r="G444">
        <v>20160383</v>
      </c>
      <c r="I444">
        <f t="shared" si="7"/>
        <v>4.0570729540956334E-4</v>
      </c>
    </row>
    <row r="445" spans="1:9" x14ac:dyDescent="0.3">
      <c r="A445" s="5">
        <v>42283</v>
      </c>
      <c r="B445">
        <v>25.063289999999999</v>
      </c>
      <c r="C445">
        <v>26.505091</v>
      </c>
      <c r="D445">
        <v>25.015229999999999</v>
      </c>
      <c r="E445">
        <v>26.384938999999999</v>
      </c>
      <c r="F445">
        <v>25.292759</v>
      </c>
      <c r="G445">
        <v>23832002</v>
      </c>
      <c r="I445">
        <f t="shared" si="7"/>
        <v>3.5644789546655672E-4</v>
      </c>
    </row>
    <row r="446" spans="1:9" x14ac:dyDescent="0.3">
      <c r="A446" s="5">
        <v>42284</v>
      </c>
      <c r="B446">
        <v>26.793448999999999</v>
      </c>
      <c r="C446">
        <v>26.865539999999999</v>
      </c>
      <c r="D446">
        <v>25.61598</v>
      </c>
      <c r="E446">
        <v>26.288820000000001</v>
      </c>
      <c r="F446">
        <v>25.200617000000001</v>
      </c>
      <c r="G446">
        <v>17303163</v>
      </c>
      <c r="I446">
        <f t="shared" si="7"/>
        <v>1.2235132484388815E-3</v>
      </c>
    </row>
    <row r="447" spans="1:9" x14ac:dyDescent="0.3">
      <c r="A447" s="5">
        <v>42285</v>
      </c>
      <c r="B447">
        <v>26.07255</v>
      </c>
      <c r="C447">
        <v>26.697330000000001</v>
      </c>
      <c r="D447">
        <v>25.543890000000001</v>
      </c>
      <c r="E447">
        <v>26.457028999999999</v>
      </c>
      <c r="F447">
        <v>25.361865999999999</v>
      </c>
      <c r="G447">
        <v>15136579</v>
      </c>
      <c r="I447">
        <f t="shared" si="7"/>
        <v>9.3361744032138979E-4</v>
      </c>
    </row>
    <row r="448" spans="1:9" x14ac:dyDescent="0.3">
      <c r="A448" s="5">
        <v>42286</v>
      </c>
      <c r="B448">
        <v>25.640011000000001</v>
      </c>
      <c r="C448">
        <v>26.240760999999999</v>
      </c>
      <c r="D448">
        <v>24.630751</v>
      </c>
      <c r="E448">
        <v>24.654779000000001</v>
      </c>
      <c r="F448">
        <v>23.634219999999999</v>
      </c>
      <c r="G448">
        <v>32758011</v>
      </c>
      <c r="I448">
        <f t="shared" si="7"/>
        <v>1.4830192754964912E-3</v>
      </c>
    </row>
    <row r="449" spans="1:9" x14ac:dyDescent="0.3">
      <c r="A449" s="5">
        <v>42289</v>
      </c>
      <c r="B449">
        <v>24.702840999999999</v>
      </c>
      <c r="C449">
        <v>24.726870000000002</v>
      </c>
      <c r="D449">
        <v>23.957910999999999</v>
      </c>
      <c r="E449">
        <v>24.222239999999999</v>
      </c>
      <c r="F449">
        <v>23.219587000000001</v>
      </c>
      <c r="G449">
        <v>13085352</v>
      </c>
      <c r="I449">
        <f t="shared" si="7"/>
        <v>3.5602566275164924E-4</v>
      </c>
    </row>
    <row r="450" spans="1:9" x14ac:dyDescent="0.3">
      <c r="A450" s="5">
        <v>42290</v>
      </c>
      <c r="B450">
        <v>23.933879999999998</v>
      </c>
      <c r="C450">
        <v>24.558661000000001</v>
      </c>
      <c r="D450">
        <v>23.693580999999998</v>
      </c>
      <c r="E450">
        <v>24.102091000000001</v>
      </c>
      <c r="F450">
        <v>23.104407999999999</v>
      </c>
      <c r="G450">
        <v>15079775</v>
      </c>
      <c r="I450">
        <f t="shared" si="7"/>
        <v>6.5608852524068209E-4</v>
      </c>
    </row>
    <row r="451" spans="1:9" x14ac:dyDescent="0.3">
      <c r="A451" s="5">
        <v>42291</v>
      </c>
      <c r="B451">
        <v>24.246269000000002</v>
      </c>
      <c r="C451">
        <v>24.294331</v>
      </c>
      <c r="D451">
        <v>23.81373</v>
      </c>
      <c r="E451">
        <v>23.909849000000001</v>
      </c>
      <c r="F451">
        <v>22.920120000000001</v>
      </c>
      <c r="G451">
        <v>17585768</v>
      </c>
      <c r="I451">
        <f t="shared" si="7"/>
        <v>1.0409925195354521E-4</v>
      </c>
    </row>
    <row r="452" spans="1:9" x14ac:dyDescent="0.3">
      <c r="A452" s="5">
        <v>42292</v>
      </c>
      <c r="B452">
        <v>23.861789999999999</v>
      </c>
      <c r="C452">
        <v>24.030000999999999</v>
      </c>
      <c r="D452">
        <v>23.140889999999999</v>
      </c>
      <c r="E452">
        <v>23.309099</v>
      </c>
      <c r="F452">
        <v>22.344239999999999</v>
      </c>
      <c r="G452">
        <v>20725052</v>
      </c>
      <c r="I452">
        <f t="shared" si="7"/>
        <v>4.3614964754143783E-4</v>
      </c>
    </row>
    <row r="453" spans="1:9" x14ac:dyDescent="0.3">
      <c r="A453" s="5">
        <v>42293</v>
      </c>
      <c r="B453">
        <v>23.501341</v>
      </c>
      <c r="C453">
        <v>23.525369999999999</v>
      </c>
      <c r="D453">
        <v>22.66029</v>
      </c>
      <c r="E453">
        <v>22.948650000000001</v>
      </c>
      <c r="F453">
        <v>21.998709000000002</v>
      </c>
      <c r="G453">
        <v>11370578</v>
      </c>
      <c r="I453">
        <f t="shared" si="7"/>
        <v>4.8619388980449115E-4</v>
      </c>
    </row>
    <row r="454" spans="1:9" x14ac:dyDescent="0.3">
      <c r="A454" s="5">
        <v>42296</v>
      </c>
      <c r="B454">
        <v>22.66029</v>
      </c>
      <c r="C454">
        <v>22.99671</v>
      </c>
      <c r="D454">
        <v>22.492080999999999</v>
      </c>
      <c r="E454">
        <v>22.636258999999999</v>
      </c>
      <c r="F454">
        <v>21.699251</v>
      </c>
      <c r="G454">
        <v>9597586</v>
      </c>
      <c r="I454">
        <f t="shared" si="7"/>
        <v>2.80427421098232E-4</v>
      </c>
    </row>
    <row r="455" spans="1:9" x14ac:dyDescent="0.3">
      <c r="A455" s="5">
        <v>42297</v>
      </c>
      <c r="B455">
        <v>22.492080999999999</v>
      </c>
      <c r="C455">
        <v>22.732379999999999</v>
      </c>
      <c r="D455">
        <v>22.371929000000002</v>
      </c>
      <c r="E455">
        <v>22.61223</v>
      </c>
      <c r="F455">
        <v>21.676220000000001</v>
      </c>
      <c r="G455">
        <v>10652726</v>
      </c>
      <c r="I455">
        <f t="shared" si="7"/>
        <v>1.135433786546989E-4</v>
      </c>
    </row>
    <row r="456" spans="1:9" x14ac:dyDescent="0.3">
      <c r="A456" s="5">
        <v>42298</v>
      </c>
      <c r="B456">
        <v>22.564171000000002</v>
      </c>
      <c r="C456">
        <v>22.66029</v>
      </c>
      <c r="D456">
        <v>21.891331000000001</v>
      </c>
      <c r="E456">
        <v>21.891331000000001</v>
      </c>
      <c r="F456">
        <v>20.985158999999999</v>
      </c>
      <c r="G456">
        <v>8488722</v>
      </c>
      <c r="I456">
        <f t="shared" si="7"/>
        <v>1.467504006104581E-4</v>
      </c>
    </row>
    <row r="457" spans="1:9" x14ac:dyDescent="0.3">
      <c r="A457" s="5">
        <v>42299</v>
      </c>
      <c r="B457">
        <v>22.011479999999999</v>
      </c>
      <c r="C457">
        <v>22.804469999999998</v>
      </c>
      <c r="D457">
        <v>21.747150000000001</v>
      </c>
      <c r="E457">
        <v>21.843268999999999</v>
      </c>
      <c r="F457">
        <v>20.939087000000001</v>
      </c>
      <c r="G457">
        <v>14160841</v>
      </c>
      <c r="I457">
        <f t="shared" si="7"/>
        <v>1.5774112658293814E-3</v>
      </c>
    </row>
    <row r="458" spans="1:9" x14ac:dyDescent="0.3">
      <c r="A458" s="5">
        <v>42300</v>
      </c>
      <c r="B458">
        <v>22.011479999999999</v>
      </c>
      <c r="C458">
        <v>22.299841000000001</v>
      </c>
      <c r="D458">
        <v>21.771179</v>
      </c>
      <c r="E458">
        <v>21.963421</v>
      </c>
      <c r="F458">
        <v>21.054265999999998</v>
      </c>
      <c r="G458">
        <v>8446650</v>
      </c>
      <c r="I458">
        <f t="shared" si="7"/>
        <v>2.9435302685601895E-4</v>
      </c>
    </row>
    <row r="459" spans="1:9" x14ac:dyDescent="0.3">
      <c r="A459" s="5">
        <v>42303</v>
      </c>
      <c r="B459">
        <v>21.93939</v>
      </c>
      <c r="C459">
        <v>22.083570000000002</v>
      </c>
      <c r="D459">
        <v>20.930129999999998</v>
      </c>
      <c r="E459">
        <v>21.074310000000001</v>
      </c>
      <c r="F459">
        <v>20.20196</v>
      </c>
      <c r="G459">
        <v>10811694</v>
      </c>
      <c r="I459">
        <f t="shared" si="7"/>
        <v>6.2971499082240077E-4</v>
      </c>
    </row>
    <row r="460" spans="1:9" x14ac:dyDescent="0.3">
      <c r="A460" s="5">
        <v>42304</v>
      </c>
      <c r="B460">
        <v>21.12237</v>
      </c>
      <c r="C460">
        <v>21.482821000000001</v>
      </c>
      <c r="D460">
        <v>20.71386</v>
      </c>
      <c r="E460">
        <v>20.978189</v>
      </c>
      <c r="F460">
        <v>20.109814</v>
      </c>
      <c r="G460">
        <v>11212027</v>
      </c>
      <c r="I460">
        <f t="shared" ref="I460:I523" si="8">LN(C460/B460)*(LN(C460/B460)-LN(E460/B460))+LN(D460/B460)*(LN(D460/B460)-LN(E460/B460))</f>
        <v>6.4985597900329788E-4</v>
      </c>
    </row>
    <row r="461" spans="1:9" x14ac:dyDescent="0.3">
      <c r="A461" s="5">
        <v>42305</v>
      </c>
      <c r="B461">
        <v>21.026250999999998</v>
      </c>
      <c r="C461">
        <v>21.93939</v>
      </c>
      <c r="D461">
        <v>20.930129999999998</v>
      </c>
      <c r="E461">
        <v>21.602969999999999</v>
      </c>
      <c r="F461">
        <v>20.708735999999998</v>
      </c>
      <c r="G461">
        <v>13833833</v>
      </c>
      <c r="I461">
        <f t="shared" si="8"/>
        <v>8.0190853790813627E-4</v>
      </c>
    </row>
    <row r="462" spans="1:9" x14ac:dyDescent="0.3">
      <c r="A462" s="5">
        <v>42306</v>
      </c>
      <c r="B462">
        <v>21.386700000000001</v>
      </c>
      <c r="C462">
        <v>21.651029999999999</v>
      </c>
      <c r="D462">
        <v>21.194459999999999</v>
      </c>
      <c r="E462">
        <v>21.506848999999999</v>
      </c>
      <c r="F462">
        <v>20.616593999999999</v>
      </c>
      <c r="G462">
        <v>12247940</v>
      </c>
      <c r="I462">
        <f t="shared" si="8"/>
        <v>2.141900395873821E-4</v>
      </c>
    </row>
    <row r="463" spans="1:9" x14ac:dyDescent="0.3">
      <c r="A463" s="5">
        <v>42307</v>
      </c>
      <c r="B463">
        <v>21.554911000000001</v>
      </c>
      <c r="C463">
        <v>21.771179</v>
      </c>
      <c r="D463">
        <v>21.314609999999998</v>
      </c>
      <c r="E463">
        <v>21.45879</v>
      </c>
      <c r="F463">
        <v>20.570519999999998</v>
      </c>
      <c r="G463">
        <v>14542072</v>
      </c>
      <c r="I463">
        <f t="shared" si="8"/>
        <v>2.1986574282137255E-4</v>
      </c>
    </row>
    <row r="464" spans="1:9" x14ac:dyDescent="0.3">
      <c r="A464" s="5">
        <v>42310</v>
      </c>
      <c r="B464">
        <v>21.506848999999999</v>
      </c>
      <c r="C464">
        <v>22.203720000000001</v>
      </c>
      <c r="D464">
        <v>21.45879</v>
      </c>
      <c r="E464">
        <v>22.035509000000001</v>
      </c>
      <c r="F464">
        <v>21.123370999999999</v>
      </c>
      <c r="G464">
        <v>12476821</v>
      </c>
      <c r="I464">
        <f t="shared" si="8"/>
        <v>3.0182949642044201E-4</v>
      </c>
    </row>
    <row r="465" spans="1:9" x14ac:dyDescent="0.3">
      <c r="A465" s="5">
        <v>42311</v>
      </c>
      <c r="B465">
        <v>22.107599</v>
      </c>
      <c r="C465">
        <v>23.020741000000001</v>
      </c>
      <c r="D465">
        <v>22.083570000000002</v>
      </c>
      <c r="E465">
        <v>22.540140000000001</v>
      </c>
      <c r="F465">
        <v>21.607112999999998</v>
      </c>
      <c r="G465">
        <v>10659176</v>
      </c>
      <c r="I465">
        <f t="shared" si="8"/>
        <v>8.7617389721625838E-4</v>
      </c>
    </row>
    <row r="466" spans="1:9" x14ac:dyDescent="0.3">
      <c r="A466" s="5">
        <v>42312</v>
      </c>
      <c r="B466">
        <v>22.708348999999998</v>
      </c>
      <c r="C466">
        <v>22.852530000000002</v>
      </c>
      <c r="D466">
        <v>22.27581</v>
      </c>
      <c r="E466">
        <v>22.540140000000001</v>
      </c>
      <c r="F466">
        <v>21.676437</v>
      </c>
      <c r="G466">
        <v>9227840</v>
      </c>
      <c r="I466">
        <f t="shared" si="8"/>
        <v>3.1397553948975189E-4</v>
      </c>
    </row>
    <row r="467" spans="1:9" x14ac:dyDescent="0.3">
      <c r="A467" s="5">
        <v>42313</v>
      </c>
      <c r="B467">
        <v>22.27581</v>
      </c>
      <c r="C467">
        <v>22.395959999999999</v>
      </c>
      <c r="D467">
        <v>21.771179</v>
      </c>
      <c r="E467">
        <v>22.107599</v>
      </c>
      <c r="F467">
        <v>21.260473000000001</v>
      </c>
      <c r="G467">
        <v>9374324</v>
      </c>
      <c r="I467">
        <f t="shared" si="8"/>
        <v>4.2108702740744643E-4</v>
      </c>
    </row>
    <row r="468" spans="1:9" x14ac:dyDescent="0.3">
      <c r="A468" s="5">
        <v>42314</v>
      </c>
      <c r="B468">
        <v>21.891331000000001</v>
      </c>
      <c r="C468">
        <v>22.059539999999998</v>
      </c>
      <c r="D468">
        <v>21.578938999999998</v>
      </c>
      <c r="E468">
        <v>21.843268999999999</v>
      </c>
      <c r="F468">
        <v>21.006267999999999</v>
      </c>
      <c r="G468">
        <v>9721015</v>
      </c>
      <c r="I468">
        <f t="shared" si="8"/>
        <v>2.5040493096820782E-4</v>
      </c>
    </row>
    <row r="469" spans="1:9" x14ac:dyDescent="0.3">
      <c r="A469" s="5">
        <v>42317</v>
      </c>
      <c r="B469">
        <v>21.554911000000001</v>
      </c>
      <c r="C469">
        <v>21.627001</v>
      </c>
      <c r="D469">
        <v>20.425501000000001</v>
      </c>
      <c r="E469">
        <v>20.689831000000002</v>
      </c>
      <c r="F469">
        <v>19.897030000000001</v>
      </c>
      <c r="G469">
        <v>18093758</v>
      </c>
      <c r="I469">
        <f t="shared" si="8"/>
        <v>8.399337416593243E-4</v>
      </c>
    </row>
    <row r="470" spans="1:9" x14ac:dyDescent="0.3">
      <c r="A470" s="5">
        <v>42318</v>
      </c>
      <c r="B470">
        <v>20.665800000000001</v>
      </c>
      <c r="C470">
        <v>20.689831000000002</v>
      </c>
      <c r="D470">
        <v>20.041018999999999</v>
      </c>
      <c r="E470">
        <v>20.065049999999999</v>
      </c>
      <c r="F470">
        <v>19.296188000000001</v>
      </c>
      <c r="G470">
        <v>11789471</v>
      </c>
      <c r="I470">
        <f t="shared" si="8"/>
        <v>7.2424097882701154E-5</v>
      </c>
    </row>
    <row r="471" spans="1:9" x14ac:dyDescent="0.3">
      <c r="A471" s="5">
        <v>42319</v>
      </c>
      <c r="B471">
        <v>20.137139999999999</v>
      </c>
      <c r="C471">
        <v>20.353411000000001</v>
      </c>
      <c r="D471">
        <v>19.416240999999999</v>
      </c>
      <c r="E471">
        <v>19.416240999999999</v>
      </c>
      <c r="F471">
        <v>18.672243000000002</v>
      </c>
      <c r="G471">
        <v>13987557</v>
      </c>
      <c r="I471">
        <f t="shared" si="8"/>
        <v>5.0356521018627288E-4</v>
      </c>
    </row>
    <row r="472" spans="1:9" x14ac:dyDescent="0.3">
      <c r="A472" s="5">
        <v>42320</v>
      </c>
      <c r="B472">
        <v>19.224001000000001</v>
      </c>
      <c r="C472">
        <v>19.224001000000001</v>
      </c>
      <c r="D472">
        <v>18.767429</v>
      </c>
      <c r="E472">
        <v>18.791460000000001</v>
      </c>
      <c r="F472">
        <v>18.071400000000001</v>
      </c>
      <c r="G472">
        <v>16305618</v>
      </c>
      <c r="I472">
        <f t="shared" si="8"/>
        <v>3.0758397093523407E-5</v>
      </c>
    </row>
    <row r="473" spans="1:9" x14ac:dyDescent="0.3">
      <c r="A473" s="5">
        <v>42321</v>
      </c>
      <c r="B473">
        <v>18.86355</v>
      </c>
      <c r="C473">
        <v>19.368179000000001</v>
      </c>
      <c r="D473">
        <v>18.791460000000001</v>
      </c>
      <c r="E473">
        <v>19.19997</v>
      </c>
      <c r="F473">
        <v>18.464258000000001</v>
      </c>
      <c r="G473">
        <v>10910071</v>
      </c>
      <c r="I473">
        <f t="shared" si="8"/>
        <v>3.1262700643060448E-4</v>
      </c>
    </row>
    <row r="474" spans="1:9" x14ac:dyDescent="0.3">
      <c r="A474" s="5">
        <v>42324</v>
      </c>
      <c r="B474">
        <v>19.151910999999998</v>
      </c>
      <c r="C474">
        <v>19.99296</v>
      </c>
      <c r="D474">
        <v>19.127880000000001</v>
      </c>
      <c r="E474">
        <v>19.920870000000001</v>
      </c>
      <c r="F474">
        <v>19.157532</v>
      </c>
      <c r="G474">
        <v>14040200</v>
      </c>
      <c r="I474">
        <f t="shared" si="8"/>
        <v>2.0624922737030939E-4</v>
      </c>
    </row>
    <row r="475" spans="1:9" x14ac:dyDescent="0.3">
      <c r="A475" s="5">
        <v>42325</v>
      </c>
      <c r="B475">
        <v>20.016991000000001</v>
      </c>
      <c r="C475">
        <v>20.32938</v>
      </c>
      <c r="D475">
        <v>19.800719999999998</v>
      </c>
      <c r="E475">
        <v>19.872810000000001</v>
      </c>
      <c r="F475">
        <v>19.111319000000002</v>
      </c>
      <c r="G475">
        <v>14424802</v>
      </c>
      <c r="I475">
        <f t="shared" si="8"/>
        <v>3.91230267837794E-4</v>
      </c>
    </row>
    <row r="476" spans="1:9" x14ac:dyDescent="0.3">
      <c r="A476" s="5">
        <v>42326</v>
      </c>
      <c r="B476">
        <v>19.968928999999999</v>
      </c>
      <c r="C476">
        <v>20.209230000000002</v>
      </c>
      <c r="D476">
        <v>19.752661</v>
      </c>
      <c r="E476">
        <v>20.209230000000002</v>
      </c>
      <c r="F476">
        <v>19.434844999999999</v>
      </c>
      <c r="G476">
        <v>9897586</v>
      </c>
      <c r="I476">
        <f t="shared" si="8"/>
        <v>2.488337071037884E-4</v>
      </c>
    </row>
    <row r="477" spans="1:9" x14ac:dyDescent="0.3">
      <c r="A477" s="5">
        <v>42327</v>
      </c>
      <c r="B477">
        <v>20.449529999999999</v>
      </c>
      <c r="C477">
        <v>21.098338999999999</v>
      </c>
      <c r="D477">
        <v>20.425501000000001</v>
      </c>
      <c r="E477">
        <v>21.050280000000001</v>
      </c>
      <c r="F477">
        <v>20.243666000000001</v>
      </c>
      <c r="G477">
        <v>13532085</v>
      </c>
      <c r="I477">
        <f t="shared" si="8"/>
        <v>1.0665308064724277E-4</v>
      </c>
    </row>
    <row r="478" spans="1:9" x14ac:dyDescent="0.3">
      <c r="A478" s="5">
        <v>42328</v>
      </c>
      <c r="B478">
        <v>21.170428999999999</v>
      </c>
      <c r="C478">
        <v>21.386700000000001</v>
      </c>
      <c r="D478">
        <v>20.641769</v>
      </c>
      <c r="E478">
        <v>20.882071</v>
      </c>
      <c r="F478">
        <v>20.081903000000001</v>
      </c>
      <c r="G478">
        <v>10348065</v>
      </c>
      <c r="I478">
        <f t="shared" si="8"/>
        <v>5.3539521635613107E-4</v>
      </c>
    </row>
    <row r="479" spans="1:9" x14ac:dyDescent="0.3">
      <c r="A479" s="5">
        <v>42331</v>
      </c>
      <c r="B479">
        <v>21.747150000000001</v>
      </c>
      <c r="C479">
        <v>22.203720000000001</v>
      </c>
      <c r="D479">
        <v>21.314609999999998</v>
      </c>
      <c r="E479">
        <v>21.795210000000001</v>
      </c>
      <c r="F479">
        <v>20.960051</v>
      </c>
      <c r="G479">
        <v>18402372</v>
      </c>
      <c r="I479">
        <f t="shared" si="8"/>
        <v>8.3377866960324468E-4</v>
      </c>
    </row>
    <row r="480" spans="1:9" x14ac:dyDescent="0.3">
      <c r="A480" s="5">
        <v>42332</v>
      </c>
      <c r="B480">
        <v>21.795210000000001</v>
      </c>
      <c r="C480">
        <v>22.107599</v>
      </c>
      <c r="D480">
        <v>21.554911000000001</v>
      </c>
      <c r="E480">
        <v>21.843268999999999</v>
      </c>
      <c r="F480">
        <v>21.006267999999999</v>
      </c>
      <c r="G480">
        <v>11230254</v>
      </c>
      <c r="I480">
        <f t="shared" si="8"/>
        <v>3.1851137592761825E-4</v>
      </c>
    </row>
    <row r="481" spans="1:9" x14ac:dyDescent="0.3">
      <c r="A481" s="5">
        <v>42333</v>
      </c>
      <c r="B481">
        <v>21.747150000000001</v>
      </c>
      <c r="C481">
        <v>22.708348999999998</v>
      </c>
      <c r="D481">
        <v>21.699089000000001</v>
      </c>
      <c r="E481">
        <v>22.61223</v>
      </c>
      <c r="F481">
        <v>21.745766</v>
      </c>
      <c r="G481">
        <v>10680025</v>
      </c>
      <c r="I481">
        <f t="shared" si="8"/>
        <v>2.746531928179938E-4</v>
      </c>
    </row>
    <row r="482" spans="1:9" x14ac:dyDescent="0.3">
      <c r="A482" s="5">
        <v>42335</v>
      </c>
      <c r="B482">
        <v>22.395959999999999</v>
      </c>
      <c r="C482">
        <v>22.732379999999999</v>
      </c>
      <c r="D482">
        <v>22.347899999999999</v>
      </c>
      <c r="E482">
        <v>22.395959999999999</v>
      </c>
      <c r="F482">
        <v>21.537785</v>
      </c>
      <c r="G482">
        <v>4095339</v>
      </c>
      <c r="I482">
        <f t="shared" si="8"/>
        <v>2.269156611157376E-4</v>
      </c>
    </row>
    <row r="483" spans="1:9" x14ac:dyDescent="0.3">
      <c r="A483" s="5">
        <v>42338</v>
      </c>
      <c r="B483">
        <v>22.419991</v>
      </c>
      <c r="C483">
        <v>22.852530000000002</v>
      </c>
      <c r="D483">
        <v>22.371929000000002</v>
      </c>
      <c r="E483">
        <v>22.492080999999999</v>
      </c>
      <c r="F483">
        <v>21.630219</v>
      </c>
      <c r="G483">
        <v>10018643</v>
      </c>
      <c r="I483">
        <f t="shared" si="8"/>
        <v>3.1529698742547901E-4</v>
      </c>
    </row>
    <row r="484" spans="1:9" x14ac:dyDescent="0.3">
      <c r="A484" s="5">
        <v>42339</v>
      </c>
      <c r="B484">
        <v>22.732379999999999</v>
      </c>
      <c r="C484">
        <v>23.0688</v>
      </c>
      <c r="D484">
        <v>22.61223</v>
      </c>
      <c r="E484">
        <v>22.780439000000001</v>
      </c>
      <c r="F484">
        <v>21.907526000000001</v>
      </c>
      <c r="G484">
        <v>10631253</v>
      </c>
      <c r="I484">
        <f t="shared" si="8"/>
        <v>2.2406771557599038E-4</v>
      </c>
    </row>
    <row r="485" spans="1:9" x14ac:dyDescent="0.3">
      <c r="A485" s="5">
        <v>42340</v>
      </c>
      <c r="B485">
        <v>22.636258999999999</v>
      </c>
      <c r="C485">
        <v>22.99671</v>
      </c>
      <c r="D485">
        <v>22.371929000000002</v>
      </c>
      <c r="E485">
        <v>22.468050000000002</v>
      </c>
      <c r="F485">
        <v>21.607111</v>
      </c>
      <c r="G485">
        <v>10655597</v>
      </c>
      <c r="I485">
        <f t="shared" si="8"/>
        <v>4.1777423189068877E-4</v>
      </c>
    </row>
    <row r="486" spans="1:9" x14ac:dyDescent="0.3">
      <c r="A486" s="5">
        <v>42341</v>
      </c>
      <c r="B486">
        <v>22.492080999999999</v>
      </c>
      <c r="C486">
        <v>22.588200000000001</v>
      </c>
      <c r="D486">
        <v>21.410730000000001</v>
      </c>
      <c r="E486">
        <v>21.602969999999999</v>
      </c>
      <c r="F486">
        <v>20.775181</v>
      </c>
      <c r="G486">
        <v>9705701</v>
      </c>
      <c r="I486">
        <f t="shared" si="8"/>
        <v>6.3059167197599851E-4</v>
      </c>
    </row>
    <row r="487" spans="1:9" x14ac:dyDescent="0.3">
      <c r="A487" s="5">
        <v>42342</v>
      </c>
      <c r="B487">
        <v>21.699089000000001</v>
      </c>
      <c r="C487">
        <v>22.540140000000001</v>
      </c>
      <c r="D487">
        <v>21.627001</v>
      </c>
      <c r="E487">
        <v>22.444019000000001</v>
      </c>
      <c r="F487">
        <v>21.584002999999999</v>
      </c>
      <c r="G487">
        <v>12284103</v>
      </c>
      <c r="I487">
        <f t="shared" si="8"/>
        <v>2.8590868088186855E-4</v>
      </c>
    </row>
    <row r="488" spans="1:9" x14ac:dyDescent="0.3">
      <c r="A488" s="5">
        <v>42345</v>
      </c>
      <c r="B488">
        <v>22.732379999999999</v>
      </c>
      <c r="C488">
        <v>22.756411</v>
      </c>
      <c r="D488">
        <v>21.506848999999999</v>
      </c>
      <c r="E488">
        <v>21.723120000000002</v>
      </c>
      <c r="F488">
        <v>20.890727999999999</v>
      </c>
      <c r="G488">
        <v>15582480</v>
      </c>
      <c r="I488">
        <f t="shared" si="8"/>
        <v>6.0360271214707174E-4</v>
      </c>
    </row>
    <row r="489" spans="1:9" x14ac:dyDescent="0.3">
      <c r="A489" s="5">
        <v>42346</v>
      </c>
      <c r="B489">
        <v>21.170428999999999</v>
      </c>
      <c r="C489">
        <v>21.194459999999999</v>
      </c>
      <c r="D489">
        <v>20.425501000000001</v>
      </c>
      <c r="E489">
        <v>20.473559999999999</v>
      </c>
      <c r="F489">
        <v>19.689046999999999</v>
      </c>
      <c r="G489">
        <v>20348148</v>
      </c>
      <c r="I489">
        <f t="shared" si="8"/>
        <v>1.2344356008785803E-4</v>
      </c>
    </row>
    <row r="490" spans="1:9" x14ac:dyDescent="0.3">
      <c r="A490" s="5">
        <v>42347</v>
      </c>
      <c r="B490">
        <v>20.73789</v>
      </c>
      <c r="C490">
        <v>21.12237</v>
      </c>
      <c r="D490">
        <v>20.425501000000001</v>
      </c>
      <c r="E490">
        <v>21.002220000000001</v>
      </c>
      <c r="F490">
        <v>20.197448999999999</v>
      </c>
      <c r="G490">
        <v>11732917</v>
      </c>
      <c r="I490">
        <f t="shared" si="8"/>
        <v>5.2741728266387437E-4</v>
      </c>
    </row>
    <row r="491" spans="1:9" x14ac:dyDescent="0.3">
      <c r="A491" s="5">
        <v>42348</v>
      </c>
      <c r="B491">
        <v>21.12237</v>
      </c>
      <c r="C491">
        <v>22.444019000000001</v>
      </c>
      <c r="D491">
        <v>21.002220000000001</v>
      </c>
      <c r="E491">
        <v>22.035509000000001</v>
      </c>
      <c r="F491">
        <v>21.191144999999999</v>
      </c>
      <c r="G491">
        <v>15172035</v>
      </c>
      <c r="I491">
        <f t="shared" si="8"/>
        <v>1.3888114464551801E-3</v>
      </c>
    </row>
    <row r="492" spans="1:9" x14ac:dyDescent="0.3">
      <c r="A492" s="5">
        <v>42349</v>
      </c>
      <c r="B492">
        <v>21.578938999999998</v>
      </c>
      <c r="C492">
        <v>21.675059999999998</v>
      </c>
      <c r="D492">
        <v>21.026250999999998</v>
      </c>
      <c r="E492">
        <v>21.290581</v>
      </c>
      <c r="F492">
        <v>20.474761999999998</v>
      </c>
      <c r="G492">
        <v>12975531</v>
      </c>
      <c r="I492">
        <f t="shared" si="8"/>
        <v>4.0369163430615846E-4</v>
      </c>
    </row>
    <row r="493" spans="1:9" x14ac:dyDescent="0.3">
      <c r="A493" s="5">
        <v>42352</v>
      </c>
      <c r="B493">
        <v>21.242519000000001</v>
      </c>
      <c r="C493">
        <v>21.747150000000001</v>
      </c>
      <c r="D493">
        <v>20.858039999999999</v>
      </c>
      <c r="E493">
        <v>21.627001</v>
      </c>
      <c r="F493">
        <v>20.798287999999999</v>
      </c>
      <c r="G493">
        <v>15272035</v>
      </c>
      <c r="I493">
        <f t="shared" si="8"/>
        <v>7.9133129311772892E-4</v>
      </c>
    </row>
    <row r="494" spans="1:9" x14ac:dyDescent="0.3">
      <c r="A494" s="5">
        <v>42353</v>
      </c>
      <c r="B494">
        <v>21.8673</v>
      </c>
      <c r="C494">
        <v>22.444019000000001</v>
      </c>
      <c r="D494">
        <v>21.819241000000002</v>
      </c>
      <c r="E494">
        <v>21.915358999999999</v>
      </c>
      <c r="F494">
        <v>21.075593999999999</v>
      </c>
      <c r="G494">
        <v>11623263</v>
      </c>
      <c r="I494">
        <f t="shared" si="8"/>
        <v>6.3017645349286119E-4</v>
      </c>
    </row>
    <row r="495" spans="1:9" x14ac:dyDescent="0.3">
      <c r="A495" s="5">
        <v>42354</v>
      </c>
      <c r="B495">
        <v>22.179689</v>
      </c>
      <c r="C495">
        <v>22.27581</v>
      </c>
      <c r="D495">
        <v>21.795210000000001</v>
      </c>
      <c r="E495">
        <v>22.203720000000001</v>
      </c>
      <c r="F495">
        <v>21.352909</v>
      </c>
      <c r="G495">
        <v>10652185</v>
      </c>
      <c r="I495">
        <f t="shared" si="8"/>
        <v>3.3873956957457892E-4</v>
      </c>
    </row>
    <row r="496" spans="1:9" x14ac:dyDescent="0.3">
      <c r="A496" s="5">
        <v>42355</v>
      </c>
      <c r="B496">
        <v>22.107599</v>
      </c>
      <c r="C496">
        <v>22.203720000000001</v>
      </c>
      <c r="D496">
        <v>21.723120000000002</v>
      </c>
      <c r="E496">
        <v>21.987449999999999</v>
      </c>
      <c r="F496">
        <v>21.144924</v>
      </c>
      <c r="G496">
        <v>8991927</v>
      </c>
      <c r="I496">
        <f t="shared" si="8"/>
        <v>2.5465744573619663E-4</v>
      </c>
    </row>
    <row r="497" spans="1:9" x14ac:dyDescent="0.3">
      <c r="A497" s="5">
        <v>42356</v>
      </c>
      <c r="B497">
        <v>22.011479999999999</v>
      </c>
      <c r="C497">
        <v>22.61223</v>
      </c>
      <c r="D497">
        <v>21.93939</v>
      </c>
      <c r="E497">
        <v>22.179689</v>
      </c>
      <c r="F497">
        <v>21.329798</v>
      </c>
      <c r="G497">
        <v>13507990</v>
      </c>
      <c r="I497">
        <f t="shared" si="8"/>
        <v>5.5579771500155939E-4</v>
      </c>
    </row>
    <row r="498" spans="1:9" x14ac:dyDescent="0.3">
      <c r="A498" s="5">
        <v>42359</v>
      </c>
      <c r="B498">
        <v>22.468050000000002</v>
      </c>
      <c r="C498">
        <v>22.66029</v>
      </c>
      <c r="D498">
        <v>22.179689</v>
      </c>
      <c r="E498">
        <v>22.395959999999999</v>
      </c>
      <c r="F498">
        <v>21.537785</v>
      </c>
      <c r="G498">
        <v>10401706</v>
      </c>
      <c r="I498">
        <f t="shared" si="8"/>
        <v>2.2531127838646721E-4</v>
      </c>
    </row>
    <row r="499" spans="1:9" x14ac:dyDescent="0.3">
      <c r="A499" s="5">
        <v>42360</v>
      </c>
      <c r="B499">
        <v>22.468050000000002</v>
      </c>
      <c r="C499">
        <v>22.99671</v>
      </c>
      <c r="D499">
        <v>22.25178</v>
      </c>
      <c r="E499">
        <v>22.972678999999999</v>
      </c>
      <c r="F499">
        <v>22.092403000000001</v>
      </c>
      <c r="G499">
        <v>8104453</v>
      </c>
      <c r="I499">
        <f t="shared" si="8"/>
        <v>3.3270347023868643E-4</v>
      </c>
    </row>
    <row r="500" spans="1:9" x14ac:dyDescent="0.3">
      <c r="A500" s="5">
        <v>42361</v>
      </c>
      <c r="B500">
        <v>23.309099</v>
      </c>
      <c r="C500">
        <v>24.558661000000001</v>
      </c>
      <c r="D500">
        <v>23.261040000000001</v>
      </c>
      <c r="E500">
        <v>24.48657</v>
      </c>
      <c r="F500">
        <v>23.548287999999999</v>
      </c>
      <c r="G500">
        <v>16262131</v>
      </c>
      <c r="I500">
        <f t="shared" si="8"/>
        <v>2.5949047770586816E-4</v>
      </c>
    </row>
    <row r="501" spans="1:9" x14ac:dyDescent="0.3">
      <c r="A501" s="5">
        <v>42362</v>
      </c>
      <c r="B501">
        <v>24.414480000000001</v>
      </c>
      <c r="C501">
        <v>24.582688999999998</v>
      </c>
      <c r="D501">
        <v>24.222239999999999</v>
      </c>
      <c r="E501">
        <v>24.318359000000001</v>
      </c>
      <c r="F501">
        <v>23.386520000000001</v>
      </c>
      <c r="G501">
        <v>4907907</v>
      </c>
      <c r="I501">
        <f t="shared" si="8"/>
        <v>1.0553616057982716E-4</v>
      </c>
    </row>
    <row r="502" spans="1:9" x14ac:dyDescent="0.3">
      <c r="A502" s="5">
        <v>42366</v>
      </c>
      <c r="B502">
        <v>24.030000999999999</v>
      </c>
      <c r="C502">
        <v>24.054029</v>
      </c>
      <c r="D502">
        <v>23.573429000000001</v>
      </c>
      <c r="E502">
        <v>23.981939000000001</v>
      </c>
      <c r="F502">
        <v>23.062989999999999</v>
      </c>
      <c r="G502">
        <v>6495464</v>
      </c>
      <c r="I502">
        <f t="shared" si="8"/>
        <v>3.3257771641822625E-4</v>
      </c>
    </row>
    <row r="503" spans="1:9" x14ac:dyDescent="0.3">
      <c r="A503" s="5">
        <v>42367</v>
      </c>
      <c r="B503">
        <v>24.294331</v>
      </c>
      <c r="C503">
        <v>24.678809999999999</v>
      </c>
      <c r="D503">
        <v>24.030000999999999</v>
      </c>
      <c r="E503">
        <v>24.342390000000002</v>
      </c>
      <c r="F503">
        <v>23.40963</v>
      </c>
      <c r="G503">
        <v>5591677</v>
      </c>
      <c r="I503">
        <f t="shared" si="8"/>
        <v>3.5682260964448726E-4</v>
      </c>
    </row>
    <row r="504" spans="1:9" x14ac:dyDescent="0.3">
      <c r="A504" s="5">
        <v>42368</v>
      </c>
      <c r="B504">
        <v>23.885819999999999</v>
      </c>
      <c r="C504">
        <v>24.102091000000001</v>
      </c>
      <c r="D504">
        <v>23.669550000000001</v>
      </c>
      <c r="E504">
        <v>23.933879999999998</v>
      </c>
      <c r="F504">
        <v>23.016769</v>
      </c>
      <c r="G504">
        <v>9791219</v>
      </c>
      <c r="I504">
        <f t="shared" si="8"/>
        <v>1.6413941636077056E-4</v>
      </c>
    </row>
    <row r="505" spans="1:9" x14ac:dyDescent="0.3">
      <c r="A505" s="5">
        <v>42369</v>
      </c>
      <c r="B505">
        <v>23.717608999999999</v>
      </c>
      <c r="C505">
        <v>23.981939000000001</v>
      </c>
      <c r="D505">
        <v>23.573429000000001</v>
      </c>
      <c r="E505">
        <v>23.717608999999999</v>
      </c>
      <c r="F505">
        <v>22.808792</v>
      </c>
      <c r="G505">
        <v>5553558</v>
      </c>
      <c r="I505">
        <f t="shared" si="8"/>
        <v>1.6001863338759676E-4</v>
      </c>
    </row>
    <row r="506" spans="1:9" x14ac:dyDescent="0.3">
      <c r="A506" s="5">
        <v>42373</v>
      </c>
      <c r="B506">
        <v>22.876560000000001</v>
      </c>
      <c r="C506">
        <v>23.549399999999999</v>
      </c>
      <c r="D506">
        <v>22.708348999999998</v>
      </c>
      <c r="E506">
        <v>23.333130000000001</v>
      </c>
      <c r="F506">
        <v>22.439045</v>
      </c>
      <c r="G506">
        <v>15779983</v>
      </c>
      <c r="I506">
        <f t="shared" si="8"/>
        <v>4.6775101525894144E-4</v>
      </c>
    </row>
    <row r="507" spans="1:9" x14ac:dyDescent="0.3">
      <c r="A507" s="5">
        <v>42374</v>
      </c>
      <c r="B507">
        <v>23.357161000000001</v>
      </c>
      <c r="C507">
        <v>23.477309999999999</v>
      </c>
      <c r="D507">
        <v>22.011479999999999</v>
      </c>
      <c r="E507">
        <v>22.27581</v>
      </c>
      <c r="F507">
        <v>21.422236999999999</v>
      </c>
      <c r="G507">
        <v>16364003</v>
      </c>
      <c r="I507">
        <f t="shared" si="8"/>
        <v>9.778843352259408E-4</v>
      </c>
    </row>
    <row r="508" spans="1:9" x14ac:dyDescent="0.3">
      <c r="A508" s="5">
        <v>42375</v>
      </c>
      <c r="B508">
        <v>21.627001</v>
      </c>
      <c r="C508">
        <v>21.675059999999998</v>
      </c>
      <c r="D508">
        <v>20.545649999999998</v>
      </c>
      <c r="E508">
        <v>20.689831000000002</v>
      </c>
      <c r="F508">
        <v>19.897030000000001</v>
      </c>
      <c r="G508">
        <v>22970995</v>
      </c>
      <c r="I508">
        <f t="shared" si="8"/>
        <v>4.6195949047679195E-4</v>
      </c>
    </row>
    <row r="509" spans="1:9" x14ac:dyDescent="0.3">
      <c r="A509" s="5">
        <v>42376</v>
      </c>
      <c r="B509">
        <v>20.161169000000001</v>
      </c>
      <c r="C509">
        <v>20.449529999999999</v>
      </c>
      <c r="D509">
        <v>19.776689999999999</v>
      </c>
      <c r="E509">
        <v>19.872810000000001</v>
      </c>
      <c r="F509">
        <v>19.111319000000002</v>
      </c>
      <c r="G509">
        <v>14182605</v>
      </c>
      <c r="I509">
        <f t="shared" si="8"/>
        <v>4.9962278013410751E-4</v>
      </c>
    </row>
    <row r="510" spans="1:9" x14ac:dyDescent="0.3">
      <c r="A510" s="5">
        <v>42377</v>
      </c>
      <c r="B510">
        <v>20.473559999999999</v>
      </c>
      <c r="C510">
        <v>20.569679000000001</v>
      </c>
      <c r="D510">
        <v>19.27206</v>
      </c>
      <c r="E510">
        <v>19.392209999999999</v>
      </c>
      <c r="F510">
        <v>18.649132000000002</v>
      </c>
      <c r="G510">
        <v>17366583</v>
      </c>
      <c r="I510">
        <f t="shared" si="8"/>
        <v>6.5196832315017736E-4</v>
      </c>
    </row>
    <row r="511" spans="1:9" x14ac:dyDescent="0.3">
      <c r="A511" s="5">
        <v>42380</v>
      </c>
      <c r="B511">
        <v>19.920870000000001</v>
      </c>
      <c r="C511">
        <v>19.920870000000001</v>
      </c>
      <c r="D511">
        <v>18.983699999999999</v>
      </c>
      <c r="E511">
        <v>19.224001000000001</v>
      </c>
      <c r="F511">
        <v>18.487369999999999</v>
      </c>
      <c r="G511">
        <v>19951103</v>
      </c>
      <c r="I511">
        <f t="shared" si="8"/>
        <v>6.0613892226558995E-4</v>
      </c>
    </row>
    <row r="512" spans="1:9" x14ac:dyDescent="0.3">
      <c r="A512" s="5">
        <v>42381</v>
      </c>
      <c r="B512">
        <v>19.24803</v>
      </c>
      <c r="C512">
        <v>19.27206</v>
      </c>
      <c r="D512">
        <v>17.061299999999999</v>
      </c>
      <c r="E512">
        <v>17.493839000000001</v>
      </c>
      <c r="F512">
        <v>16.823505000000001</v>
      </c>
      <c r="G512">
        <v>38029130</v>
      </c>
      <c r="I512">
        <f t="shared" si="8"/>
        <v>3.1400264817991823E-3</v>
      </c>
    </row>
    <row r="513" spans="1:9" x14ac:dyDescent="0.3">
      <c r="A513" s="5">
        <v>42382</v>
      </c>
      <c r="B513">
        <v>17.589960000000001</v>
      </c>
      <c r="C513">
        <v>17.878321</v>
      </c>
      <c r="D513">
        <v>17.013241000000001</v>
      </c>
      <c r="E513">
        <v>17.133389999999999</v>
      </c>
      <c r="F513">
        <v>16.476868</v>
      </c>
      <c r="G513">
        <v>19019684</v>
      </c>
      <c r="I513">
        <f t="shared" si="8"/>
        <v>9.2664169662357335E-4</v>
      </c>
    </row>
    <row r="514" spans="1:9" x14ac:dyDescent="0.3">
      <c r="A514" s="5">
        <v>42383</v>
      </c>
      <c r="B514">
        <v>17.037269999999999</v>
      </c>
      <c r="C514">
        <v>17.71011</v>
      </c>
      <c r="D514">
        <v>16.460550000000001</v>
      </c>
      <c r="E514">
        <v>17.39772</v>
      </c>
      <c r="F514">
        <v>16.731068</v>
      </c>
      <c r="G514">
        <v>18432210</v>
      </c>
      <c r="I514">
        <f t="shared" si="8"/>
        <v>2.5961479228712014E-3</v>
      </c>
    </row>
    <row r="515" spans="1:9" x14ac:dyDescent="0.3">
      <c r="A515" s="5">
        <v>42384</v>
      </c>
      <c r="B515">
        <v>16.676821</v>
      </c>
      <c r="C515">
        <v>16.869060999999999</v>
      </c>
      <c r="D515">
        <v>16.268311000000001</v>
      </c>
      <c r="E515">
        <v>16.5807</v>
      </c>
      <c r="F515">
        <v>15.945358000000001</v>
      </c>
      <c r="G515">
        <v>21738826</v>
      </c>
      <c r="I515">
        <f t="shared" si="8"/>
        <v>6.6933223546179234E-4</v>
      </c>
    </row>
    <row r="516" spans="1:9" x14ac:dyDescent="0.3">
      <c r="A516" s="5">
        <v>42388</v>
      </c>
      <c r="B516">
        <v>16.772939999999998</v>
      </c>
      <c r="C516">
        <v>16.869060999999999</v>
      </c>
      <c r="D516">
        <v>15.763680000000001</v>
      </c>
      <c r="E516">
        <v>16.19622</v>
      </c>
      <c r="F516">
        <v>15.575607</v>
      </c>
      <c r="G516">
        <v>21614981</v>
      </c>
      <c r="I516">
        <f t="shared" si="8"/>
        <v>1.9124701084607034E-3</v>
      </c>
    </row>
    <row r="517" spans="1:9" x14ac:dyDescent="0.3">
      <c r="A517" s="5">
        <v>42389</v>
      </c>
      <c r="B517">
        <v>15.64353</v>
      </c>
      <c r="C517">
        <v>16.364429000000001</v>
      </c>
      <c r="D517">
        <v>14.75442</v>
      </c>
      <c r="E517">
        <v>16.19622</v>
      </c>
      <c r="F517">
        <v>15.575607</v>
      </c>
      <c r="G517">
        <v>28110695</v>
      </c>
      <c r="I517">
        <f t="shared" si="8"/>
        <v>5.9211195952999932E-3</v>
      </c>
    </row>
    <row r="518" spans="1:9" x14ac:dyDescent="0.3">
      <c r="A518" s="5">
        <v>42390</v>
      </c>
      <c r="B518">
        <v>16.19622</v>
      </c>
      <c r="C518">
        <v>17.445779999999999</v>
      </c>
      <c r="D518">
        <v>16.124130000000001</v>
      </c>
      <c r="E518">
        <v>17.037269999999999</v>
      </c>
      <c r="F518">
        <v>16.384429999999998</v>
      </c>
      <c r="G518">
        <v>19821140</v>
      </c>
      <c r="I518">
        <f t="shared" si="8"/>
        <v>2.006711041479006E-3</v>
      </c>
    </row>
    <row r="519" spans="1:9" x14ac:dyDescent="0.3">
      <c r="A519" s="5">
        <v>42391</v>
      </c>
      <c r="B519">
        <v>17.517869999999998</v>
      </c>
      <c r="C519">
        <v>17.830259000000002</v>
      </c>
      <c r="D519">
        <v>16.412490999999999</v>
      </c>
      <c r="E519">
        <v>16.508610000000001</v>
      </c>
      <c r="F519">
        <v>15.876029000000001</v>
      </c>
      <c r="G519">
        <v>14308906</v>
      </c>
      <c r="I519">
        <f t="shared" si="8"/>
        <v>1.7418766229799474E-3</v>
      </c>
    </row>
    <row r="520" spans="1:9" x14ac:dyDescent="0.3">
      <c r="A520" s="5">
        <v>42394</v>
      </c>
      <c r="B520">
        <v>16.364429000000001</v>
      </c>
      <c r="C520">
        <v>16.820999</v>
      </c>
      <c r="D520">
        <v>16.24428</v>
      </c>
      <c r="E520">
        <v>16.340401</v>
      </c>
      <c r="F520">
        <v>15.714264</v>
      </c>
      <c r="G520">
        <v>14161631</v>
      </c>
      <c r="I520">
        <f t="shared" si="8"/>
        <v>8.4115310571656623E-4</v>
      </c>
    </row>
    <row r="521" spans="1:9" x14ac:dyDescent="0.3">
      <c r="A521" s="5">
        <v>42395</v>
      </c>
      <c r="B521">
        <v>16.556668999999999</v>
      </c>
      <c r="C521">
        <v>17.253540000000001</v>
      </c>
      <c r="D521">
        <v>16.268311000000001</v>
      </c>
      <c r="E521">
        <v>17.157419000000001</v>
      </c>
      <c r="F521">
        <v>16.499973000000001</v>
      </c>
      <c r="G521">
        <v>15214274</v>
      </c>
      <c r="I521">
        <f t="shared" si="8"/>
        <v>1.1652497201263495E-3</v>
      </c>
    </row>
    <row r="522" spans="1:9" x14ac:dyDescent="0.3">
      <c r="A522" s="5">
        <v>42396</v>
      </c>
      <c r="B522">
        <v>16.965178999999999</v>
      </c>
      <c r="C522">
        <v>17.493839000000001</v>
      </c>
      <c r="D522">
        <v>16.628758999999999</v>
      </c>
      <c r="E522">
        <v>16.724879999999999</v>
      </c>
      <c r="F522">
        <v>16.084007</v>
      </c>
      <c r="G522">
        <v>14376779</v>
      </c>
      <c r="I522">
        <f t="shared" si="8"/>
        <v>1.494812182566423E-3</v>
      </c>
    </row>
    <row r="523" spans="1:9" x14ac:dyDescent="0.3">
      <c r="A523" s="5">
        <v>42397</v>
      </c>
      <c r="B523">
        <v>17.229509</v>
      </c>
      <c r="C523">
        <v>17.277570999999998</v>
      </c>
      <c r="D523">
        <v>16.388459999999998</v>
      </c>
      <c r="E523">
        <v>16.820999</v>
      </c>
      <c r="F523">
        <v>16.176445000000001</v>
      </c>
      <c r="G523">
        <v>11189097</v>
      </c>
      <c r="I523">
        <f t="shared" si="8"/>
        <v>1.3783348933184513E-3</v>
      </c>
    </row>
    <row r="524" spans="1:9" x14ac:dyDescent="0.3">
      <c r="A524" s="5">
        <v>42398</v>
      </c>
      <c r="B524">
        <v>16.772939999999998</v>
      </c>
      <c r="C524">
        <v>17.517869999999998</v>
      </c>
      <c r="D524">
        <v>16.772939999999998</v>
      </c>
      <c r="E524">
        <v>17.517869999999998</v>
      </c>
      <c r="F524">
        <v>16.846616999999998</v>
      </c>
      <c r="G524">
        <v>14886558</v>
      </c>
      <c r="I524">
        <f t="shared" ref="I524:I587" si="9">LN(C524/B524)*(LN(C524/B524)-LN(E524/B524))+LN(D524/B524)*(LN(D524/B524)-LN(E524/B524))</f>
        <v>0</v>
      </c>
    </row>
    <row r="525" spans="1:9" x14ac:dyDescent="0.3">
      <c r="A525" s="5">
        <v>42401</v>
      </c>
      <c r="B525">
        <v>17.73414</v>
      </c>
      <c r="C525">
        <v>17.73414</v>
      </c>
      <c r="D525">
        <v>17.085329000000002</v>
      </c>
      <c r="E525">
        <v>17.32563</v>
      </c>
      <c r="F525">
        <v>16.661740999999999</v>
      </c>
      <c r="G525">
        <v>11044320</v>
      </c>
      <c r="I525">
        <f t="shared" si="9"/>
        <v>5.2056166752474089E-4</v>
      </c>
    </row>
    <row r="526" spans="1:9" x14ac:dyDescent="0.3">
      <c r="A526" s="5">
        <v>42402</v>
      </c>
      <c r="B526">
        <v>16.869060999999999</v>
      </c>
      <c r="C526">
        <v>16.98921</v>
      </c>
      <c r="D526">
        <v>16.604731000000001</v>
      </c>
      <c r="E526">
        <v>16.748911</v>
      </c>
      <c r="F526">
        <v>16.107119000000001</v>
      </c>
      <c r="G526">
        <v>9223013</v>
      </c>
      <c r="I526">
        <f t="shared" si="9"/>
        <v>2.3764579361863964E-4</v>
      </c>
    </row>
    <row r="527" spans="1:9" x14ac:dyDescent="0.3">
      <c r="A527" s="5">
        <v>42403</v>
      </c>
      <c r="B527">
        <v>16.965178999999999</v>
      </c>
      <c r="C527">
        <v>18.190709999999999</v>
      </c>
      <c r="D527">
        <v>16.460550000000001</v>
      </c>
      <c r="E527">
        <v>18.142651000000001</v>
      </c>
      <c r="F527">
        <v>17.522874999999999</v>
      </c>
      <c r="G527">
        <v>14141365</v>
      </c>
      <c r="I527">
        <f t="shared" si="9"/>
        <v>3.1225876698982202E-3</v>
      </c>
    </row>
    <row r="528" spans="1:9" x14ac:dyDescent="0.3">
      <c r="A528" s="5">
        <v>42404</v>
      </c>
      <c r="B528">
        <v>18.358919</v>
      </c>
      <c r="C528">
        <v>20.305349</v>
      </c>
      <c r="D528">
        <v>18.334890000000001</v>
      </c>
      <c r="E528">
        <v>19.968928999999999</v>
      </c>
      <c r="F528">
        <v>19.286766</v>
      </c>
      <c r="G528">
        <v>22386517</v>
      </c>
      <c r="I528">
        <f t="shared" si="9"/>
        <v>1.7953398963875221E-3</v>
      </c>
    </row>
    <row r="529" spans="1:9" x14ac:dyDescent="0.3">
      <c r="A529" s="5">
        <v>42405</v>
      </c>
      <c r="B529">
        <v>19.560419</v>
      </c>
      <c r="C529">
        <v>20.425501000000001</v>
      </c>
      <c r="D529">
        <v>18.935639999999999</v>
      </c>
      <c r="E529">
        <v>19.512360000000001</v>
      </c>
      <c r="F529">
        <v>18.845790999999998</v>
      </c>
      <c r="G529">
        <v>17872451</v>
      </c>
      <c r="I529">
        <f t="shared" si="9"/>
        <v>2.9532172805536777E-3</v>
      </c>
    </row>
    <row r="530" spans="1:9" x14ac:dyDescent="0.3">
      <c r="A530" s="5">
        <v>42408</v>
      </c>
      <c r="B530">
        <v>18.575189999999999</v>
      </c>
      <c r="C530">
        <v>20.233259</v>
      </c>
      <c r="D530">
        <v>18.52713</v>
      </c>
      <c r="E530">
        <v>18.983699999999999</v>
      </c>
      <c r="F530">
        <v>18.335191999999999</v>
      </c>
      <c r="G530">
        <v>16452310</v>
      </c>
      <c r="I530">
        <f t="shared" si="9"/>
        <v>5.5134974364861571E-3</v>
      </c>
    </row>
    <row r="531" spans="1:9" x14ac:dyDescent="0.3">
      <c r="A531" s="5">
        <v>42409</v>
      </c>
      <c r="B531">
        <v>18.551161</v>
      </c>
      <c r="C531">
        <v>19.103849</v>
      </c>
      <c r="D531">
        <v>18.214741</v>
      </c>
      <c r="E531">
        <v>18.767429</v>
      </c>
      <c r="F531">
        <v>18.126315999999999</v>
      </c>
      <c r="G531">
        <v>11311527</v>
      </c>
      <c r="I531">
        <f t="shared" si="9"/>
        <v>1.0686450382103936E-3</v>
      </c>
    </row>
    <row r="532" spans="1:9" x14ac:dyDescent="0.3">
      <c r="A532" s="5">
        <v>42410</v>
      </c>
      <c r="B532">
        <v>18.983699999999999</v>
      </c>
      <c r="C532">
        <v>19.007729999999999</v>
      </c>
      <c r="D532">
        <v>17.902349000000001</v>
      </c>
      <c r="E532">
        <v>18.11862</v>
      </c>
      <c r="F532">
        <v>17.499663999999999</v>
      </c>
      <c r="G532">
        <v>11316146</v>
      </c>
      <c r="I532">
        <f t="shared" si="9"/>
        <v>7.6486828941278739E-4</v>
      </c>
    </row>
    <row r="533" spans="1:9" x14ac:dyDescent="0.3">
      <c r="A533" s="5">
        <v>42411</v>
      </c>
      <c r="B533">
        <v>17.686081000000001</v>
      </c>
      <c r="C533">
        <v>18.142651000000001</v>
      </c>
      <c r="D533">
        <v>17.085329000000002</v>
      </c>
      <c r="E533">
        <v>17.613990999999999</v>
      </c>
      <c r="F533">
        <v>17.012276</v>
      </c>
      <c r="G533">
        <v>13286475</v>
      </c>
      <c r="I533">
        <f t="shared" si="9"/>
        <v>1.8068146810717445E-3</v>
      </c>
    </row>
    <row r="534" spans="1:9" x14ac:dyDescent="0.3">
      <c r="A534" s="5">
        <v>42412</v>
      </c>
      <c r="B534">
        <v>18.094588999999999</v>
      </c>
      <c r="C534">
        <v>18.695339000000001</v>
      </c>
      <c r="D534">
        <v>17.686081000000001</v>
      </c>
      <c r="E534">
        <v>18.479071000000001</v>
      </c>
      <c r="F534">
        <v>17.847801</v>
      </c>
      <c r="G534">
        <v>10832917</v>
      </c>
      <c r="I534">
        <f t="shared" si="9"/>
        <v>1.3815911579426645E-3</v>
      </c>
    </row>
    <row r="535" spans="1:9" x14ac:dyDescent="0.3">
      <c r="A535" s="5">
        <v>42416</v>
      </c>
      <c r="B535">
        <v>18.743400999999999</v>
      </c>
      <c r="C535">
        <v>19.536390000000001</v>
      </c>
      <c r="D535">
        <v>18.45504</v>
      </c>
      <c r="E535">
        <v>19.512360000000001</v>
      </c>
      <c r="F535">
        <v>18.845790999999998</v>
      </c>
      <c r="G535">
        <v>9170870</v>
      </c>
      <c r="I535">
        <f t="shared" si="9"/>
        <v>9.1475017452357743E-4</v>
      </c>
    </row>
    <row r="536" spans="1:9" x14ac:dyDescent="0.3">
      <c r="A536" s="5">
        <v>42417</v>
      </c>
      <c r="B536">
        <v>19.776689999999999</v>
      </c>
      <c r="C536">
        <v>20.665800000000001</v>
      </c>
      <c r="D536">
        <v>19.704599000000002</v>
      </c>
      <c r="E536">
        <v>20.473559999999999</v>
      </c>
      <c r="F536">
        <v>19.774158</v>
      </c>
      <c r="G536">
        <v>12105660</v>
      </c>
      <c r="I536">
        <f t="shared" si="9"/>
        <v>5.5079873807845178E-4</v>
      </c>
    </row>
    <row r="537" spans="1:9" x14ac:dyDescent="0.3">
      <c r="A537" s="5">
        <v>42418</v>
      </c>
      <c r="B537">
        <v>20.521619999999999</v>
      </c>
      <c r="C537">
        <v>20.569679000000001</v>
      </c>
      <c r="D537">
        <v>19.416240999999999</v>
      </c>
      <c r="E537">
        <v>19.512360000000001</v>
      </c>
      <c r="F537">
        <v>18.845790999999998</v>
      </c>
      <c r="G537">
        <v>12181648</v>
      </c>
      <c r="I537">
        <f t="shared" si="9"/>
        <v>3.9686133591447514E-4</v>
      </c>
    </row>
    <row r="538" spans="1:9" x14ac:dyDescent="0.3">
      <c r="A538" s="5">
        <v>42419</v>
      </c>
      <c r="B538">
        <v>19.296088999999998</v>
      </c>
      <c r="C538">
        <v>19.440269000000001</v>
      </c>
      <c r="D538">
        <v>18.83952</v>
      </c>
      <c r="E538">
        <v>18.91161</v>
      </c>
      <c r="F538">
        <v>18.265566</v>
      </c>
      <c r="G538">
        <v>12881398</v>
      </c>
      <c r="I538">
        <f t="shared" si="9"/>
        <v>2.9669515209974489E-4</v>
      </c>
    </row>
    <row r="539" spans="1:9" x14ac:dyDescent="0.3">
      <c r="A539" s="5">
        <v>42422</v>
      </c>
      <c r="B539">
        <v>19.320119999999999</v>
      </c>
      <c r="C539">
        <v>21.45879</v>
      </c>
      <c r="D539">
        <v>19.320119999999999</v>
      </c>
      <c r="E539">
        <v>21.410730000000001</v>
      </c>
      <c r="F539">
        <v>20.679314000000002</v>
      </c>
      <c r="G539">
        <v>22938535</v>
      </c>
      <c r="I539">
        <f t="shared" si="9"/>
        <v>2.3539765847681586E-4</v>
      </c>
    </row>
    <row r="540" spans="1:9" x14ac:dyDescent="0.3">
      <c r="A540" s="5">
        <v>42423</v>
      </c>
      <c r="B540">
        <v>21.026250999999998</v>
      </c>
      <c r="C540">
        <v>21.074310000000001</v>
      </c>
      <c r="D540">
        <v>20.449529999999999</v>
      </c>
      <c r="E540">
        <v>20.497589000000001</v>
      </c>
      <c r="F540">
        <v>19.797364999999999</v>
      </c>
      <c r="G540">
        <v>11040491</v>
      </c>
      <c r="I540">
        <f t="shared" si="9"/>
        <v>1.286337512034643E-4</v>
      </c>
    </row>
    <row r="541" spans="1:9" x14ac:dyDescent="0.3">
      <c r="A541" s="5">
        <v>42424</v>
      </c>
      <c r="B541">
        <v>19.848780000000001</v>
      </c>
      <c r="C541">
        <v>21.12237</v>
      </c>
      <c r="D541">
        <v>19.824750999999999</v>
      </c>
      <c r="E541">
        <v>21.050280000000001</v>
      </c>
      <c r="F541">
        <v>20.331177</v>
      </c>
      <c r="G541">
        <v>12913733</v>
      </c>
      <c r="I541">
        <f t="shared" si="9"/>
        <v>2.8527520920470009E-4</v>
      </c>
    </row>
    <row r="542" spans="1:9" x14ac:dyDescent="0.3">
      <c r="A542" s="5">
        <v>42425</v>
      </c>
      <c r="B542">
        <v>21.12237</v>
      </c>
      <c r="C542">
        <v>21.434759</v>
      </c>
      <c r="D542">
        <v>20.545649999999998</v>
      </c>
      <c r="E542">
        <v>21.314609999999998</v>
      </c>
      <c r="F542">
        <v>20.586479000000001</v>
      </c>
      <c r="G542">
        <v>11512692</v>
      </c>
      <c r="I542">
        <f t="shared" si="9"/>
        <v>1.0997109147533356E-3</v>
      </c>
    </row>
    <row r="543" spans="1:9" x14ac:dyDescent="0.3">
      <c r="A543" s="5">
        <v>42426</v>
      </c>
      <c r="B543">
        <v>21.915358999999999</v>
      </c>
      <c r="C543">
        <v>22.131630000000001</v>
      </c>
      <c r="D543">
        <v>21.194459999999999</v>
      </c>
      <c r="E543">
        <v>21.314609999999998</v>
      </c>
      <c r="F543">
        <v>20.586479000000001</v>
      </c>
      <c r="G543">
        <v>9315938</v>
      </c>
      <c r="I543">
        <f t="shared" si="9"/>
        <v>5.5846173154626053E-4</v>
      </c>
    </row>
    <row r="544" spans="1:9" x14ac:dyDescent="0.3">
      <c r="A544" s="5">
        <v>42429</v>
      </c>
      <c r="B544">
        <v>21.506848999999999</v>
      </c>
      <c r="C544">
        <v>21.891331000000001</v>
      </c>
      <c r="D544">
        <v>21.266549999999999</v>
      </c>
      <c r="E544">
        <v>21.45879</v>
      </c>
      <c r="F544">
        <v>20.725731</v>
      </c>
      <c r="G544">
        <v>9189888</v>
      </c>
      <c r="I544">
        <f t="shared" si="9"/>
        <v>4.5472447513653373E-4</v>
      </c>
    </row>
    <row r="545" spans="1:9" x14ac:dyDescent="0.3">
      <c r="A545" s="5">
        <v>42430</v>
      </c>
      <c r="B545">
        <v>21.915358999999999</v>
      </c>
      <c r="C545">
        <v>22.107599</v>
      </c>
      <c r="D545">
        <v>21.434759</v>
      </c>
      <c r="E545">
        <v>21.891331000000001</v>
      </c>
      <c r="F545">
        <v>21.143495999999999</v>
      </c>
      <c r="G545">
        <v>6752601</v>
      </c>
      <c r="I545">
        <f t="shared" si="9"/>
        <v>5.5321327863000773E-4</v>
      </c>
    </row>
    <row r="546" spans="1:9" x14ac:dyDescent="0.3">
      <c r="A546" s="5">
        <v>42431</v>
      </c>
      <c r="B546">
        <v>21.987449999999999</v>
      </c>
      <c r="C546">
        <v>23.309099</v>
      </c>
      <c r="D546">
        <v>21.8673</v>
      </c>
      <c r="E546">
        <v>23.116859000000002</v>
      </c>
      <c r="F546">
        <v>22.327154</v>
      </c>
      <c r="G546">
        <v>20398502</v>
      </c>
      <c r="I546">
        <f t="shared" si="9"/>
        <v>7.8790734816136293E-4</v>
      </c>
    </row>
    <row r="547" spans="1:9" x14ac:dyDescent="0.3">
      <c r="A547" s="5">
        <v>42432</v>
      </c>
      <c r="B547">
        <v>22.588200000000001</v>
      </c>
      <c r="C547">
        <v>23.309099</v>
      </c>
      <c r="D547">
        <v>22.035509000000001</v>
      </c>
      <c r="E547">
        <v>22.756411</v>
      </c>
      <c r="F547">
        <v>21.979025</v>
      </c>
      <c r="G547">
        <v>14788306</v>
      </c>
      <c r="I547">
        <f t="shared" si="9"/>
        <v>1.5513575026103602E-3</v>
      </c>
    </row>
    <row r="548" spans="1:9" x14ac:dyDescent="0.3">
      <c r="A548" s="5">
        <v>42433</v>
      </c>
      <c r="B548">
        <v>23.044768999999999</v>
      </c>
      <c r="C548">
        <v>24.12612</v>
      </c>
      <c r="D548">
        <v>22.636258999999999</v>
      </c>
      <c r="E548">
        <v>22.99671</v>
      </c>
      <c r="F548">
        <v>22.211114999999999</v>
      </c>
      <c r="G548">
        <v>16989305</v>
      </c>
      <c r="I548">
        <f t="shared" si="9"/>
        <v>2.4810915335701515E-3</v>
      </c>
    </row>
    <row r="549" spans="1:9" x14ac:dyDescent="0.3">
      <c r="A549" s="5">
        <v>42436</v>
      </c>
      <c r="B549">
        <v>23.212980000000002</v>
      </c>
      <c r="C549">
        <v>24.19821</v>
      </c>
      <c r="D549">
        <v>23.092831</v>
      </c>
      <c r="E549">
        <v>24.12612</v>
      </c>
      <c r="F549">
        <v>23.301939000000001</v>
      </c>
      <c r="G549">
        <v>17470662</v>
      </c>
      <c r="I549">
        <f t="shared" si="9"/>
        <v>3.5117318933313146E-4</v>
      </c>
    </row>
    <row r="550" spans="1:9" x14ac:dyDescent="0.3">
      <c r="A550" s="5">
        <v>42437</v>
      </c>
      <c r="B550">
        <v>23.477309999999999</v>
      </c>
      <c r="C550">
        <v>23.7897</v>
      </c>
      <c r="D550">
        <v>22.323869999999999</v>
      </c>
      <c r="E550">
        <v>22.419991</v>
      </c>
      <c r="F550">
        <v>21.654097</v>
      </c>
      <c r="G550">
        <v>15752351</v>
      </c>
      <c r="I550">
        <f t="shared" si="9"/>
        <v>1.0002897037381091E-3</v>
      </c>
    </row>
    <row r="551" spans="1:9" x14ac:dyDescent="0.3">
      <c r="A551" s="5">
        <v>42438</v>
      </c>
      <c r="B551">
        <v>22.66029</v>
      </c>
      <c r="C551">
        <v>22.876560000000001</v>
      </c>
      <c r="D551">
        <v>21.915358999999999</v>
      </c>
      <c r="E551">
        <v>22.636258999999999</v>
      </c>
      <c r="F551">
        <v>21.862977999999998</v>
      </c>
      <c r="G551">
        <v>9063878</v>
      </c>
      <c r="I551">
        <f t="shared" si="9"/>
        <v>1.1821579586848811E-3</v>
      </c>
    </row>
    <row r="552" spans="1:9" x14ac:dyDescent="0.3">
      <c r="A552" s="5">
        <v>42439</v>
      </c>
      <c r="B552">
        <v>22.540140000000001</v>
      </c>
      <c r="C552">
        <v>23.140889999999999</v>
      </c>
      <c r="D552">
        <v>22.155660999999998</v>
      </c>
      <c r="E552">
        <v>23.044768999999999</v>
      </c>
      <c r="F552">
        <v>22.257532000000001</v>
      </c>
      <c r="G552">
        <v>10378236</v>
      </c>
      <c r="I552">
        <f t="shared" si="9"/>
        <v>7.864162862347584E-4</v>
      </c>
    </row>
    <row r="553" spans="1:9" x14ac:dyDescent="0.3">
      <c r="A553" s="5">
        <v>42440</v>
      </c>
      <c r="B553">
        <v>23.333130000000001</v>
      </c>
      <c r="C553">
        <v>23.669550000000001</v>
      </c>
      <c r="D553">
        <v>22.708348999999998</v>
      </c>
      <c r="E553">
        <v>22.876560000000001</v>
      </c>
      <c r="F553">
        <v>22.095065999999999</v>
      </c>
      <c r="G553">
        <v>9729671</v>
      </c>
      <c r="I553">
        <f t="shared" si="9"/>
        <v>6.8812151505899012E-4</v>
      </c>
    </row>
    <row r="554" spans="1:9" x14ac:dyDescent="0.3">
      <c r="A554" s="5">
        <v>42443</v>
      </c>
      <c r="B554">
        <v>22.61223</v>
      </c>
      <c r="C554">
        <v>23.549399999999999</v>
      </c>
      <c r="D554">
        <v>22.492080999999999</v>
      </c>
      <c r="E554">
        <v>23.237009</v>
      </c>
      <c r="F554">
        <v>22.443204999999999</v>
      </c>
      <c r="G554">
        <v>9020516</v>
      </c>
      <c r="I554">
        <f t="shared" si="9"/>
        <v>7.1589263185709636E-4</v>
      </c>
    </row>
    <row r="555" spans="1:9" x14ac:dyDescent="0.3">
      <c r="A555" s="5">
        <v>42444</v>
      </c>
      <c r="B555">
        <v>22.828500999999999</v>
      </c>
      <c r="C555">
        <v>22.876560000000001</v>
      </c>
      <c r="D555">
        <v>21.891331000000001</v>
      </c>
      <c r="E555">
        <v>22.011479999999999</v>
      </c>
      <c r="F555">
        <v>21.259539</v>
      </c>
      <c r="G555">
        <v>13096629</v>
      </c>
      <c r="I555">
        <f t="shared" si="9"/>
        <v>3.1050893307732095E-4</v>
      </c>
    </row>
    <row r="556" spans="1:9" x14ac:dyDescent="0.3">
      <c r="A556" s="5">
        <v>42445</v>
      </c>
      <c r="B556">
        <v>22.083570000000002</v>
      </c>
      <c r="C556">
        <v>23.477309999999999</v>
      </c>
      <c r="D556">
        <v>21.8673</v>
      </c>
      <c r="E556">
        <v>23.40522</v>
      </c>
      <c r="F556">
        <v>22.605667</v>
      </c>
      <c r="G556">
        <v>14369829</v>
      </c>
      <c r="I556">
        <f t="shared" si="9"/>
        <v>8.5710882246422312E-4</v>
      </c>
    </row>
    <row r="557" spans="1:9" x14ac:dyDescent="0.3">
      <c r="A557" s="5">
        <v>42446</v>
      </c>
      <c r="B557">
        <v>23.693580999999998</v>
      </c>
      <c r="C557">
        <v>24.030000999999999</v>
      </c>
      <c r="D557">
        <v>23.381188999999999</v>
      </c>
      <c r="E557">
        <v>23.885819999999999</v>
      </c>
      <c r="F557">
        <v>23.069849000000001</v>
      </c>
      <c r="G557">
        <v>16342489</v>
      </c>
      <c r="I557">
        <f t="shared" si="9"/>
        <v>3.6825579684561949E-4</v>
      </c>
    </row>
    <row r="558" spans="1:9" x14ac:dyDescent="0.3">
      <c r="A558" s="5">
        <v>42447</v>
      </c>
      <c r="B558">
        <v>24.030000999999999</v>
      </c>
      <c r="C558">
        <v>24.558661000000001</v>
      </c>
      <c r="D558">
        <v>23.549399999999999</v>
      </c>
      <c r="E558">
        <v>24.102091000000001</v>
      </c>
      <c r="F558">
        <v>23.278734</v>
      </c>
      <c r="G558">
        <v>13993258</v>
      </c>
      <c r="I558">
        <f t="shared" si="9"/>
        <v>8.7704432465953884E-4</v>
      </c>
    </row>
    <row r="559" spans="1:9" x14ac:dyDescent="0.3">
      <c r="A559" s="5">
        <v>42450</v>
      </c>
      <c r="B559">
        <v>23.885819999999999</v>
      </c>
      <c r="C559">
        <v>24.12612</v>
      </c>
      <c r="D559">
        <v>23.333130000000001</v>
      </c>
      <c r="E559">
        <v>23.765671000000001</v>
      </c>
      <c r="F559">
        <v>22.953804000000002</v>
      </c>
      <c r="G559">
        <v>7950062</v>
      </c>
      <c r="I559">
        <f t="shared" si="9"/>
        <v>5.8068743150541287E-4</v>
      </c>
    </row>
    <row r="560" spans="1:9" x14ac:dyDescent="0.3">
      <c r="A560" s="5">
        <v>42451</v>
      </c>
      <c r="B560">
        <v>23.453278999999998</v>
      </c>
      <c r="C560">
        <v>23.933879999999998</v>
      </c>
      <c r="D560">
        <v>23.261040000000001</v>
      </c>
      <c r="E560">
        <v>23.669550000000001</v>
      </c>
      <c r="F560">
        <v>22.860969999999998</v>
      </c>
      <c r="G560">
        <v>8258094</v>
      </c>
      <c r="I560">
        <f t="shared" si="9"/>
        <v>3.6856282660172068E-4</v>
      </c>
    </row>
    <row r="561" spans="1:9" x14ac:dyDescent="0.3">
      <c r="A561" s="5">
        <v>42452</v>
      </c>
      <c r="B561">
        <v>23.285070000000001</v>
      </c>
      <c r="C561">
        <v>23.549399999999999</v>
      </c>
      <c r="D561">
        <v>22.227751000000001</v>
      </c>
      <c r="E561">
        <v>22.395959999999999</v>
      </c>
      <c r="F561">
        <v>21.630887999999999</v>
      </c>
      <c r="G561">
        <v>10581107</v>
      </c>
      <c r="I561">
        <f t="shared" si="9"/>
        <v>9.1722367503333456E-4</v>
      </c>
    </row>
    <row r="562" spans="1:9" x14ac:dyDescent="0.3">
      <c r="A562" s="5">
        <v>42453</v>
      </c>
      <c r="B562">
        <v>22.059539999999998</v>
      </c>
      <c r="C562">
        <v>23.092831</v>
      </c>
      <c r="D562">
        <v>21.723120000000002</v>
      </c>
      <c r="E562">
        <v>22.99671</v>
      </c>
      <c r="F562">
        <v>22.211114999999999</v>
      </c>
      <c r="G562">
        <v>8631377</v>
      </c>
      <c r="I562">
        <f t="shared" si="9"/>
        <v>1.0665175399252754E-3</v>
      </c>
    </row>
    <row r="563" spans="1:9" x14ac:dyDescent="0.3">
      <c r="A563" s="5">
        <v>42457</v>
      </c>
      <c r="B563">
        <v>23.237009</v>
      </c>
      <c r="C563">
        <v>23.645519</v>
      </c>
      <c r="D563">
        <v>22.756411</v>
      </c>
      <c r="E563">
        <v>23.309099</v>
      </c>
      <c r="F563">
        <v>22.512833000000001</v>
      </c>
      <c r="G563">
        <v>6867124</v>
      </c>
      <c r="I563">
        <f t="shared" si="9"/>
        <v>7.5125024677629446E-4</v>
      </c>
    </row>
    <row r="564" spans="1:9" x14ac:dyDescent="0.3">
      <c r="A564" s="5">
        <v>42458</v>
      </c>
      <c r="B564">
        <v>22.948650000000001</v>
      </c>
      <c r="C564">
        <v>23.429251000000001</v>
      </c>
      <c r="D564">
        <v>22.516109</v>
      </c>
      <c r="E564">
        <v>23.357161000000001</v>
      </c>
      <c r="F564">
        <v>22.559256000000001</v>
      </c>
      <c r="G564">
        <v>10239950</v>
      </c>
      <c r="I564">
        <f t="shared" si="9"/>
        <v>7.616813288681771E-4</v>
      </c>
    </row>
    <row r="565" spans="1:9" x14ac:dyDescent="0.3">
      <c r="A565" s="5">
        <v>42459</v>
      </c>
      <c r="B565">
        <v>23.621490000000001</v>
      </c>
      <c r="C565">
        <v>23.717608999999999</v>
      </c>
      <c r="D565">
        <v>23.140889999999999</v>
      </c>
      <c r="E565">
        <v>23.261040000000001</v>
      </c>
      <c r="F565">
        <v>22.46641</v>
      </c>
      <c r="G565">
        <v>7683188</v>
      </c>
      <c r="I565">
        <f t="shared" si="9"/>
        <v>1.8538630679420241E-4</v>
      </c>
    </row>
    <row r="566" spans="1:9" x14ac:dyDescent="0.3">
      <c r="A566" s="5">
        <v>42460</v>
      </c>
      <c r="B566">
        <v>23.309099</v>
      </c>
      <c r="C566">
        <v>23.693580999999998</v>
      </c>
      <c r="D566">
        <v>22.900590999999999</v>
      </c>
      <c r="E566">
        <v>23.020741000000001</v>
      </c>
      <c r="F566">
        <v>22.234324000000001</v>
      </c>
      <c r="G566">
        <v>8305660</v>
      </c>
      <c r="I566">
        <f t="shared" si="9"/>
        <v>5.6384177325292386E-4</v>
      </c>
    </row>
    <row r="567" spans="1:9" x14ac:dyDescent="0.3">
      <c r="A567" s="5">
        <v>42461</v>
      </c>
      <c r="B567">
        <v>22.68432</v>
      </c>
      <c r="C567">
        <v>23.164921</v>
      </c>
      <c r="D567">
        <v>22.468050000000002</v>
      </c>
      <c r="E567">
        <v>23.140889999999999</v>
      </c>
      <c r="F567">
        <v>22.350366999999999</v>
      </c>
      <c r="G567">
        <v>7312817</v>
      </c>
      <c r="I567">
        <f t="shared" si="9"/>
        <v>3.0442551555486116E-4</v>
      </c>
    </row>
    <row r="568" spans="1:9" x14ac:dyDescent="0.3">
      <c r="A568" s="5">
        <v>42464</v>
      </c>
      <c r="B568">
        <v>23.020741000000001</v>
      </c>
      <c r="C568">
        <v>23.477309999999999</v>
      </c>
      <c r="D568">
        <v>22.516109</v>
      </c>
      <c r="E568">
        <v>22.588200000000001</v>
      </c>
      <c r="F568">
        <v>21.816559000000002</v>
      </c>
      <c r="G568">
        <v>8300749</v>
      </c>
      <c r="I568">
        <f t="shared" si="9"/>
        <v>8.2904408812603698E-4</v>
      </c>
    </row>
    <row r="569" spans="1:9" x14ac:dyDescent="0.3">
      <c r="A569" s="5">
        <v>42465</v>
      </c>
      <c r="B569">
        <v>22.323869999999999</v>
      </c>
      <c r="C569">
        <v>22.948650000000001</v>
      </c>
      <c r="D569">
        <v>22.25178</v>
      </c>
      <c r="E569">
        <v>22.61223</v>
      </c>
      <c r="F569">
        <v>21.839769</v>
      </c>
      <c r="G569">
        <v>6118435</v>
      </c>
      <c r="I569">
        <f t="shared" si="9"/>
        <v>4.596157066465635E-4</v>
      </c>
    </row>
    <row r="570" spans="1:9" x14ac:dyDescent="0.3">
      <c r="A570" s="5">
        <v>42466</v>
      </c>
      <c r="B570">
        <v>22.636258999999999</v>
      </c>
      <c r="C570">
        <v>22.924620000000001</v>
      </c>
      <c r="D570">
        <v>22.25178</v>
      </c>
      <c r="E570">
        <v>22.828500999999999</v>
      </c>
      <c r="F570">
        <v>22.048646999999999</v>
      </c>
      <c r="G570">
        <v>7000874</v>
      </c>
      <c r="I570">
        <f t="shared" si="9"/>
        <v>4.915306369649877E-4</v>
      </c>
    </row>
    <row r="571" spans="1:9" x14ac:dyDescent="0.3">
      <c r="A571" s="5">
        <v>42467</v>
      </c>
      <c r="B571">
        <v>22.66029</v>
      </c>
      <c r="C571">
        <v>23.549399999999999</v>
      </c>
      <c r="D571">
        <v>22.66029</v>
      </c>
      <c r="E571">
        <v>22.780439000000001</v>
      </c>
      <c r="F571">
        <v>22.002234000000001</v>
      </c>
      <c r="G571">
        <v>12737287</v>
      </c>
      <c r="I571">
        <f t="shared" si="9"/>
        <v>1.2776721840187465E-3</v>
      </c>
    </row>
    <row r="572" spans="1:9" x14ac:dyDescent="0.3">
      <c r="A572" s="5">
        <v>42468</v>
      </c>
      <c r="B572">
        <v>23.309099</v>
      </c>
      <c r="C572">
        <v>23.381188999999999</v>
      </c>
      <c r="D572">
        <v>22.468050000000002</v>
      </c>
      <c r="E572">
        <v>22.516109</v>
      </c>
      <c r="F572">
        <v>21.746932999999999</v>
      </c>
      <c r="G572">
        <v>14638285</v>
      </c>
      <c r="I572">
        <f t="shared" si="9"/>
        <v>1.9494345217035004E-4</v>
      </c>
    </row>
    <row r="573" spans="1:9" x14ac:dyDescent="0.3">
      <c r="A573" s="5">
        <v>42471</v>
      </c>
      <c r="B573">
        <v>22.900590999999999</v>
      </c>
      <c r="C573">
        <v>23.669550000000001</v>
      </c>
      <c r="D573">
        <v>22.66029</v>
      </c>
      <c r="E573">
        <v>23.40522</v>
      </c>
      <c r="F573">
        <v>22.605667</v>
      </c>
      <c r="G573">
        <v>19303329</v>
      </c>
      <c r="I573">
        <f t="shared" si="9"/>
        <v>7.1209770037342806E-4</v>
      </c>
    </row>
    <row r="574" spans="1:9" x14ac:dyDescent="0.3">
      <c r="A574" s="5">
        <v>42472</v>
      </c>
      <c r="B574">
        <v>22.444019000000001</v>
      </c>
      <c r="C574">
        <v>22.828500999999999</v>
      </c>
      <c r="D574">
        <v>22.011479999999999</v>
      </c>
      <c r="E574">
        <v>22.780439000000001</v>
      </c>
      <c r="F574">
        <v>22.002234000000001</v>
      </c>
      <c r="G574">
        <v>27805701</v>
      </c>
      <c r="I574">
        <f t="shared" si="9"/>
        <v>7.040187137558443E-4</v>
      </c>
    </row>
    <row r="575" spans="1:9" x14ac:dyDescent="0.3">
      <c r="A575" s="5">
        <v>42473</v>
      </c>
      <c r="B575">
        <v>23.044768999999999</v>
      </c>
      <c r="C575">
        <v>24.19821</v>
      </c>
      <c r="D575">
        <v>22.876560000000001</v>
      </c>
      <c r="E575">
        <v>23.525369999999999</v>
      </c>
      <c r="F575">
        <v>22.721717999999999</v>
      </c>
      <c r="G575">
        <v>20289263</v>
      </c>
      <c r="I575">
        <f t="shared" si="9"/>
        <v>1.5821307419030285E-3</v>
      </c>
    </row>
    <row r="576" spans="1:9" x14ac:dyDescent="0.3">
      <c r="A576" s="5">
        <v>42474</v>
      </c>
      <c r="B576">
        <v>23.765671000000001</v>
      </c>
      <c r="C576">
        <v>24.366420999999999</v>
      </c>
      <c r="D576">
        <v>23.453278999999998</v>
      </c>
      <c r="E576">
        <v>24.054029</v>
      </c>
      <c r="F576">
        <v>23.232315</v>
      </c>
      <c r="G576">
        <v>13070246</v>
      </c>
      <c r="I576">
        <f t="shared" si="9"/>
        <v>6.5678275339824403E-4</v>
      </c>
    </row>
    <row r="577" spans="1:9" x14ac:dyDescent="0.3">
      <c r="A577" s="5">
        <v>42475</v>
      </c>
      <c r="B577">
        <v>23.981939000000001</v>
      </c>
      <c r="C577">
        <v>24.390450000000001</v>
      </c>
      <c r="D577">
        <v>23.885819999999999</v>
      </c>
      <c r="E577">
        <v>24.054029</v>
      </c>
      <c r="F577">
        <v>23.232315</v>
      </c>
      <c r="G577">
        <v>11212443</v>
      </c>
      <c r="I577">
        <f t="shared" si="9"/>
        <v>2.6277953085441743E-4</v>
      </c>
    </row>
    <row r="578" spans="1:9" x14ac:dyDescent="0.3">
      <c r="A578" s="5">
        <v>42478</v>
      </c>
      <c r="B578">
        <v>23.573429000000001</v>
      </c>
      <c r="C578">
        <v>24.342390000000002</v>
      </c>
      <c r="D578">
        <v>23.501341</v>
      </c>
      <c r="E578">
        <v>24.246269000000002</v>
      </c>
      <c r="F578">
        <v>23.417985999999999</v>
      </c>
      <c r="G578">
        <v>8736663</v>
      </c>
      <c r="I578">
        <f t="shared" si="9"/>
        <v>2.2257335710474811E-4</v>
      </c>
    </row>
    <row r="579" spans="1:9" x14ac:dyDescent="0.3">
      <c r="A579" s="5">
        <v>42479</v>
      </c>
      <c r="B579">
        <v>24.462540000000001</v>
      </c>
      <c r="C579">
        <v>25.303591000000001</v>
      </c>
      <c r="D579">
        <v>24.414480000000001</v>
      </c>
      <c r="E579">
        <v>25.303591000000001</v>
      </c>
      <c r="F579">
        <v>24.439191999999998</v>
      </c>
      <c r="G579">
        <v>10828464</v>
      </c>
      <c r="I579">
        <f t="shared" si="9"/>
        <v>7.0344021718114099E-5</v>
      </c>
    </row>
    <row r="580" spans="1:9" x14ac:dyDescent="0.3">
      <c r="A580" s="5">
        <v>42480</v>
      </c>
      <c r="B580">
        <v>25.231501000000002</v>
      </c>
      <c r="C580">
        <v>25.808219999999999</v>
      </c>
      <c r="D580">
        <v>24.678809999999999</v>
      </c>
      <c r="E580">
        <v>25.447769000000001</v>
      </c>
      <c r="F580">
        <v>24.578437999999998</v>
      </c>
      <c r="G580">
        <v>12643571</v>
      </c>
      <c r="I580">
        <f t="shared" si="9"/>
        <v>9.9744296315901464E-4</v>
      </c>
    </row>
    <row r="581" spans="1:9" x14ac:dyDescent="0.3">
      <c r="A581" s="5">
        <v>42481</v>
      </c>
      <c r="B581">
        <v>25.66404</v>
      </c>
      <c r="C581">
        <v>25.736129999999999</v>
      </c>
      <c r="D581">
        <v>24.87105</v>
      </c>
      <c r="E581">
        <v>25.039261</v>
      </c>
      <c r="F581">
        <v>24.183889000000001</v>
      </c>
      <c r="G581">
        <v>9809988</v>
      </c>
      <c r="I581">
        <f t="shared" si="9"/>
        <v>2.8856213823660962E-4</v>
      </c>
    </row>
    <row r="582" spans="1:9" x14ac:dyDescent="0.3">
      <c r="A582" s="5">
        <v>42482</v>
      </c>
      <c r="B582">
        <v>25.111349000000001</v>
      </c>
      <c r="C582">
        <v>25.567920999999998</v>
      </c>
      <c r="D582">
        <v>24.798960000000001</v>
      </c>
      <c r="E582">
        <v>24.991199000000002</v>
      </c>
      <c r="F582">
        <v>24.137464999999999</v>
      </c>
      <c r="G582">
        <v>8394382</v>
      </c>
      <c r="I582">
        <f t="shared" si="9"/>
        <v>5.0775507421367636E-4</v>
      </c>
    </row>
    <row r="583" spans="1:9" x14ac:dyDescent="0.3">
      <c r="A583" s="5">
        <v>42485</v>
      </c>
      <c r="B583">
        <v>24.774929</v>
      </c>
      <c r="C583">
        <v>24.87105</v>
      </c>
      <c r="D583">
        <v>24.270299999999999</v>
      </c>
      <c r="E583">
        <v>24.414480000000001</v>
      </c>
      <c r="F583">
        <v>23.580452000000001</v>
      </c>
      <c r="G583">
        <v>8077611</v>
      </c>
      <c r="I583">
        <f t="shared" si="9"/>
        <v>1.9363438088552552E-4</v>
      </c>
    </row>
    <row r="584" spans="1:9" x14ac:dyDescent="0.3">
      <c r="A584" s="5">
        <v>42486</v>
      </c>
      <c r="B584">
        <v>24.702840999999999</v>
      </c>
      <c r="C584">
        <v>25.640011000000001</v>
      </c>
      <c r="D584">
        <v>24.462540000000001</v>
      </c>
      <c r="E584">
        <v>25.61598</v>
      </c>
      <c r="F584">
        <v>24.740908000000001</v>
      </c>
      <c r="G584">
        <v>11373200</v>
      </c>
      <c r="I584">
        <f t="shared" si="9"/>
        <v>4.8529636862721244E-4</v>
      </c>
    </row>
    <row r="585" spans="1:9" x14ac:dyDescent="0.3">
      <c r="A585" s="5">
        <v>42487</v>
      </c>
      <c r="B585">
        <v>25.61598</v>
      </c>
      <c r="C585">
        <v>27.298079999999999</v>
      </c>
      <c r="D585">
        <v>25.61598</v>
      </c>
      <c r="E585">
        <v>27.177931000000001</v>
      </c>
      <c r="F585">
        <v>26.249500000000001</v>
      </c>
      <c r="G585">
        <v>19386642</v>
      </c>
      <c r="I585">
        <f t="shared" si="9"/>
        <v>2.8054506914143568E-4</v>
      </c>
    </row>
    <row r="586" spans="1:9" x14ac:dyDescent="0.3">
      <c r="A586" s="5">
        <v>42488</v>
      </c>
      <c r="B586">
        <v>26.961659999999998</v>
      </c>
      <c r="C586">
        <v>27.346139999999998</v>
      </c>
      <c r="D586">
        <v>26.673300000000001</v>
      </c>
      <c r="E586">
        <v>26.793448999999999</v>
      </c>
      <c r="F586">
        <v>25.878155</v>
      </c>
      <c r="G586">
        <v>11177029</v>
      </c>
      <c r="I586">
        <f t="shared" si="9"/>
        <v>3.3743563762471884E-4</v>
      </c>
    </row>
    <row r="587" spans="1:9" x14ac:dyDescent="0.3">
      <c r="A587" s="5">
        <v>42489</v>
      </c>
      <c r="B587">
        <v>27.105841000000002</v>
      </c>
      <c r="C587">
        <v>27.634501</v>
      </c>
      <c r="D587">
        <v>26.601209999999998</v>
      </c>
      <c r="E587">
        <v>26.841511000000001</v>
      </c>
      <c r="F587">
        <v>25.924568000000001</v>
      </c>
      <c r="G587">
        <v>17319018</v>
      </c>
      <c r="I587">
        <f t="shared" si="9"/>
        <v>7.3138678820597726E-4</v>
      </c>
    </row>
    <row r="588" spans="1:9" x14ac:dyDescent="0.3">
      <c r="A588" s="5">
        <v>42492</v>
      </c>
      <c r="B588">
        <v>26.913601</v>
      </c>
      <c r="C588">
        <v>27.057779</v>
      </c>
      <c r="D588">
        <v>26.07255</v>
      </c>
      <c r="E588">
        <v>26.336880000000001</v>
      </c>
      <c r="F588">
        <v>25.437180999999999</v>
      </c>
      <c r="G588">
        <v>10785227</v>
      </c>
      <c r="I588">
        <f t="shared" ref="I588:I651" si="10">LN(C588/B588)*(LN(C588/B588)-LN(E588/B588))+LN(D588/B588)*(LN(D588/B588)-LN(E588/B588))</f>
        <v>4.6453368766236579E-4</v>
      </c>
    </row>
    <row r="589" spans="1:9" x14ac:dyDescent="0.3">
      <c r="A589" s="5">
        <v>42493</v>
      </c>
      <c r="B589">
        <v>25.66404</v>
      </c>
      <c r="C589">
        <v>25.784189000000001</v>
      </c>
      <c r="D589">
        <v>24.654779000000001</v>
      </c>
      <c r="E589">
        <v>24.87105</v>
      </c>
      <c r="F589">
        <v>24.021425000000001</v>
      </c>
      <c r="G589">
        <v>12592135</v>
      </c>
      <c r="I589">
        <f t="shared" si="10"/>
        <v>5.188080237472875E-4</v>
      </c>
    </row>
    <row r="590" spans="1:9" x14ac:dyDescent="0.3">
      <c r="A590" s="5">
        <v>42494</v>
      </c>
      <c r="B590">
        <v>24.702840999999999</v>
      </c>
      <c r="C590">
        <v>25.111349000000001</v>
      </c>
      <c r="D590">
        <v>24.438510999999998</v>
      </c>
      <c r="E590">
        <v>24.606719999999999</v>
      </c>
      <c r="F590">
        <v>23.835215000000002</v>
      </c>
      <c r="G590">
        <v>9415522</v>
      </c>
      <c r="I590">
        <f t="shared" si="10"/>
        <v>4.0675191224365378E-4</v>
      </c>
    </row>
    <row r="591" spans="1:9" x14ac:dyDescent="0.3">
      <c r="A591" s="5">
        <v>42495</v>
      </c>
      <c r="B591">
        <v>24.798960000000001</v>
      </c>
      <c r="C591">
        <v>24.94314</v>
      </c>
      <c r="D591">
        <v>23.885819999999999</v>
      </c>
      <c r="E591">
        <v>24.078060000000001</v>
      </c>
      <c r="F591">
        <v>23.323128000000001</v>
      </c>
      <c r="G591">
        <v>9225385</v>
      </c>
      <c r="I591">
        <f t="shared" si="10"/>
        <v>5.0536239294312788E-4</v>
      </c>
    </row>
    <row r="592" spans="1:9" x14ac:dyDescent="0.3">
      <c r="A592" s="5">
        <v>42496</v>
      </c>
      <c r="B592">
        <v>24.005970000000001</v>
      </c>
      <c r="C592">
        <v>24.726870000000002</v>
      </c>
      <c r="D592">
        <v>24.005970000000001</v>
      </c>
      <c r="E592">
        <v>24.12612</v>
      </c>
      <c r="F592">
        <v>23.369678</v>
      </c>
      <c r="G592">
        <v>7668290</v>
      </c>
      <c r="I592">
        <f t="shared" si="10"/>
        <v>7.2772869496994116E-4</v>
      </c>
    </row>
    <row r="593" spans="1:9" x14ac:dyDescent="0.3">
      <c r="A593" s="5">
        <v>42499</v>
      </c>
      <c r="B593">
        <v>23.693580999999998</v>
      </c>
      <c r="C593">
        <v>23.693580999999998</v>
      </c>
      <c r="D593">
        <v>22.68432</v>
      </c>
      <c r="E593">
        <v>22.732379999999999</v>
      </c>
      <c r="F593">
        <v>22.019639999999999</v>
      </c>
      <c r="G593">
        <v>14081856</v>
      </c>
      <c r="I593">
        <f t="shared" si="10"/>
        <v>9.2127506689735342E-5</v>
      </c>
    </row>
    <row r="594" spans="1:9" x14ac:dyDescent="0.3">
      <c r="A594" s="5">
        <v>42500</v>
      </c>
      <c r="B594">
        <v>22.972678999999999</v>
      </c>
      <c r="C594">
        <v>23.261040000000001</v>
      </c>
      <c r="D594">
        <v>22.395959999999999</v>
      </c>
      <c r="E594">
        <v>23.237009</v>
      </c>
      <c r="F594">
        <v>22.508445999999999</v>
      </c>
      <c r="G594">
        <v>9266126</v>
      </c>
      <c r="I594">
        <f t="shared" si="10"/>
        <v>9.5020464721642646E-4</v>
      </c>
    </row>
    <row r="595" spans="1:9" x14ac:dyDescent="0.3">
      <c r="A595" s="5">
        <v>42501</v>
      </c>
      <c r="B595">
        <v>23.285070000000001</v>
      </c>
      <c r="C595">
        <v>23.525369999999999</v>
      </c>
      <c r="D595">
        <v>22.924620000000001</v>
      </c>
      <c r="E595">
        <v>22.924620000000001</v>
      </c>
      <c r="F595">
        <v>22.205849000000001</v>
      </c>
      <c r="G595">
        <v>6661923</v>
      </c>
      <c r="I595">
        <f t="shared" si="10"/>
        <v>2.6558725168920124E-4</v>
      </c>
    </row>
    <row r="596" spans="1:9" x14ac:dyDescent="0.3">
      <c r="A596" s="5">
        <v>42502</v>
      </c>
      <c r="B596">
        <v>23.188949999999998</v>
      </c>
      <c r="C596">
        <v>23.357161000000001</v>
      </c>
      <c r="D596">
        <v>22.227751000000001</v>
      </c>
      <c r="E596">
        <v>22.68432</v>
      </c>
      <c r="F596">
        <v>21.973085000000001</v>
      </c>
      <c r="G596">
        <v>9591844</v>
      </c>
      <c r="I596">
        <f t="shared" si="10"/>
        <v>1.0720223208811823E-3</v>
      </c>
    </row>
    <row r="597" spans="1:9" x14ac:dyDescent="0.3">
      <c r="A597" s="5">
        <v>42503</v>
      </c>
      <c r="B597">
        <v>22.468050000000002</v>
      </c>
      <c r="C597">
        <v>22.924620000000001</v>
      </c>
      <c r="D597">
        <v>22.059539999999998</v>
      </c>
      <c r="E597">
        <v>22.107599</v>
      </c>
      <c r="F597">
        <v>21.414448</v>
      </c>
      <c r="G597">
        <v>7563878</v>
      </c>
      <c r="I597">
        <f t="shared" si="10"/>
        <v>7.699840501190912E-4</v>
      </c>
    </row>
    <row r="598" spans="1:9" x14ac:dyDescent="0.3">
      <c r="A598" s="5">
        <v>42506</v>
      </c>
      <c r="B598">
        <v>22.347899999999999</v>
      </c>
      <c r="C598">
        <v>22.756411</v>
      </c>
      <c r="D598">
        <v>22.203720000000001</v>
      </c>
      <c r="E598">
        <v>22.299841000000001</v>
      </c>
      <c r="F598">
        <v>21.600660000000001</v>
      </c>
      <c r="G598">
        <v>8276196</v>
      </c>
      <c r="I598">
        <f t="shared" si="10"/>
        <v>3.9509347661181187E-4</v>
      </c>
    </row>
    <row r="599" spans="1:9" x14ac:dyDescent="0.3">
      <c r="A599" s="5">
        <v>42507</v>
      </c>
      <c r="B599">
        <v>22.27581</v>
      </c>
      <c r="C599">
        <v>22.708348999999998</v>
      </c>
      <c r="D599">
        <v>21.93939</v>
      </c>
      <c r="E599">
        <v>22.347899999999999</v>
      </c>
      <c r="F599">
        <v>21.647214999999999</v>
      </c>
      <c r="G599">
        <v>7978777</v>
      </c>
      <c r="I599">
        <f t="shared" si="10"/>
        <v>5.8845339313439782E-4</v>
      </c>
    </row>
    <row r="600" spans="1:9" x14ac:dyDescent="0.3">
      <c r="A600" s="5">
        <v>42508</v>
      </c>
      <c r="B600">
        <v>22.083570000000002</v>
      </c>
      <c r="C600">
        <v>22.468050000000002</v>
      </c>
      <c r="D600">
        <v>21.506848999999999</v>
      </c>
      <c r="E600">
        <v>21.675059999999998</v>
      </c>
      <c r="F600">
        <v>20.995471999999999</v>
      </c>
      <c r="G600">
        <v>9671078</v>
      </c>
      <c r="I600">
        <f t="shared" si="10"/>
        <v>8.2636603885089129E-4</v>
      </c>
    </row>
    <row r="601" spans="1:9" x14ac:dyDescent="0.3">
      <c r="A601" s="5">
        <v>42509</v>
      </c>
      <c r="B601">
        <v>21.434759</v>
      </c>
      <c r="C601">
        <v>21.93939</v>
      </c>
      <c r="D601">
        <v>21.098338999999999</v>
      </c>
      <c r="E601">
        <v>21.915358999999999</v>
      </c>
      <c r="F601">
        <v>21.228232999999999</v>
      </c>
      <c r="G601">
        <v>10212484</v>
      </c>
      <c r="I601">
        <f t="shared" si="10"/>
        <v>6.2654028003230667E-4</v>
      </c>
    </row>
    <row r="602" spans="1:9" x14ac:dyDescent="0.3">
      <c r="A602" s="5">
        <v>42510</v>
      </c>
      <c r="B602">
        <v>22.179689</v>
      </c>
      <c r="C602">
        <v>22.299841000000001</v>
      </c>
      <c r="D602">
        <v>21.675059999999998</v>
      </c>
      <c r="E602">
        <v>21.891331000000001</v>
      </c>
      <c r="F602">
        <v>21.204961999999998</v>
      </c>
      <c r="G602">
        <v>7857220</v>
      </c>
      <c r="I602">
        <f t="shared" si="10"/>
        <v>3.2838693009757238E-4</v>
      </c>
    </row>
    <row r="603" spans="1:9" x14ac:dyDescent="0.3">
      <c r="A603" s="5">
        <v>42513</v>
      </c>
      <c r="B603">
        <v>22.299841000000001</v>
      </c>
      <c r="C603">
        <v>22.492080999999999</v>
      </c>
      <c r="D603">
        <v>21.93939</v>
      </c>
      <c r="E603">
        <v>22.299841000000001</v>
      </c>
      <c r="F603">
        <v>21.600660000000001</v>
      </c>
      <c r="G603">
        <v>8475406</v>
      </c>
      <c r="I603">
        <f t="shared" si="10"/>
        <v>3.3923690934196287E-4</v>
      </c>
    </row>
    <row r="604" spans="1:9" x14ac:dyDescent="0.3">
      <c r="A604" s="5">
        <v>42514</v>
      </c>
      <c r="B604">
        <v>22.540140000000001</v>
      </c>
      <c r="C604">
        <v>22.948650000000001</v>
      </c>
      <c r="D604">
        <v>22.25178</v>
      </c>
      <c r="E604">
        <v>22.636258999999999</v>
      </c>
      <c r="F604">
        <v>21.926532999999999</v>
      </c>
      <c r="G604">
        <v>7693134</v>
      </c>
      <c r="I604">
        <f t="shared" si="10"/>
        <v>4.6675461678479045E-4</v>
      </c>
    </row>
    <row r="605" spans="1:9" x14ac:dyDescent="0.3">
      <c r="A605" s="5">
        <v>42515</v>
      </c>
      <c r="B605">
        <v>22.852530000000002</v>
      </c>
      <c r="C605">
        <v>23.261040000000001</v>
      </c>
      <c r="D605">
        <v>22.780439000000001</v>
      </c>
      <c r="E605">
        <v>23.0688</v>
      </c>
      <c r="F605">
        <v>22.345511999999999</v>
      </c>
      <c r="G605">
        <v>5824511</v>
      </c>
      <c r="I605">
        <f t="shared" si="10"/>
        <v>1.8678250514481327E-4</v>
      </c>
    </row>
    <row r="606" spans="1:9" x14ac:dyDescent="0.3">
      <c r="A606" s="5">
        <v>42516</v>
      </c>
      <c r="B606">
        <v>23.477309999999999</v>
      </c>
      <c r="C606">
        <v>23.573429000000001</v>
      </c>
      <c r="D606">
        <v>22.68432</v>
      </c>
      <c r="E606">
        <v>22.852530000000002</v>
      </c>
      <c r="F606">
        <v>22.136019000000001</v>
      </c>
      <c r="G606">
        <v>6500375</v>
      </c>
      <c r="I606">
        <f t="shared" si="10"/>
        <v>3.807488514045857E-4</v>
      </c>
    </row>
    <row r="607" spans="1:9" x14ac:dyDescent="0.3">
      <c r="A607" s="5">
        <v>42517</v>
      </c>
      <c r="B607">
        <v>22.852530000000002</v>
      </c>
      <c r="C607">
        <v>22.948650000000001</v>
      </c>
      <c r="D607">
        <v>22.371929000000002</v>
      </c>
      <c r="E607">
        <v>22.468050000000002</v>
      </c>
      <c r="F607">
        <v>21.763596</v>
      </c>
      <c r="G607">
        <v>10010362</v>
      </c>
      <c r="I607">
        <f t="shared" si="10"/>
        <v>1.79960357622405E-4</v>
      </c>
    </row>
    <row r="608" spans="1:9" x14ac:dyDescent="0.3">
      <c r="A608" s="5">
        <v>42521</v>
      </c>
      <c r="B608">
        <v>22.516109</v>
      </c>
      <c r="C608">
        <v>22.780439000000001</v>
      </c>
      <c r="D608">
        <v>22.203720000000001</v>
      </c>
      <c r="E608">
        <v>22.27581</v>
      </c>
      <c r="F608">
        <v>21.577385</v>
      </c>
      <c r="G608">
        <v>8778277</v>
      </c>
      <c r="I608">
        <f t="shared" si="10"/>
        <v>3.0673321018534559E-4</v>
      </c>
    </row>
    <row r="609" spans="1:9" x14ac:dyDescent="0.3">
      <c r="A609" s="5">
        <v>42522</v>
      </c>
      <c r="B609">
        <v>22.107599</v>
      </c>
      <c r="C609">
        <v>22.347899999999999</v>
      </c>
      <c r="D609">
        <v>21.8673</v>
      </c>
      <c r="E609">
        <v>22.347899999999999</v>
      </c>
      <c r="F609">
        <v>21.647214999999999</v>
      </c>
      <c r="G609">
        <v>7075323</v>
      </c>
      <c r="I609">
        <f t="shared" si="10"/>
        <v>2.3759686394650111E-4</v>
      </c>
    </row>
    <row r="610" spans="1:9" x14ac:dyDescent="0.3">
      <c r="A610" s="5">
        <v>42523</v>
      </c>
      <c r="B610">
        <v>22.227751000000001</v>
      </c>
      <c r="C610">
        <v>22.588200000000001</v>
      </c>
      <c r="D610">
        <v>22.059539999999998</v>
      </c>
      <c r="E610">
        <v>22.419991</v>
      </c>
      <c r="F610">
        <v>21.717047000000001</v>
      </c>
      <c r="G610">
        <v>5728797</v>
      </c>
      <c r="I610">
        <f t="shared" si="10"/>
        <v>2.4335880538429988E-4</v>
      </c>
    </row>
    <row r="611" spans="1:9" x14ac:dyDescent="0.3">
      <c r="A611" s="5">
        <v>42524</v>
      </c>
      <c r="B611">
        <v>22.68432</v>
      </c>
      <c r="C611">
        <v>22.99671</v>
      </c>
      <c r="D611">
        <v>22.299841000000001</v>
      </c>
      <c r="E611">
        <v>22.876560000000001</v>
      </c>
      <c r="F611">
        <v>22.159298</v>
      </c>
      <c r="G611">
        <v>8629963</v>
      </c>
      <c r="I611">
        <f t="shared" si="10"/>
        <v>5.0812160230222431E-4</v>
      </c>
    </row>
    <row r="612" spans="1:9" x14ac:dyDescent="0.3">
      <c r="A612" s="5">
        <v>42527</v>
      </c>
      <c r="B612">
        <v>23.140889999999999</v>
      </c>
      <c r="C612">
        <v>23.693580999999998</v>
      </c>
      <c r="D612">
        <v>23.140889999999999</v>
      </c>
      <c r="E612">
        <v>23.645519</v>
      </c>
      <c r="F612">
        <v>22.904147999999999</v>
      </c>
      <c r="G612">
        <v>6371952</v>
      </c>
      <c r="I612">
        <f t="shared" si="10"/>
        <v>4.7926853502708703E-5</v>
      </c>
    </row>
    <row r="613" spans="1:9" x14ac:dyDescent="0.3">
      <c r="A613" s="5">
        <v>42528</v>
      </c>
      <c r="B613">
        <v>23.525369999999999</v>
      </c>
      <c r="C613">
        <v>23.669550000000001</v>
      </c>
      <c r="D613">
        <v>23.40522</v>
      </c>
      <c r="E613">
        <v>23.525369999999999</v>
      </c>
      <c r="F613">
        <v>22.787769000000001</v>
      </c>
      <c r="G613">
        <v>4409571</v>
      </c>
      <c r="I613">
        <f t="shared" si="10"/>
        <v>6.3549953727804845E-5</v>
      </c>
    </row>
    <row r="614" spans="1:9" x14ac:dyDescent="0.3">
      <c r="A614" s="5">
        <v>42529</v>
      </c>
      <c r="B614">
        <v>23.981939000000001</v>
      </c>
      <c r="C614">
        <v>24.19821</v>
      </c>
      <c r="D614">
        <v>23.74164</v>
      </c>
      <c r="E614">
        <v>23.765671000000001</v>
      </c>
      <c r="F614">
        <v>23.020530999999998</v>
      </c>
      <c r="G614">
        <v>6679859</v>
      </c>
      <c r="I614">
        <f t="shared" si="10"/>
        <v>1.7211382112774465E-4</v>
      </c>
    </row>
    <row r="615" spans="1:9" x14ac:dyDescent="0.3">
      <c r="A615" s="5">
        <v>42530</v>
      </c>
      <c r="B615">
        <v>23.309099</v>
      </c>
      <c r="C615">
        <v>23.669550000000001</v>
      </c>
      <c r="D615">
        <v>22.876560000000001</v>
      </c>
      <c r="E615">
        <v>23.645519</v>
      </c>
      <c r="F615">
        <v>22.904147999999999</v>
      </c>
      <c r="G615">
        <v>8194340</v>
      </c>
      <c r="I615">
        <f t="shared" si="10"/>
        <v>6.3484987874309407E-4</v>
      </c>
    </row>
    <row r="616" spans="1:9" x14ac:dyDescent="0.3">
      <c r="A616" s="5">
        <v>42531</v>
      </c>
      <c r="B616">
        <v>23.188949999999998</v>
      </c>
      <c r="C616">
        <v>23.429251000000001</v>
      </c>
      <c r="D616">
        <v>22.708348999999998</v>
      </c>
      <c r="E616">
        <v>22.804469999999998</v>
      </c>
      <c r="F616">
        <v>22.089469999999999</v>
      </c>
      <c r="G616">
        <v>7852393</v>
      </c>
      <c r="I616">
        <f t="shared" si="10"/>
        <v>3.6711254404871949E-4</v>
      </c>
    </row>
    <row r="617" spans="1:9" x14ac:dyDescent="0.3">
      <c r="A617" s="5">
        <v>42534</v>
      </c>
      <c r="B617">
        <v>22.756411</v>
      </c>
      <c r="C617">
        <v>23.092831</v>
      </c>
      <c r="D617">
        <v>22.395959999999999</v>
      </c>
      <c r="E617">
        <v>22.395959999999999</v>
      </c>
      <c r="F617">
        <v>21.693767999999999</v>
      </c>
      <c r="G617">
        <v>5432293</v>
      </c>
      <c r="I617">
        <f t="shared" si="10"/>
        <v>4.4967568813595004E-4</v>
      </c>
    </row>
    <row r="618" spans="1:9" x14ac:dyDescent="0.3">
      <c r="A618" s="5">
        <v>42535</v>
      </c>
      <c r="B618">
        <v>22.323869999999999</v>
      </c>
      <c r="C618">
        <v>22.516109</v>
      </c>
      <c r="D618">
        <v>21.651029999999999</v>
      </c>
      <c r="E618">
        <v>21.8673</v>
      </c>
      <c r="F618">
        <v>21.181684000000001</v>
      </c>
      <c r="G618">
        <v>9622971</v>
      </c>
      <c r="I618">
        <f t="shared" si="10"/>
        <v>5.5488513845132199E-4</v>
      </c>
    </row>
    <row r="619" spans="1:9" x14ac:dyDescent="0.3">
      <c r="A619" s="5">
        <v>42536</v>
      </c>
      <c r="B619">
        <v>22.25178</v>
      </c>
      <c r="C619">
        <v>23.044768999999999</v>
      </c>
      <c r="D619">
        <v>22.131630000000001</v>
      </c>
      <c r="E619">
        <v>22.708348999999998</v>
      </c>
      <c r="F619">
        <v>21.996361</v>
      </c>
      <c r="G619">
        <v>7397087</v>
      </c>
      <c r="I619">
        <f t="shared" si="10"/>
        <v>6.5424162433155191E-4</v>
      </c>
    </row>
    <row r="620" spans="1:9" x14ac:dyDescent="0.3">
      <c r="A620" s="5">
        <v>42537</v>
      </c>
      <c r="B620">
        <v>22.299841000000001</v>
      </c>
      <c r="C620">
        <v>22.61223</v>
      </c>
      <c r="D620">
        <v>21.987449999999999</v>
      </c>
      <c r="E620">
        <v>22.564171000000002</v>
      </c>
      <c r="F620">
        <v>21.856703</v>
      </c>
      <c r="G620">
        <v>5676155</v>
      </c>
      <c r="I620">
        <f t="shared" si="10"/>
        <v>3.9486728252971504E-4</v>
      </c>
    </row>
    <row r="621" spans="1:9" x14ac:dyDescent="0.3">
      <c r="A621" s="5">
        <v>42538</v>
      </c>
      <c r="B621">
        <v>22.708348999999998</v>
      </c>
      <c r="C621">
        <v>23.188949999999998</v>
      </c>
      <c r="D621">
        <v>22.61223</v>
      </c>
      <c r="E621">
        <v>23.020741000000001</v>
      </c>
      <c r="F621">
        <v>22.298960000000001</v>
      </c>
      <c r="G621">
        <v>12160133</v>
      </c>
      <c r="I621">
        <f t="shared" si="10"/>
        <v>2.2841956319915135E-4</v>
      </c>
    </row>
    <row r="622" spans="1:9" x14ac:dyDescent="0.3">
      <c r="A622" s="5">
        <v>42541</v>
      </c>
      <c r="B622">
        <v>23.40522</v>
      </c>
      <c r="C622">
        <v>23.909849000000001</v>
      </c>
      <c r="D622">
        <v>23.357161000000001</v>
      </c>
      <c r="E622">
        <v>23.453278999999998</v>
      </c>
      <c r="F622">
        <v>22.717936999999999</v>
      </c>
      <c r="G622">
        <v>7038494</v>
      </c>
      <c r="I622">
        <f t="shared" si="10"/>
        <v>4.1971360028425904E-4</v>
      </c>
    </row>
    <row r="623" spans="1:9" x14ac:dyDescent="0.3">
      <c r="A623" s="5">
        <v>42542</v>
      </c>
      <c r="B623">
        <v>23.381188999999999</v>
      </c>
      <c r="C623">
        <v>23.7897</v>
      </c>
      <c r="D623">
        <v>23.237009</v>
      </c>
      <c r="E623">
        <v>23.693580999999998</v>
      </c>
      <c r="F623">
        <v>22.950704999999999</v>
      </c>
      <c r="G623">
        <v>5673700</v>
      </c>
      <c r="I623">
        <f t="shared" si="10"/>
        <v>1.9048328881690087E-4</v>
      </c>
    </row>
    <row r="624" spans="1:9" x14ac:dyDescent="0.3">
      <c r="A624" s="5">
        <v>42543</v>
      </c>
      <c r="B624">
        <v>23.837761</v>
      </c>
      <c r="C624">
        <v>24.390450000000001</v>
      </c>
      <c r="D624">
        <v>23.669550000000001</v>
      </c>
      <c r="E624">
        <v>23.765671000000001</v>
      </c>
      <c r="F624">
        <v>23.020530999999998</v>
      </c>
      <c r="G624">
        <v>8117353</v>
      </c>
      <c r="I624">
        <f t="shared" si="10"/>
        <v>6.2348166628364019E-4</v>
      </c>
    </row>
    <row r="625" spans="1:9" x14ac:dyDescent="0.3">
      <c r="A625" s="5">
        <v>42544</v>
      </c>
      <c r="B625">
        <v>24.222239999999999</v>
      </c>
      <c r="C625">
        <v>24.438510999999998</v>
      </c>
      <c r="D625">
        <v>23.981939000000001</v>
      </c>
      <c r="E625">
        <v>24.390450000000001</v>
      </c>
      <c r="F625">
        <v>23.625724999999999</v>
      </c>
      <c r="G625">
        <v>8548897</v>
      </c>
      <c r="I625">
        <f t="shared" si="10"/>
        <v>1.8590184173675095E-4</v>
      </c>
    </row>
    <row r="626" spans="1:9" x14ac:dyDescent="0.3">
      <c r="A626" s="5">
        <v>42545</v>
      </c>
      <c r="B626">
        <v>22.972678999999999</v>
      </c>
      <c r="C626">
        <v>23.40522</v>
      </c>
      <c r="D626">
        <v>22.468050000000002</v>
      </c>
      <c r="E626">
        <v>22.540140000000001</v>
      </c>
      <c r="F626">
        <v>21.833427</v>
      </c>
      <c r="G626">
        <v>14154640</v>
      </c>
      <c r="I626">
        <f t="shared" si="10"/>
        <v>7.7366584287437814E-4</v>
      </c>
    </row>
    <row r="627" spans="1:9" x14ac:dyDescent="0.3">
      <c r="A627" s="5">
        <v>42548</v>
      </c>
      <c r="B627">
        <v>22.299841000000001</v>
      </c>
      <c r="C627">
        <v>22.347899999999999</v>
      </c>
      <c r="D627">
        <v>21.506848999999999</v>
      </c>
      <c r="E627">
        <v>21.8673</v>
      </c>
      <c r="F627">
        <v>21.181684000000001</v>
      </c>
      <c r="G627">
        <v>9099584</v>
      </c>
      <c r="I627">
        <f t="shared" si="10"/>
        <v>6.4861433910806861E-4</v>
      </c>
    </row>
    <row r="628" spans="1:9" x14ac:dyDescent="0.3">
      <c r="A628" s="5">
        <v>42549</v>
      </c>
      <c r="B628">
        <v>22.468050000000002</v>
      </c>
      <c r="C628">
        <v>22.540140000000001</v>
      </c>
      <c r="D628">
        <v>22.083570000000002</v>
      </c>
      <c r="E628">
        <v>22.419991</v>
      </c>
      <c r="F628">
        <v>21.717047000000001</v>
      </c>
      <c r="G628">
        <v>7563795</v>
      </c>
      <c r="I628">
        <f t="shared" si="10"/>
        <v>2.78083545839923E-4</v>
      </c>
    </row>
    <row r="629" spans="1:9" x14ac:dyDescent="0.3">
      <c r="A629" s="5">
        <v>42550</v>
      </c>
      <c r="B629">
        <v>22.852530000000002</v>
      </c>
      <c r="C629">
        <v>22.876560000000001</v>
      </c>
      <c r="D629">
        <v>21.651029999999999</v>
      </c>
      <c r="E629">
        <v>21.8673</v>
      </c>
      <c r="F629">
        <v>21.181684000000001</v>
      </c>
      <c r="G629">
        <v>15465377</v>
      </c>
      <c r="I629">
        <f t="shared" si="10"/>
        <v>5.8423230322400511E-4</v>
      </c>
    </row>
    <row r="630" spans="1:9" x14ac:dyDescent="0.3">
      <c r="A630" s="5">
        <v>42551</v>
      </c>
      <c r="B630">
        <v>22.083570000000002</v>
      </c>
      <c r="C630">
        <v>22.299841000000001</v>
      </c>
      <c r="D630">
        <v>21.675059999999998</v>
      </c>
      <c r="E630">
        <v>22.27581</v>
      </c>
      <c r="F630">
        <v>21.577385</v>
      </c>
      <c r="G630">
        <v>10317062</v>
      </c>
      <c r="I630">
        <f t="shared" si="10"/>
        <v>5.2097166779342078E-4</v>
      </c>
    </row>
    <row r="631" spans="1:9" x14ac:dyDescent="0.3">
      <c r="A631" s="5">
        <v>42552</v>
      </c>
      <c r="B631">
        <v>22.299841000000001</v>
      </c>
      <c r="C631">
        <v>23.044768999999999</v>
      </c>
      <c r="D631">
        <v>22.27581</v>
      </c>
      <c r="E631">
        <v>22.948650000000001</v>
      </c>
      <c r="F631">
        <v>22.229127999999999</v>
      </c>
      <c r="G631">
        <v>7618477</v>
      </c>
      <c r="I631">
        <f t="shared" si="10"/>
        <v>1.6942671982108926E-4</v>
      </c>
    </row>
    <row r="632" spans="1:9" x14ac:dyDescent="0.3">
      <c r="A632" s="5">
        <v>42556</v>
      </c>
      <c r="B632">
        <v>22.732379999999999</v>
      </c>
      <c r="C632">
        <v>22.804469999999998</v>
      </c>
      <c r="D632">
        <v>22.035509000000001</v>
      </c>
      <c r="E632">
        <v>22.25178</v>
      </c>
      <c r="F632">
        <v>21.554107999999999</v>
      </c>
      <c r="G632">
        <v>6809030</v>
      </c>
      <c r="I632">
        <f t="shared" si="10"/>
        <v>3.8177301017891795E-4</v>
      </c>
    </row>
    <row r="633" spans="1:9" x14ac:dyDescent="0.3">
      <c r="A633" s="5">
        <v>42557</v>
      </c>
      <c r="B633">
        <v>22.011479999999999</v>
      </c>
      <c r="C633">
        <v>22.227751000000001</v>
      </c>
      <c r="D633">
        <v>21.699089000000001</v>
      </c>
      <c r="E633">
        <v>22.083570000000002</v>
      </c>
      <c r="F633">
        <v>21.391171</v>
      </c>
      <c r="G633">
        <v>10222305</v>
      </c>
      <c r="I633">
        <f t="shared" si="10"/>
        <v>3.1467991987720468E-4</v>
      </c>
    </row>
    <row r="634" spans="1:9" x14ac:dyDescent="0.3">
      <c r="A634" s="5">
        <v>42558</v>
      </c>
      <c r="B634">
        <v>22.25178</v>
      </c>
      <c r="C634">
        <v>22.708348999999998</v>
      </c>
      <c r="D634">
        <v>22.227751000000001</v>
      </c>
      <c r="E634">
        <v>22.444019000000001</v>
      </c>
      <c r="F634">
        <v>21.740324000000001</v>
      </c>
      <c r="G634">
        <v>9226883</v>
      </c>
      <c r="I634">
        <f t="shared" si="10"/>
        <v>2.4826862210912713E-4</v>
      </c>
    </row>
    <row r="635" spans="1:9" x14ac:dyDescent="0.3">
      <c r="A635" s="5">
        <v>42559</v>
      </c>
      <c r="B635">
        <v>22.708348999999998</v>
      </c>
      <c r="C635">
        <v>23.74164</v>
      </c>
      <c r="D635">
        <v>22.68432</v>
      </c>
      <c r="E635">
        <v>23.597460000000002</v>
      </c>
      <c r="F635">
        <v>22.857593999999999</v>
      </c>
      <c r="G635">
        <v>10790470</v>
      </c>
      <c r="I635">
        <f t="shared" si="10"/>
        <v>3.1283594326094019E-4</v>
      </c>
    </row>
    <row r="636" spans="1:9" x14ac:dyDescent="0.3">
      <c r="A636" s="5">
        <v>42562</v>
      </c>
      <c r="B636">
        <v>23.933879999999998</v>
      </c>
      <c r="C636">
        <v>24.462540000000001</v>
      </c>
      <c r="D636">
        <v>23.717608999999999</v>
      </c>
      <c r="E636">
        <v>24.366420999999999</v>
      </c>
      <c r="F636">
        <v>23.602447999999999</v>
      </c>
      <c r="G636">
        <v>15493924</v>
      </c>
      <c r="I636">
        <f t="shared" si="10"/>
        <v>3.3099389465163009E-4</v>
      </c>
    </row>
    <row r="637" spans="1:9" x14ac:dyDescent="0.3">
      <c r="A637" s="5">
        <v>42563</v>
      </c>
      <c r="B637">
        <v>25.712098999999998</v>
      </c>
      <c r="C637">
        <v>25.952400000000001</v>
      </c>
      <c r="D637">
        <v>25.063289999999999</v>
      </c>
      <c r="E637">
        <v>25.68807</v>
      </c>
      <c r="F637">
        <v>24.882653999999999</v>
      </c>
      <c r="G637">
        <v>22237453</v>
      </c>
      <c r="I637">
        <f t="shared" si="10"/>
        <v>7.245195813830338E-4</v>
      </c>
    </row>
    <row r="638" spans="1:9" x14ac:dyDescent="0.3">
      <c r="A638" s="5">
        <v>42564</v>
      </c>
      <c r="B638">
        <v>25.808219999999999</v>
      </c>
      <c r="C638">
        <v>25.904340999999999</v>
      </c>
      <c r="D638">
        <v>25.32762</v>
      </c>
      <c r="E638">
        <v>25.736129999999999</v>
      </c>
      <c r="F638">
        <v>24.929213000000001</v>
      </c>
      <c r="G638">
        <v>10079859</v>
      </c>
      <c r="I638">
        <f t="shared" si="10"/>
        <v>3.2498571990541937E-4</v>
      </c>
    </row>
    <row r="639" spans="1:9" x14ac:dyDescent="0.3">
      <c r="A639" s="5">
        <v>42565</v>
      </c>
      <c r="B639">
        <v>26.00046</v>
      </c>
      <c r="C639">
        <v>26.192699000000001</v>
      </c>
      <c r="D639">
        <v>25.640011000000001</v>
      </c>
      <c r="E639">
        <v>25.736129999999999</v>
      </c>
      <c r="F639">
        <v>24.929213000000001</v>
      </c>
      <c r="G639">
        <v>9299542</v>
      </c>
      <c r="I639">
        <f t="shared" si="10"/>
        <v>1.8177441011954008E-4</v>
      </c>
    </row>
    <row r="640" spans="1:9" x14ac:dyDescent="0.3">
      <c r="A640" s="5">
        <v>42566</v>
      </c>
      <c r="B640">
        <v>25.760159999999999</v>
      </c>
      <c r="C640">
        <v>26.336880000000001</v>
      </c>
      <c r="D640">
        <v>25.736129999999999</v>
      </c>
      <c r="E640">
        <v>26.240760999999999</v>
      </c>
      <c r="F640">
        <v>25.418019999999999</v>
      </c>
      <c r="G640">
        <v>9594881</v>
      </c>
      <c r="I640">
        <f t="shared" si="10"/>
        <v>9.9076378351017072E-5</v>
      </c>
    </row>
    <row r="641" spans="1:9" x14ac:dyDescent="0.3">
      <c r="A641" s="5">
        <v>42569</v>
      </c>
      <c r="B641">
        <v>26.00046</v>
      </c>
      <c r="C641">
        <v>26.288820000000001</v>
      </c>
      <c r="D641">
        <v>25.760159999999999</v>
      </c>
      <c r="E641">
        <v>26.240760999999999</v>
      </c>
      <c r="F641">
        <v>25.418019999999999</v>
      </c>
      <c r="G641">
        <v>6804952</v>
      </c>
      <c r="I641">
        <f t="shared" si="10"/>
        <v>1.9181573130759512E-4</v>
      </c>
    </row>
    <row r="642" spans="1:9" x14ac:dyDescent="0.3">
      <c r="A642" s="5">
        <v>42570</v>
      </c>
      <c r="B642">
        <v>25.784189000000001</v>
      </c>
      <c r="C642">
        <v>25.904340999999999</v>
      </c>
      <c r="D642">
        <v>25.519859</v>
      </c>
      <c r="E642">
        <v>25.543890000000001</v>
      </c>
      <c r="F642">
        <v>24.742998</v>
      </c>
      <c r="G642">
        <v>6153433</v>
      </c>
      <c r="I642">
        <f t="shared" si="10"/>
        <v>7.4843706606851835E-5</v>
      </c>
    </row>
    <row r="643" spans="1:9" x14ac:dyDescent="0.3">
      <c r="A643" s="5">
        <v>42571</v>
      </c>
      <c r="B643">
        <v>25.255528999999999</v>
      </c>
      <c r="C643">
        <v>25.543890000000001</v>
      </c>
      <c r="D643">
        <v>24.87105</v>
      </c>
      <c r="E643">
        <v>25.495830999999999</v>
      </c>
      <c r="F643">
        <v>24.696445000000001</v>
      </c>
      <c r="G643">
        <v>6785435</v>
      </c>
      <c r="I643">
        <f t="shared" si="10"/>
        <v>4.0198822753224211E-4</v>
      </c>
    </row>
    <row r="644" spans="1:9" x14ac:dyDescent="0.3">
      <c r="A644" s="5">
        <v>42572</v>
      </c>
      <c r="B644">
        <v>25.640011000000001</v>
      </c>
      <c r="C644">
        <v>26.096581</v>
      </c>
      <c r="D644">
        <v>25.303591000000001</v>
      </c>
      <c r="E644">
        <v>25.471800000000002</v>
      </c>
      <c r="F644">
        <v>24.673168</v>
      </c>
      <c r="G644">
        <v>6259925</v>
      </c>
      <c r="I644">
        <f t="shared" si="10"/>
        <v>5.1521669104018003E-4</v>
      </c>
    </row>
    <row r="645" spans="1:9" x14ac:dyDescent="0.3">
      <c r="A645" s="5">
        <v>42573</v>
      </c>
      <c r="B645">
        <v>25.423739999999999</v>
      </c>
      <c r="C645">
        <v>25.61598</v>
      </c>
      <c r="D645">
        <v>25.207470000000001</v>
      </c>
      <c r="E645">
        <v>25.399709999999999</v>
      </c>
      <c r="F645">
        <v>24.603344</v>
      </c>
      <c r="G645">
        <v>4237828</v>
      </c>
      <c r="I645">
        <f t="shared" si="10"/>
        <v>1.2877379693360962E-4</v>
      </c>
    </row>
    <row r="646" spans="1:9" x14ac:dyDescent="0.3">
      <c r="A646" s="5">
        <v>42576</v>
      </c>
      <c r="B646">
        <v>25.32762</v>
      </c>
      <c r="C646">
        <v>25.351649999999999</v>
      </c>
      <c r="D646">
        <v>24.991199000000002</v>
      </c>
      <c r="E646">
        <v>25.207470000000001</v>
      </c>
      <c r="F646">
        <v>24.417126</v>
      </c>
      <c r="G646">
        <v>5763337</v>
      </c>
      <c r="I646">
        <f t="shared" si="10"/>
        <v>1.2062867168460836E-4</v>
      </c>
    </row>
    <row r="647" spans="1:9" x14ac:dyDescent="0.3">
      <c r="A647" s="5">
        <v>42577</v>
      </c>
      <c r="B647">
        <v>25.111349000000001</v>
      </c>
      <c r="C647">
        <v>25.640011000000001</v>
      </c>
      <c r="D647">
        <v>25.039261</v>
      </c>
      <c r="E647">
        <v>25.640011000000001</v>
      </c>
      <c r="F647">
        <v>24.836105</v>
      </c>
      <c r="G647">
        <v>5233125</v>
      </c>
      <c r="I647">
        <f t="shared" si="10"/>
        <v>6.8160191527367558E-5</v>
      </c>
    </row>
    <row r="648" spans="1:9" x14ac:dyDescent="0.3">
      <c r="A648" s="5">
        <v>42578</v>
      </c>
      <c r="B648">
        <v>25.856279000000001</v>
      </c>
      <c r="C648">
        <v>26.360910000000001</v>
      </c>
      <c r="D648">
        <v>25.27956</v>
      </c>
      <c r="E648">
        <v>25.808219999999999</v>
      </c>
      <c r="F648">
        <v>24.999039</v>
      </c>
      <c r="G648">
        <v>8735789</v>
      </c>
      <c r="I648">
        <f t="shared" si="10"/>
        <v>8.7642659016900918E-4</v>
      </c>
    </row>
    <row r="649" spans="1:9" x14ac:dyDescent="0.3">
      <c r="A649" s="5">
        <v>42579</v>
      </c>
      <c r="B649">
        <v>25.640011000000001</v>
      </c>
      <c r="C649">
        <v>25.784189000000001</v>
      </c>
      <c r="D649">
        <v>25.207470000000001</v>
      </c>
      <c r="E649">
        <v>25.66404</v>
      </c>
      <c r="F649">
        <v>24.859379000000001</v>
      </c>
      <c r="G649">
        <v>5740866</v>
      </c>
      <c r="I649">
        <f t="shared" si="10"/>
        <v>3.3159304351622148E-4</v>
      </c>
    </row>
    <row r="650" spans="1:9" x14ac:dyDescent="0.3">
      <c r="A650" s="5">
        <v>42580</v>
      </c>
      <c r="B650">
        <v>25.495830999999999</v>
      </c>
      <c r="C650">
        <v>25.591949</v>
      </c>
      <c r="D650">
        <v>25.039261</v>
      </c>
      <c r="E650">
        <v>25.519859</v>
      </c>
      <c r="F650">
        <v>24.719719000000001</v>
      </c>
      <c r="G650">
        <v>6833042</v>
      </c>
      <c r="I650">
        <f t="shared" si="10"/>
        <v>3.5415800137895758E-4</v>
      </c>
    </row>
    <row r="651" spans="1:9" x14ac:dyDescent="0.3">
      <c r="A651" s="5">
        <v>42583</v>
      </c>
      <c r="B651">
        <v>25.351649999999999</v>
      </c>
      <c r="C651">
        <v>25.471800000000002</v>
      </c>
      <c r="D651">
        <v>25.135380000000001</v>
      </c>
      <c r="E651">
        <v>25.159410000000001</v>
      </c>
      <c r="F651">
        <v>24.370573</v>
      </c>
      <c r="G651">
        <v>4831544</v>
      </c>
      <c r="I651">
        <f t="shared" si="10"/>
        <v>6.6531869477751981E-5</v>
      </c>
    </row>
    <row r="652" spans="1:9" x14ac:dyDescent="0.3">
      <c r="A652" s="5">
        <v>42584</v>
      </c>
      <c r="B652">
        <v>25.351649999999999</v>
      </c>
      <c r="C652">
        <v>25.399709999999999</v>
      </c>
      <c r="D652">
        <v>24.630751</v>
      </c>
      <c r="E652">
        <v>24.798960000000001</v>
      </c>
      <c r="F652">
        <v>24.021425000000001</v>
      </c>
      <c r="G652">
        <v>5689721</v>
      </c>
      <c r="I652">
        <f t="shared" ref="I652:I715" si="11">LN(C652/B652)*(LN(C652/B652)-LN(E652/B652))+LN(D652/B652)*(LN(D652/B652)-LN(E652/B652))</f>
        <v>2.4167408452271537E-4</v>
      </c>
    </row>
    <row r="653" spans="1:9" x14ac:dyDescent="0.3">
      <c r="A653" s="5">
        <v>42585</v>
      </c>
      <c r="B653">
        <v>24.750900000000001</v>
      </c>
      <c r="C653">
        <v>25.111349000000001</v>
      </c>
      <c r="D653">
        <v>24.510598999999999</v>
      </c>
      <c r="E653">
        <v>25.015229999999999</v>
      </c>
      <c r="F653">
        <v>24.301558</v>
      </c>
      <c r="G653">
        <v>5786142</v>
      </c>
      <c r="I653">
        <f t="shared" si="11"/>
        <v>2.5427130782817195E-4</v>
      </c>
    </row>
    <row r="654" spans="1:9" x14ac:dyDescent="0.3">
      <c r="A654" s="5">
        <v>42586</v>
      </c>
      <c r="B654">
        <v>24.895081000000001</v>
      </c>
      <c r="C654">
        <v>25.135380000000001</v>
      </c>
      <c r="D654">
        <v>24.630751</v>
      </c>
      <c r="E654">
        <v>24.991199000000002</v>
      </c>
      <c r="F654">
        <v>24.278207999999999</v>
      </c>
      <c r="G654">
        <v>4918810</v>
      </c>
      <c r="I654">
        <f t="shared" si="11"/>
        <v>2.1034120573053703E-4</v>
      </c>
    </row>
    <row r="655" spans="1:9" x14ac:dyDescent="0.3">
      <c r="A655" s="5">
        <v>42587</v>
      </c>
      <c r="B655">
        <v>25.111349000000001</v>
      </c>
      <c r="C655">
        <v>25.231501000000002</v>
      </c>
      <c r="D655">
        <v>24.967171</v>
      </c>
      <c r="E655">
        <v>25.231501000000002</v>
      </c>
      <c r="F655">
        <v>24.511662000000001</v>
      </c>
      <c r="G655">
        <v>5115522</v>
      </c>
      <c r="I655">
        <f t="shared" si="11"/>
        <v>6.0641082396483853E-5</v>
      </c>
    </row>
    <row r="656" spans="1:9" x14ac:dyDescent="0.3">
      <c r="A656" s="5">
        <v>42590</v>
      </c>
      <c r="B656">
        <v>25.231501000000002</v>
      </c>
      <c r="C656">
        <v>25.471800000000002</v>
      </c>
      <c r="D656">
        <v>25.015229999999999</v>
      </c>
      <c r="E656">
        <v>25.111349000000001</v>
      </c>
      <c r="F656">
        <v>24.394933999999999</v>
      </c>
      <c r="G656">
        <v>3953974</v>
      </c>
      <c r="I656">
        <f t="shared" si="11"/>
        <v>1.6810483677102706E-4</v>
      </c>
    </row>
    <row r="657" spans="1:9" x14ac:dyDescent="0.3">
      <c r="A657" s="5">
        <v>42591</v>
      </c>
      <c r="B657">
        <v>25.039261</v>
      </c>
      <c r="C657">
        <v>25.231501000000002</v>
      </c>
      <c r="D657">
        <v>24.87105</v>
      </c>
      <c r="E657">
        <v>24.87105</v>
      </c>
      <c r="F657">
        <v>24.161491000000002</v>
      </c>
      <c r="G657">
        <v>3251269</v>
      </c>
      <c r="I657">
        <f t="shared" si="11"/>
        <v>1.1004854036100026E-4</v>
      </c>
    </row>
    <row r="658" spans="1:9" x14ac:dyDescent="0.3">
      <c r="A658" s="5">
        <v>42592</v>
      </c>
      <c r="B658">
        <v>24.991199000000002</v>
      </c>
      <c r="C658">
        <v>25.303591000000001</v>
      </c>
      <c r="D658">
        <v>24.678809999999999</v>
      </c>
      <c r="E658">
        <v>24.822990000000001</v>
      </c>
      <c r="F658">
        <v>24.114805</v>
      </c>
      <c r="G658">
        <v>3958968</v>
      </c>
      <c r="I658">
        <f t="shared" si="11"/>
        <v>3.1149122750229034E-4</v>
      </c>
    </row>
    <row r="659" spans="1:9" x14ac:dyDescent="0.3">
      <c r="A659" s="5">
        <v>42593</v>
      </c>
      <c r="B659">
        <v>24.87105</v>
      </c>
      <c r="C659">
        <v>25.087319999999998</v>
      </c>
      <c r="D659">
        <v>24.750900000000001</v>
      </c>
      <c r="E659">
        <v>25.039261</v>
      </c>
      <c r="F659">
        <v>24.324905000000001</v>
      </c>
      <c r="G659">
        <v>4117395</v>
      </c>
      <c r="I659">
        <f t="shared" si="11"/>
        <v>7.2694884868968821E-5</v>
      </c>
    </row>
    <row r="660" spans="1:9" x14ac:dyDescent="0.3">
      <c r="A660" s="5">
        <v>42594</v>
      </c>
      <c r="B660">
        <v>24.919108999999999</v>
      </c>
      <c r="C660">
        <v>24.991199000000002</v>
      </c>
      <c r="D660">
        <v>24.318359000000001</v>
      </c>
      <c r="E660">
        <v>24.438510999999998</v>
      </c>
      <c r="F660">
        <v>23.741288999999998</v>
      </c>
      <c r="G660">
        <v>5779276</v>
      </c>
      <c r="I660">
        <f t="shared" si="11"/>
        <v>1.8487845143639955E-4</v>
      </c>
    </row>
    <row r="661" spans="1:9" x14ac:dyDescent="0.3">
      <c r="A661" s="5">
        <v>42597</v>
      </c>
      <c r="B661">
        <v>24.630751</v>
      </c>
      <c r="C661">
        <v>25.423739999999999</v>
      </c>
      <c r="D661">
        <v>24.582688999999998</v>
      </c>
      <c r="E661">
        <v>25.27956</v>
      </c>
      <c r="F661">
        <v>24.558346</v>
      </c>
      <c r="G661">
        <v>5498086</v>
      </c>
      <c r="I661">
        <f t="shared" si="11"/>
        <v>2.3481407823745934E-4</v>
      </c>
    </row>
    <row r="662" spans="1:9" x14ac:dyDescent="0.3">
      <c r="A662" s="5">
        <v>42598</v>
      </c>
      <c r="B662">
        <v>25.399709999999999</v>
      </c>
      <c r="C662">
        <v>25.423739999999999</v>
      </c>
      <c r="D662">
        <v>24.726870000000002</v>
      </c>
      <c r="E662">
        <v>24.726870000000002</v>
      </c>
      <c r="F662">
        <v>24.021422999999999</v>
      </c>
      <c r="G662">
        <v>5753641</v>
      </c>
      <c r="I662">
        <f t="shared" si="11"/>
        <v>2.6281681943497709E-5</v>
      </c>
    </row>
    <row r="663" spans="1:9" x14ac:dyDescent="0.3">
      <c r="A663" s="5">
        <v>42599</v>
      </c>
      <c r="B663">
        <v>24.822990000000001</v>
      </c>
      <c r="C663">
        <v>24.991199000000002</v>
      </c>
      <c r="D663">
        <v>24.582688999999998</v>
      </c>
      <c r="E663">
        <v>24.895081000000001</v>
      </c>
      <c r="F663">
        <v>24.184837000000002</v>
      </c>
      <c r="G663">
        <v>4511153</v>
      </c>
      <c r="I663">
        <f t="shared" si="11"/>
        <v>1.4886387122230993E-4</v>
      </c>
    </row>
    <row r="664" spans="1:9" x14ac:dyDescent="0.3">
      <c r="A664" s="5">
        <v>42600</v>
      </c>
      <c r="B664">
        <v>25.015229999999999</v>
      </c>
      <c r="C664">
        <v>25.159410000000001</v>
      </c>
      <c r="D664">
        <v>24.847019</v>
      </c>
      <c r="E664">
        <v>25.111349000000001</v>
      </c>
      <c r="F664">
        <v>24.394933999999999</v>
      </c>
      <c r="G664">
        <v>3564003</v>
      </c>
      <c r="I664">
        <f t="shared" si="11"/>
        <v>8.2387095691536166E-5</v>
      </c>
    </row>
    <row r="665" spans="1:9" x14ac:dyDescent="0.3">
      <c r="A665" s="5">
        <v>42601</v>
      </c>
      <c r="B665">
        <v>24.847019</v>
      </c>
      <c r="C665">
        <v>24.895081000000001</v>
      </c>
      <c r="D665">
        <v>24.558661000000001</v>
      </c>
      <c r="E665">
        <v>24.678809999999999</v>
      </c>
      <c r="F665">
        <v>23.974733000000001</v>
      </c>
      <c r="G665">
        <v>5478069</v>
      </c>
      <c r="I665">
        <f t="shared" si="11"/>
        <v>7.3830982711199961E-5</v>
      </c>
    </row>
    <row r="666" spans="1:9" x14ac:dyDescent="0.3">
      <c r="A666" s="5">
        <v>42604</v>
      </c>
      <c r="B666">
        <v>24.510598999999999</v>
      </c>
      <c r="C666">
        <v>24.87105</v>
      </c>
      <c r="D666">
        <v>24.414480000000001</v>
      </c>
      <c r="E666">
        <v>24.798960000000001</v>
      </c>
      <c r="F666">
        <v>24.091459</v>
      </c>
      <c r="G666">
        <v>3832834</v>
      </c>
      <c r="I666">
        <f t="shared" si="11"/>
        <v>1.0377250701626333E-4</v>
      </c>
    </row>
    <row r="667" spans="1:9" x14ac:dyDescent="0.3">
      <c r="A667" s="5">
        <v>42605</v>
      </c>
      <c r="B667">
        <v>25.015229999999999</v>
      </c>
      <c r="C667">
        <v>25.32762</v>
      </c>
      <c r="D667">
        <v>24.919108999999999</v>
      </c>
      <c r="E667">
        <v>25.231501000000002</v>
      </c>
      <c r="F667">
        <v>24.511662000000001</v>
      </c>
      <c r="G667">
        <v>4807158</v>
      </c>
      <c r="I667">
        <f t="shared" si="11"/>
        <v>9.5151660247438019E-5</v>
      </c>
    </row>
    <row r="668" spans="1:9" x14ac:dyDescent="0.3">
      <c r="A668" s="5">
        <v>42606</v>
      </c>
      <c r="B668">
        <v>25.063289999999999</v>
      </c>
      <c r="C668">
        <v>25.111349000000001</v>
      </c>
      <c r="D668">
        <v>24.054029</v>
      </c>
      <c r="E668">
        <v>24.12612</v>
      </c>
      <c r="F668">
        <v>23.437812999999998</v>
      </c>
      <c r="G668">
        <v>8214815</v>
      </c>
      <c r="I668">
        <f t="shared" si="11"/>
        <v>1.9967379636918326E-4</v>
      </c>
    </row>
    <row r="669" spans="1:9" x14ac:dyDescent="0.3">
      <c r="A669" s="5">
        <v>42607</v>
      </c>
      <c r="B669">
        <v>24.222239999999999</v>
      </c>
      <c r="C669">
        <v>24.48657</v>
      </c>
      <c r="D669">
        <v>24.102091000000001</v>
      </c>
      <c r="E669">
        <v>24.222239999999999</v>
      </c>
      <c r="F669">
        <v>23.531191</v>
      </c>
      <c r="G669">
        <v>5215356</v>
      </c>
      <c r="I669">
        <f t="shared" si="11"/>
        <v>1.4252723998427173E-4</v>
      </c>
    </row>
    <row r="670" spans="1:9" x14ac:dyDescent="0.3">
      <c r="A670" s="5">
        <v>42608</v>
      </c>
      <c r="B670">
        <v>24.390450000000001</v>
      </c>
      <c r="C670">
        <v>24.678809999999999</v>
      </c>
      <c r="D670">
        <v>23.933879999999998</v>
      </c>
      <c r="E670">
        <v>24.030000999999999</v>
      </c>
      <c r="F670">
        <v>23.344436999999999</v>
      </c>
      <c r="G670">
        <v>6271203</v>
      </c>
      <c r="I670">
        <f t="shared" si="11"/>
        <v>3.8886950885164378E-4</v>
      </c>
    </row>
    <row r="671" spans="1:9" x14ac:dyDescent="0.3">
      <c r="A671" s="5">
        <v>42611</v>
      </c>
      <c r="B671">
        <v>24.054029</v>
      </c>
      <c r="C671">
        <v>24.654779000000001</v>
      </c>
      <c r="D671">
        <v>24.030000999999999</v>
      </c>
      <c r="E671">
        <v>24.654779000000001</v>
      </c>
      <c r="F671">
        <v>23.951388999999999</v>
      </c>
      <c r="G671">
        <v>5668664</v>
      </c>
      <c r="I671">
        <f t="shared" si="11"/>
        <v>2.5652704056446882E-5</v>
      </c>
    </row>
    <row r="672" spans="1:9" x14ac:dyDescent="0.3">
      <c r="A672" s="5">
        <v>42612</v>
      </c>
      <c r="B672">
        <v>24.654779000000001</v>
      </c>
      <c r="C672">
        <v>24.654779000000001</v>
      </c>
      <c r="D672">
        <v>24.174178999999999</v>
      </c>
      <c r="E672">
        <v>24.438510999999998</v>
      </c>
      <c r="F672">
        <v>23.741288999999998</v>
      </c>
      <c r="G672">
        <v>4690096</v>
      </c>
      <c r="I672">
        <f t="shared" si="11"/>
        <v>2.1408423852253261E-4</v>
      </c>
    </row>
    <row r="673" spans="1:9" x14ac:dyDescent="0.3">
      <c r="A673" s="5">
        <v>42613</v>
      </c>
      <c r="B673">
        <v>24.222239999999999</v>
      </c>
      <c r="C673">
        <v>24.462540000000001</v>
      </c>
      <c r="D673">
        <v>24.078060000000001</v>
      </c>
      <c r="E673">
        <v>24.222239999999999</v>
      </c>
      <c r="F673">
        <v>23.531191</v>
      </c>
      <c r="G673">
        <v>6611735</v>
      </c>
      <c r="I673">
        <f t="shared" si="11"/>
        <v>1.3309431188242093E-4</v>
      </c>
    </row>
    <row r="674" spans="1:9" x14ac:dyDescent="0.3">
      <c r="A674" s="5">
        <v>42614</v>
      </c>
      <c r="B674">
        <v>24.246269000000002</v>
      </c>
      <c r="C674">
        <v>24.48657</v>
      </c>
      <c r="D674">
        <v>24.15015</v>
      </c>
      <c r="E674">
        <v>24.342390000000002</v>
      </c>
      <c r="F674">
        <v>23.647912999999999</v>
      </c>
      <c r="G674">
        <v>5593758</v>
      </c>
      <c r="I674">
        <f t="shared" si="11"/>
        <v>8.9734635806076928E-5</v>
      </c>
    </row>
    <row r="675" spans="1:9" x14ac:dyDescent="0.3">
      <c r="A675" s="5">
        <v>42615</v>
      </c>
      <c r="B675">
        <v>24.510598999999999</v>
      </c>
      <c r="C675">
        <v>24.678809999999999</v>
      </c>
      <c r="D675">
        <v>24.054029</v>
      </c>
      <c r="E675">
        <v>24.342390000000002</v>
      </c>
      <c r="F675">
        <v>23.647912999999999</v>
      </c>
      <c r="G675">
        <v>7058261</v>
      </c>
      <c r="I675">
        <f t="shared" si="11"/>
        <v>3.1794731178949565E-4</v>
      </c>
    </row>
    <row r="676" spans="1:9" x14ac:dyDescent="0.3">
      <c r="A676" s="5">
        <v>42619</v>
      </c>
      <c r="B676">
        <v>24.462540000000001</v>
      </c>
      <c r="C676">
        <v>24.798960000000001</v>
      </c>
      <c r="D676">
        <v>24.318359000000001</v>
      </c>
      <c r="E676">
        <v>24.798960000000001</v>
      </c>
      <c r="F676">
        <v>24.091459</v>
      </c>
      <c r="G676">
        <v>5311569</v>
      </c>
      <c r="I676">
        <f t="shared" si="11"/>
        <v>1.1568668240383415E-4</v>
      </c>
    </row>
    <row r="677" spans="1:9" x14ac:dyDescent="0.3">
      <c r="A677" s="5">
        <v>42620</v>
      </c>
      <c r="B677">
        <v>24.750900000000001</v>
      </c>
      <c r="C677">
        <v>24.822990000000001</v>
      </c>
      <c r="D677">
        <v>24.342390000000002</v>
      </c>
      <c r="E677">
        <v>24.53463</v>
      </c>
      <c r="F677">
        <v>23.834667</v>
      </c>
      <c r="G677">
        <v>5682605</v>
      </c>
      <c r="I677">
        <f t="shared" si="11"/>
        <v>1.6489923226215589E-4</v>
      </c>
    </row>
    <row r="678" spans="1:9" x14ac:dyDescent="0.3">
      <c r="A678" s="5">
        <v>42621</v>
      </c>
      <c r="B678">
        <v>24.654779000000001</v>
      </c>
      <c r="C678">
        <v>24.654779000000001</v>
      </c>
      <c r="D678">
        <v>24.15015</v>
      </c>
      <c r="E678">
        <v>24.318359000000001</v>
      </c>
      <c r="F678">
        <v>23.624573000000002</v>
      </c>
      <c r="G678">
        <v>5691344</v>
      </c>
      <c r="I678">
        <f t="shared" si="11"/>
        <v>1.4354077968352241E-4</v>
      </c>
    </row>
    <row r="679" spans="1:9" x14ac:dyDescent="0.3">
      <c r="A679" s="5">
        <v>42622</v>
      </c>
      <c r="B679">
        <v>24.15015</v>
      </c>
      <c r="C679">
        <v>24.15015</v>
      </c>
      <c r="D679">
        <v>22.804469999999998</v>
      </c>
      <c r="E679">
        <v>23.0688</v>
      </c>
      <c r="F679">
        <v>22.41066</v>
      </c>
      <c r="G679">
        <v>14041781</v>
      </c>
      <c r="I679">
        <f t="shared" si="11"/>
        <v>6.6074512402912195E-4</v>
      </c>
    </row>
    <row r="680" spans="1:9" x14ac:dyDescent="0.3">
      <c r="A680" s="5">
        <v>42625</v>
      </c>
      <c r="B680">
        <v>22.876560000000001</v>
      </c>
      <c r="C680">
        <v>23.549399999999999</v>
      </c>
      <c r="D680">
        <v>22.66029</v>
      </c>
      <c r="E680">
        <v>23.501341</v>
      </c>
      <c r="F680">
        <v>22.830857999999999</v>
      </c>
      <c r="G680">
        <v>9022680</v>
      </c>
      <c r="I680">
        <f t="shared" si="11"/>
        <v>4.0538456177971618E-4</v>
      </c>
    </row>
    <row r="681" spans="1:9" x14ac:dyDescent="0.3">
      <c r="A681" s="5">
        <v>42626</v>
      </c>
      <c r="B681">
        <v>23.140889999999999</v>
      </c>
      <c r="C681">
        <v>23.188949999999998</v>
      </c>
      <c r="D681">
        <v>22.708348999999998</v>
      </c>
      <c r="E681">
        <v>22.876560000000001</v>
      </c>
      <c r="F681">
        <v>22.223901999999999</v>
      </c>
      <c r="G681">
        <v>7701831</v>
      </c>
      <c r="I681">
        <f t="shared" si="11"/>
        <v>1.6739174692059314E-4</v>
      </c>
    </row>
    <row r="682" spans="1:9" x14ac:dyDescent="0.3">
      <c r="A682" s="5">
        <v>42627</v>
      </c>
      <c r="B682">
        <v>23.285070000000001</v>
      </c>
      <c r="C682">
        <v>23.285070000000001</v>
      </c>
      <c r="D682">
        <v>22.492080999999999</v>
      </c>
      <c r="E682">
        <v>22.564171000000002</v>
      </c>
      <c r="F682">
        <v>21.920427</v>
      </c>
      <c r="G682">
        <v>6540949</v>
      </c>
      <c r="I682">
        <f t="shared" si="11"/>
        <v>1.1087718074339185E-4</v>
      </c>
    </row>
    <row r="683" spans="1:9" x14ac:dyDescent="0.3">
      <c r="A683" s="5">
        <v>42628</v>
      </c>
      <c r="B683">
        <v>22.588200000000001</v>
      </c>
      <c r="C683">
        <v>22.876560000000001</v>
      </c>
      <c r="D683">
        <v>22.516109</v>
      </c>
      <c r="E683">
        <v>22.756411</v>
      </c>
      <c r="F683">
        <v>22.107182000000002</v>
      </c>
      <c r="G683">
        <v>6256929</v>
      </c>
      <c r="I683">
        <f t="shared" si="11"/>
        <v>1.0073393304823136E-4</v>
      </c>
    </row>
    <row r="684" spans="1:9" x14ac:dyDescent="0.3">
      <c r="A684" s="5">
        <v>42629</v>
      </c>
      <c r="B684">
        <v>22.564171000000002</v>
      </c>
      <c r="C684">
        <v>22.756411</v>
      </c>
      <c r="D684">
        <v>22.444019000000001</v>
      </c>
      <c r="E684">
        <v>22.68432</v>
      </c>
      <c r="F684">
        <v>22.037147999999998</v>
      </c>
      <c r="G684">
        <v>6780483</v>
      </c>
      <c r="I684">
        <f t="shared" si="11"/>
        <v>8.3778777935383195E-5</v>
      </c>
    </row>
    <row r="685" spans="1:9" x14ac:dyDescent="0.3">
      <c r="A685" s="5">
        <v>42632</v>
      </c>
      <c r="B685">
        <v>22.948650000000001</v>
      </c>
      <c r="C685">
        <v>22.948650000000001</v>
      </c>
      <c r="D685">
        <v>22.347899999999999</v>
      </c>
      <c r="E685">
        <v>22.492080999999999</v>
      </c>
      <c r="F685">
        <v>21.850390999999998</v>
      </c>
      <c r="G685">
        <v>8627174</v>
      </c>
      <c r="I685">
        <f t="shared" si="11"/>
        <v>1.7059182731881081E-4</v>
      </c>
    </row>
    <row r="686" spans="1:9" x14ac:dyDescent="0.3">
      <c r="A686" s="5">
        <v>42633</v>
      </c>
      <c r="B686">
        <v>22.492080999999999</v>
      </c>
      <c r="C686">
        <v>22.780439000000001</v>
      </c>
      <c r="D686">
        <v>22.371929000000002</v>
      </c>
      <c r="E686">
        <v>22.68432</v>
      </c>
      <c r="F686">
        <v>22.037147999999998</v>
      </c>
      <c r="G686">
        <v>6501873</v>
      </c>
      <c r="I686">
        <f t="shared" si="11"/>
        <v>1.2813924473332509E-4</v>
      </c>
    </row>
    <row r="687" spans="1:9" x14ac:dyDescent="0.3">
      <c r="A687" s="5">
        <v>42634</v>
      </c>
      <c r="B687">
        <v>22.924620000000001</v>
      </c>
      <c r="C687">
        <v>23.261040000000001</v>
      </c>
      <c r="D687">
        <v>22.708348999999998</v>
      </c>
      <c r="E687">
        <v>23.237009</v>
      </c>
      <c r="F687">
        <v>22.574069999999999</v>
      </c>
      <c r="G687">
        <v>6508864</v>
      </c>
      <c r="I687">
        <f t="shared" si="11"/>
        <v>2.3319916353351579E-4</v>
      </c>
    </row>
    <row r="688" spans="1:9" x14ac:dyDescent="0.3">
      <c r="A688" s="5">
        <v>42635</v>
      </c>
      <c r="B688">
        <v>23.549399999999999</v>
      </c>
      <c r="C688">
        <v>23.933879999999998</v>
      </c>
      <c r="D688">
        <v>23.429251000000001</v>
      </c>
      <c r="E688">
        <v>23.501341</v>
      </c>
      <c r="F688">
        <v>22.830857999999999</v>
      </c>
      <c r="G688">
        <v>6374532</v>
      </c>
      <c r="I688">
        <f t="shared" si="11"/>
        <v>3.1106578875670618E-4</v>
      </c>
    </row>
    <row r="689" spans="1:9" x14ac:dyDescent="0.3">
      <c r="A689" s="5">
        <v>42636</v>
      </c>
      <c r="B689">
        <v>23.40522</v>
      </c>
      <c r="C689">
        <v>23.765671000000001</v>
      </c>
      <c r="D689">
        <v>23.309099</v>
      </c>
      <c r="E689">
        <v>23.453278999999998</v>
      </c>
      <c r="F689">
        <v>22.784172000000002</v>
      </c>
      <c r="G689">
        <v>5054765</v>
      </c>
      <c r="I689">
        <f t="shared" si="11"/>
        <v>2.2759988977982291E-4</v>
      </c>
    </row>
    <row r="690" spans="1:9" x14ac:dyDescent="0.3">
      <c r="A690" s="5">
        <v>42639</v>
      </c>
      <c r="B690">
        <v>23.453278999999998</v>
      </c>
      <c r="C690">
        <v>23.693580999999998</v>
      </c>
      <c r="D690">
        <v>23.261040000000001</v>
      </c>
      <c r="E690">
        <v>23.261040000000001</v>
      </c>
      <c r="F690">
        <v>22.597411999999998</v>
      </c>
      <c r="G690">
        <v>4207907</v>
      </c>
      <c r="I690">
        <f t="shared" si="11"/>
        <v>1.8781470359997563E-4</v>
      </c>
    </row>
    <row r="691" spans="1:9" x14ac:dyDescent="0.3">
      <c r="A691" s="5">
        <v>42640</v>
      </c>
      <c r="B691">
        <v>23.116859000000002</v>
      </c>
      <c r="C691">
        <v>23.212980000000002</v>
      </c>
      <c r="D691">
        <v>22.828500999999999</v>
      </c>
      <c r="E691">
        <v>23.188949999999998</v>
      </c>
      <c r="F691">
        <v>22.527380000000001</v>
      </c>
      <c r="G691">
        <v>4773325</v>
      </c>
      <c r="I691">
        <f t="shared" si="11"/>
        <v>2.0094418284840766E-4</v>
      </c>
    </row>
    <row r="692" spans="1:9" x14ac:dyDescent="0.3">
      <c r="A692" s="5">
        <v>42641</v>
      </c>
      <c r="B692">
        <v>23.285070000000001</v>
      </c>
      <c r="C692">
        <v>23.74164</v>
      </c>
      <c r="D692">
        <v>23.020741000000001</v>
      </c>
      <c r="E692">
        <v>23.74164</v>
      </c>
      <c r="F692">
        <v>23.064298999999998</v>
      </c>
      <c r="G692">
        <v>7385809</v>
      </c>
      <c r="I692">
        <f t="shared" si="11"/>
        <v>3.5203532265189435E-4</v>
      </c>
    </row>
    <row r="693" spans="1:9" x14ac:dyDescent="0.3">
      <c r="A693" s="5">
        <v>42642</v>
      </c>
      <c r="B693">
        <v>23.74164</v>
      </c>
      <c r="C693">
        <v>24.270299999999999</v>
      </c>
      <c r="D693">
        <v>23.621490000000001</v>
      </c>
      <c r="E693">
        <v>23.933879999999998</v>
      </c>
      <c r="F693">
        <v>23.251059999999999</v>
      </c>
      <c r="G693">
        <v>11186850</v>
      </c>
      <c r="I693">
        <f t="shared" si="11"/>
        <v>3.7406092432028845E-4</v>
      </c>
    </row>
    <row r="694" spans="1:9" x14ac:dyDescent="0.3">
      <c r="A694" s="5">
        <v>42643</v>
      </c>
      <c r="B694">
        <v>23.981939000000001</v>
      </c>
      <c r="C694">
        <v>24.48657</v>
      </c>
      <c r="D694">
        <v>23.909849000000001</v>
      </c>
      <c r="E694">
        <v>24.366420999999999</v>
      </c>
      <c r="F694">
        <v>23.671258999999999</v>
      </c>
      <c r="G694">
        <v>9525135</v>
      </c>
      <c r="I694">
        <f t="shared" si="11"/>
        <v>1.5937421345408172E-4</v>
      </c>
    </row>
    <row r="695" spans="1:9" x14ac:dyDescent="0.3">
      <c r="A695" s="5">
        <v>42646</v>
      </c>
      <c r="B695">
        <v>24.366420999999999</v>
      </c>
      <c r="C695">
        <v>24.414480000000001</v>
      </c>
      <c r="D695">
        <v>23.933879999999998</v>
      </c>
      <c r="E695">
        <v>24.318359000000001</v>
      </c>
      <c r="F695">
        <v>23.624573000000002</v>
      </c>
      <c r="G695">
        <v>6817603</v>
      </c>
      <c r="I695">
        <f t="shared" si="11"/>
        <v>2.9321193505474927E-4</v>
      </c>
    </row>
    <row r="696" spans="1:9" x14ac:dyDescent="0.3">
      <c r="A696" s="5">
        <v>42647</v>
      </c>
      <c r="B696">
        <v>24.174178999999999</v>
      </c>
      <c r="C696">
        <v>24.53463</v>
      </c>
      <c r="D696">
        <v>24.005970000000001</v>
      </c>
      <c r="E696">
        <v>24.510598999999999</v>
      </c>
      <c r="F696">
        <v>23.811323000000002</v>
      </c>
      <c r="G696">
        <v>13312776</v>
      </c>
      <c r="I696">
        <f t="shared" si="11"/>
        <v>1.5976198971030223E-4</v>
      </c>
    </row>
    <row r="697" spans="1:9" x14ac:dyDescent="0.3">
      <c r="A697" s="5">
        <v>42648</v>
      </c>
      <c r="B697">
        <v>24.630751</v>
      </c>
      <c r="C697">
        <v>25.015229999999999</v>
      </c>
      <c r="D697">
        <v>24.438510999999998</v>
      </c>
      <c r="E697">
        <v>24.991199000000002</v>
      </c>
      <c r="F697">
        <v>24.278207999999999</v>
      </c>
      <c r="G697">
        <v>12374865</v>
      </c>
      <c r="I697">
        <f t="shared" si="11"/>
        <v>1.9011608025212585E-4</v>
      </c>
    </row>
    <row r="698" spans="1:9" x14ac:dyDescent="0.3">
      <c r="A698" s="5">
        <v>42649</v>
      </c>
      <c r="B698">
        <v>24.887070000000001</v>
      </c>
      <c r="C698">
        <v>25.648019999999999</v>
      </c>
      <c r="D698">
        <v>24.887070000000001</v>
      </c>
      <c r="E698">
        <v>25.455780000000001</v>
      </c>
      <c r="F698">
        <v>24.72954</v>
      </c>
      <c r="G698">
        <v>12517478</v>
      </c>
      <c r="I698">
        <f t="shared" si="11"/>
        <v>2.2659405313643866E-4</v>
      </c>
    </row>
    <row r="699" spans="1:9" x14ac:dyDescent="0.3">
      <c r="A699" s="5">
        <v>42650</v>
      </c>
      <c r="B699">
        <v>25.648019999999999</v>
      </c>
      <c r="C699">
        <v>25.712098999999998</v>
      </c>
      <c r="D699">
        <v>24.855029999999999</v>
      </c>
      <c r="E699">
        <v>25.127371</v>
      </c>
      <c r="F699">
        <v>24.410501</v>
      </c>
      <c r="G699">
        <v>9810986</v>
      </c>
      <c r="I699">
        <f t="shared" si="11"/>
        <v>3.9965333447736933E-4</v>
      </c>
    </row>
    <row r="700" spans="1:9" x14ac:dyDescent="0.3">
      <c r="A700" s="5">
        <v>42653</v>
      </c>
      <c r="B700">
        <v>25.287571</v>
      </c>
      <c r="C700">
        <v>25.599959999999999</v>
      </c>
      <c r="D700">
        <v>25.127371</v>
      </c>
      <c r="E700">
        <v>25.239509999999999</v>
      </c>
      <c r="F700">
        <v>24.519442000000002</v>
      </c>
      <c r="G700">
        <v>11384519</v>
      </c>
      <c r="I700">
        <f t="shared" si="11"/>
        <v>2.0240031778715403E-4</v>
      </c>
    </row>
    <row r="701" spans="1:9" x14ac:dyDescent="0.3">
      <c r="A701" s="5">
        <v>42654</v>
      </c>
      <c r="B701">
        <v>23.81373</v>
      </c>
      <c r="C701">
        <v>23.81373</v>
      </c>
      <c r="D701">
        <v>22.33989</v>
      </c>
      <c r="E701">
        <v>22.355909</v>
      </c>
      <c r="F701">
        <v>21.718102999999999</v>
      </c>
      <c r="G701">
        <v>40784270</v>
      </c>
      <c r="I701">
        <f t="shared" si="11"/>
        <v>4.5795305729830169E-5</v>
      </c>
    </row>
    <row r="702" spans="1:9" x14ac:dyDescent="0.3">
      <c r="A702" s="5">
        <v>42655</v>
      </c>
      <c r="B702">
        <v>22.043520000000001</v>
      </c>
      <c r="C702">
        <v>22.043520000000001</v>
      </c>
      <c r="D702">
        <v>21.643021000000001</v>
      </c>
      <c r="E702">
        <v>21.715111</v>
      </c>
      <c r="F702">
        <v>21.095589</v>
      </c>
      <c r="G702">
        <v>23879900</v>
      </c>
      <c r="I702">
        <f t="shared" si="11"/>
        <v>6.097205003196977E-5</v>
      </c>
    </row>
    <row r="703" spans="1:9" x14ac:dyDescent="0.3">
      <c r="A703" s="5">
        <v>42656</v>
      </c>
      <c r="B703">
        <v>21.170428999999999</v>
      </c>
      <c r="C703">
        <v>21.562919999999998</v>
      </c>
      <c r="D703">
        <v>21.002220000000001</v>
      </c>
      <c r="E703">
        <v>21.426749999999998</v>
      </c>
      <c r="F703">
        <v>20.815456000000001</v>
      </c>
      <c r="G703">
        <v>16025094</v>
      </c>
      <c r="I703">
        <f t="shared" si="11"/>
        <v>2.7601315616125545E-4</v>
      </c>
    </row>
    <row r="704" spans="1:9" x14ac:dyDescent="0.3">
      <c r="A704" s="5">
        <v>42657</v>
      </c>
      <c r="B704">
        <v>21.586950000000002</v>
      </c>
      <c r="C704">
        <v>21.659040000000001</v>
      </c>
      <c r="D704">
        <v>21.090330000000002</v>
      </c>
      <c r="E704">
        <v>21.178439999999998</v>
      </c>
      <c r="F704">
        <v>20.57423</v>
      </c>
      <c r="G704">
        <v>11702247</v>
      </c>
      <c r="I704">
        <f t="shared" si="11"/>
        <v>1.7184299863840438E-4</v>
      </c>
    </row>
    <row r="705" spans="1:9" x14ac:dyDescent="0.3">
      <c r="A705" s="5">
        <v>42660</v>
      </c>
      <c r="B705">
        <v>21.178439999999998</v>
      </c>
      <c r="C705">
        <v>21.306601000000001</v>
      </c>
      <c r="D705">
        <v>21.050280000000001</v>
      </c>
      <c r="E705">
        <v>21.106349999999999</v>
      </c>
      <c r="F705">
        <v>20.504196</v>
      </c>
      <c r="G705">
        <v>10594382</v>
      </c>
      <c r="I705">
        <f t="shared" si="11"/>
        <v>7.3118103130129843E-5</v>
      </c>
    </row>
    <row r="706" spans="1:9" x14ac:dyDescent="0.3">
      <c r="A706" s="5">
        <v>42661</v>
      </c>
      <c r="B706">
        <v>21.28257</v>
      </c>
      <c r="C706">
        <v>21.362670999999999</v>
      </c>
      <c r="D706">
        <v>20.529630999999998</v>
      </c>
      <c r="E706">
        <v>21.23451</v>
      </c>
      <c r="F706">
        <v>20.628699999999998</v>
      </c>
      <c r="G706">
        <v>16567915</v>
      </c>
      <c r="I706">
        <f t="shared" si="11"/>
        <v>1.2385556800893031E-3</v>
      </c>
    </row>
    <row r="707" spans="1:9" x14ac:dyDescent="0.3">
      <c r="A707" s="5">
        <v>42662</v>
      </c>
      <c r="B707">
        <v>21.186449</v>
      </c>
      <c r="C707">
        <v>21.971430000000002</v>
      </c>
      <c r="D707">
        <v>21.12237</v>
      </c>
      <c r="E707">
        <v>21.659040000000001</v>
      </c>
      <c r="F707">
        <v>21.041121</v>
      </c>
      <c r="G707">
        <v>12456679</v>
      </c>
      <c r="I707">
        <f t="shared" si="11"/>
        <v>5.9698180042738064E-4</v>
      </c>
    </row>
    <row r="708" spans="1:9" x14ac:dyDescent="0.3">
      <c r="A708" s="5">
        <v>42663</v>
      </c>
      <c r="B708">
        <v>21.602969999999999</v>
      </c>
      <c r="C708">
        <v>21.771179</v>
      </c>
      <c r="D708">
        <v>21.322620000000001</v>
      </c>
      <c r="E708">
        <v>21.378691</v>
      </c>
      <c r="F708">
        <v>20.768768000000001</v>
      </c>
      <c r="G708">
        <v>9917978</v>
      </c>
      <c r="I708">
        <f t="shared" si="11"/>
        <v>1.7540823118743161E-4</v>
      </c>
    </row>
    <row r="709" spans="1:9" x14ac:dyDescent="0.3">
      <c r="A709" s="5">
        <v>42664</v>
      </c>
      <c r="B709">
        <v>21.28257</v>
      </c>
      <c r="C709">
        <v>21.675059999999998</v>
      </c>
      <c r="D709">
        <v>21.090330000000002</v>
      </c>
      <c r="E709">
        <v>21.53088</v>
      </c>
      <c r="F709">
        <v>20.916613000000002</v>
      </c>
      <c r="G709">
        <v>7769288</v>
      </c>
      <c r="I709">
        <f t="shared" si="11"/>
        <v>3.0954902112272564E-4</v>
      </c>
    </row>
    <row r="710" spans="1:9" x14ac:dyDescent="0.3">
      <c r="A710" s="5">
        <v>42667</v>
      </c>
      <c r="B710">
        <v>21.635010000000001</v>
      </c>
      <c r="C710">
        <v>21.667048999999999</v>
      </c>
      <c r="D710">
        <v>21.434759</v>
      </c>
      <c r="E710">
        <v>21.514859999999999</v>
      </c>
      <c r="F710">
        <v>20.901049</v>
      </c>
      <c r="G710">
        <v>7109988</v>
      </c>
      <c r="I710">
        <f t="shared" si="11"/>
        <v>4.511592141967521E-5</v>
      </c>
    </row>
    <row r="711" spans="1:9" x14ac:dyDescent="0.3">
      <c r="A711" s="5">
        <v>42668</v>
      </c>
      <c r="B711">
        <v>21.835260000000002</v>
      </c>
      <c r="C711">
        <v>22.227751000000001</v>
      </c>
      <c r="D711">
        <v>21.61899</v>
      </c>
      <c r="E711">
        <v>21.859289</v>
      </c>
      <c r="F711">
        <v>21.235655000000001</v>
      </c>
      <c r="G711">
        <v>12088514</v>
      </c>
      <c r="I711">
        <f t="shared" si="11"/>
        <v>4.0782615081498628E-4</v>
      </c>
    </row>
    <row r="712" spans="1:9" x14ac:dyDescent="0.3">
      <c r="A712" s="5">
        <v>42669</v>
      </c>
      <c r="B712">
        <v>21.811229999999998</v>
      </c>
      <c r="C712">
        <v>22.331880999999999</v>
      </c>
      <c r="D712">
        <v>21.683069</v>
      </c>
      <c r="E712">
        <v>22.259789999999999</v>
      </c>
      <c r="F712">
        <v>21.624731000000001</v>
      </c>
      <c r="G712">
        <v>9730587</v>
      </c>
      <c r="I712">
        <f t="shared" si="11"/>
        <v>2.3097553347528103E-4</v>
      </c>
    </row>
    <row r="713" spans="1:9" x14ac:dyDescent="0.3">
      <c r="A713" s="5">
        <v>42670</v>
      </c>
      <c r="B713">
        <v>22.307849999999998</v>
      </c>
      <c r="C713">
        <v>22.620239000000002</v>
      </c>
      <c r="D713">
        <v>22.27581</v>
      </c>
      <c r="E713">
        <v>22.604219000000001</v>
      </c>
      <c r="F713">
        <v>21.959333000000001</v>
      </c>
      <c r="G713">
        <v>11574782</v>
      </c>
      <c r="I713">
        <f t="shared" si="11"/>
        <v>3.0887410587618237E-5</v>
      </c>
    </row>
    <row r="714" spans="1:9" x14ac:dyDescent="0.3">
      <c r="A714" s="5">
        <v>42671</v>
      </c>
      <c r="B714">
        <v>22.492080999999999</v>
      </c>
      <c r="C714">
        <v>22.852530000000002</v>
      </c>
      <c r="D714">
        <v>22.484069999999999</v>
      </c>
      <c r="E714">
        <v>22.724368999999999</v>
      </c>
      <c r="F714">
        <v>22.076056999999999</v>
      </c>
      <c r="G714">
        <v>11158052</v>
      </c>
      <c r="I714">
        <f t="shared" si="11"/>
        <v>9.3199818096642879E-5</v>
      </c>
    </row>
    <row r="715" spans="1:9" x14ac:dyDescent="0.3">
      <c r="A715" s="5">
        <v>42674</v>
      </c>
      <c r="B715">
        <v>22.780439000000001</v>
      </c>
      <c r="C715">
        <v>23.333130000000001</v>
      </c>
      <c r="D715">
        <v>22.700340000000001</v>
      </c>
      <c r="E715">
        <v>23.004721</v>
      </c>
      <c r="F715">
        <v>22.348407999999999</v>
      </c>
      <c r="G715">
        <v>13269413</v>
      </c>
      <c r="I715">
        <f t="shared" si="11"/>
        <v>3.8671386612940491E-4</v>
      </c>
    </row>
    <row r="716" spans="1:9" x14ac:dyDescent="0.3">
      <c r="A716" s="5">
        <v>42675</v>
      </c>
      <c r="B716">
        <v>22.1</v>
      </c>
      <c r="C716">
        <v>23.549999</v>
      </c>
      <c r="D716">
        <v>21.780000999999999</v>
      </c>
      <c r="E716">
        <v>23</v>
      </c>
      <c r="F716">
        <v>22.343820999999998</v>
      </c>
      <c r="G716">
        <v>32216900</v>
      </c>
      <c r="I716">
        <f t="shared" ref="I716:I779" si="12">LN(C716/B716)*(LN(C716/B716)-LN(E716/B716))+LN(D716/B716)*(LN(D716/B716)-LN(E716/B716))</f>
        <v>2.2966792064468898E-3</v>
      </c>
    </row>
    <row r="717" spans="1:9" x14ac:dyDescent="0.3">
      <c r="A717" s="5">
        <v>42676</v>
      </c>
      <c r="B717">
        <v>22.67</v>
      </c>
      <c r="C717">
        <v>23.264999</v>
      </c>
      <c r="D717">
        <v>22.635999999999999</v>
      </c>
      <c r="E717">
        <v>22.91</v>
      </c>
      <c r="F717">
        <v>22.343820999999998</v>
      </c>
      <c r="G717">
        <v>10755300</v>
      </c>
      <c r="I717">
        <f t="shared" si="12"/>
        <v>4.1642785532559548E-4</v>
      </c>
    </row>
    <row r="718" spans="1:9" x14ac:dyDescent="0.3">
      <c r="A718" s="5">
        <v>42677</v>
      </c>
      <c r="B718">
        <v>22.959999</v>
      </c>
      <c r="C718">
        <v>24.349001000000001</v>
      </c>
      <c r="D718">
        <v>22.940000999999999</v>
      </c>
      <c r="E718">
        <v>24.15</v>
      </c>
      <c r="F718">
        <v>23.553179</v>
      </c>
      <c r="G718">
        <v>8084200</v>
      </c>
      <c r="I718">
        <f t="shared" si="12"/>
        <v>5.268146815149827E-4</v>
      </c>
    </row>
    <row r="719" spans="1:9" x14ac:dyDescent="0.3">
      <c r="A719" s="5">
        <v>42678</v>
      </c>
      <c r="B719">
        <v>23.82</v>
      </c>
      <c r="C719">
        <v>25.5</v>
      </c>
      <c r="D719">
        <v>23.559999000000001</v>
      </c>
      <c r="E719">
        <v>25.200001</v>
      </c>
      <c r="F719">
        <v>24.577227000000001</v>
      </c>
      <c r="G719">
        <v>6878700</v>
      </c>
      <c r="I719">
        <f t="shared" si="12"/>
        <v>1.5451149795698547E-3</v>
      </c>
    </row>
    <row r="720" spans="1:9" x14ac:dyDescent="0.3">
      <c r="A720" s="5">
        <v>42681</v>
      </c>
      <c r="B720">
        <v>25.540001</v>
      </c>
      <c r="C720">
        <v>26.41</v>
      </c>
      <c r="D720">
        <v>24.889999</v>
      </c>
      <c r="E720">
        <v>25.08</v>
      </c>
      <c r="F720">
        <v>24.460194000000001</v>
      </c>
      <c r="G720">
        <v>8377000</v>
      </c>
      <c r="I720">
        <f t="shared" si="12"/>
        <v>1.9268950815010855E-3</v>
      </c>
    </row>
    <row r="721" spans="1:9" x14ac:dyDescent="0.3">
      <c r="A721" s="5">
        <v>42682</v>
      </c>
      <c r="B721">
        <v>24.299999</v>
      </c>
      <c r="C721">
        <v>26.59</v>
      </c>
      <c r="D721">
        <v>24.299999</v>
      </c>
      <c r="E721">
        <v>26.4</v>
      </c>
      <c r="F721">
        <v>25.747572000000002</v>
      </c>
      <c r="G721">
        <v>6471300</v>
      </c>
      <c r="I721">
        <f t="shared" si="12"/>
        <v>6.458299143812091E-4</v>
      </c>
    </row>
    <row r="722" spans="1:9" x14ac:dyDescent="0.3">
      <c r="A722" s="5">
        <v>42683</v>
      </c>
      <c r="B722">
        <v>26.83</v>
      </c>
      <c r="C722">
        <v>29.139999</v>
      </c>
      <c r="D722">
        <v>26</v>
      </c>
      <c r="E722">
        <v>28.719999000000001</v>
      </c>
      <c r="F722">
        <v>28.010237</v>
      </c>
      <c r="G722">
        <v>10675900</v>
      </c>
      <c r="I722">
        <f t="shared" si="12"/>
        <v>4.3256740242656449E-3</v>
      </c>
    </row>
    <row r="723" spans="1:9" x14ac:dyDescent="0.3">
      <c r="A723" s="5">
        <v>42684</v>
      </c>
      <c r="B723">
        <v>29.08</v>
      </c>
      <c r="C723">
        <v>29.700001</v>
      </c>
      <c r="D723">
        <v>28.299999</v>
      </c>
      <c r="E723">
        <v>29.1</v>
      </c>
      <c r="F723">
        <v>28.380849999999999</v>
      </c>
      <c r="G723">
        <v>8189900</v>
      </c>
      <c r="I723">
        <f t="shared" si="12"/>
        <v>1.1884832971423738E-3</v>
      </c>
    </row>
    <row r="724" spans="1:9" x14ac:dyDescent="0.3">
      <c r="A724" s="5">
        <v>42685</v>
      </c>
      <c r="B724">
        <v>29.18</v>
      </c>
      <c r="C724">
        <v>29.99</v>
      </c>
      <c r="D724">
        <v>27.629999000000002</v>
      </c>
      <c r="E724">
        <v>29.299999</v>
      </c>
      <c r="F724">
        <v>28.575908999999999</v>
      </c>
      <c r="G724">
        <v>5337200</v>
      </c>
      <c r="I724">
        <f t="shared" si="12"/>
        <v>3.8404538558484947E-3</v>
      </c>
    </row>
    <row r="725" spans="1:9" x14ac:dyDescent="0.3">
      <c r="A725" s="5">
        <v>42688</v>
      </c>
      <c r="B725">
        <v>29.5</v>
      </c>
      <c r="C725">
        <v>29.940000999999999</v>
      </c>
      <c r="D725">
        <v>28.610001</v>
      </c>
      <c r="E725">
        <v>29.620000999999998</v>
      </c>
      <c r="F725">
        <v>28.887996999999999</v>
      </c>
      <c r="G725">
        <v>5156700</v>
      </c>
      <c r="I725">
        <f t="shared" si="12"/>
        <v>1.2218877299782684E-3</v>
      </c>
    </row>
    <row r="726" spans="1:9" x14ac:dyDescent="0.3">
      <c r="A726" s="5">
        <v>42689</v>
      </c>
      <c r="B726">
        <v>28.940000999999999</v>
      </c>
      <c r="C726">
        <v>30.23</v>
      </c>
      <c r="D726">
        <v>28.83</v>
      </c>
      <c r="E726">
        <v>30.209999</v>
      </c>
      <c r="F726">
        <v>29.463412999999999</v>
      </c>
      <c r="G726">
        <v>3668900</v>
      </c>
      <c r="I726">
        <f t="shared" si="12"/>
        <v>2.0692313837363839E-4</v>
      </c>
    </row>
    <row r="727" spans="1:9" x14ac:dyDescent="0.3">
      <c r="A727" s="5">
        <v>42690</v>
      </c>
      <c r="B727">
        <v>29.690000999999999</v>
      </c>
      <c r="C727">
        <v>31.690000999999999</v>
      </c>
      <c r="D727">
        <v>29.66</v>
      </c>
      <c r="E727">
        <v>31.42</v>
      </c>
      <c r="F727">
        <v>30.643515000000001</v>
      </c>
      <c r="G727">
        <v>6153000</v>
      </c>
      <c r="I727">
        <f t="shared" si="12"/>
        <v>6.160890833062741E-4</v>
      </c>
    </row>
    <row r="728" spans="1:9" x14ac:dyDescent="0.3">
      <c r="A728" s="5">
        <v>42691</v>
      </c>
      <c r="B728">
        <v>31.299999</v>
      </c>
      <c r="C728">
        <v>32.020000000000003</v>
      </c>
      <c r="D728">
        <v>30.77</v>
      </c>
      <c r="E728">
        <v>31.85</v>
      </c>
      <c r="F728">
        <v>31.062888999999998</v>
      </c>
      <c r="G728">
        <v>4693200</v>
      </c>
      <c r="I728">
        <f t="shared" si="12"/>
        <v>7.1020527518105741E-4</v>
      </c>
    </row>
    <row r="729" spans="1:9" x14ac:dyDescent="0.3">
      <c r="A729" s="5">
        <v>42692</v>
      </c>
      <c r="B729">
        <v>31.73</v>
      </c>
      <c r="C729">
        <v>31.77</v>
      </c>
      <c r="D729">
        <v>30.16</v>
      </c>
      <c r="E729">
        <v>30.42</v>
      </c>
      <c r="F729">
        <v>29.668223999999999</v>
      </c>
      <c r="G729">
        <v>4421700</v>
      </c>
      <c r="I729">
        <f t="shared" si="12"/>
        <v>4.9029628599142399E-4</v>
      </c>
    </row>
    <row r="730" spans="1:9" x14ac:dyDescent="0.3">
      <c r="A730" s="5">
        <v>42695</v>
      </c>
      <c r="B730">
        <v>30.889999</v>
      </c>
      <c r="C730">
        <v>30.98</v>
      </c>
      <c r="D730">
        <v>29.500999</v>
      </c>
      <c r="E730">
        <v>30.690000999999999</v>
      </c>
      <c r="F730">
        <v>29.931554999999999</v>
      </c>
      <c r="G730">
        <v>2986000</v>
      </c>
      <c r="I730">
        <f t="shared" si="12"/>
        <v>1.8452797759268833E-3</v>
      </c>
    </row>
    <row r="731" spans="1:9" x14ac:dyDescent="0.3">
      <c r="A731" s="5">
        <v>42696</v>
      </c>
      <c r="B731">
        <v>31.1</v>
      </c>
      <c r="C731">
        <v>31.91</v>
      </c>
      <c r="D731">
        <v>30.540001</v>
      </c>
      <c r="E731">
        <v>31.34</v>
      </c>
      <c r="F731">
        <v>30.565493</v>
      </c>
      <c r="G731">
        <v>4182800</v>
      </c>
      <c r="I731">
        <f t="shared" si="12"/>
        <v>9.3328219416744071E-4</v>
      </c>
    </row>
    <row r="732" spans="1:9" x14ac:dyDescent="0.3">
      <c r="A732" s="5">
        <v>42697</v>
      </c>
      <c r="B732">
        <v>31</v>
      </c>
      <c r="C732">
        <v>31.93</v>
      </c>
      <c r="D732">
        <v>30</v>
      </c>
      <c r="E732">
        <v>31.51</v>
      </c>
      <c r="F732">
        <v>30.731293000000001</v>
      </c>
      <c r="G732">
        <v>4111400</v>
      </c>
      <c r="I732">
        <f t="shared" si="12"/>
        <v>2.0016182609595102E-3</v>
      </c>
    </row>
    <row r="733" spans="1:9" x14ac:dyDescent="0.3">
      <c r="A733" s="5">
        <v>42699</v>
      </c>
      <c r="B733">
        <v>31.24</v>
      </c>
      <c r="C733">
        <v>32.189999</v>
      </c>
      <c r="D733">
        <v>31.110001</v>
      </c>
      <c r="E733">
        <v>31.700001</v>
      </c>
      <c r="F733">
        <v>30.916594</v>
      </c>
      <c r="G733">
        <v>3109500</v>
      </c>
      <c r="I733">
        <f t="shared" si="12"/>
        <v>5.3784862960578109E-4</v>
      </c>
    </row>
    <row r="734" spans="1:9" x14ac:dyDescent="0.3">
      <c r="A734" s="5">
        <v>42702</v>
      </c>
      <c r="B734">
        <v>31.48</v>
      </c>
      <c r="C734">
        <v>31.799999</v>
      </c>
      <c r="D734">
        <v>30.700001</v>
      </c>
      <c r="E734">
        <v>30.860001</v>
      </c>
      <c r="F734">
        <v>30.097352999999998</v>
      </c>
      <c r="G734">
        <v>5121900</v>
      </c>
      <c r="I734">
        <f t="shared" si="12"/>
        <v>4.3389071731767535E-4</v>
      </c>
    </row>
    <row r="735" spans="1:9" x14ac:dyDescent="0.3">
      <c r="A735" s="5">
        <v>42703</v>
      </c>
      <c r="B735">
        <v>30.02</v>
      </c>
      <c r="C735">
        <v>30.5</v>
      </c>
      <c r="D735">
        <v>29.73</v>
      </c>
      <c r="E735">
        <v>29.73</v>
      </c>
      <c r="F735">
        <v>28.995277000000002</v>
      </c>
      <c r="G735">
        <v>4928200</v>
      </c>
      <c r="I735">
        <f t="shared" si="12"/>
        <v>4.0561400318628972E-4</v>
      </c>
    </row>
    <row r="736" spans="1:9" x14ac:dyDescent="0.3">
      <c r="A736" s="5">
        <v>42704</v>
      </c>
      <c r="B736">
        <v>30.059999000000001</v>
      </c>
      <c r="C736">
        <v>30.440000999999999</v>
      </c>
      <c r="D736">
        <v>28.85</v>
      </c>
      <c r="E736">
        <v>28.969999000000001</v>
      </c>
      <c r="F736">
        <v>28.254061</v>
      </c>
      <c r="G736">
        <v>5131700</v>
      </c>
      <c r="I736">
        <f t="shared" si="12"/>
        <v>7.9232574916911843E-4</v>
      </c>
    </row>
    <row r="737" spans="1:9" x14ac:dyDescent="0.3">
      <c r="A737" s="5">
        <v>42705</v>
      </c>
      <c r="B737">
        <v>28.84</v>
      </c>
      <c r="C737">
        <v>29.42</v>
      </c>
      <c r="D737">
        <v>28.6</v>
      </c>
      <c r="E737">
        <v>28.879999000000002</v>
      </c>
      <c r="F737">
        <v>28.166283</v>
      </c>
      <c r="G737">
        <v>5006200</v>
      </c>
      <c r="I737">
        <f t="shared" si="12"/>
        <v>4.5028205029163152E-4</v>
      </c>
    </row>
    <row r="738" spans="1:9" x14ac:dyDescent="0.3">
      <c r="A738" s="5">
        <v>42706</v>
      </c>
      <c r="B738">
        <v>28.860001</v>
      </c>
      <c r="C738">
        <v>29.625</v>
      </c>
      <c r="D738">
        <v>28.73</v>
      </c>
      <c r="E738">
        <v>29.040001</v>
      </c>
      <c r="F738">
        <v>28.322331999999999</v>
      </c>
      <c r="G738">
        <v>3870300</v>
      </c>
      <c r="I738">
        <f t="shared" si="12"/>
        <v>5.7023847686574398E-4</v>
      </c>
    </row>
    <row r="739" spans="1:9" x14ac:dyDescent="0.3">
      <c r="A739" s="5">
        <v>42709</v>
      </c>
      <c r="B739">
        <v>29.030000999999999</v>
      </c>
      <c r="C739">
        <v>31.277000000000001</v>
      </c>
      <c r="D739">
        <v>28.889999</v>
      </c>
      <c r="E739">
        <v>31.219999000000001</v>
      </c>
      <c r="F739">
        <v>30.448452</v>
      </c>
      <c r="G739">
        <v>7034100</v>
      </c>
      <c r="I739">
        <f t="shared" si="12"/>
        <v>5.1096126320818039E-4</v>
      </c>
    </row>
    <row r="740" spans="1:9" x14ac:dyDescent="0.3">
      <c r="A740" s="5">
        <v>42710</v>
      </c>
      <c r="B740">
        <v>30.709999</v>
      </c>
      <c r="C740">
        <v>31.190000999999999</v>
      </c>
      <c r="D740">
        <v>30.209999</v>
      </c>
      <c r="E740">
        <v>31.15</v>
      </c>
      <c r="F740">
        <v>30.380188</v>
      </c>
      <c r="G740">
        <v>3248600</v>
      </c>
      <c r="I740">
        <f t="shared" si="12"/>
        <v>5.2289036994661461E-4</v>
      </c>
    </row>
    <row r="741" spans="1:9" x14ac:dyDescent="0.3">
      <c r="A741" s="5">
        <v>42711</v>
      </c>
      <c r="B741">
        <v>31.299999</v>
      </c>
      <c r="C741">
        <v>31.889999</v>
      </c>
      <c r="D741">
        <v>30.764999</v>
      </c>
      <c r="E741">
        <v>30.9</v>
      </c>
      <c r="F741">
        <v>30.136365999999999</v>
      </c>
      <c r="G741">
        <v>5778300</v>
      </c>
      <c r="I741">
        <f t="shared" si="12"/>
        <v>6.6440813303812133E-4</v>
      </c>
    </row>
    <row r="742" spans="1:9" x14ac:dyDescent="0.3">
      <c r="A742" s="5">
        <v>42712</v>
      </c>
      <c r="B742">
        <v>31.280000999999999</v>
      </c>
      <c r="C742">
        <v>31.84</v>
      </c>
      <c r="D742">
        <v>30.799999</v>
      </c>
      <c r="E742">
        <v>31.309999000000001</v>
      </c>
      <c r="F742">
        <v>30.536231999999998</v>
      </c>
      <c r="G742">
        <v>3064500</v>
      </c>
      <c r="I742">
        <f t="shared" si="12"/>
        <v>5.5182284857216175E-4</v>
      </c>
    </row>
    <row r="743" spans="1:9" x14ac:dyDescent="0.3">
      <c r="A743" s="5">
        <v>42713</v>
      </c>
      <c r="B743">
        <v>31.309999000000001</v>
      </c>
      <c r="C743">
        <v>32.110000999999997</v>
      </c>
      <c r="D743">
        <v>31.040001</v>
      </c>
      <c r="E743">
        <v>32.049999</v>
      </c>
      <c r="F743">
        <v>31.257943999999998</v>
      </c>
      <c r="G743">
        <v>4344300</v>
      </c>
      <c r="I743">
        <f t="shared" si="12"/>
        <v>3.2451165400163376E-4</v>
      </c>
    </row>
    <row r="744" spans="1:9" x14ac:dyDescent="0.3">
      <c r="A744" s="5">
        <v>42716</v>
      </c>
      <c r="B744">
        <v>32.159999999999997</v>
      </c>
      <c r="C744">
        <v>32.349997999999999</v>
      </c>
      <c r="D744">
        <v>30.85</v>
      </c>
      <c r="E744">
        <v>31.24</v>
      </c>
      <c r="F744">
        <v>30.467962</v>
      </c>
      <c r="G744">
        <v>3416400</v>
      </c>
      <c r="I744">
        <f t="shared" si="12"/>
        <v>7.2810111570489064E-4</v>
      </c>
    </row>
    <row r="745" spans="1:9" x14ac:dyDescent="0.3">
      <c r="A745" s="5">
        <v>42717</v>
      </c>
      <c r="B745">
        <v>31.4</v>
      </c>
      <c r="C745">
        <v>31.73</v>
      </c>
      <c r="D745">
        <v>30.030000999999999</v>
      </c>
      <c r="E745">
        <v>30.24</v>
      </c>
      <c r="F745">
        <v>29.492678000000002</v>
      </c>
      <c r="G745">
        <v>4215100</v>
      </c>
      <c r="I745">
        <f t="shared" si="12"/>
        <v>8.1371854868131192E-4</v>
      </c>
    </row>
    <row r="746" spans="1:9" x14ac:dyDescent="0.3">
      <c r="A746" s="5">
        <v>42718</v>
      </c>
      <c r="B746">
        <v>30.110001</v>
      </c>
      <c r="C746">
        <v>31.32</v>
      </c>
      <c r="D746">
        <v>30.030000999999999</v>
      </c>
      <c r="E746">
        <v>30.450001</v>
      </c>
      <c r="F746">
        <v>29.697486999999999</v>
      </c>
      <c r="G746">
        <v>3176100</v>
      </c>
      <c r="I746">
        <f t="shared" si="12"/>
        <v>1.1468684758562213E-3</v>
      </c>
    </row>
    <row r="747" spans="1:9" x14ac:dyDescent="0.3">
      <c r="A747" s="5">
        <v>42719</v>
      </c>
      <c r="B747">
        <v>30.16</v>
      </c>
      <c r="C747">
        <v>30.440000999999999</v>
      </c>
      <c r="D747">
        <v>29.65</v>
      </c>
      <c r="E747">
        <v>29.790001</v>
      </c>
      <c r="F747">
        <v>29.053799000000001</v>
      </c>
      <c r="G747">
        <v>3753200</v>
      </c>
      <c r="I747">
        <f t="shared" si="12"/>
        <v>2.798031250667165E-4</v>
      </c>
    </row>
    <row r="748" spans="1:9" x14ac:dyDescent="0.3">
      <c r="A748" s="5">
        <v>42720</v>
      </c>
      <c r="B748">
        <v>29.65</v>
      </c>
      <c r="C748">
        <v>30.42</v>
      </c>
      <c r="D748">
        <v>29.16</v>
      </c>
      <c r="E748">
        <v>29.4</v>
      </c>
      <c r="F748">
        <v>28.673432999999999</v>
      </c>
      <c r="G748">
        <v>8133000</v>
      </c>
      <c r="I748">
        <f t="shared" si="12"/>
        <v>1.0109979152172883E-3</v>
      </c>
    </row>
    <row r="749" spans="1:9" x14ac:dyDescent="0.3">
      <c r="A749" s="5">
        <v>42723</v>
      </c>
      <c r="B749">
        <v>28.889999</v>
      </c>
      <c r="C749">
        <v>29.49</v>
      </c>
      <c r="D749">
        <v>28.75</v>
      </c>
      <c r="E749">
        <v>29.290001</v>
      </c>
      <c r="F749">
        <v>28.566154000000001</v>
      </c>
      <c r="G749">
        <v>2572500</v>
      </c>
      <c r="I749">
        <f t="shared" si="12"/>
        <v>2.3027679753617411E-4</v>
      </c>
    </row>
    <row r="750" spans="1:9" x14ac:dyDescent="0.3">
      <c r="A750" s="5">
        <v>42724</v>
      </c>
      <c r="B750">
        <v>29.9</v>
      </c>
      <c r="C750">
        <v>30.33</v>
      </c>
      <c r="D750">
        <v>29.77</v>
      </c>
      <c r="E750">
        <v>30.16</v>
      </c>
      <c r="F750">
        <v>29.414648</v>
      </c>
      <c r="G750">
        <v>3827000</v>
      </c>
      <c r="I750">
        <f t="shared" si="12"/>
        <v>1.3697013842646204E-4</v>
      </c>
    </row>
    <row r="751" spans="1:9" x14ac:dyDescent="0.3">
      <c r="A751" s="5">
        <v>42725</v>
      </c>
      <c r="B751">
        <v>30.190000999999999</v>
      </c>
      <c r="C751">
        <v>30.43</v>
      </c>
      <c r="D751">
        <v>30.02</v>
      </c>
      <c r="E751">
        <v>30.43</v>
      </c>
      <c r="F751">
        <v>29.677983999999999</v>
      </c>
      <c r="G751">
        <v>1811200</v>
      </c>
      <c r="I751">
        <f t="shared" si="12"/>
        <v>7.6601662995885115E-5</v>
      </c>
    </row>
    <row r="752" spans="1:9" x14ac:dyDescent="0.3">
      <c r="A752" s="5">
        <v>42726</v>
      </c>
      <c r="B752">
        <v>30.209999</v>
      </c>
      <c r="C752">
        <v>30.35</v>
      </c>
      <c r="D752">
        <v>29.540001</v>
      </c>
      <c r="E752">
        <v>29.75</v>
      </c>
      <c r="F752">
        <v>29.014786000000001</v>
      </c>
      <c r="G752">
        <v>3767400</v>
      </c>
      <c r="I752">
        <f t="shared" si="12"/>
        <v>2.5119377765352895E-4</v>
      </c>
    </row>
    <row r="753" spans="1:9" x14ac:dyDescent="0.3">
      <c r="A753" s="5">
        <v>42727</v>
      </c>
      <c r="B753">
        <v>29.790001</v>
      </c>
      <c r="C753">
        <v>30.129999000000002</v>
      </c>
      <c r="D753">
        <v>29.34</v>
      </c>
      <c r="E753">
        <v>29.709999</v>
      </c>
      <c r="F753">
        <v>28.975771000000002</v>
      </c>
      <c r="G753">
        <v>2881800</v>
      </c>
      <c r="I753">
        <f t="shared" si="12"/>
        <v>3.5005484571921577E-4</v>
      </c>
    </row>
    <row r="754" spans="1:9" x14ac:dyDescent="0.3">
      <c r="A754" s="5">
        <v>42731</v>
      </c>
      <c r="B754">
        <v>29.58</v>
      </c>
      <c r="C754">
        <v>30.040001</v>
      </c>
      <c r="D754">
        <v>29.4</v>
      </c>
      <c r="E754">
        <v>29.65</v>
      </c>
      <c r="F754">
        <v>28.917252000000001</v>
      </c>
      <c r="G754">
        <v>1708900</v>
      </c>
      <c r="I754">
        <f t="shared" si="12"/>
        <v>2.5333696335725904E-4</v>
      </c>
    </row>
    <row r="755" spans="1:9" x14ac:dyDescent="0.3">
      <c r="A755" s="5">
        <v>42732</v>
      </c>
      <c r="B755">
        <v>29.780000999999999</v>
      </c>
      <c r="C755">
        <v>30.17</v>
      </c>
      <c r="D755">
        <v>29.35</v>
      </c>
      <c r="E755">
        <v>29.43</v>
      </c>
      <c r="F755">
        <v>28.702687999999998</v>
      </c>
      <c r="G755">
        <v>2751100</v>
      </c>
      <c r="I755">
        <f t="shared" si="12"/>
        <v>3.6269876102755489E-4</v>
      </c>
    </row>
    <row r="756" spans="1:9" x14ac:dyDescent="0.3">
      <c r="A756" s="5">
        <v>42733</v>
      </c>
      <c r="B756">
        <v>29.43</v>
      </c>
      <c r="C756">
        <v>29.440000999999999</v>
      </c>
      <c r="D756">
        <v>28.6</v>
      </c>
      <c r="E756">
        <v>28.889999</v>
      </c>
      <c r="F756">
        <v>28.176037000000001</v>
      </c>
      <c r="G756">
        <v>3224400</v>
      </c>
      <c r="I756">
        <f t="shared" si="12"/>
        <v>2.9502532224454976E-4</v>
      </c>
    </row>
    <row r="757" spans="1:9" x14ac:dyDescent="0.3">
      <c r="A757" s="5">
        <v>42734</v>
      </c>
      <c r="B757">
        <v>28.969999000000001</v>
      </c>
      <c r="C757">
        <v>29.378</v>
      </c>
      <c r="D757">
        <v>28.01</v>
      </c>
      <c r="E757">
        <v>28.08</v>
      </c>
      <c r="F757">
        <v>27.386057000000001</v>
      </c>
      <c r="G757">
        <v>2686000</v>
      </c>
      <c r="I757">
        <f t="shared" si="12"/>
        <v>7.1608857913477196E-4</v>
      </c>
    </row>
    <row r="758" spans="1:9" x14ac:dyDescent="0.3">
      <c r="A758" s="5">
        <v>42738</v>
      </c>
      <c r="B758">
        <v>28.6</v>
      </c>
      <c r="C758">
        <v>28.870000999999998</v>
      </c>
      <c r="D758">
        <v>28.17</v>
      </c>
      <c r="E758">
        <v>28.83</v>
      </c>
      <c r="F758">
        <v>28.117515999999998</v>
      </c>
      <c r="G758">
        <v>2746400</v>
      </c>
      <c r="I758">
        <f t="shared" si="12"/>
        <v>3.638659161895467E-4</v>
      </c>
    </row>
    <row r="759" spans="1:9" x14ac:dyDescent="0.3">
      <c r="A759" s="5">
        <v>42739</v>
      </c>
      <c r="B759">
        <v>29.02</v>
      </c>
      <c r="C759">
        <v>30.299999</v>
      </c>
      <c r="D759">
        <v>29.02</v>
      </c>
      <c r="E759">
        <v>30.26</v>
      </c>
      <c r="F759">
        <v>29.512180000000001</v>
      </c>
      <c r="G759">
        <v>3339500</v>
      </c>
      <c r="I759">
        <f t="shared" si="12"/>
        <v>5.7016327588024907E-5</v>
      </c>
    </row>
    <row r="760" spans="1:9" x14ac:dyDescent="0.3">
      <c r="A760" s="5">
        <v>42740</v>
      </c>
      <c r="B760">
        <v>30.18</v>
      </c>
      <c r="C760">
        <v>30.93</v>
      </c>
      <c r="D760">
        <v>30.114999999999998</v>
      </c>
      <c r="E760">
        <v>30.65</v>
      </c>
      <c r="F760">
        <v>29.892544000000001</v>
      </c>
      <c r="G760">
        <v>2444600</v>
      </c>
      <c r="I760">
        <f t="shared" si="12"/>
        <v>2.6119654878146807E-4</v>
      </c>
    </row>
    <row r="761" spans="1:9" x14ac:dyDescent="0.3">
      <c r="A761" s="5">
        <v>42741</v>
      </c>
      <c r="B761">
        <v>30.690000999999999</v>
      </c>
      <c r="C761">
        <v>31.1</v>
      </c>
      <c r="D761">
        <v>30.309999000000001</v>
      </c>
      <c r="E761">
        <v>30.68</v>
      </c>
      <c r="F761">
        <v>29.921800999999999</v>
      </c>
      <c r="G761">
        <v>2086300</v>
      </c>
      <c r="I761">
        <f t="shared" si="12"/>
        <v>3.3161454822422116E-4</v>
      </c>
    </row>
    <row r="762" spans="1:9" x14ac:dyDescent="0.3">
      <c r="A762" s="5">
        <v>42744</v>
      </c>
      <c r="B762">
        <v>30.879999000000002</v>
      </c>
      <c r="C762">
        <v>30.879999000000002</v>
      </c>
      <c r="D762">
        <v>29.215</v>
      </c>
      <c r="E762">
        <v>29.48</v>
      </c>
      <c r="F762">
        <v>28.751456999999998</v>
      </c>
      <c r="G762">
        <v>4205100</v>
      </c>
      <c r="I762">
        <f t="shared" si="12"/>
        <v>5.0048897672735156E-4</v>
      </c>
    </row>
    <row r="763" spans="1:9" x14ac:dyDescent="0.3">
      <c r="A763" s="5">
        <v>42745</v>
      </c>
      <c r="B763">
        <v>29.83</v>
      </c>
      <c r="C763">
        <v>31.1</v>
      </c>
      <c r="D763">
        <v>29.73</v>
      </c>
      <c r="E763">
        <v>30.98</v>
      </c>
      <c r="F763">
        <v>30.214383999999999</v>
      </c>
      <c r="G763">
        <v>3823600</v>
      </c>
      <c r="I763">
        <f t="shared" si="12"/>
        <v>2.9948364203381654E-4</v>
      </c>
    </row>
    <row r="764" spans="1:9" x14ac:dyDescent="0.3">
      <c r="A764" s="5">
        <v>42746</v>
      </c>
      <c r="B764">
        <v>31.08</v>
      </c>
      <c r="C764">
        <v>32</v>
      </c>
      <c r="D764">
        <v>31.08</v>
      </c>
      <c r="E764">
        <v>31.969999000000001</v>
      </c>
      <c r="F764">
        <v>31.179918000000001</v>
      </c>
      <c r="G764">
        <v>3068300</v>
      </c>
      <c r="I764">
        <f t="shared" si="12"/>
        <v>2.7361906150709312E-5</v>
      </c>
    </row>
    <row r="765" spans="1:9" x14ac:dyDescent="0.3">
      <c r="A765" s="5">
        <v>42747</v>
      </c>
      <c r="B765">
        <v>33</v>
      </c>
      <c r="C765">
        <v>33.5</v>
      </c>
      <c r="D765">
        <v>32.509998000000003</v>
      </c>
      <c r="E765">
        <v>33.040000999999997</v>
      </c>
      <c r="F765">
        <v>32.223480000000002</v>
      </c>
      <c r="G765">
        <v>4521700</v>
      </c>
      <c r="I765">
        <f t="shared" si="12"/>
        <v>4.4984154779032209E-4</v>
      </c>
    </row>
    <row r="766" spans="1:9" x14ac:dyDescent="0.3">
      <c r="A766" s="5">
        <v>42748</v>
      </c>
      <c r="B766">
        <v>32.82</v>
      </c>
      <c r="C766">
        <v>33.43</v>
      </c>
      <c r="D766">
        <v>32.529998999999997</v>
      </c>
      <c r="E766">
        <v>33.009998000000003</v>
      </c>
      <c r="F766">
        <v>32.194214000000002</v>
      </c>
      <c r="G766">
        <v>3026200</v>
      </c>
      <c r="I766">
        <f t="shared" si="12"/>
        <v>3.628370939533416E-4</v>
      </c>
    </row>
    <row r="767" spans="1:9" x14ac:dyDescent="0.3">
      <c r="A767" s="5">
        <v>42752</v>
      </c>
      <c r="B767">
        <v>32.970001000000003</v>
      </c>
      <c r="C767">
        <v>33.040000999999997</v>
      </c>
      <c r="D767">
        <v>32.520000000000003</v>
      </c>
      <c r="E767">
        <v>32.639999000000003</v>
      </c>
      <c r="F767">
        <v>31.833361</v>
      </c>
      <c r="G767">
        <v>1381800</v>
      </c>
      <c r="I767">
        <f t="shared" si="12"/>
        <v>7.6451169550692717E-5</v>
      </c>
    </row>
    <row r="768" spans="1:9" x14ac:dyDescent="0.3">
      <c r="A768" s="5">
        <v>42753</v>
      </c>
      <c r="B768">
        <v>32.950001</v>
      </c>
      <c r="C768">
        <v>34.830002</v>
      </c>
      <c r="D768">
        <v>32.639999000000003</v>
      </c>
      <c r="E768">
        <v>34.810001</v>
      </c>
      <c r="F768">
        <v>33.949733999999999</v>
      </c>
      <c r="G768">
        <v>6420100</v>
      </c>
      <c r="I768">
        <f t="shared" si="12"/>
        <v>6.4031342947481269E-4</v>
      </c>
    </row>
    <row r="769" spans="1:9" x14ac:dyDescent="0.3">
      <c r="A769" s="5">
        <v>42754</v>
      </c>
      <c r="B769">
        <v>34.220001000000003</v>
      </c>
      <c r="C769">
        <v>35.630001</v>
      </c>
      <c r="D769">
        <v>34.18</v>
      </c>
      <c r="E769">
        <v>35.419998</v>
      </c>
      <c r="F769">
        <v>34.544659000000003</v>
      </c>
      <c r="G769">
        <v>5050100</v>
      </c>
      <c r="I769">
        <f t="shared" si="12"/>
        <v>2.8037053789894506E-4</v>
      </c>
    </row>
    <row r="770" spans="1:9" x14ac:dyDescent="0.3">
      <c r="A770" s="5">
        <v>42755</v>
      </c>
      <c r="B770">
        <v>35.400002000000001</v>
      </c>
      <c r="C770">
        <v>35.740001999999997</v>
      </c>
      <c r="D770">
        <v>34.93</v>
      </c>
      <c r="E770">
        <v>35.659999999999997</v>
      </c>
      <c r="F770">
        <v>34.778728000000001</v>
      </c>
      <c r="G770">
        <v>5330900</v>
      </c>
      <c r="I770">
        <f t="shared" si="12"/>
        <v>2.9787318482582721E-4</v>
      </c>
    </row>
    <row r="771" spans="1:9" x14ac:dyDescent="0.3">
      <c r="A771" s="5">
        <v>42758</v>
      </c>
      <c r="B771">
        <v>35.919998</v>
      </c>
      <c r="C771">
        <v>36.395000000000003</v>
      </c>
      <c r="D771">
        <v>35.455002</v>
      </c>
      <c r="E771">
        <v>36.290000999999997</v>
      </c>
      <c r="F771">
        <v>35.393154000000003</v>
      </c>
      <c r="G771">
        <v>5245000</v>
      </c>
      <c r="I771">
        <f t="shared" si="12"/>
        <v>3.4126292649663776E-4</v>
      </c>
    </row>
    <row r="772" spans="1:9" x14ac:dyDescent="0.3">
      <c r="A772" s="5">
        <v>42759</v>
      </c>
      <c r="B772">
        <v>37.18</v>
      </c>
      <c r="C772">
        <v>38.380001</v>
      </c>
      <c r="D772">
        <v>37.18</v>
      </c>
      <c r="E772">
        <v>37.5</v>
      </c>
      <c r="F772">
        <v>36.573261000000002</v>
      </c>
      <c r="G772">
        <v>11911100</v>
      </c>
      <c r="I772">
        <f t="shared" si="12"/>
        <v>7.3682010927268228E-4</v>
      </c>
    </row>
    <row r="773" spans="1:9" x14ac:dyDescent="0.3">
      <c r="A773" s="5">
        <v>42760</v>
      </c>
      <c r="B773">
        <v>38.580002</v>
      </c>
      <c r="C773">
        <v>38.939999</v>
      </c>
      <c r="D773">
        <v>36.310001</v>
      </c>
      <c r="E773">
        <v>36.529998999999997</v>
      </c>
      <c r="F773">
        <v>35.627231999999999</v>
      </c>
      <c r="G773">
        <v>13583300</v>
      </c>
      <c r="I773">
        <f t="shared" si="12"/>
        <v>9.5969492853064569E-4</v>
      </c>
    </row>
    <row r="774" spans="1:9" x14ac:dyDescent="0.3">
      <c r="A774" s="5">
        <v>42761</v>
      </c>
      <c r="B774">
        <v>36.220001000000003</v>
      </c>
      <c r="C774">
        <v>37.07</v>
      </c>
      <c r="D774">
        <v>35.509998000000003</v>
      </c>
      <c r="E774">
        <v>36.299999</v>
      </c>
      <c r="F774">
        <v>35.402915999999998</v>
      </c>
      <c r="G774">
        <v>5735400</v>
      </c>
      <c r="I774">
        <f t="shared" si="12"/>
        <v>9.2250828750123934E-4</v>
      </c>
    </row>
    <row r="775" spans="1:9" x14ac:dyDescent="0.3">
      <c r="A775" s="5">
        <v>42762</v>
      </c>
      <c r="B775">
        <v>36.299999</v>
      </c>
      <c r="C775">
        <v>37.389999000000003</v>
      </c>
      <c r="D775">
        <v>36.270000000000003</v>
      </c>
      <c r="E775">
        <v>36.669998</v>
      </c>
      <c r="F775">
        <v>35.763767000000001</v>
      </c>
      <c r="G775">
        <v>3617600</v>
      </c>
      <c r="I775">
        <f t="shared" si="12"/>
        <v>5.8433919484704921E-4</v>
      </c>
    </row>
    <row r="776" spans="1:9" x14ac:dyDescent="0.3">
      <c r="A776" s="5">
        <v>42765</v>
      </c>
      <c r="B776">
        <v>36.479999999999997</v>
      </c>
      <c r="C776">
        <v>36.590000000000003</v>
      </c>
      <c r="D776">
        <v>35.770000000000003</v>
      </c>
      <c r="E776">
        <v>36.549999</v>
      </c>
      <c r="F776">
        <v>35.646735999999997</v>
      </c>
      <c r="G776">
        <v>3002400</v>
      </c>
      <c r="I776">
        <f t="shared" si="12"/>
        <v>4.2727482516640867E-4</v>
      </c>
    </row>
    <row r="777" spans="1:9" x14ac:dyDescent="0.3">
      <c r="A777" s="5">
        <v>42766</v>
      </c>
      <c r="B777">
        <v>36.779998999999997</v>
      </c>
      <c r="C777">
        <v>37.229999999999997</v>
      </c>
      <c r="D777">
        <v>36.009998000000003</v>
      </c>
      <c r="E777">
        <v>36.450001</v>
      </c>
      <c r="F777">
        <v>35.549210000000002</v>
      </c>
      <c r="G777">
        <v>2690300</v>
      </c>
      <c r="I777">
        <f t="shared" si="12"/>
        <v>5.1443910648319184E-4</v>
      </c>
    </row>
    <row r="778" spans="1:9" x14ac:dyDescent="0.3">
      <c r="A778" s="5">
        <v>42767</v>
      </c>
      <c r="B778">
        <v>36.580002</v>
      </c>
      <c r="C778">
        <v>37.189999</v>
      </c>
      <c r="D778">
        <v>36.200001</v>
      </c>
      <c r="E778">
        <v>36.259998000000003</v>
      </c>
      <c r="F778">
        <v>35.363899000000004</v>
      </c>
      <c r="G778">
        <v>2905400</v>
      </c>
      <c r="I778">
        <f t="shared" si="12"/>
        <v>4.3611794762823453E-4</v>
      </c>
    </row>
    <row r="779" spans="1:9" x14ac:dyDescent="0.3">
      <c r="A779" s="5">
        <v>42768</v>
      </c>
      <c r="B779">
        <v>36.700001</v>
      </c>
      <c r="C779">
        <v>38.369999</v>
      </c>
      <c r="D779">
        <v>36.630001</v>
      </c>
      <c r="E779">
        <v>37.68</v>
      </c>
      <c r="F779">
        <v>36.748809999999999</v>
      </c>
      <c r="G779">
        <v>5049700</v>
      </c>
      <c r="I779">
        <f t="shared" si="12"/>
        <v>8.6145656139412284E-4</v>
      </c>
    </row>
    <row r="780" spans="1:9" x14ac:dyDescent="0.3">
      <c r="A780" s="5">
        <v>42769</v>
      </c>
      <c r="B780">
        <v>37.869999</v>
      </c>
      <c r="C780">
        <v>38.049999</v>
      </c>
      <c r="D780">
        <v>36.830002</v>
      </c>
      <c r="E780">
        <v>36.860000999999997</v>
      </c>
      <c r="F780">
        <v>35.949069999999999</v>
      </c>
      <c r="G780">
        <v>5243300</v>
      </c>
      <c r="I780">
        <f t="shared" ref="I780:I843" si="13">LN(C780/B780)*(LN(C780/B780)-LN(E780/B780))+LN(D780/B780)*(LN(D780/B780)-LN(E780/B780))</f>
        <v>1.7334009101106079E-4</v>
      </c>
    </row>
    <row r="781" spans="1:9" x14ac:dyDescent="0.3">
      <c r="A781" s="5">
        <v>42772</v>
      </c>
      <c r="B781">
        <v>36.900002000000001</v>
      </c>
      <c r="C781">
        <v>38</v>
      </c>
      <c r="D781">
        <v>36.799999</v>
      </c>
      <c r="E781">
        <v>37.75</v>
      </c>
      <c r="F781">
        <v>36.817070000000001</v>
      </c>
      <c r="G781">
        <v>2833900</v>
      </c>
      <c r="I781">
        <f t="shared" si="13"/>
        <v>2.630602330618577E-4</v>
      </c>
    </row>
    <row r="782" spans="1:9" x14ac:dyDescent="0.3">
      <c r="A782" s="5">
        <v>42773</v>
      </c>
      <c r="B782">
        <v>38.040000999999997</v>
      </c>
      <c r="C782">
        <v>38.25</v>
      </c>
      <c r="D782">
        <v>37.310001</v>
      </c>
      <c r="E782">
        <v>37.970001000000003</v>
      </c>
      <c r="F782">
        <v>37.031638999999998</v>
      </c>
      <c r="G782">
        <v>3270000</v>
      </c>
      <c r="I782">
        <f t="shared" si="13"/>
        <v>3.8022109392088965E-4</v>
      </c>
    </row>
    <row r="783" spans="1:9" x14ac:dyDescent="0.3">
      <c r="A783" s="5">
        <v>42774</v>
      </c>
      <c r="B783">
        <v>37.93</v>
      </c>
      <c r="C783">
        <v>38.5</v>
      </c>
      <c r="D783">
        <v>37.110000999999997</v>
      </c>
      <c r="E783">
        <v>37.540000999999997</v>
      </c>
      <c r="F783">
        <v>36.612270000000002</v>
      </c>
      <c r="G783">
        <v>3121700</v>
      </c>
      <c r="I783">
        <f t="shared" si="13"/>
        <v>6.2843534552382472E-4</v>
      </c>
    </row>
    <row r="784" spans="1:9" x14ac:dyDescent="0.3">
      <c r="A784" s="5">
        <v>42775</v>
      </c>
      <c r="B784">
        <v>37.409999999999997</v>
      </c>
      <c r="C784">
        <v>37.75</v>
      </c>
      <c r="D784">
        <v>36.993999000000002</v>
      </c>
      <c r="E784">
        <v>37.419998</v>
      </c>
      <c r="F784">
        <v>36.495232000000001</v>
      </c>
      <c r="G784">
        <v>3392400</v>
      </c>
      <c r="I784">
        <f t="shared" si="13"/>
        <v>2.0747111464096163E-4</v>
      </c>
    </row>
    <row r="785" spans="1:9" x14ac:dyDescent="0.3">
      <c r="A785" s="5">
        <v>42776</v>
      </c>
      <c r="B785">
        <v>37.919998</v>
      </c>
      <c r="C785">
        <v>38.540000999999997</v>
      </c>
      <c r="D785">
        <v>37.505001</v>
      </c>
      <c r="E785">
        <v>38.299999</v>
      </c>
      <c r="F785">
        <v>37.353484999999999</v>
      </c>
      <c r="G785">
        <v>3628600</v>
      </c>
      <c r="I785">
        <f t="shared" si="13"/>
        <v>3.3213380150793378E-4</v>
      </c>
    </row>
    <row r="786" spans="1:9" x14ac:dyDescent="0.3">
      <c r="A786" s="5">
        <v>42779</v>
      </c>
      <c r="B786">
        <v>38.790000999999997</v>
      </c>
      <c r="C786">
        <v>39.779998999999997</v>
      </c>
      <c r="D786">
        <v>38.450001</v>
      </c>
      <c r="E786">
        <v>38.479999999999997</v>
      </c>
      <c r="F786">
        <v>37.529029999999999</v>
      </c>
      <c r="G786">
        <v>5365800</v>
      </c>
      <c r="I786">
        <f t="shared" si="13"/>
        <v>8.4420964033711271E-4</v>
      </c>
    </row>
    <row r="787" spans="1:9" x14ac:dyDescent="0.3">
      <c r="A787" s="5">
        <v>42780</v>
      </c>
      <c r="B787">
        <v>38.57</v>
      </c>
      <c r="C787">
        <v>39.25</v>
      </c>
      <c r="D787">
        <v>38.18</v>
      </c>
      <c r="E787">
        <v>38.560001</v>
      </c>
      <c r="F787">
        <v>37.607067000000001</v>
      </c>
      <c r="G787">
        <v>3818600</v>
      </c>
      <c r="I787">
        <f t="shared" si="13"/>
        <v>4.1061597246699536E-4</v>
      </c>
    </row>
    <row r="788" spans="1:9" x14ac:dyDescent="0.3">
      <c r="A788" s="5">
        <v>42781</v>
      </c>
      <c r="B788">
        <v>38.25</v>
      </c>
      <c r="C788">
        <v>38.299999</v>
      </c>
      <c r="D788">
        <v>37.729999999999997</v>
      </c>
      <c r="E788">
        <v>37.869999</v>
      </c>
      <c r="F788">
        <v>36.934108999999999</v>
      </c>
      <c r="G788">
        <v>11488900</v>
      </c>
      <c r="I788">
        <f t="shared" si="13"/>
        <v>6.5445182956433228E-5</v>
      </c>
    </row>
    <row r="789" spans="1:9" x14ac:dyDescent="0.3">
      <c r="A789" s="5">
        <v>42782</v>
      </c>
      <c r="B789">
        <v>37.82</v>
      </c>
      <c r="C789">
        <v>37.830002</v>
      </c>
      <c r="D789">
        <v>36.349997999999999</v>
      </c>
      <c r="E789">
        <v>36.459999000000003</v>
      </c>
      <c r="F789">
        <v>35.558951999999998</v>
      </c>
      <c r="G789">
        <v>7040700</v>
      </c>
      <c r="I789">
        <f t="shared" si="13"/>
        <v>1.2954166835120226E-4</v>
      </c>
    </row>
    <row r="790" spans="1:9" x14ac:dyDescent="0.3">
      <c r="A790" s="5">
        <v>42783</v>
      </c>
      <c r="B790">
        <v>36.240001999999997</v>
      </c>
      <c r="C790">
        <v>36.610000999999997</v>
      </c>
      <c r="D790">
        <v>35.790000999999997</v>
      </c>
      <c r="E790">
        <v>36.209999000000003</v>
      </c>
      <c r="F790">
        <v>35.315131999999998</v>
      </c>
      <c r="G790">
        <v>4516800</v>
      </c>
      <c r="I790">
        <f t="shared" si="13"/>
        <v>2.5737226442194909E-4</v>
      </c>
    </row>
    <row r="791" spans="1:9" x14ac:dyDescent="0.3">
      <c r="A791" s="5">
        <v>42787</v>
      </c>
      <c r="B791">
        <v>36.310001</v>
      </c>
      <c r="C791">
        <v>37.009998000000003</v>
      </c>
      <c r="D791">
        <v>36.229999999999997</v>
      </c>
      <c r="E791">
        <v>36.709999000000003</v>
      </c>
      <c r="F791">
        <v>35.802779999999998</v>
      </c>
      <c r="G791">
        <v>3393400</v>
      </c>
      <c r="I791">
        <f t="shared" si="13"/>
        <v>1.8444252706383403E-4</v>
      </c>
    </row>
    <row r="792" spans="1:9" x14ac:dyDescent="0.3">
      <c r="A792" s="5">
        <v>42788</v>
      </c>
      <c r="B792">
        <v>36.400002000000001</v>
      </c>
      <c r="C792">
        <v>36.709999000000003</v>
      </c>
      <c r="D792">
        <v>36.209999000000003</v>
      </c>
      <c r="E792">
        <v>36.599997999999999</v>
      </c>
      <c r="F792">
        <v>35.695495999999999</v>
      </c>
      <c r="G792">
        <v>2585700</v>
      </c>
      <c r="I792">
        <f t="shared" si="13"/>
        <v>8.1515636813762741E-5</v>
      </c>
    </row>
    <row r="793" spans="1:9" x14ac:dyDescent="0.3">
      <c r="A793" s="5">
        <v>42789</v>
      </c>
      <c r="B793">
        <v>36.860000999999997</v>
      </c>
      <c r="C793">
        <v>36.880001</v>
      </c>
      <c r="D793">
        <v>34.259998000000003</v>
      </c>
      <c r="E793">
        <v>34.32</v>
      </c>
      <c r="F793">
        <v>33.471843999999997</v>
      </c>
      <c r="G793">
        <v>7140000</v>
      </c>
      <c r="I793">
        <f t="shared" si="13"/>
        <v>1.6702247787955568E-4</v>
      </c>
    </row>
    <row r="794" spans="1:9" x14ac:dyDescent="0.3">
      <c r="A794" s="5">
        <v>42790</v>
      </c>
      <c r="B794">
        <v>33.810001</v>
      </c>
      <c r="C794">
        <v>34.639999000000003</v>
      </c>
      <c r="D794">
        <v>33.349997999999999</v>
      </c>
      <c r="E794">
        <v>34.479999999999997</v>
      </c>
      <c r="F794">
        <v>33.627895000000002</v>
      </c>
      <c r="G794">
        <v>5763800</v>
      </c>
      <c r="I794">
        <f t="shared" si="13"/>
        <v>5.6875139304178503E-4</v>
      </c>
    </row>
    <row r="795" spans="1:9" x14ac:dyDescent="0.3">
      <c r="A795" s="5">
        <v>42793</v>
      </c>
      <c r="B795">
        <v>34.520000000000003</v>
      </c>
      <c r="C795">
        <v>35.380001</v>
      </c>
      <c r="D795">
        <v>34.189999</v>
      </c>
      <c r="E795">
        <v>34.779998999999997</v>
      </c>
      <c r="F795">
        <v>33.920479</v>
      </c>
      <c r="G795">
        <v>3898400</v>
      </c>
      <c r="I795">
        <f t="shared" si="13"/>
        <v>5.8524522580350716E-4</v>
      </c>
    </row>
    <row r="796" spans="1:9" x14ac:dyDescent="0.3">
      <c r="A796" s="5">
        <v>42794</v>
      </c>
      <c r="B796">
        <v>34.729999999999997</v>
      </c>
      <c r="C796">
        <v>35.330002</v>
      </c>
      <c r="D796">
        <v>34.400002000000001</v>
      </c>
      <c r="E796">
        <v>34.590000000000003</v>
      </c>
      <c r="F796">
        <v>33.735171999999999</v>
      </c>
      <c r="G796">
        <v>4034100</v>
      </c>
      <c r="I796">
        <f t="shared" si="13"/>
        <v>4.151637165027307E-4</v>
      </c>
    </row>
    <row r="797" spans="1:9" x14ac:dyDescent="0.3">
      <c r="A797" s="5">
        <v>42795</v>
      </c>
      <c r="B797">
        <v>35.93</v>
      </c>
      <c r="C797">
        <v>38.150002000000001</v>
      </c>
      <c r="D797">
        <v>35.849997999999999</v>
      </c>
      <c r="E797">
        <v>37.990001999999997</v>
      </c>
      <c r="F797">
        <v>37.051147</v>
      </c>
      <c r="G797">
        <v>10564500</v>
      </c>
      <c r="I797">
        <f t="shared" si="13"/>
        <v>3.8121230110399311E-4</v>
      </c>
    </row>
    <row r="798" spans="1:9" x14ac:dyDescent="0.3">
      <c r="A798" s="5">
        <v>42796</v>
      </c>
      <c r="B798">
        <v>37.639999000000003</v>
      </c>
      <c r="C798">
        <v>38.169998</v>
      </c>
      <c r="D798">
        <v>35.830002</v>
      </c>
      <c r="E798">
        <v>35.849997999999999</v>
      </c>
      <c r="F798">
        <v>34.964030999999999</v>
      </c>
      <c r="G798">
        <v>5099300</v>
      </c>
      <c r="I798">
        <f t="shared" si="13"/>
        <v>9.042879764273946E-4</v>
      </c>
    </row>
    <row r="799" spans="1:9" x14ac:dyDescent="0.3">
      <c r="A799" s="5">
        <v>42797</v>
      </c>
      <c r="B799">
        <v>36.060001</v>
      </c>
      <c r="C799">
        <v>36.889999000000003</v>
      </c>
      <c r="D799">
        <v>35.75</v>
      </c>
      <c r="E799">
        <v>36.380001</v>
      </c>
      <c r="F799">
        <v>35.480930000000001</v>
      </c>
      <c r="G799">
        <v>3238100</v>
      </c>
      <c r="I799">
        <f t="shared" si="13"/>
        <v>4.676224052504969E-4</v>
      </c>
    </row>
    <row r="800" spans="1:9" x14ac:dyDescent="0.3">
      <c r="A800" s="5">
        <v>42800</v>
      </c>
      <c r="B800">
        <v>36.799999</v>
      </c>
      <c r="C800">
        <v>37.479999999999997</v>
      </c>
      <c r="D800">
        <v>35.799999</v>
      </c>
      <c r="E800">
        <v>36.93</v>
      </c>
      <c r="F800">
        <v>36.017341999999999</v>
      </c>
      <c r="G800">
        <v>5764000</v>
      </c>
      <c r="I800">
        <f t="shared" si="13"/>
        <v>1.1268279187898868E-3</v>
      </c>
    </row>
    <row r="801" spans="1:9" x14ac:dyDescent="0.3">
      <c r="A801" s="5">
        <v>42801</v>
      </c>
      <c r="B801">
        <v>36.810001</v>
      </c>
      <c r="C801">
        <v>36.889999000000003</v>
      </c>
      <c r="D801">
        <v>35.75</v>
      </c>
      <c r="E801">
        <v>35.799999</v>
      </c>
      <c r="F801">
        <v>34.915272000000002</v>
      </c>
      <c r="G801">
        <v>3753400</v>
      </c>
      <c r="I801">
        <f t="shared" si="13"/>
        <v>1.0594806900211454E-4</v>
      </c>
    </row>
    <row r="802" spans="1:9" x14ac:dyDescent="0.3">
      <c r="A802" s="5">
        <v>42802</v>
      </c>
      <c r="B802">
        <v>35.900002000000001</v>
      </c>
      <c r="C802">
        <v>36.82</v>
      </c>
      <c r="D802">
        <v>35.900002000000001</v>
      </c>
      <c r="E802">
        <v>35.990001999999997</v>
      </c>
      <c r="F802">
        <v>35.100574000000002</v>
      </c>
      <c r="G802">
        <v>4485700</v>
      </c>
      <c r="I802">
        <f t="shared" si="13"/>
        <v>5.7692715389982992E-4</v>
      </c>
    </row>
    <row r="803" spans="1:9" x14ac:dyDescent="0.3">
      <c r="A803" s="5">
        <v>42803</v>
      </c>
      <c r="B803">
        <v>36.07</v>
      </c>
      <c r="C803">
        <v>36.549999</v>
      </c>
      <c r="D803">
        <v>34.889999000000003</v>
      </c>
      <c r="E803">
        <v>35.360000999999997</v>
      </c>
      <c r="F803">
        <v>34.486145</v>
      </c>
      <c r="G803">
        <v>4826200</v>
      </c>
      <c r="I803">
        <f t="shared" si="13"/>
        <v>8.8263980485356634E-4</v>
      </c>
    </row>
    <row r="804" spans="1:9" x14ac:dyDescent="0.3">
      <c r="A804" s="5">
        <v>42804</v>
      </c>
      <c r="B804">
        <v>35.900002000000001</v>
      </c>
      <c r="C804">
        <v>36</v>
      </c>
      <c r="D804">
        <v>34.235000999999997</v>
      </c>
      <c r="E804">
        <v>34.529998999999997</v>
      </c>
      <c r="F804">
        <v>33.676651</v>
      </c>
      <c r="G804">
        <v>4052400</v>
      </c>
      <c r="I804">
        <f t="shared" si="13"/>
        <v>5.2341680775116355E-4</v>
      </c>
    </row>
    <row r="805" spans="1:9" x14ac:dyDescent="0.3">
      <c r="A805" s="5">
        <v>42807</v>
      </c>
      <c r="B805">
        <v>35.209999000000003</v>
      </c>
      <c r="C805">
        <v>35.520000000000003</v>
      </c>
      <c r="D805">
        <v>34.529998999999997</v>
      </c>
      <c r="E805">
        <v>34.700001</v>
      </c>
      <c r="F805">
        <v>33.842449000000002</v>
      </c>
      <c r="G805">
        <v>2491400</v>
      </c>
      <c r="I805">
        <f t="shared" si="13"/>
        <v>3.0051312811853778E-4</v>
      </c>
    </row>
    <row r="806" spans="1:9" x14ac:dyDescent="0.3">
      <c r="A806" s="5">
        <v>42808</v>
      </c>
      <c r="B806">
        <v>34.450001</v>
      </c>
      <c r="C806">
        <v>34.580002</v>
      </c>
      <c r="D806">
        <v>33.770000000000003</v>
      </c>
      <c r="E806">
        <v>34.189999</v>
      </c>
      <c r="F806">
        <v>33.345050999999998</v>
      </c>
      <c r="G806">
        <v>3112200</v>
      </c>
      <c r="I806">
        <f t="shared" si="13"/>
        <v>2.8913925710382456E-4</v>
      </c>
    </row>
    <row r="807" spans="1:9" x14ac:dyDescent="0.3">
      <c r="A807" s="5">
        <v>42809</v>
      </c>
      <c r="B807">
        <v>34.400002000000001</v>
      </c>
      <c r="C807">
        <v>35.290000999999997</v>
      </c>
      <c r="D807">
        <v>33.950001</v>
      </c>
      <c r="E807">
        <v>35.139999000000003</v>
      </c>
      <c r="F807">
        <v>34.271576000000003</v>
      </c>
      <c r="G807">
        <v>3753400</v>
      </c>
      <c r="I807">
        <f t="shared" si="13"/>
        <v>5.6244747546326738E-4</v>
      </c>
    </row>
    <row r="808" spans="1:9" x14ac:dyDescent="0.3">
      <c r="A808" s="5">
        <v>42810</v>
      </c>
      <c r="B808">
        <v>35.659999999999997</v>
      </c>
      <c r="C808">
        <v>35.990001999999997</v>
      </c>
      <c r="D808">
        <v>34.979999999999997</v>
      </c>
      <c r="E808">
        <v>35.380001</v>
      </c>
      <c r="F808">
        <v>34.505650000000003</v>
      </c>
      <c r="G808">
        <v>3644300</v>
      </c>
      <c r="I808">
        <f t="shared" si="13"/>
        <v>3.7637973692213002E-4</v>
      </c>
    </row>
    <row r="809" spans="1:9" x14ac:dyDescent="0.3">
      <c r="A809" s="5">
        <v>42811</v>
      </c>
      <c r="B809">
        <v>35.57</v>
      </c>
      <c r="C809">
        <v>35.979999999999997</v>
      </c>
      <c r="D809">
        <v>34.950001</v>
      </c>
      <c r="E809">
        <v>34.970001000000003</v>
      </c>
      <c r="F809">
        <v>34.105778000000001</v>
      </c>
      <c r="G809">
        <v>3824700</v>
      </c>
      <c r="I809">
        <f t="shared" si="13"/>
        <v>3.363743985568394E-4</v>
      </c>
    </row>
    <row r="810" spans="1:9" x14ac:dyDescent="0.3">
      <c r="A810" s="5">
        <v>42814</v>
      </c>
      <c r="B810">
        <v>34.900002000000001</v>
      </c>
      <c r="C810">
        <v>35.360000999999997</v>
      </c>
      <c r="D810">
        <v>34.099997999999999</v>
      </c>
      <c r="E810">
        <v>34.900002000000001</v>
      </c>
      <c r="F810">
        <v>34.037514000000002</v>
      </c>
      <c r="G810">
        <v>2688900</v>
      </c>
      <c r="I810">
        <f t="shared" si="13"/>
        <v>7.0921850905317837E-4</v>
      </c>
    </row>
    <row r="811" spans="1:9" x14ac:dyDescent="0.3">
      <c r="A811" s="5">
        <v>42815</v>
      </c>
      <c r="B811">
        <v>34.900002000000001</v>
      </c>
      <c r="C811">
        <v>35.25</v>
      </c>
      <c r="D811">
        <v>33.169998</v>
      </c>
      <c r="E811">
        <v>33.220001000000003</v>
      </c>
      <c r="F811">
        <v>32.399033000000003</v>
      </c>
      <c r="G811">
        <v>4536900</v>
      </c>
      <c r="I811">
        <f t="shared" si="13"/>
        <v>6.6845123418350335E-4</v>
      </c>
    </row>
    <row r="812" spans="1:9" x14ac:dyDescent="0.3">
      <c r="A812" s="5">
        <v>42816</v>
      </c>
      <c r="B812">
        <v>33.349997999999999</v>
      </c>
      <c r="C812">
        <v>34.150002000000001</v>
      </c>
      <c r="D812">
        <v>33.009998000000003</v>
      </c>
      <c r="E812">
        <v>33.689999</v>
      </c>
      <c r="F812">
        <v>32.857410000000002</v>
      </c>
      <c r="G812">
        <v>2877900</v>
      </c>
      <c r="I812">
        <f t="shared" si="13"/>
        <v>5.3042372727909993E-4</v>
      </c>
    </row>
    <row r="813" spans="1:9" x14ac:dyDescent="0.3">
      <c r="A813" s="5">
        <v>42817</v>
      </c>
      <c r="B813">
        <v>33.409999999999997</v>
      </c>
      <c r="C813">
        <v>33.689999</v>
      </c>
      <c r="D813">
        <v>33.110000999999997</v>
      </c>
      <c r="E813">
        <v>33.310001</v>
      </c>
      <c r="F813">
        <v>32.486804999999997</v>
      </c>
      <c r="G813">
        <v>3072000</v>
      </c>
      <c r="I813">
        <f t="shared" si="13"/>
        <v>1.4898936320509537E-4</v>
      </c>
    </row>
    <row r="814" spans="1:9" x14ac:dyDescent="0.3">
      <c r="A814" s="5">
        <v>42818</v>
      </c>
      <c r="B814">
        <v>33.610000999999997</v>
      </c>
      <c r="C814">
        <v>33.860000999999997</v>
      </c>
      <c r="D814">
        <v>32.365001999999997</v>
      </c>
      <c r="E814">
        <v>32.560001</v>
      </c>
      <c r="F814">
        <v>31.755341000000001</v>
      </c>
      <c r="G814">
        <v>4111000</v>
      </c>
      <c r="I814">
        <f t="shared" si="13"/>
        <v>5.1686627329791961E-4</v>
      </c>
    </row>
    <row r="815" spans="1:9" x14ac:dyDescent="0.3">
      <c r="A815" s="5">
        <v>42821</v>
      </c>
      <c r="B815">
        <v>31.74</v>
      </c>
      <c r="C815">
        <v>32.57</v>
      </c>
      <c r="D815">
        <v>31.290001</v>
      </c>
      <c r="E815">
        <v>32.470001000000003</v>
      </c>
      <c r="F815">
        <v>31.667562</v>
      </c>
      <c r="G815">
        <v>3654000</v>
      </c>
      <c r="I815">
        <f t="shared" si="13"/>
        <v>6.0796287235691747E-4</v>
      </c>
    </row>
    <row r="816" spans="1:9" x14ac:dyDescent="0.3">
      <c r="A816" s="5">
        <v>42822</v>
      </c>
      <c r="B816">
        <v>32.5</v>
      </c>
      <c r="C816">
        <v>33.637000999999998</v>
      </c>
      <c r="D816">
        <v>32.450001</v>
      </c>
      <c r="E816">
        <v>32.919998</v>
      </c>
      <c r="F816">
        <v>32.106440999999997</v>
      </c>
      <c r="G816">
        <v>4039700</v>
      </c>
      <c r="I816">
        <f t="shared" si="13"/>
        <v>7.6304552921045027E-4</v>
      </c>
    </row>
    <row r="817" spans="1:9" x14ac:dyDescent="0.3">
      <c r="A817" s="5">
        <v>42823</v>
      </c>
      <c r="B817">
        <v>32.909999999999997</v>
      </c>
      <c r="C817">
        <v>33.290000999999997</v>
      </c>
      <c r="D817">
        <v>32.729999999999997</v>
      </c>
      <c r="E817">
        <v>32.909999999999997</v>
      </c>
      <c r="F817">
        <v>32.096691</v>
      </c>
      <c r="G817">
        <v>2611700</v>
      </c>
      <c r="I817">
        <f t="shared" si="13"/>
        <v>1.6188176885580373E-4</v>
      </c>
    </row>
    <row r="818" spans="1:9" x14ac:dyDescent="0.3">
      <c r="A818" s="5">
        <v>42824</v>
      </c>
      <c r="B818">
        <v>33.150002000000001</v>
      </c>
      <c r="C818">
        <v>35.139999000000003</v>
      </c>
      <c r="D818">
        <v>32.959999000000003</v>
      </c>
      <c r="E818">
        <v>33.490001999999997</v>
      </c>
      <c r="F818">
        <v>32.662360999999997</v>
      </c>
      <c r="G818">
        <v>7122600</v>
      </c>
      <c r="I818">
        <f t="shared" si="13"/>
        <v>2.895392531801837E-3</v>
      </c>
    </row>
    <row r="819" spans="1:9" x14ac:dyDescent="0.3">
      <c r="A819" s="5">
        <v>42825</v>
      </c>
      <c r="B819">
        <v>34.060001</v>
      </c>
      <c r="C819">
        <v>34.740001999999997</v>
      </c>
      <c r="D819">
        <v>33.599997999999999</v>
      </c>
      <c r="E819">
        <v>34.400002000000001</v>
      </c>
      <c r="F819">
        <v>33.549869999999999</v>
      </c>
      <c r="G819">
        <v>5188400</v>
      </c>
      <c r="I819">
        <f t="shared" si="13"/>
        <v>5.1438544849143107E-4</v>
      </c>
    </row>
    <row r="820" spans="1:9" x14ac:dyDescent="0.3">
      <c r="A820" s="5">
        <v>42828</v>
      </c>
      <c r="B820">
        <v>34.619999</v>
      </c>
      <c r="C820">
        <v>35</v>
      </c>
      <c r="D820">
        <v>33.501998999999998</v>
      </c>
      <c r="E820">
        <v>34.220001000000003</v>
      </c>
      <c r="F820">
        <v>33.374316999999998</v>
      </c>
      <c r="G820">
        <v>4204800</v>
      </c>
      <c r="I820">
        <f t="shared" si="13"/>
        <v>9.4212468825666208E-4</v>
      </c>
    </row>
    <row r="821" spans="1:9" x14ac:dyDescent="0.3">
      <c r="A821" s="5">
        <v>42829</v>
      </c>
      <c r="B821">
        <v>34.029998999999997</v>
      </c>
      <c r="C821">
        <v>34.5</v>
      </c>
      <c r="D821">
        <v>33.820999</v>
      </c>
      <c r="E821">
        <v>34.229999999999997</v>
      </c>
      <c r="F821">
        <v>33.384070999999999</v>
      </c>
      <c r="G821">
        <v>2297000</v>
      </c>
      <c r="I821">
        <f t="shared" si="13"/>
        <v>1.8182530105884473E-4</v>
      </c>
    </row>
    <row r="822" spans="1:9" x14ac:dyDescent="0.3">
      <c r="A822" s="5">
        <v>42830</v>
      </c>
      <c r="B822">
        <v>34.790000999999997</v>
      </c>
      <c r="C822">
        <v>35.090000000000003</v>
      </c>
      <c r="D822">
        <v>33.755001</v>
      </c>
      <c r="E822">
        <v>33.849997999999999</v>
      </c>
      <c r="F822">
        <v>33.013458</v>
      </c>
      <c r="G822">
        <v>4016800</v>
      </c>
      <c r="I822">
        <f t="shared" si="13"/>
        <v>3.937836248483659E-4</v>
      </c>
    </row>
    <row r="823" spans="1:9" x14ac:dyDescent="0.3">
      <c r="A823" s="5">
        <v>42831</v>
      </c>
      <c r="B823">
        <v>33.849997999999999</v>
      </c>
      <c r="C823">
        <v>34.159999999999997</v>
      </c>
      <c r="D823">
        <v>33.189999</v>
      </c>
      <c r="E823">
        <v>33.650002000000001</v>
      </c>
      <c r="F823">
        <v>32.818398000000002</v>
      </c>
      <c r="G823">
        <v>3626800</v>
      </c>
      <c r="I823">
        <f t="shared" si="13"/>
        <v>4.0815977128858243E-4</v>
      </c>
    </row>
    <row r="824" spans="1:9" x14ac:dyDescent="0.3">
      <c r="A824" s="5">
        <v>42832</v>
      </c>
      <c r="B824">
        <v>33.25</v>
      </c>
      <c r="C824">
        <v>34.130001</v>
      </c>
      <c r="D824">
        <v>33.151001000000001</v>
      </c>
      <c r="E824">
        <v>33.729999999999997</v>
      </c>
      <c r="F824">
        <v>32.896431</v>
      </c>
      <c r="G824">
        <v>3674100</v>
      </c>
      <c r="I824">
        <f t="shared" si="13"/>
        <v>3.5958632524669509E-4</v>
      </c>
    </row>
    <row r="825" spans="1:9" x14ac:dyDescent="0.3">
      <c r="A825" s="5">
        <v>42835</v>
      </c>
      <c r="B825">
        <v>33.659999999999997</v>
      </c>
      <c r="C825">
        <v>33.779998999999997</v>
      </c>
      <c r="D825">
        <v>33.200001</v>
      </c>
      <c r="E825">
        <v>33.659999999999997</v>
      </c>
      <c r="F825">
        <v>32.828156</v>
      </c>
      <c r="G825">
        <v>2575500</v>
      </c>
      <c r="I825">
        <f t="shared" si="13"/>
        <v>2.0200967649265254E-4</v>
      </c>
    </row>
    <row r="826" spans="1:9" x14ac:dyDescent="0.3">
      <c r="A826" s="5">
        <v>42836</v>
      </c>
      <c r="B826">
        <v>33.57</v>
      </c>
      <c r="C826">
        <v>34.459999000000003</v>
      </c>
      <c r="D826">
        <v>33.150002000000001</v>
      </c>
      <c r="E826">
        <v>34.389999000000003</v>
      </c>
      <c r="F826">
        <v>33.540118999999997</v>
      </c>
      <c r="G826">
        <v>3142600</v>
      </c>
      <c r="I826">
        <f t="shared" si="13"/>
        <v>5.1555096664304472E-4</v>
      </c>
    </row>
    <row r="827" spans="1:9" x14ac:dyDescent="0.3">
      <c r="A827" s="5">
        <v>42837</v>
      </c>
      <c r="B827">
        <v>33.860000999999997</v>
      </c>
      <c r="C827">
        <v>34.290000999999997</v>
      </c>
      <c r="D827">
        <v>32.029998999999997</v>
      </c>
      <c r="E827">
        <v>32.049999</v>
      </c>
      <c r="F827">
        <v>31.257943999999998</v>
      </c>
      <c r="G827">
        <v>7603400</v>
      </c>
      <c r="I827">
        <f t="shared" si="13"/>
        <v>8.8720616064835581E-4</v>
      </c>
    </row>
    <row r="828" spans="1:9" x14ac:dyDescent="0.3">
      <c r="A828" s="5">
        <v>42838</v>
      </c>
      <c r="B828">
        <v>32.110000999999997</v>
      </c>
      <c r="C828">
        <v>32.470001000000003</v>
      </c>
      <c r="D828">
        <v>30.99</v>
      </c>
      <c r="E828">
        <v>30.99</v>
      </c>
      <c r="F828">
        <v>30.224138</v>
      </c>
      <c r="G828">
        <v>6143300</v>
      </c>
      <c r="I828">
        <f t="shared" si="13"/>
        <v>5.2012727433529092E-4</v>
      </c>
    </row>
    <row r="829" spans="1:9" x14ac:dyDescent="0.3">
      <c r="A829" s="5">
        <v>42842</v>
      </c>
      <c r="B829">
        <v>31.17</v>
      </c>
      <c r="C829">
        <v>31.790001</v>
      </c>
      <c r="D829">
        <v>30.969999000000001</v>
      </c>
      <c r="E829">
        <v>31.309999000000001</v>
      </c>
      <c r="F829">
        <v>30.536231999999998</v>
      </c>
      <c r="G829">
        <v>4099700</v>
      </c>
      <c r="I829">
        <f t="shared" si="13"/>
        <v>3.6994063399837986E-4</v>
      </c>
    </row>
    <row r="830" spans="1:9" x14ac:dyDescent="0.3">
      <c r="A830" s="5">
        <v>42843</v>
      </c>
      <c r="B830">
        <v>30.780000999999999</v>
      </c>
      <c r="C830">
        <v>32.369999</v>
      </c>
      <c r="D830">
        <v>30.450001</v>
      </c>
      <c r="E830">
        <v>31.76</v>
      </c>
      <c r="F830">
        <v>30.975110999999998</v>
      </c>
      <c r="G830">
        <v>5018300</v>
      </c>
      <c r="I830">
        <f t="shared" si="13"/>
        <v>1.4122340998475478E-3</v>
      </c>
    </row>
    <row r="831" spans="1:9" x14ac:dyDescent="0.3">
      <c r="A831" s="5">
        <v>42844</v>
      </c>
      <c r="B831">
        <v>32.18</v>
      </c>
      <c r="C831">
        <v>32.439999</v>
      </c>
      <c r="D831">
        <v>31.280000999999999</v>
      </c>
      <c r="E831">
        <v>31.299999</v>
      </c>
      <c r="F831">
        <v>30.526478000000001</v>
      </c>
      <c r="G831">
        <v>2465500</v>
      </c>
      <c r="I831">
        <f t="shared" si="13"/>
        <v>3.0600582456634287E-4</v>
      </c>
    </row>
    <row r="832" spans="1:9" x14ac:dyDescent="0.3">
      <c r="A832" s="5">
        <v>42845</v>
      </c>
      <c r="B832">
        <v>31.889999</v>
      </c>
      <c r="C832">
        <v>32.299999</v>
      </c>
      <c r="D832">
        <v>31.459999</v>
      </c>
      <c r="E832">
        <v>32.040000999999997</v>
      </c>
      <c r="F832">
        <v>31.248192</v>
      </c>
      <c r="G832">
        <v>5429500</v>
      </c>
      <c r="I832">
        <f t="shared" si="13"/>
        <v>3.5124878125308287E-4</v>
      </c>
    </row>
    <row r="833" spans="1:9" x14ac:dyDescent="0.3">
      <c r="A833" s="5">
        <v>42846</v>
      </c>
      <c r="B833">
        <v>32.200001</v>
      </c>
      <c r="C833">
        <v>32.549999</v>
      </c>
      <c r="D833">
        <v>31.65</v>
      </c>
      <c r="E833">
        <v>31.700001</v>
      </c>
      <c r="F833">
        <v>30.916594</v>
      </c>
      <c r="G833">
        <v>5041900</v>
      </c>
      <c r="I833">
        <f t="shared" si="13"/>
        <v>3.1325799436282835E-4</v>
      </c>
    </row>
    <row r="834" spans="1:9" x14ac:dyDescent="0.3">
      <c r="A834" s="5">
        <v>42849</v>
      </c>
      <c r="B834">
        <v>32.240001999999997</v>
      </c>
      <c r="C834">
        <v>33.439999</v>
      </c>
      <c r="D834">
        <v>32.150002000000001</v>
      </c>
      <c r="E834">
        <v>33.310001</v>
      </c>
      <c r="F834">
        <v>32.486804999999997</v>
      </c>
      <c r="G834">
        <v>7907300</v>
      </c>
      <c r="I834">
        <f t="shared" si="13"/>
        <v>2.4143048675682701E-4</v>
      </c>
    </row>
    <row r="835" spans="1:9" x14ac:dyDescent="0.3">
      <c r="A835" s="5">
        <v>42850</v>
      </c>
      <c r="B835">
        <v>34.229999999999997</v>
      </c>
      <c r="C835">
        <v>36.549999</v>
      </c>
      <c r="D835">
        <v>34.229999999999997</v>
      </c>
      <c r="E835">
        <v>36.490001999999997</v>
      </c>
      <c r="F835">
        <v>35.588219000000002</v>
      </c>
      <c r="G835">
        <v>11203200</v>
      </c>
      <c r="I835">
        <f t="shared" si="13"/>
        <v>1.0773621228307443E-4</v>
      </c>
    </row>
    <row r="836" spans="1:9" x14ac:dyDescent="0.3">
      <c r="A836" s="5">
        <v>42851</v>
      </c>
      <c r="B836">
        <v>36</v>
      </c>
      <c r="C836">
        <v>37.200001</v>
      </c>
      <c r="D836">
        <v>35.849997999999999</v>
      </c>
      <c r="E836">
        <v>36.450001</v>
      </c>
      <c r="F836">
        <v>35.549210000000002</v>
      </c>
      <c r="G836">
        <v>7528300</v>
      </c>
      <c r="I836">
        <f t="shared" si="13"/>
        <v>7.3714441508452298E-4</v>
      </c>
    </row>
    <row r="837" spans="1:9" x14ac:dyDescent="0.3">
      <c r="A837" s="5">
        <v>42852</v>
      </c>
      <c r="B837">
        <v>35.75</v>
      </c>
      <c r="C837">
        <v>35.900002000000001</v>
      </c>
      <c r="D837">
        <v>34.154998999999997</v>
      </c>
      <c r="E837">
        <v>34.520000000000003</v>
      </c>
      <c r="F837">
        <v>33.666901000000003</v>
      </c>
      <c r="G837">
        <v>14773500</v>
      </c>
      <c r="I837">
        <f t="shared" si="13"/>
        <v>6.492901707413365E-4</v>
      </c>
    </row>
    <row r="838" spans="1:9" x14ac:dyDescent="0.3">
      <c r="A838" s="5">
        <v>42853</v>
      </c>
      <c r="B838">
        <v>34.810001</v>
      </c>
      <c r="C838">
        <v>34.945</v>
      </c>
      <c r="D838">
        <v>33.68</v>
      </c>
      <c r="E838">
        <v>33.729999999999997</v>
      </c>
      <c r="F838">
        <v>32.896431</v>
      </c>
      <c r="G838">
        <v>5240000</v>
      </c>
      <c r="I838">
        <f t="shared" si="13"/>
        <v>1.8592913872553552E-4</v>
      </c>
    </row>
    <row r="839" spans="1:9" x14ac:dyDescent="0.3">
      <c r="A839" s="5">
        <v>42856</v>
      </c>
      <c r="B839">
        <v>33.950001</v>
      </c>
      <c r="C839">
        <v>34.130001</v>
      </c>
      <c r="D839">
        <v>32.900002000000001</v>
      </c>
      <c r="E839">
        <v>33.279998999999997</v>
      </c>
      <c r="F839">
        <v>32.457541999999997</v>
      </c>
      <c r="G839">
        <v>4985500</v>
      </c>
      <c r="I839">
        <f t="shared" si="13"/>
        <v>4.9414121998461898E-4</v>
      </c>
    </row>
    <row r="840" spans="1:9" x14ac:dyDescent="0.3">
      <c r="A840" s="5">
        <v>42857</v>
      </c>
      <c r="B840">
        <v>33.310001</v>
      </c>
      <c r="C840">
        <v>34.330002</v>
      </c>
      <c r="D840">
        <v>33.299999</v>
      </c>
      <c r="E840">
        <v>33.330002</v>
      </c>
      <c r="F840">
        <v>32.506312999999999</v>
      </c>
      <c r="G840">
        <v>3912500</v>
      </c>
      <c r="I840">
        <f t="shared" si="13"/>
        <v>8.9191037143438411E-4</v>
      </c>
    </row>
    <row r="841" spans="1:9" x14ac:dyDescent="0.3">
      <c r="A841" s="5">
        <v>42858</v>
      </c>
      <c r="B841">
        <v>32.900002000000001</v>
      </c>
      <c r="C841">
        <v>32.900002000000001</v>
      </c>
      <c r="D841">
        <v>31.51</v>
      </c>
      <c r="E841">
        <v>31.690000999999999</v>
      </c>
      <c r="F841">
        <v>30.906839000000002</v>
      </c>
      <c r="G841">
        <v>7334500</v>
      </c>
      <c r="I841">
        <f t="shared" si="13"/>
        <v>2.4589434676230108E-4</v>
      </c>
    </row>
    <row r="842" spans="1:9" x14ac:dyDescent="0.3">
      <c r="A842" s="5">
        <v>42859</v>
      </c>
      <c r="B842">
        <v>31.219999000000001</v>
      </c>
      <c r="C842">
        <v>31.360001</v>
      </c>
      <c r="D842">
        <v>30.42</v>
      </c>
      <c r="E842">
        <v>31.040001</v>
      </c>
      <c r="F842">
        <v>30.272905000000002</v>
      </c>
      <c r="G842">
        <v>7917800</v>
      </c>
      <c r="I842">
        <f t="shared" si="13"/>
        <v>5.6964318913411526E-4</v>
      </c>
    </row>
    <row r="843" spans="1:9" x14ac:dyDescent="0.3">
      <c r="A843" s="5">
        <v>42860</v>
      </c>
      <c r="B843">
        <v>31.35</v>
      </c>
      <c r="C843">
        <v>31.959999</v>
      </c>
      <c r="D843">
        <v>31.049999</v>
      </c>
      <c r="E843">
        <v>31.82</v>
      </c>
      <c r="F843">
        <v>31.033625000000001</v>
      </c>
      <c r="G843">
        <v>4191200</v>
      </c>
      <c r="I843">
        <f t="shared" si="13"/>
        <v>3.201436339706473E-4</v>
      </c>
    </row>
    <row r="844" spans="1:9" x14ac:dyDescent="0.3">
      <c r="A844" s="5">
        <v>42863</v>
      </c>
      <c r="B844">
        <v>31.370000999999998</v>
      </c>
      <c r="C844">
        <v>31.370000999999998</v>
      </c>
      <c r="D844">
        <v>30.66</v>
      </c>
      <c r="E844">
        <v>31.02</v>
      </c>
      <c r="F844">
        <v>30.253397</v>
      </c>
      <c r="G844">
        <v>3795700</v>
      </c>
      <c r="I844">
        <f t="shared" ref="I844:I907" si="14">LN(C844/B844)*(LN(C844/B844)-LN(E844/B844))+LN(D844/B844)*(LN(D844/B844)-LN(E844/B844))</f>
        <v>2.6723860620937886E-4</v>
      </c>
    </row>
    <row r="845" spans="1:9" x14ac:dyDescent="0.3">
      <c r="A845" s="5">
        <v>42864</v>
      </c>
      <c r="B845">
        <v>31.219999000000001</v>
      </c>
      <c r="C845">
        <v>31.24</v>
      </c>
      <c r="D845">
        <v>30.459999</v>
      </c>
      <c r="E845">
        <v>30.82</v>
      </c>
      <c r="F845">
        <v>30.058340000000001</v>
      </c>
      <c r="G845">
        <v>3415300</v>
      </c>
      <c r="I845">
        <f t="shared" si="14"/>
        <v>2.9823043098328782E-4</v>
      </c>
    </row>
    <row r="846" spans="1:9" x14ac:dyDescent="0.3">
      <c r="A846" s="5">
        <v>42865</v>
      </c>
      <c r="B846">
        <v>30.950001</v>
      </c>
      <c r="C846">
        <v>31.459999</v>
      </c>
      <c r="D846">
        <v>30.700001</v>
      </c>
      <c r="E846">
        <v>31.08</v>
      </c>
      <c r="F846">
        <v>30.311917999999999</v>
      </c>
      <c r="G846">
        <v>3487500</v>
      </c>
      <c r="I846">
        <f t="shared" si="14"/>
        <v>2.9838798228336175E-4</v>
      </c>
    </row>
    <row r="847" spans="1:9" x14ac:dyDescent="0.3">
      <c r="A847" s="5">
        <v>42866</v>
      </c>
      <c r="B847">
        <v>31.23</v>
      </c>
      <c r="C847">
        <v>31.309999000000001</v>
      </c>
      <c r="D847">
        <v>30.450001</v>
      </c>
      <c r="E847">
        <v>31.16</v>
      </c>
      <c r="F847">
        <v>30.389935999999999</v>
      </c>
      <c r="G847">
        <v>4109300</v>
      </c>
      <c r="I847">
        <f t="shared" si="14"/>
        <v>5.9527242318466341E-4</v>
      </c>
    </row>
    <row r="848" spans="1:9" x14ac:dyDescent="0.3">
      <c r="A848" s="5">
        <v>42867</v>
      </c>
      <c r="B848">
        <v>31</v>
      </c>
      <c r="C848">
        <v>32.130001</v>
      </c>
      <c r="D848">
        <v>30.959999</v>
      </c>
      <c r="E848">
        <v>31.790001</v>
      </c>
      <c r="F848">
        <v>31.004367999999999</v>
      </c>
      <c r="G848">
        <v>3380800</v>
      </c>
      <c r="I848">
        <f t="shared" si="14"/>
        <v>4.1504595673007939E-4</v>
      </c>
    </row>
    <row r="849" spans="1:9" x14ac:dyDescent="0.3">
      <c r="A849" s="5">
        <v>42870</v>
      </c>
      <c r="B849">
        <v>32.169998</v>
      </c>
      <c r="C849">
        <v>32.5</v>
      </c>
      <c r="D849">
        <v>31.969999000000001</v>
      </c>
      <c r="E849">
        <v>32.029998999999997</v>
      </c>
      <c r="F849">
        <v>31.238436</v>
      </c>
      <c r="G849">
        <v>2384000</v>
      </c>
      <c r="I849">
        <f t="shared" si="14"/>
        <v>1.6036279458712238E-4</v>
      </c>
    </row>
    <row r="850" spans="1:9" x14ac:dyDescent="0.3">
      <c r="A850" s="5">
        <v>42871</v>
      </c>
      <c r="B850">
        <v>32.099997999999999</v>
      </c>
      <c r="C850">
        <v>32.400002000000001</v>
      </c>
      <c r="D850">
        <v>31.75</v>
      </c>
      <c r="E850">
        <v>32.159999999999997</v>
      </c>
      <c r="F850">
        <v>31.365224999999999</v>
      </c>
      <c r="G850">
        <v>3001800</v>
      </c>
      <c r="I850">
        <f t="shared" si="14"/>
        <v>2.0983086918106703E-4</v>
      </c>
    </row>
    <row r="851" spans="1:9" x14ac:dyDescent="0.3">
      <c r="A851" s="5">
        <v>42872</v>
      </c>
      <c r="B851">
        <v>31.879999000000002</v>
      </c>
      <c r="C851">
        <v>32.220001000000003</v>
      </c>
      <c r="D851">
        <v>31.58</v>
      </c>
      <c r="E851">
        <v>31.629999000000002</v>
      </c>
      <c r="F851">
        <v>30.848320000000001</v>
      </c>
      <c r="G851">
        <v>3739800</v>
      </c>
      <c r="I851">
        <f t="shared" si="14"/>
        <v>2.1101904404683517E-4</v>
      </c>
    </row>
    <row r="852" spans="1:9" x14ac:dyDescent="0.3">
      <c r="A852" s="5">
        <v>42873</v>
      </c>
      <c r="B852">
        <v>31.450001</v>
      </c>
      <c r="C852">
        <v>32.169998</v>
      </c>
      <c r="D852">
        <v>31.1</v>
      </c>
      <c r="E852">
        <v>31.92</v>
      </c>
      <c r="F852">
        <v>31.131155</v>
      </c>
      <c r="G852">
        <v>2396800</v>
      </c>
      <c r="I852">
        <f t="shared" si="14"/>
        <v>4.6783950834080793E-4</v>
      </c>
    </row>
    <row r="853" spans="1:9" x14ac:dyDescent="0.3">
      <c r="A853" s="5">
        <v>42874</v>
      </c>
      <c r="B853">
        <v>32.159999999999997</v>
      </c>
      <c r="C853">
        <v>32.880001</v>
      </c>
      <c r="D853">
        <v>32.099997999999999</v>
      </c>
      <c r="E853">
        <v>32.290000999999997</v>
      </c>
      <c r="F853">
        <v>31.492011999999999</v>
      </c>
      <c r="G853">
        <v>2625900</v>
      </c>
      <c r="I853">
        <f t="shared" si="14"/>
        <v>4.1193077045074158E-4</v>
      </c>
    </row>
    <row r="854" spans="1:9" x14ac:dyDescent="0.3">
      <c r="A854" s="5">
        <v>42877</v>
      </c>
      <c r="B854">
        <v>32.650002000000001</v>
      </c>
      <c r="C854">
        <v>33.200001</v>
      </c>
      <c r="D854">
        <v>32.470001000000003</v>
      </c>
      <c r="E854">
        <v>32.959999000000003</v>
      </c>
      <c r="F854">
        <v>32.145457999999998</v>
      </c>
      <c r="G854">
        <v>3456700</v>
      </c>
      <c r="I854">
        <f t="shared" si="14"/>
        <v>2.0400175808154395E-4</v>
      </c>
    </row>
    <row r="855" spans="1:9" x14ac:dyDescent="0.3">
      <c r="A855" s="5">
        <v>42878</v>
      </c>
      <c r="B855">
        <v>32.979999999999997</v>
      </c>
      <c r="C855">
        <v>33.360000999999997</v>
      </c>
      <c r="D855">
        <v>32.560001</v>
      </c>
      <c r="E855">
        <v>33.259998000000003</v>
      </c>
      <c r="F855">
        <v>32.438037999999999</v>
      </c>
      <c r="G855">
        <v>2964200</v>
      </c>
      <c r="I855">
        <f t="shared" si="14"/>
        <v>3.0701696536039884E-4</v>
      </c>
    </row>
    <row r="856" spans="1:9" x14ac:dyDescent="0.3">
      <c r="A856" s="5">
        <v>42879</v>
      </c>
      <c r="B856">
        <v>33.270000000000003</v>
      </c>
      <c r="C856">
        <v>33.919998</v>
      </c>
      <c r="D856">
        <v>33.044998</v>
      </c>
      <c r="E856">
        <v>33.509998000000003</v>
      </c>
      <c r="F856">
        <v>32.681865999999999</v>
      </c>
      <c r="G856">
        <v>3338200</v>
      </c>
      <c r="I856">
        <f t="shared" si="14"/>
        <v>3.3012075837351643E-4</v>
      </c>
    </row>
    <row r="857" spans="1:9" x14ac:dyDescent="0.3">
      <c r="A857" s="5">
        <v>42880</v>
      </c>
      <c r="B857">
        <v>33.68</v>
      </c>
      <c r="C857">
        <v>34.090000000000003</v>
      </c>
      <c r="D857">
        <v>33.029998999999997</v>
      </c>
      <c r="E857">
        <v>33.090000000000003</v>
      </c>
      <c r="F857">
        <v>32.272239999999996</v>
      </c>
      <c r="G857">
        <v>2324900</v>
      </c>
      <c r="I857">
        <f t="shared" si="14"/>
        <v>3.956187786429859E-4</v>
      </c>
    </row>
    <row r="858" spans="1:9" x14ac:dyDescent="0.3">
      <c r="A858" s="5">
        <v>42881</v>
      </c>
      <c r="B858">
        <v>32.869999</v>
      </c>
      <c r="C858">
        <v>33.360000999999997</v>
      </c>
      <c r="D858">
        <v>32.869999</v>
      </c>
      <c r="E858">
        <v>33.270000000000003</v>
      </c>
      <c r="F858">
        <v>32.447800000000001</v>
      </c>
      <c r="G858">
        <v>2410600</v>
      </c>
      <c r="I858">
        <f t="shared" si="14"/>
        <v>3.9975029458775679E-5</v>
      </c>
    </row>
    <row r="859" spans="1:9" x14ac:dyDescent="0.3">
      <c r="A859" s="5">
        <v>42885</v>
      </c>
      <c r="B859">
        <v>33.029998999999997</v>
      </c>
      <c r="C859">
        <v>33.159999999999997</v>
      </c>
      <c r="D859">
        <v>32.529998999999997</v>
      </c>
      <c r="E859">
        <v>32.990001999999997</v>
      </c>
      <c r="F859">
        <v>32.174712999999997</v>
      </c>
      <c r="G859">
        <v>3223500</v>
      </c>
      <c r="I859">
        <f t="shared" si="14"/>
        <v>2.3437683436217932E-4</v>
      </c>
    </row>
    <row r="860" spans="1:9" x14ac:dyDescent="0.3">
      <c r="A860" s="5">
        <v>42886</v>
      </c>
      <c r="B860">
        <v>32.880001</v>
      </c>
      <c r="C860">
        <v>33.049999</v>
      </c>
      <c r="D860">
        <v>31.76</v>
      </c>
      <c r="E860">
        <v>32.939999</v>
      </c>
      <c r="F860">
        <v>32.125942000000002</v>
      </c>
      <c r="G860">
        <v>4547000</v>
      </c>
      <c r="I860">
        <f t="shared" si="14"/>
        <v>1.281480471522945E-3</v>
      </c>
    </row>
    <row r="861" spans="1:9" x14ac:dyDescent="0.3">
      <c r="A861" s="5">
        <v>42887</v>
      </c>
      <c r="B861">
        <v>32.840000000000003</v>
      </c>
      <c r="C861">
        <v>33.450001</v>
      </c>
      <c r="D861">
        <v>32.450001</v>
      </c>
      <c r="E861">
        <v>32.939999</v>
      </c>
      <c r="F861">
        <v>32.125942000000002</v>
      </c>
      <c r="G861">
        <v>2372200</v>
      </c>
      <c r="I861">
        <f t="shared" si="14"/>
        <v>4.618189587759226E-4</v>
      </c>
    </row>
    <row r="862" spans="1:9" x14ac:dyDescent="0.3">
      <c r="A862" s="5">
        <v>42888</v>
      </c>
      <c r="B862">
        <v>32.389999000000003</v>
      </c>
      <c r="C862">
        <v>33</v>
      </c>
      <c r="D862">
        <v>32.349997999999999</v>
      </c>
      <c r="E862">
        <v>32.860000999999997</v>
      </c>
      <c r="F862">
        <v>32.047927999999999</v>
      </c>
      <c r="G862">
        <v>2639900</v>
      </c>
      <c r="I862">
        <f t="shared" si="14"/>
        <v>9.8652088392502021E-5</v>
      </c>
    </row>
    <row r="863" spans="1:9" x14ac:dyDescent="0.3">
      <c r="A863" s="5">
        <v>42891</v>
      </c>
      <c r="B863">
        <v>32.650002000000001</v>
      </c>
      <c r="C863">
        <v>33.580002</v>
      </c>
      <c r="D863">
        <v>32.650002000000001</v>
      </c>
      <c r="E863">
        <v>33.32</v>
      </c>
      <c r="F863">
        <v>32.496563000000002</v>
      </c>
      <c r="G863">
        <v>2605000</v>
      </c>
      <c r="I863">
        <f t="shared" si="14"/>
        <v>2.1830789893191149E-4</v>
      </c>
    </row>
    <row r="864" spans="1:9" x14ac:dyDescent="0.3">
      <c r="A864" s="5">
        <v>42892</v>
      </c>
      <c r="B864">
        <v>33.110000999999997</v>
      </c>
      <c r="C864">
        <v>33.490001999999997</v>
      </c>
      <c r="D864">
        <v>32.779998999999997</v>
      </c>
      <c r="E864">
        <v>32.939999</v>
      </c>
      <c r="F864">
        <v>32.125942000000002</v>
      </c>
      <c r="G864">
        <v>3631100</v>
      </c>
      <c r="I864">
        <f t="shared" si="14"/>
        <v>2.377404854019074E-4</v>
      </c>
    </row>
    <row r="865" spans="1:9" x14ac:dyDescent="0.3">
      <c r="A865" s="5">
        <v>42893</v>
      </c>
      <c r="B865">
        <v>33.150002000000001</v>
      </c>
      <c r="C865">
        <v>33.169998</v>
      </c>
      <c r="D865">
        <v>32.400002000000001</v>
      </c>
      <c r="E865">
        <v>32.82</v>
      </c>
      <c r="F865">
        <v>32.008915000000002</v>
      </c>
      <c r="G865">
        <v>3330700</v>
      </c>
      <c r="I865">
        <f t="shared" si="14"/>
        <v>3.0113717271262013E-4</v>
      </c>
    </row>
    <row r="866" spans="1:9" x14ac:dyDescent="0.3">
      <c r="A866" s="5">
        <v>42894</v>
      </c>
      <c r="B866">
        <v>32.599997999999999</v>
      </c>
      <c r="C866">
        <v>33.650002000000001</v>
      </c>
      <c r="D866">
        <v>32.590000000000003</v>
      </c>
      <c r="E866">
        <v>33.5</v>
      </c>
      <c r="F866">
        <v>32.672103999999997</v>
      </c>
      <c r="G866">
        <v>3286500</v>
      </c>
      <c r="I866">
        <f t="shared" si="14"/>
        <v>1.5007676334751071E-4</v>
      </c>
    </row>
    <row r="867" spans="1:9" x14ac:dyDescent="0.3">
      <c r="A867" s="5">
        <v>42895</v>
      </c>
      <c r="B867">
        <v>33.639999000000003</v>
      </c>
      <c r="C867">
        <v>34</v>
      </c>
      <c r="D867">
        <v>32.849997999999999</v>
      </c>
      <c r="E867">
        <v>33.009998000000003</v>
      </c>
      <c r="F867">
        <v>32.194214000000002</v>
      </c>
      <c r="G867">
        <v>3073600</v>
      </c>
      <c r="I867">
        <f t="shared" si="14"/>
        <v>4.3001701417107646E-4</v>
      </c>
    </row>
    <row r="868" spans="1:9" x14ac:dyDescent="0.3">
      <c r="A868" s="5">
        <v>42898</v>
      </c>
      <c r="B868">
        <v>32.82</v>
      </c>
      <c r="C868">
        <v>33.209999000000003</v>
      </c>
      <c r="D868">
        <v>31.780000999999999</v>
      </c>
      <c r="E868">
        <v>31.780000999999999</v>
      </c>
      <c r="F868">
        <v>30.994617000000002</v>
      </c>
      <c r="G868">
        <v>4719500</v>
      </c>
      <c r="I868">
        <f t="shared" si="14"/>
        <v>5.199316314155396E-4</v>
      </c>
    </row>
    <row r="869" spans="1:9" x14ac:dyDescent="0.3">
      <c r="A869" s="5">
        <v>42899</v>
      </c>
      <c r="B869">
        <v>31.969999000000001</v>
      </c>
      <c r="C869">
        <v>32.548000000000002</v>
      </c>
      <c r="D869">
        <v>31.549999</v>
      </c>
      <c r="E869">
        <v>32.479999999999997</v>
      </c>
      <c r="F869">
        <v>31.677315</v>
      </c>
      <c r="G869">
        <v>2997100</v>
      </c>
      <c r="I869">
        <f t="shared" si="14"/>
        <v>4.2165456981236633E-4</v>
      </c>
    </row>
    <row r="870" spans="1:9" x14ac:dyDescent="0.3">
      <c r="A870" s="5">
        <v>42900</v>
      </c>
      <c r="B870">
        <v>32.57</v>
      </c>
      <c r="C870">
        <v>32.68</v>
      </c>
      <c r="D870">
        <v>31.209999</v>
      </c>
      <c r="E870">
        <v>31.540001</v>
      </c>
      <c r="F870">
        <v>30.760548</v>
      </c>
      <c r="G870">
        <v>3726600</v>
      </c>
      <c r="I870">
        <f t="shared" si="14"/>
        <v>5.6834509400058904E-4</v>
      </c>
    </row>
    <row r="871" spans="1:9" x14ac:dyDescent="0.3">
      <c r="A871" s="5">
        <v>42901</v>
      </c>
      <c r="B871">
        <v>31.120000999999998</v>
      </c>
      <c r="C871">
        <v>31.450001</v>
      </c>
      <c r="D871">
        <v>30.610001</v>
      </c>
      <c r="E871">
        <v>30.74</v>
      </c>
      <c r="F871">
        <v>29.980318</v>
      </c>
      <c r="G871">
        <v>3226900</v>
      </c>
      <c r="I871">
        <f t="shared" si="14"/>
        <v>3.1089012274960109E-4</v>
      </c>
    </row>
    <row r="872" spans="1:9" x14ac:dyDescent="0.3">
      <c r="A872" s="5">
        <v>42902</v>
      </c>
      <c r="B872">
        <v>30.799999</v>
      </c>
      <c r="C872">
        <v>30.863001000000001</v>
      </c>
      <c r="D872">
        <v>29.549999</v>
      </c>
      <c r="E872">
        <v>30</v>
      </c>
      <c r="F872">
        <v>29.258606</v>
      </c>
      <c r="G872">
        <v>4767100</v>
      </c>
      <c r="I872">
        <f t="shared" si="14"/>
        <v>6.8412686361276991E-4</v>
      </c>
    </row>
    <row r="873" spans="1:9" x14ac:dyDescent="0.3">
      <c r="A873" s="5">
        <v>42905</v>
      </c>
      <c r="B873">
        <v>30.370000999999998</v>
      </c>
      <c r="C873">
        <v>31.299999</v>
      </c>
      <c r="D873">
        <v>30.16</v>
      </c>
      <c r="E873">
        <v>30.889999</v>
      </c>
      <c r="F873">
        <v>30.126612000000002</v>
      </c>
      <c r="G873">
        <v>3909100</v>
      </c>
      <c r="I873">
        <f t="shared" si="14"/>
        <v>5.6366085358680183E-4</v>
      </c>
    </row>
    <row r="874" spans="1:9" x14ac:dyDescent="0.3">
      <c r="A874" s="5">
        <v>42906</v>
      </c>
      <c r="B874">
        <v>30.690000999999999</v>
      </c>
      <c r="C874">
        <v>31.094999000000001</v>
      </c>
      <c r="D874">
        <v>30.41</v>
      </c>
      <c r="E874">
        <v>30.450001</v>
      </c>
      <c r="F874">
        <v>29.697486999999999</v>
      </c>
      <c r="G874">
        <v>2567600</v>
      </c>
      <c r="I874">
        <f t="shared" si="14"/>
        <v>2.8684865796766129E-4</v>
      </c>
    </row>
    <row r="875" spans="1:9" x14ac:dyDescent="0.3">
      <c r="A875" s="5">
        <v>42907</v>
      </c>
      <c r="B875">
        <v>30.59</v>
      </c>
      <c r="C875">
        <v>30.59</v>
      </c>
      <c r="D875">
        <v>29.635000000000002</v>
      </c>
      <c r="E875">
        <v>29.690000999999999</v>
      </c>
      <c r="F875">
        <v>28.956265999999999</v>
      </c>
      <c r="G875">
        <v>3489600</v>
      </c>
      <c r="I875">
        <f t="shared" si="14"/>
        <v>5.8810641322775119E-5</v>
      </c>
    </row>
    <row r="876" spans="1:9" x14ac:dyDescent="0.3">
      <c r="A876" s="5">
        <v>42908</v>
      </c>
      <c r="B876">
        <v>29.809999000000001</v>
      </c>
      <c r="C876">
        <v>30.25</v>
      </c>
      <c r="D876">
        <v>29.66</v>
      </c>
      <c r="E876">
        <v>29.799999</v>
      </c>
      <c r="F876">
        <v>29.063548999999998</v>
      </c>
      <c r="G876">
        <v>2906700</v>
      </c>
      <c r="I876">
        <f t="shared" si="14"/>
        <v>2.4336110015219274E-4</v>
      </c>
    </row>
    <row r="877" spans="1:9" x14ac:dyDescent="0.3">
      <c r="A877" s="5">
        <v>42909</v>
      </c>
      <c r="B877">
        <v>30.129999000000002</v>
      </c>
      <c r="C877">
        <v>31.43</v>
      </c>
      <c r="D877">
        <v>29.790001</v>
      </c>
      <c r="E877">
        <v>31.09</v>
      </c>
      <c r="F877">
        <v>30.321667000000001</v>
      </c>
      <c r="G877">
        <v>6410900</v>
      </c>
      <c r="I877">
        <f t="shared" si="14"/>
        <v>9.4417949345192414E-4</v>
      </c>
    </row>
    <row r="878" spans="1:9" x14ac:dyDescent="0.3">
      <c r="A878" s="5">
        <v>42912</v>
      </c>
      <c r="B878">
        <v>31.190000999999999</v>
      </c>
      <c r="C878">
        <v>31.295000000000002</v>
      </c>
      <c r="D878">
        <v>30.65</v>
      </c>
      <c r="E878">
        <v>31.18</v>
      </c>
      <c r="F878">
        <v>30.409443</v>
      </c>
      <c r="G878">
        <v>2936000</v>
      </c>
      <c r="I878">
        <f t="shared" si="14"/>
        <v>3.1179439043040069E-4</v>
      </c>
    </row>
    <row r="879" spans="1:9" x14ac:dyDescent="0.3">
      <c r="A879" s="5">
        <v>42913</v>
      </c>
      <c r="B879">
        <v>31.6</v>
      </c>
      <c r="C879">
        <v>32.5</v>
      </c>
      <c r="D879">
        <v>31.49</v>
      </c>
      <c r="E879">
        <v>31.629999000000002</v>
      </c>
      <c r="F879">
        <v>30.848320000000001</v>
      </c>
      <c r="G879">
        <v>5464800</v>
      </c>
      <c r="I879">
        <f t="shared" si="14"/>
        <v>7.774742311806688E-4</v>
      </c>
    </row>
    <row r="880" spans="1:9" x14ac:dyDescent="0.3">
      <c r="A880" s="5">
        <v>42914</v>
      </c>
      <c r="B880">
        <v>32.099997999999999</v>
      </c>
      <c r="C880">
        <v>33</v>
      </c>
      <c r="D880">
        <v>31.93</v>
      </c>
      <c r="E880">
        <v>32.950001</v>
      </c>
      <c r="F880">
        <v>32.1357</v>
      </c>
      <c r="G880">
        <v>3769000</v>
      </c>
      <c r="I880">
        <f t="shared" si="14"/>
        <v>2.089005245287158E-4</v>
      </c>
    </row>
    <row r="881" spans="1:9" x14ac:dyDescent="0.3">
      <c r="A881" s="5">
        <v>42915</v>
      </c>
      <c r="B881">
        <v>33.110000999999997</v>
      </c>
      <c r="C881">
        <v>33.340000000000003</v>
      </c>
      <c r="D881">
        <v>32.610000999999997</v>
      </c>
      <c r="E881">
        <v>33.18</v>
      </c>
      <c r="F881">
        <v>32.360016000000002</v>
      </c>
      <c r="G881">
        <v>3841300</v>
      </c>
      <c r="I881">
        <f t="shared" si="14"/>
        <v>2.9697443578031394E-4</v>
      </c>
    </row>
    <row r="882" spans="1:9" x14ac:dyDescent="0.3">
      <c r="A882" s="5">
        <v>42916</v>
      </c>
      <c r="B882">
        <v>33.159999999999997</v>
      </c>
      <c r="C882">
        <v>33.450001</v>
      </c>
      <c r="D882">
        <v>32.534999999999997</v>
      </c>
      <c r="E882">
        <v>32.650002000000001</v>
      </c>
      <c r="F882">
        <v>31.843119000000002</v>
      </c>
      <c r="G882">
        <v>3032300</v>
      </c>
      <c r="I882">
        <f t="shared" si="14"/>
        <v>2.7792087516917511E-4</v>
      </c>
    </row>
    <row r="883" spans="1:9" x14ac:dyDescent="0.3">
      <c r="A883" s="5">
        <v>42919</v>
      </c>
      <c r="B883">
        <v>32.939999</v>
      </c>
      <c r="C883">
        <v>34.299999</v>
      </c>
      <c r="D883">
        <v>32.915000999999997</v>
      </c>
      <c r="E883">
        <v>34.020000000000003</v>
      </c>
      <c r="F883">
        <v>33.179256000000002</v>
      </c>
      <c r="G883">
        <v>3114300</v>
      </c>
      <c r="I883">
        <f t="shared" si="14"/>
        <v>3.5668888343336306E-4</v>
      </c>
    </row>
    <row r="884" spans="1:9" x14ac:dyDescent="0.3">
      <c r="A884" s="5">
        <v>42921</v>
      </c>
      <c r="B884">
        <v>34.169998</v>
      </c>
      <c r="C884">
        <v>34.255001</v>
      </c>
      <c r="D884">
        <v>33.57</v>
      </c>
      <c r="E884">
        <v>33.770000000000003</v>
      </c>
      <c r="F884">
        <v>32.935431999999999</v>
      </c>
      <c r="G884">
        <v>4007000</v>
      </c>
      <c r="I884">
        <f t="shared" si="14"/>
        <v>1.4065786278439019E-4</v>
      </c>
    </row>
    <row r="885" spans="1:9" x14ac:dyDescent="0.3">
      <c r="A885" s="5">
        <v>42922</v>
      </c>
      <c r="B885">
        <v>33.610000999999997</v>
      </c>
      <c r="C885">
        <v>35.380001</v>
      </c>
      <c r="D885">
        <v>33.599997999999999</v>
      </c>
      <c r="E885">
        <v>33.889999000000003</v>
      </c>
      <c r="F885">
        <v>33.052470999999997</v>
      </c>
      <c r="G885">
        <v>6220900</v>
      </c>
      <c r="I885">
        <f t="shared" si="14"/>
        <v>2.2108225163749366E-3</v>
      </c>
    </row>
    <row r="886" spans="1:9" x14ac:dyDescent="0.3">
      <c r="A886" s="5">
        <v>42923</v>
      </c>
      <c r="B886">
        <v>34</v>
      </c>
      <c r="C886">
        <v>34.369999</v>
      </c>
      <c r="D886">
        <v>33.264999000000003</v>
      </c>
      <c r="E886">
        <v>34.189999</v>
      </c>
      <c r="F886">
        <v>33.345050999999998</v>
      </c>
      <c r="G886">
        <v>3776600</v>
      </c>
      <c r="I886">
        <f t="shared" si="14"/>
        <v>6.5625270589616484E-4</v>
      </c>
    </row>
    <row r="887" spans="1:9" x14ac:dyDescent="0.3">
      <c r="A887" s="5">
        <v>42926</v>
      </c>
      <c r="B887">
        <v>33.909999999999997</v>
      </c>
      <c r="C887">
        <v>34.450001</v>
      </c>
      <c r="D887">
        <v>33.68</v>
      </c>
      <c r="E887">
        <v>34.139999000000003</v>
      </c>
      <c r="F887">
        <v>33.296287999999997</v>
      </c>
      <c r="G887">
        <v>3037400</v>
      </c>
      <c r="I887">
        <f t="shared" si="14"/>
        <v>2.3513676367612412E-4</v>
      </c>
    </row>
    <row r="888" spans="1:9" x14ac:dyDescent="0.3">
      <c r="A888" s="5">
        <v>42927</v>
      </c>
      <c r="B888">
        <v>34.220001000000003</v>
      </c>
      <c r="C888">
        <v>35.080002</v>
      </c>
      <c r="D888">
        <v>33.990001999999997</v>
      </c>
      <c r="E888">
        <v>35</v>
      </c>
      <c r="F888">
        <v>34.135039999999996</v>
      </c>
      <c r="G888">
        <v>4244100</v>
      </c>
      <c r="I888">
        <f t="shared" si="14"/>
        <v>2.5414193928356167E-4</v>
      </c>
    </row>
    <row r="889" spans="1:9" x14ac:dyDescent="0.3">
      <c r="A889" s="5">
        <v>42928</v>
      </c>
      <c r="B889">
        <v>35.25</v>
      </c>
      <c r="C889">
        <v>35.470001000000003</v>
      </c>
      <c r="D889">
        <v>34.439999</v>
      </c>
      <c r="E889">
        <v>34.599997999999999</v>
      </c>
      <c r="F889">
        <v>33.744923</v>
      </c>
      <c r="G889">
        <v>4334400</v>
      </c>
      <c r="I889">
        <f t="shared" si="14"/>
        <v>2.6225801568461698E-4</v>
      </c>
    </row>
    <row r="890" spans="1:9" x14ac:dyDescent="0.3">
      <c r="A890" s="5">
        <v>42929</v>
      </c>
      <c r="B890">
        <v>35.450001</v>
      </c>
      <c r="C890">
        <v>36.380001</v>
      </c>
      <c r="D890">
        <v>35.43</v>
      </c>
      <c r="E890">
        <v>36.009998000000003</v>
      </c>
      <c r="F890">
        <v>35.120083000000001</v>
      </c>
      <c r="G890">
        <v>5302100</v>
      </c>
      <c r="I890">
        <f t="shared" si="14"/>
        <v>2.7388701538994182E-4</v>
      </c>
    </row>
    <row r="891" spans="1:9" x14ac:dyDescent="0.3">
      <c r="A891" s="5">
        <v>42930</v>
      </c>
      <c r="B891">
        <v>36.200001</v>
      </c>
      <c r="C891">
        <v>36.439999</v>
      </c>
      <c r="D891">
        <v>35.979999999999997</v>
      </c>
      <c r="E891">
        <v>36.32</v>
      </c>
      <c r="F891">
        <v>35.422412999999999</v>
      </c>
      <c r="G891">
        <v>4217600</v>
      </c>
      <c r="I891">
        <f t="shared" si="14"/>
        <v>7.9130185762207113E-5</v>
      </c>
    </row>
    <row r="892" spans="1:9" x14ac:dyDescent="0.3">
      <c r="A892" s="5">
        <v>42933</v>
      </c>
      <c r="B892">
        <v>36.439999</v>
      </c>
      <c r="C892">
        <v>36.689999</v>
      </c>
      <c r="D892">
        <v>36.205002</v>
      </c>
      <c r="E892">
        <v>36.400002000000001</v>
      </c>
      <c r="F892">
        <v>35.500445999999997</v>
      </c>
      <c r="G892">
        <v>3463700</v>
      </c>
      <c r="I892">
        <f t="shared" si="14"/>
        <v>8.9008113272772861E-5</v>
      </c>
    </row>
    <row r="893" spans="1:9" x14ac:dyDescent="0.3">
      <c r="A893" s="5">
        <v>42934</v>
      </c>
      <c r="B893">
        <v>36.400002000000001</v>
      </c>
      <c r="C893">
        <v>36.479999999999997</v>
      </c>
      <c r="D893">
        <v>35.799999</v>
      </c>
      <c r="E893">
        <v>36.43</v>
      </c>
      <c r="F893">
        <v>35.529693999999999</v>
      </c>
      <c r="G893">
        <v>3052600</v>
      </c>
      <c r="I893">
        <f t="shared" si="14"/>
        <v>2.9295951146815648E-4</v>
      </c>
    </row>
    <row r="894" spans="1:9" x14ac:dyDescent="0.3">
      <c r="A894" s="5">
        <v>42935</v>
      </c>
      <c r="B894">
        <v>36.610000999999997</v>
      </c>
      <c r="C894">
        <v>36.619999</v>
      </c>
      <c r="D894">
        <v>36.07</v>
      </c>
      <c r="E894">
        <v>36.5</v>
      </c>
      <c r="F894">
        <v>35.597977</v>
      </c>
      <c r="G894">
        <v>4516100</v>
      </c>
      <c r="I894">
        <f t="shared" si="14"/>
        <v>1.7699814164087512E-4</v>
      </c>
    </row>
    <row r="895" spans="1:9" x14ac:dyDescent="0.3">
      <c r="A895" s="5">
        <v>42936</v>
      </c>
      <c r="B895">
        <v>35.950001</v>
      </c>
      <c r="C895">
        <v>37.310001</v>
      </c>
      <c r="D895">
        <v>35.950001</v>
      </c>
      <c r="E895">
        <v>36.720001000000003</v>
      </c>
      <c r="F895">
        <v>35.812531</v>
      </c>
      <c r="G895">
        <v>4767400</v>
      </c>
      <c r="I895">
        <f t="shared" si="14"/>
        <v>5.9188224988918298E-4</v>
      </c>
    </row>
    <row r="896" spans="1:9" x14ac:dyDescent="0.3">
      <c r="A896" s="5">
        <v>42937</v>
      </c>
      <c r="B896">
        <v>36.549999</v>
      </c>
      <c r="C896">
        <v>36.859000999999999</v>
      </c>
      <c r="D896">
        <v>36.506000999999998</v>
      </c>
      <c r="E896">
        <v>36.619999</v>
      </c>
      <c r="F896">
        <v>35.715012000000002</v>
      </c>
      <c r="G896">
        <v>2527500</v>
      </c>
      <c r="I896">
        <f t="shared" si="14"/>
        <v>5.852187950014611E-5</v>
      </c>
    </row>
    <row r="897" spans="1:9" x14ac:dyDescent="0.3">
      <c r="A897" s="5">
        <v>42940</v>
      </c>
      <c r="B897">
        <v>36.590000000000003</v>
      </c>
      <c r="C897">
        <v>36.880001</v>
      </c>
      <c r="D897">
        <v>36.509998000000003</v>
      </c>
      <c r="E897">
        <v>36.689999</v>
      </c>
      <c r="F897">
        <v>35.783271999999997</v>
      </c>
      <c r="G897">
        <v>2244800</v>
      </c>
      <c r="I897">
        <f t="shared" si="14"/>
        <v>5.1541372145846088E-5</v>
      </c>
    </row>
    <row r="898" spans="1:9" x14ac:dyDescent="0.3">
      <c r="A898" s="5">
        <v>42941</v>
      </c>
      <c r="B898">
        <v>37.07</v>
      </c>
      <c r="C898">
        <v>37.380001</v>
      </c>
      <c r="D898">
        <v>36.865001999999997</v>
      </c>
      <c r="E898">
        <v>37.299999</v>
      </c>
      <c r="F898">
        <v>36.378203999999997</v>
      </c>
      <c r="G898">
        <v>3425500</v>
      </c>
      <c r="I898">
        <f t="shared" si="14"/>
        <v>8.2893412209900403E-5</v>
      </c>
    </row>
    <row r="899" spans="1:9" x14ac:dyDescent="0.3">
      <c r="A899" s="5">
        <v>42942</v>
      </c>
      <c r="B899">
        <v>37.419998</v>
      </c>
      <c r="C899">
        <v>37.610000999999997</v>
      </c>
      <c r="D899">
        <v>36.560001</v>
      </c>
      <c r="E899">
        <v>36.630001</v>
      </c>
      <c r="F899">
        <v>35.724753999999997</v>
      </c>
      <c r="G899">
        <v>3451000</v>
      </c>
      <c r="I899">
        <f t="shared" si="14"/>
        <v>1.7819529103294909E-4</v>
      </c>
    </row>
    <row r="900" spans="1:9" x14ac:dyDescent="0.3">
      <c r="A900" s="5">
        <v>42943</v>
      </c>
      <c r="B900">
        <v>36.840000000000003</v>
      </c>
      <c r="C900">
        <v>37.07</v>
      </c>
      <c r="D900">
        <v>36.084999000000003</v>
      </c>
      <c r="E900">
        <v>36.360000999999997</v>
      </c>
      <c r="F900">
        <v>35.461426000000003</v>
      </c>
      <c r="G900">
        <v>2044100</v>
      </c>
      <c r="I900">
        <f t="shared" si="14"/>
        <v>2.7756897620788889E-4</v>
      </c>
    </row>
    <row r="901" spans="1:9" x14ac:dyDescent="0.3">
      <c r="A901" s="5">
        <v>42944</v>
      </c>
      <c r="B901">
        <v>36.169998</v>
      </c>
      <c r="C901">
        <v>36.32</v>
      </c>
      <c r="D901">
        <v>35.540000999999997</v>
      </c>
      <c r="E901">
        <v>35.639999000000003</v>
      </c>
      <c r="F901">
        <v>34.759224000000003</v>
      </c>
      <c r="G901">
        <v>2859000</v>
      </c>
      <c r="I901">
        <f t="shared" si="14"/>
        <v>1.27588803376839E-4</v>
      </c>
    </row>
    <row r="902" spans="1:9" x14ac:dyDescent="0.3">
      <c r="A902" s="5">
        <v>42947</v>
      </c>
      <c r="B902">
        <v>35.970001000000003</v>
      </c>
      <c r="C902">
        <v>36.439999</v>
      </c>
      <c r="D902">
        <v>35.665000999999997</v>
      </c>
      <c r="E902">
        <v>36.400002000000001</v>
      </c>
      <c r="F902">
        <v>35.500445999999997</v>
      </c>
      <c r="G902">
        <v>2145900</v>
      </c>
      <c r="I902">
        <f t="shared" si="14"/>
        <v>1.8796314293191045E-4</v>
      </c>
    </row>
    <row r="903" spans="1:9" x14ac:dyDescent="0.3">
      <c r="A903" s="5">
        <v>42948</v>
      </c>
      <c r="B903">
        <v>36.459999000000003</v>
      </c>
      <c r="C903">
        <v>36.740001999999997</v>
      </c>
      <c r="D903">
        <v>35.909999999999997</v>
      </c>
      <c r="E903">
        <v>36.380001</v>
      </c>
      <c r="F903">
        <v>35.480930000000001</v>
      </c>
      <c r="G903">
        <v>1939200</v>
      </c>
      <c r="I903">
        <f t="shared" si="14"/>
        <v>2.7298360627639999E-4</v>
      </c>
    </row>
    <row r="904" spans="1:9" x14ac:dyDescent="0.3">
      <c r="A904" s="5">
        <v>42949</v>
      </c>
      <c r="B904">
        <v>36.270000000000003</v>
      </c>
      <c r="C904">
        <v>37.330002</v>
      </c>
      <c r="D904">
        <v>36.200001</v>
      </c>
      <c r="E904">
        <v>37.279998999999997</v>
      </c>
      <c r="F904">
        <v>36.358696000000002</v>
      </c>
      <c r="G904">
        <v>2965500</v>
      </c>
      <c r="I904">
        <f t="shared" si="14"/>
        <v>9.5402517451542205E-5</v>
      </c>
    </row>
    <row r="905" spans="1:9" x14ac:dyDescent="0.3">
      <c r="A905" s="5">
        <v>42950</v>
      </c>
      <c r="B905">
        <v>37.279998999999997</v>
      </c>
      <c r="C905">
        <v>37.599997999999999</v>
      </c>
      <c r="D905">
        <v>36.939999</v>
      </c>
      <c r="E905">
        <v>37.090000000000003</v>
      </c>
      <c r="F905">
        <v>36.173389</v>
      </c>
      <c r="G905">
        <v>2884600</v>
      </c>
      <c r="I905">
        <f t="shared" si="14"/>
        <v>1.53852028231091E-4</v>
      </c>
    </row>
    <row r="906" spans="1:9" x14ac:dyDescent="0.3">
      <c r="A906" s="5">
        <v>42951</v>
      </c>
      <c r="B906">
        <v>37.340000000000003</v>
      </c>
      <c r="C906">
        <v>37.5</v>
      </c>
      <c r="D906">
        <v>36.729999999999997</v>
      </c>
      <c r="E906">
        <v>37.419998</v>
      </c>
      <c r="F906">
        <v>36.495232000000001</v>
      </c>
      <c r="G906">
        <v>2287600</v>
      </c>
      <c r="I906">
        <f t="shared" si="14"/>
        <v>3.1568534116208243E-4</v>
      </c>
    </row>
    <row r="907" spans="1:9" x14ac:dyDescent="0.3">
      <c r="A907" s="5">
        <v>42954</v>
      </c>
      <c r="B907">
        <v>38</v>
      </c>
      <c r="C907">
        <v>38.470001000000003</v>
      </c>
      <c r="D907">
        <v>37.610000999999997</v>
      </c>
      <c r="E907">
        <v>37.990001999999997</v>
      </c>
      <c r="F907">
        <v>37.051147</v>
      </c>
      <c r="G907">
        <v>4921600</v>
      </c>
      <c r="I907">
        <f t="shared" si="14"/>
        <v>2.5805084382029501E-4</v>
      </c>
    </row>
    <row r="908" spans="1:9" x14ac:dyDescent="0.3">
      <c r="A908" s="5">
        <v>42955</v>
      </c>
      <c r="B908">
        <v>38.5</v>
      </c>
      <c r="C908">
        <v>40.362000000000002</v>
      </c>
      <c r="D908">
        <v>38.360000999999997</v>
      </c>
      <c r="E908">
        <v>39.580002</v>
      </c>
      <c r="F908">
        <v>38.601852000000001</v>
      </c>
      <c r="G908">
        <v>8781800</v>
      </c>
      <c r="I908">
        <f t="shared" ref="I908:I971" si="15">LN(C908/B908)*(LN(C908/B908)-LN(E908/B908))+LN(D908/B908)*(LN(D908/B908)-LN(E908/B908))</f>
        <v>1.0381099768887229E-3</v>
      </c>
    </row>
    <row r="909" spans="1:9" x14ac:dyDescent="0.3">
      <c r="A909" s="5">
        <v>42956</v>
      </c>
      <c r="B909">
        <v>39.209999000000003</v>
      </c>
      <c r="C909">
        <v>39.450001</v>
      </c>
      <c r="D909">
        <v>38.400002000000001</v>
      </c>
      <c r="E909">
        <v>38.619999</v>
      </c>
      <c r="F909">
        <v>37.665576999999999</v>
      </c>
      <c r="G909">
        <v>3729300</v>
      </c>
      <c r="I909">
        <f t="shared" si="15"/>
        <v>2.4900714941219636E-4</v>
      </c>
    </row>
    <row r="910" spans="1:9" x14ac:dyDescent="0.3">
      <c r="A910" s="5">
        <v>42957</v>
      </c>
      <c r="B910">
        <v>38.119999</v>
      </c>
      <c r="C910">
        <v>38.779998999999997</v>
      </c>
      <c r="D910">
        <v>37.715000000000003</v>
      </c>
      <c r="E910">
        <v>37.779998999999997</v>
      </c>
      <c r="F910">
        <v>36.846333000000001</v>
      </c>
      <c r="G910">
        <v>3515600</v>
      </c>
      <c r="I910">
        <f t="shared" si="15"/>
        <v>4.6683926286286714E-4</v>
      </c>
    </row>
    <row r="911" spans="1:9" x14ac:dyDescent="0.3">
      <c r="A911" s="5">
        <v>42958</v>
      </c>
      <c r="B911">
        <v>37.209999000000003</v>
      </c>
      <c r="C911">
        <v>37.909999999999997</v>
      </c>
      <c r="D911">
        <v>36.93</v>
      </c>
      <c r="E911">
        <v>37.779998999999997</v>
      </c>
      <c r="F911">
        <v>36.846333000000001</v>
      </c>
      <c r="G911">
        <v>2974300</v>
      </c>
      <c r="I911">
        <f t="shared" si="15"/>
        <v>2.3590088764890193E-4</v>
      </c>
    </row>
    <row r="912" spans="1:9" x14ac:dyDescent="0.3">
      <c r="A912" s="5">
        <v>42961</v>
      </c>
      <c r="B912">
        <v>38.110000999999997</v>
      </c>
      <c r="C912">
        <v>38.158000999999999</v>
      </c>
      <c r="D912">
        <v>37.125</v>
      </c>
      <c r="E912">
        <v>37.189999</v>
      </c>
      <c r="F912">
        <v>36.270919999999997</v>
      </c>
      <c r="G912">
        <v>2129500</v>
      </c>
      <c r="I912">
        <f t="shared" si="15"/>
        <v>7.8150524780598102E-5</v>
      </c>
    </row>
    <row r="913" spans="1:9" x14ac:dyDescent="0.3">
      <c r="A913" s="5">
        <v>42962</v>
      </c>
      <c r="B913">
        <v>37.299999</v>
      </c>
      <c r="C913">
        <v>37.979999999999997</v>
      </c>
      <c r="D913">
        <v>37.139999000000003</v>
      </c>
      <c r="E913">
        <v>37.5</v>
      </c>
      <c r="F913">
        <v>36.573261000000002</v>
      </c>
      <c r="G913">
        <v>1826500</v>
      </c>
      <c r="I913">
        <f t="shared" si="15"/>
        <v>2.7125018047477586E-4</v>
      </c>
    </row>
    <row r="914" spans="1:9" x14ac:dyDescent="0.3">
      <c r="A914" s="5">
        <v>42963</v>
      </c>
      <c r="B914">
        <v>37.959999000000003</v>
      </c>
      <c r="C914">
        <v>39.330002</v>
      </c>
      <c r="D914">
        <v>37.909999999999997</v>
      </c>
      <c r="E914">
        <v>39.229999999999997</v>
      </c>
      <c r="F914">
        <v>38.260505999999999</v>
      </c>
      <c r="G914">
        <v>4301900</v>
      </c>
      <c r="I914">
        <f t="shared" si="15"/>
        <v>1.3537485666195308E-4</v>
      </c>
    </row>
    <row r="915" spans="1:9" x14ac:dyDescent="0.3">
      <c r="A915" s="5">
        <v>42964</v>
      </c>
      <c r="B915">
        <v>39</v>
      </c>
      <c r="C915">
        <v>39</v>
      </c>
      <c r="D915">
        <v>37.75</v>
      </c>
      <c r="E915">
        <v>37.799999</v>
      </c>
      <c r="F915">
        <v>36.865836999999999</v>
      </c>
      <c r="G915">
        <v>3298900</v>
      </c>
      <c r="I915">
        <f t="shared" si="15"/>
        <v>4.3117834676619407E-5</v>
      </c>
    </row>
    <row r="916" spans="1:9" x14ac:dyDescent="0.3">
      <c r="A916" s="5">
        <v>42965</v>
      </c>
      <c r="B916">
        <v>37.880001</v>
      </c>
      <c r="C916">
        <v>38.209999000000003</v>
      </c>
      <c r="D916">
        <v>37.340000000000003</v>
      </c>
      <c r="E916">
        <v>37.759998000000003</v>
      </c>
      <c r="F916">
        <v>36.826824000000002</v>
      </c>
      <c r="G916">
        <v>2118700</v>
      </c>
      <c r="I916">
        <f t="shared" si="15"/>
        <v>2.6335785218759418E-4</v>
      </c>
    </row>
    <row r="917" spans="1:9" x14ac:dyDescent="0.3">
      <c r="A917" s="5">
        <v>42968</v>
      </c>
      <c r="B917">
        <v>38.189999</v>
      </c>
      <c r="C917">
        <v>38.659999999999997</v>
      </c>
      <c r="D917">
        <v>38.049999</v>
      </c>
      <c r="E917">
        <v>38.470001000000003</v>
      </c>
      <c r="F917">
        <v>37.519286999999998</v>
      </c>
      <c r="G917">
        <v>2336800</v>
      </c>
      <c r="I917">
        <f t="shared" si="15"/>
        <v>1.0057961409619284E-4</v>
      </c>
    </row>
    <row r="918" spans="1:9" x14ac:dyDescent="0.3">
      <c r="A918" s="5">
        <v>42969</v>
      </c>
      <c r="B918">
        <v>38.740001999999997</v>
      </c>
      <c r="C918">
        <v>40.130001</v>
      </c>
      <c r="D918">
        <v>38.729999999999997</v>
      </c>
      <c r="E918">
        <v>39.770000000000003</v>
      </c>
      <c r="F918">
        <v>38.787154999999998</v>
      </c>
      <c r="G918">
        <v>3869200</v>
      </c>
      <c r="I918">
        <f t="shared" si="15"/>
        <v>3.2450590416175106E-4</v>
      </c>
    </row>
    <row r="919" spans="1:9" x14ac:dyDescent="0.3">
      <c r="A919" s="5">
        <v>42970</v>
      </c>
      <c r="B919">
        <v>39.560001</v>
      </c>
      <c r="C919">
        <v>41.439999</v>
      </c>
      <c r="D919">
        <v>39.450001</v>
      </c>
      <c r="E919">
        <v>41.060001</v>
      </c>
      <c r="F919">
        <v>40.045276999999999</v>
      </c>
      <c r="G919">
        <v>4827300</v>
      </c>
      <c r="I919">
        <f t="shared" si="15"/>
        <v>5.3908090948503887E-4</v>
      </c>
    </row>
    <row r="920" spans="1:9" x14ac:dyDescent="0.3">
      <c r="A920" s="5">
        <v>42971</v>
      </c>
      <c r="B920">
        <v>40.880001</v>
      </c>
      <c r="C920">
        <v>41.549999</v>
      </c>
      <c r="D920">
        <v>40.560001</v>
      </c>
      <c r="E920">
        <v>41.34</v>
      </c>
      <c r="F920">
        <v>40.318359000000001</v>
      </c>
      <c r="G920">
        <v>3189300</v>
      </c>
      <c r="I920">
        <f t="shared" si="15"/>
        <v>2.3206258730583521E-4</v>
      </c>
    </row>
    <row r="921" spans="1:9" x14ac:dyDescent="0.3">
      <c r="A921" s="5">
        <v>42972</v>
      </c>
      <c r="B921">
        <v>41.68</v>
      </c>
      <c r="C921">
        <v>41.799999</v>
      </c>
      <c r="D921">
        <v>40.840000000000003</v>
      </c>
      <c r="E921">
        <v>41.209999000000003</v>
      </c>
      <c r="F921">
        <v>40.191569999999999</v>
      </c>
      <c r="G921">
        <v>2754000</v>
      </c>
      <c r="I921">
        <f t="shared" si="15"/>
        <v>2.2448809172448449E-4</v>
      </c>
    </row>
    <row r="922" spans="1:9" x14ac:dyDescent="0.3">
      <c r="A922" s="5">
        <v>42975</v>
      </c>
      <c r="B922">
        <v>41.43</v>
      </c>
      <c r="C922">
        <v>42.259998000000003</v>
      </c>
      <c r="D922">
        <v>41.049999</v>
      </c>
      <c r="E922">
        <v>42.169998</v>
      </c>
      <c r="F922">
        <v>41.127842000000001</v>
      </c>
      <c r="G922">
        <v>2696000</v>
      </c>
      <c r="I922">
        <f t="shared" si="15"/>
        <v>2.9032497317594408E-4</v>
      </c>
    </row>
    <row r="923" spans="1:9" x14ac:dyDescent="0.3">
      <c r="A923" s="5">
        <v>42976</v>
      </c>
      <c r="B923">
        <v>41.66</v>
      </c>
      <c r="C923">
        <v>43.18</v>
      </c>
      <c r="D923">
        <v>41.380001</v>
      </c>
      <c r="E923">
        <v>43</v>
      </c>
      <c r="F923">
        <v>41.937328000000001</v>
      </c>
      <c r="G923">
        <v>3982400</v>
      </c>
      <c r="I923">
        <f t="shared" si="15"/>
        <v>4.0867392004999671E-4</v>
      </c>
    </row>
    <row r="924" spans="1:9" x14ac:dyDescent="0.3">
      <c r="A924" s="5">
        <v>42977</v>
      </c>
      <c r="B924">
        <v>43.23</v>
      </c>
      <c r="C924">
        <v>44.099997999999999</v>
      </c>
      <c r="D924">
        <v>42.991000999999997</v>
      </c>
      <c r="E924">
        <v>43.09</v>
      </c>
      <c r="F924">
        <v>42.025115999999997</v>
      </c>
      <c r="G924">
        <v>5537900</v>
      </c>
      <c r="I924">
        <f t="shared" si="15"/>
        <v>4.7439063284004636E-4</v>
      </c>
    </row>
    <row r="925" spans="1:9" x14ac:dyDescent="0.3">
      <c r="A925" s="5">
        <v>42978</v>
      </c>
      <c r="B925">
        <v>43.669998</v>
      </c>
      <c r="C925">
        <v>44</v>
      </c>
      <c r="D925">
        <v>43.18</v>
      </c>
      <c r="E925">
        <v>43.880001</v>
      </c>
      <c r="F925">
        <v>42.795589</v>
      </c>
      <c r="G925">
        <v>4182000</v>
      </c>
      <c r="I925">
        <f t="shared" si="15"/>
        <v>2.0201860971265454E-4</v>
      </c>
    </row>
    <row r="926" spans="1:9" x14ac:dyDescent="0.3">
      <c r="A926" s="5">
        <v>42979</v>
      </c>
      <c r="B926">
        <v>44.209999000000003</v>
      </c>
      <c r="C926">
        <v>45.220001000000003</v>
      </c>
      <c r="D926">
        <v>44.130001</v>
      </c>
      <c r="E926">
        <v>45.040000999999997</v>
      </c>
      <c r="F926">
        <v>43.926921999999998</v>
      </c>
      <c r="G926">
        <v>3376300</v>
      </c>
      <c r="I926">
        <f t="shared" si="15"/>
        <v>1.2706131533500337E-4</v>
      </c>
    </row>
    <row r="927" spans="1:9" x14ac:dyDescent="0.3">
      <c r="A927" s="5">
        <v>42983</v>
      </c>
      <c r="B927">
        <v>45.080002</v>
      </c>
      <c r="C927">
        <v>45.119999</v>
      </c>
      <c r="D927">
        <v>43.700001</v>
      </c>
      <c r="E927">
        <v>44.419998</v>
      </c>
      <c r="F927">
        <v>43.322239000000003</v>
      </c>
      <c r="G927">
        <v>5223000</v>
      </c>
      <c r="I927">
        <f t="shared" si="15"/>
        <v>5.2193843806038268E-4</v>
      </c>
    </row>
    <row r="928" spans="1:9" x14ac:dyDescent="0.3">
      <c r="A928" s="5">
        <v>42984</v>
      </c>
      <c r="B928">
        <v>44.400002000000001</v>
      </c>
      <c r="C928">
        <v>44.5</v>
      </c>
      <c r="D928">
        <v>43.299999</v>
      </c>
      <c r="E928">
        <v>44.43</v>
      </c>
      <c r="F928">
        <v>43.331992999999997</v>
      </c>
      <c r="G928">
        <v>3419900</v>
      </c>
      <c r="I928">
        <f t="shared" si="15"/>
        <v>6.4983803673113118E-4</v>
      </c>
    </row>
    <row r="929" spans="1:9" x14ac:dyDescent="0.3">
      <c r="A929" s="5">
        <v>42985</v>
      </c>
      <c r="B929">
        <v>44.16</v>
      </c>
      <c r="C929">
        <v>44.900002000000001</v>
      </c>
      <c r="D929">
        <v>44.040000999999997</v>
      </c>
      <c r="E929">
        <v>44.73</v>
      </c>
      <c r="F929">
        <v>43.624580000000002</v>
      </c>
      <c r="G929">
        <v>3329500</v>
      </c>
      <c r="I929">
        <f t="shared" si="15"/>
        <v>1.0534268265389188E-4</v>
      </c>
    </row>
    <row r="930" spans="1:9" x14ac:dyDescent="0.3">
      <c r="A930" s="5">
        <v>42986</v>
      </c>
      <c r="B930">
        <v>44.369999</v>
      </c>
      <c r="C930">
        <v>44.369999</v>
      </c>
      <c r="D930">
        <v>42.240001999999997</v>
      </c>
      <c r="E930">
        <v>42.610000999999997</v>
      </c>
      <c r="F930">
        <v>41.556969000000002</v>
      </c>
      <c r="G930">
        <v>7297600</v>
      </c>
      <c r="I930">
        <f t="shared" si="15"/>
        <v>4.290520281575488E-4</v>
      </c>
    </row>
    <row r="931" spans="1:9" x14ac:dyDescent="0.3">
      <c r="A931" s="5">
        <v>42989</v>
      </c>
      <c r="B931">
        <v>43.25</v>
      </c>
      <c r="C931">
        <v>44.490001999999997</v>
      </c>
      <c r="D931">
        <v>43.130001</v>
      </c>
      <c r="E931">
        <v>43.599997999999999</v>
      </c>
      <c r="F931">
        <v>42.522503</v>
      </c>
      <c r="G931">
        <v>4177300</v>
      </c>
      <c r="I931">
        <f t="shared" si="15"/>
        <v>6.0132038707317833E-4</v>
      </c>
    </row>
    <row r="932" spans="1:9" x14ac:dyDescent="0.3">
      <c r="A932" s="5">
        <v>42990</v>
      </c>
      <c r="B932">
        <v>44.59</v>
      </c>
      <c r="C932">
        <v>45.200001</v>
      </c>
      <c r="D932">
        <v>44.330002</v>
      </c>
      <c r="E932">
        <v>45</v>
      </c>
      <c r="F932">
        <v>43.887909000000001</v>
      </c>
      <c r="G932">
        <v>4826300</v>
      </c>
      <c r="I932">
        <f t="shared" si="15"/>
        <v>1.4797887119346849E-4</v>
      </c>
    </row>
    <row r="933" spans="1:9" x14ac:dyDescent="0.3">
      <c r="A933" s="5">
        <v>42991</v>
      </c>
      <c r="B933">
        <v>44.610000999999997</v>
      </c>
      <c r="C933">
        <v>45.07</v>
      </c>
      <c r="D933">
        <v>44.360000999999997</v>
      </c>
      <c r="E933">
        <v>44.91</v>
      </c>
      <c r="F933">
        <v>43.800133000000002</v>
      </c>
      <c r="G933">
        <v>3372200</v>
      </c>
      <c r="I933">
        <f t="shared" si="15"/>
        <v>1.0573369482146233E-4</v>
      </c>
    </row>
    <row r="934" spans="1:9" x14ac:dyDescent="0.3">
      <c r="A934" s="5">
        <v>42992</v>
      </c>
      <c r="B934">
        <v>44.48</v>
      </c>
      <c r="C934">
        <v>45</v>
      </c>
      <c r="D934">
        <v>43.75</v>
      </c>
      <c r="E934">
        <v>44.799999</v>
      </c>
      <c r="F934">
        <v>43.692844000000001</v>
      </c>
      <c r="G934">
        <v>4450600</v>
      </c>
      <c r="I934">
        <f t="shared" si="15"/>
        <v>4.4423405397556366E-4</v>
      </c>
    </row>
    <row r="935" spans="1:9" x14ac:dyDescent="0.3">
      <c r="A935" s="5">
        <v>42993</v>
      </c>
      <c r="B935">
        <v>44.759998000000003</v>
      </c>
      <c r="C935">
        <v>45.09</v>
      </c>
      <c r="D935">
        <v>44.220001000000003</v>
      </c>
      <c r="E935">
        <v>44.650002000000001</v>
      </c>
      <c r="F935">
        <v>43.546557999999997</v>
      </c>
      <c r="G935">
        <v>5441600</v>
      </c>
      <c r="I935">
        <f t="shared" si="15"/>
        <v>1.8949032992429909E-4</v>
      </c>
    </row>
    <row r="936" spans="1:9" x14ac:dyDescent="0.3">
      <c r="A936" s="5">
        <v>42996</v>
      </c>
      <c r="B936">
        <v>44.799999</v>
      </c>
      <c r="C936">
        <v>45.09</v>
      </c>
      <c r="D936">
        <v>44.66</v>
      </c>
      <c r="E936">
        <v>44.91</v>
      </c>
      <c r="F936">
        <v>43.800133000000002</v>
      </c>
      <c r="G936">
        <v>3224800</v>
      </c>
      <c r="I936">
        <f t="shared" si="15"/>
        <v>4.3281227245473911E-5</v>
      </c>
    </row>
    <row r="937" spans="1:9" x14ac:dyDescent="0.3">
      <c r="A937" s="5">
        <v>42997</v>
      </c>
      <c r="B937">
        <v>45.220001000000003</v>
      </c>
      <c r="C937">
        <v>46.439999</v>
      </c>
      <c r="D937">
        <v>44.860000999999997</v>
      </c>
      <c r="E937">
        <v>46.200001</v>
      </c>
      <c r="F937">
        <v>45.058247000000001</v>
      </c>
      <c r="G937">
        <v>4854100</v>
      </c>
      <c r="I937">
        <f t="shared" si="15"/>
        <v>3.7319342717577177E-4</v>
      </c>
    </row>
    <row r="938" spans="1:9" x14ac:dyDescent="0.3">
      <c r="A938" s="5">
        <v>42998</v>
      </c>
      <c r="B938">
        <v>46.98</v>
      </c>
      <c r="C938">
        <v>47.950001</v>
      </c>
      <c r="D938">
        <v>46.529998999999997</v>
      </c>
      <c r="E938">
        <v>47.5</v>
      </c>
      <c r="F938">
        <v>46.326121999999998</v>
      </c>
      <c r="G938">
        <v>7305700</v>
      </c>
      <c r="I938">
        <f t="shared" si="15"/>
        <v>3.9128328501937971E-4</v>
      </c>
    </row>
    <row r="939" spans="1:9" x14ac:dyDescent="0.3">
      <c r="A939" s="5">
        <v>42999</v>
      </c>
      <c r="B939">
        <v>47.110000999999997</v>
      </c>
      <c r="C939">
        <v>47.25</v>
      </c>
      <c r="D939">
        <v>45.970001000000003</v>
      </c>
      <c r="E939">
        <v>46.25</v>
      </c>
      <c r="F939">
        <v>45.107013999999999</v>
      </c>
      <c r="G939">
        <v>3695600</v>
      </c>
      <c r="I939">
        <f t="shared" si="15"/>
        <v>2.1222695210661228E-4</v>
      </c>
    </row>
    <row r="940" spans="1:9" x14ac:dyDescent="0.3">
      <c r="A940" s="5">
        <v>43000</v>
      </c>
      <c r="B940">
        <v>45.310001</v>
      </c>
      <c r="C940">
        <v>45.779998999999997</v>
      </c>
      <c r="D940">
        <v>44.669998</v>
      </c>
      <c r="E940">
        <v>45.380001</v>
      </c>
      <c r="F940">
        <v>44.258521999999999</v>
      </c>
      <c r="G940">
        <v>3224600</v>
      </c>
      <c r="I940">
        <f t="shared" si="15"/>
        <v>3.148926349232875E-4</v>
      </c>
    </row>
    <row r="941" spans="1:9" x14ac:dyDescent="0.3">
      <c r="A941" s="5">
        <v>43003</v>
      </c>
      <c r="B941">
        <v>45.330002</v>
      </c>
      <c r="C941">
        <v>45.700001</v>
      </c>
      <c r="D941">
        <v>44.619999</v>
      </c>
      <c r="E941">
        <v>45.290000999999997</v>
      </c>
      <c r="F941">
        <v>44.170746000000001</v>
      </c>
      <c r="G941">
        <v>3071200</v>
      </c>
      <c r="I941">
        <f t="shared" si="15"/>
        <v>3.0855114868882808E-4</v>
      </c>
    </row>
    <row r="942" spans="1:9" x14ac:dyDescent="0.3">
      <c r="A942" s="5">
        <v>43004</v>
      </c>
      <c r="B942">
        <v>45.110000999999997</v>
      </c>
      <c r="C942">
        <v>45.52</v>
      </c>
      <c r="D942">
        <v>44.720001000000003</v>
      </c>
      <c r="E942">
        <v>44.740001999999997</v>
      </c>
      <c r="F942">
        <v>43.634331000000003</v>
      </c>
      <c r="G942">
        <v>4539000</v>
      </c>
      <c r="I942">
        <f t="shared" si="15"/>
        <v>1.6026320142977212E-4</v>
      </c>
    </row>
    <row r="943" spans="1:9" x14ac:dyDescent="0.3">
      <c r="A943" s="5">
        <v>43005</v>
      </c>
      <c r="B943">
        <v>45.279998999999997</v>
      </c>
      <c r="C943">
        <v>45.560001</v>
      </c>
      <c r="D943">
        <v>44.48</v>
      </c>
      <c r="E943">
        <v>45.07</v>
      </c>
      <c r="F943">
        <v>43.956176999999997</v>
      </c>
      <c r="G943">
        <v>2391100</v>
      </c>
      <c r="I943">
        <f t="shared" si="15"/>
        <v>3.0155481746523032E-4</v>
      </c>
    </row>
    <row r="944" spans="1:9" x14ac:dyDescent="0.3">
      <c r="A944" s="5">
        <v>43006</v>
      </c>
      <c r="B944">
        <v>45.07</v>
      </c>
      <c r="C944">
        <v>46.459999000000003</v>
      </c>
      <c r="D944">
        <v>44.810001</v>
      </c>
      <c r="E944">
        <v>46.080002</v>
      </c>
      <c r="F944">
        <v>44.941218999999997</v>
      </c>
      <c r="G944">
        <v>5282200</v>
      </c>
      <c r="I944">
        <f t="shared" si="15"/>
        <v>4.1114911395751376E-4</v>
      </c>
    </row>
    <row r="945" spans="1:9" x14ac:dyDescent="0.3">
      <c r="A945" s="5">
        <v>43007</v>
      </c>
      <c r="B945">
        <v>46.450001</v>
      </c>
      <c r="C945">
        <v>47</v>
      </c>
      <c r="D945">
        <v>45.900002000000001</v>
      </c>
      <c r="E945">
        <v>46.619999</v>
      </c>
      <c r="F945">
        <v>45.467869</v>
      </c>
      <c r="G945">
        <v>3825600</v>
      </c>
      <c r="I945">
        <f t="shared" si="15"/>
        <v>2.8095104631589707E-4</v>
      </c>
    </row>
    <row r="946" spans="1:9" x14ac:dyDescent="0.3">
      <c r="A946" s="5">
        <v>43010</v>
      </c>
      <c r="B946">
        <v>46.43</v>
      </c>
      <c r="C946">
        <v>48.029998999999997</v>
      </c>
      <c r="D946">
        <v>46.41</v>
      </c>
      <c r="E946">
        <v>47.650002000000001</v>
      </c>
      <c r="F946">
        <v>46.47242</v>
      </c>
      <c r="G946">
        <v>4043100</v>
      </c>
      <c r="I946">
        <f t="shared" si="15"/>
        <v>2.8047344236106444E-4</v>
      </c>
    </row>
    <row r="947" spans="1:9" x14ac:dyDescent="0.3">
      <c r="A947" s="5">
        <v>43011</v>
      </c>
      <c r="B947">
        <v>47.970001000000003</v>
      </c>
      <c r="C947">
        <v>48.330002</v>
      </c>
      <c r="D947">
        <v>47.439999</v>
      </c>
      <c r="E947">
        <v>48.310001</v>
      </c>
      <c r="F947">
        <v>47.116107999999997</v>
      </c>
      <c r="G947">
        <v>3313600</v>
      </c>
      <c r="I947">
        <f t="shared" si="15"/>
        <v>2.0499721620123761E-4</v>
      </c>
    </row>
    <row r="948" spans="1:9" x14ac:dyDescent="0.3">
      <c r="A948" s="5">
        <v>43012</v>
      </c>
      <c r="B948">
        <v>48.27</v>
      </c>
      <c r="C948">
        <v>49.299999</v>
      </c>
      <c r="D948">
        <v>47.75</v>
      </c>
      <c r="E948">
        <v>47.91</v>
      </c>
      <c r="F948">
        <v>46.725990000000003</v>
      </c>
      <c r="G948">
        <v>4124200</v>
      </c>
      <c r="I948">
        <f t="shared" si="15"/>
        <v>6.400832817407096E-4</v>
      </c>
    </row>
    <row r="949" spans="1:9" x14ac:dyDescent="0.3">
      <c r="A949" s="5">
        <v>43013</v>
      </c>
      <c r="B949">
        <v>48.080002</v>
      </c>
      <c r="C949">
        <v>48.728999999999999</v>
      </c>
      <c r="D949">
        <v>47.650002000000001</v>
      </c>
      <c r="E949">
        <v>48.25</v>
      </c>
      <c r="F949">
        <v>47.057586999999998</v>
      </c>
      <c r="G949">
        <v>3191500</v>
      </c>
      <c r="I949">
        <f t="shared" si="15"/>
        <v>2.4486499888269533E-4</v>
      </c>
    </row>
    <row r="950" spans="1:9" x14ac:dyDescent="0.3">
      <c r="A950" s="5">
        <v>43014</v>
      </c>
      <c r="B950">
        <v>47.889999000000003</v>
      </c>
      <c r="C950">
        <v>47.889999000000003</v>
      </c>
      <c r="D950">
        <v>47.299999</v>
      </c>
      <c r="E950">
        <v>47.490001999999997</v>
      </c>
      <c r="F950">
        <v>46.316375999999998</v>
      </c>
      <c r="G950">
        <v>3963400</v>
      </c>
      <c r="I950">
        <f t="shared" si="15"/>
        <v>4.9696380444565892E-5</v>
      </c>
    </row>
    <row r="951" spans="1:9" x14ac:dyDescent="0.3">
      <c r="A951" s="5">
        <v>43017</v>
      </c>
      <c r="B951">
        <v>47.630001</v>
      </c>
      <c r="C951">
        <v>47.720001000000003</v>
      </c>
      <c r="D951">
        <v>46.580002</v>
      </c>
      <c r="E951">
        <v>47.07</v>
      </c>
      <c r="F951">
        <v>45.906753999999999</v>
      </c>
      <c r="G951">
        <v>2235600</v>
      </c>
      <c r="I951">
        <f t="shared" si="15"/>
        <v>2.5916125700691395E-4</v>
      </c>
    </row>
    <row r="952" spans="1:9" x14ac:dyDescent="0.3">
      <c r="A952" s="5">
        <v>43018</v>
      </c>
      <c r="B952">
        <v>47.279998999999997</v>
      </c>
      <c r="C952">
        <v>47.450001</v>
      </c>
      <c r="D952">
        <v>46.580002</v>
      </c>
      <c r="E952">
        <v>46.889999000000003</v>
      </c>
      <c r="F952">
        <v>45.731197000000002</v>
      </c>
      <c r="G952">
        <v>3578600</v>
      </c>
      <c r="I952">
        <f t="shared" si="15"/>
        <v>1.4155107606850901E-4</v>
      </c>
    </row>
    <row r="953" spans="1:9" x14ac:dyDescent="0.3">
      <c r="A953" s="5">
        <v>43019</v>
      </c>
      <c r="B953">
        <v>46.720001000000003</v>
      </c>
      <c r="C953">
        <v>47</v>
      </c>
      <c r="D953">
        <v>46.209999000000003</v>
      </c>
      <c r="E953">
        <v>46.939999</v>
      </c>
      <c r="F953">
        <v>45.779964</v>
      </c>
      <c r="G953">
        <v>2728000</v>
      </c>
      <c r="I953">
        <f t="shared" si="15"/>
        <v>1.7967287389717148E-4</v>
      </c>
    </row>
    <row r="954" spans="1:9" x14ac:dyDescent="0.3">
      <c r="A954" s="5">
        <v>43020</v>
      </c>
      <c r="B954">
        <v>46.950001</v>
      </c>
      <c r="C954">
        <v>47.77</v>
      </c>
      <c r="D954">
        <v>46.799999</v>
      </c>
      <c r="E954">
        <v>47.529998999999997</v>
      </c>
      <c r="F954">
        <v>46.355376999999997</v>
      </c>
      <c r="G954">
        <v>3027600</v>
      </c>
      <c r="I954">
        <f t="shared" si="15"/>
        <v>1.3673939348111011E-4</v>
      </c>
    </row>
    <row r="955" spans="1:9" x14ac:dyDescent="0.3">
      <c r="A955" s="5">
        <v>43021</v>
      </c>
      <c r="B955">
        <v>48.32</v>
      </c>
      <c r="C955">
        <v>48.630001</v>
      </c>
      <c r="D955">
        <v>47.599997999999999</v>
      </c>
      <c r="E955">
        <v>47.709999000000003</v>
      </c>
      <c r="F955">
        <v>46.530929999999998</v>
      </c>
      <c r="G955">
        <v>3288600</v>
      </c>
      <c r="I955">
        <f t="shared" si="15"/>
        <v>1.5679779920724289E-4</v>
      </c>
    </row>
    <row r="956" spans="1:9" x14ac:dyDescent="0.3">
      <c r="A956" s="5">
        <v>43024</v>
      </c>
      <c r="B956">
        <v>48</v>
      </c>
      <c r="C956">
        <v>48.93</v>
      </c>
      <c r="D956">
        <v>47.48</v>
      </c>
      <c r="E956">
        <v>48.240001999999997</v>
      </c>
      <c r="F956">
        <v>47.047843999999998</v>
      </c>
      <c r="G956">
        <v>4682000</v>
      </c>
      <c r="I956">
        <f t="shared" si="15"/>
        <v>4.4550640657141578E-4</v>
      </c>
    </row>
    <row r="957" spans="1:9" x14ac:dyDescent="0.3">
      <c r="A957" s="5">
        <v>43025</v>
      </c>
      <c r="B957">
        <v>48.650002000000001</v>
      </c>
      <c r="C957">
        <v>48.720001000000003</v>
      </c>
      <c r="D957">
        <v>47.419998</v>
      </c>
      <c r="E957">
        <v>47.77</v>
      </c>
      <c r="F957">
        <v>46.589455000000001</v>
      </c>
      <c r="G957">
        <v>3960600</v>
      </c>
      <c r="I957">
        <f t="shared" si="15"/>
        <v>2.1662721869348427E-4</v>
      </c>
    </row>
    <row r="958" spans="1:9" x14ac:dyDescent="0.3">
      <c r="A958" s="5">
        <v>43026</v>
      </c>
      <c r="B958">
        <v>47.380001</v>
      </c>
      <c r="C958">
        <v>47.84</v>
      </c>
      <c r="D958">
        <v>46.509998000000003</v>
      </c>
      <c r="E958">
        <v>47.75</v>
      </c>
      <c r="F958">
        <v>46.569946000000002</v>
      </c>
      <c r="G958">
        <v>4606100</v>
      </c>
      <c r="I958">
        <f t="shared" si="15"/>
        <v>5.0582760791433273E-4</v>
      </c>
    </row>
    <row r="959" spans="1:9" x14ac:dyDescent="0.3">
      <c r="A959" s="5">
        <v>43027</v>
      </c>
      <c r="B959">
        <v>46.5</v>
      </c>
      <c r="C959">
        <v>47.740001999999997</v>
      </c>
      <c r="D959">
        <v>46.009998000000003</v>
      </c>
      <c r="E959">
        <v>46.540000999999997</v>
      </c>
      <c r="F959">
        <v>45.389854</v>
      </c>
      <c r="G959">
        <v>6033100</v>
      </c>
      <c r="I959">
        <f t="shared" si="15"/>
        <v>7.9130677411898146E-4</v>
      </c>
    </row>
    <row r="960" spans="1:9" x14ac:dyDescent="0.3">
      <c r="A960" s="5">
        <v>43028</v>
      </c>
      <c r="B960">
        <v>47.130001</v>
      </c>
      <c r="C960">
        <v>48.130001</v>
      </c>
      <c r="D960">
        <v>47.060001</v>
      </c>
      <c r="E960">
        <v>47.93</v>
      </c>
      <c r="F960">
        <v>46.745502000000002</v>
      </c>
      <c r="G960">
        <v>4209100</v>
      </c>
      <c r="I960">
        <f t="shared" si="15"/>
        <v>1.1465641988846456E-4</v>
      </c>
    </row>
    <row r="961" spans="1:9" x14ac:dyDescent="0.3">
      <c r="A961" s="5">
        <v>43031</v>
      </c>
      <c r="B961">
        <v>48.040000999999997</v>
      </c>
      <c r="C961">
        <v>48.560001</v>
      </c>
      <c r="D961">
        <v>47.830002</v>
      </c>
      <c r="E961">
        <v>47.93</v>
      </c>
      <c r="F961">
        <v>46.745502000000002</v>
      </c>
      <c r="G961">
        <v>4019500</v>
      </c>
      <c r="I961">
        <f t="shared" si="15"/>
        <v>1.4973995227658644E-4</v>
      </c>
    </row>
    <row r="962" spans="1:9" x14ac:dyDescent="0.3">
      <c r="A962" s="5">
        <v>43032</v>
      </c>
      <c r="B962">
        <v>48.130001</v>
      </c>
      <c r="C962">
        <v>50.310001</v>
      </c>
      <c r="D962">
        <v>48.060001</v>
      </c>
      <c r="E962">
        <v>50.080002</v>
      </c>
      <c r="F962">
        <v>48.842365000000001</v>
      </c>
      <c r="G962">
        <v>6702500</v>
      </c>
      <c r="I962">
        <f t="shared" si="15"/>
        <v>2.6290267879295991E-4</v>
      </c>
    </row>
    <row r="963" spans="1:9" x14ac:dyDescent="0.3">
      <c r="A963" s="5">
        <v>43033</v>
      </c>
      <c r="B963">
        <v>49.73</v>
      </c>
      <c r="C963">
        <v>49.880001</v>
      </c>
      <c r="D963">
        <v>48.509998000000003</v>
      </c>
      <c r="E963">
        <v>49.52</v>
      </c>
      <c r="F963">
        <v>48.296204000000003</v>
      </c>
      <c r="G963">
        <v>3750700</v>
      </c>
      <c r="I963">
        <f t="shared" si="15"/>
        <v>5.3365448518798652E-4</v>
      </c>
    </row>
    <row r="964" spans="1:9" x14ac:dyDescent="0.3">
      <c r="A964" s="5">
        <v>43034</v>
      </c>
      <c r="B964">
        <v>49.52</v>
      </c>
      <c r="C964">
        <v>49.73</v>
      </c>
      <c r="D964">
        <v>48.52</v>
      </c>
      <c r="E964">
        <v>49.150002000000001</v>
      </c>
      <c r="F964">
        <v>47.935352000000002</v>
      </c>
      <c r="G964">
        <v>3468500</v>
      </c>
      <c r="I964">
        <f t="shared" si="15"/>
        <v>3.1282805461752981E-4</v>
      </c>
    </row>
    <row r="965" spans="1:9" x14ac:dyDescent="0.3">
      <c r="A965" s="5">
        <v>43035</v>
      </c>
      <c r="B965">
        <v>47.834999000000003</v>
      </c>
      <c r="C965">
        <v>48.25</v>
      </c>
      <c r="D965">
        <v>47.009998000000003</v>
      </c>
      <c r="E965">
        <v>47.91</v>
      </c>
      <c r="F965">
        <v>46.725990000000003</v>
      </c>
      <c r="G965">
        <v>3870200</v>
      </c>
      <c r="I965">
        <f t="shared" si="15"/>
        <v>3.9100696639131225E-4</v>
      </c>
    </row>
    <row r="966" spans="1:9" x14ac:dyDescent="0.3">
      <c r="A966" s="5">
        <v>43038</v>
      </c>
      <c r="B966">
        <v>47.75</v>
      </c>
      <c r="C966">
        <v>48.380001</v>
      </c>
      <c r="D966">
        <v>47.369999</v>
      </c>
      <c r="E966">
        <v>47.419998</v>
      </c>
      <c r="F966">
        <v>46.248100000000001</v>
      </c>
      <c r="G966">
        <v>2072400</v>
      </c>
      <c r="I966">
        <f t="shared" si="15"/>
        <v>2.7113504139718027E-4</v>
      </c>
    </row>
    <row r="967" spans="1:9" x14ac:dyDescent="0.3">
      <c r="A967" s="5">
        <v>43039</v>
      </c>
      <c r="B967">
        <v>47.150002000000001</v>
      </c>
      <c r="C967">
        <v>48.07</v>
      </c>
      <c r="D967">
        <v>46.380001</v>
      </c>
      <c r="E967">
        <v>47.779998999999997</v>
      </c>
      <c r="F967">
        <v>46.599204999999998</v>
      </c>
      <c r="G967">
        <v>2721500</v>
      </c>
      <c r="I967">
        <f t="shared" si="15"/>
        <v>6.0660359729741372E-4</v>
      </c>
    </row>
    <row r="968" spans="1:9" x14ac:dyDescent="0.3">
      <c r="A968" s="5">
        <v>43040</v>
      </c>
      <c r="B968">
        <v>48.91</v>
      </c>
      <c r="C968">
        <v>49.27</v>
      </c>
      <c r="D968">
        <v>47.450001</v>
      </c>
      <c r="E968">
        <v>47.700001</v>
      </c>
      <c r="F968">
        <v>46.521183000000001</v>
      </c>
      <c r="G968">
        <v>3174600</v>
      </c>
      <c r="I968">
        <f t="shared" si="15"/>
        <v>3.9673846251673053E-4</v>
      </c>
    </row>
    <row r="969" spans="1:9" x14ac:dyDescent="0.3">
      <c r="A969" s="5">
        <v>43041</v>
      </c>
      <c r="B969">
        <v>47.68</v>
      </c>
      <c r="C969">
        <v>47.766998000000001</v>
      </c>
      <c r="D969">
        <v>47.07</v>
      </c>
      <c r="E969">
        <v>47.459999000000003</v>
      </c>
      <c r="F969">
        <v>46.287109000000001</v>
      </c>
      <c r="G969">
        <v>2059000</v>
      </c>
      <c r="I969">
        <f t="shared" si="15"/>
        <v>1.1800007369411777E-4</v>
      </c>
    </row>
    <row r="970" spans="1:9" x14ac:dyDescent="0.3">
      <c r="A970" s="5">
        <v>43042</v>
      </c>
      <c r="B970">
        <v>47.25</v>
      </c>
      <c r="C970">
        <v>47.43</v>
      </c>
      <c r="D970">
        <v>46.709999000000003</v>
      </c>
      <c r="E970">
        <v>47.119999</v>
      </c>
      <c r="F970">
        <v>45.955517</v>
      </c>
      <c r="G970">
        <v>1839000</v>
      </c>
      <c r="I970">
        <f t="shared" si="15"/>
        <v>1.2538580774468615E-4</v>
      </c>
    </row>
    <row r="971" spans="1:9" x14ac:dyDescent="0.3">
      <c r="A971" s="5">
        <v>43045</v>
      </c>
      <c r="B971">
        <v>47.200001</v>
      </c>
      <c r="C971">
        <v>47.68</v>
      </c>
      <c r="D971">
        <v>46.529998999999997</v>
      </c>
      <c r="E971">
        <v>47.290000999999997</v>
      </c>
      <c r="F971">
        <v>46.121315000000003</v>
      </c>
      <c r="G971">
        <v>1726600</v>
      </c>
      <c r="I971">
        <f t="shared" si="15"/>
        <v>3.1473089291393647E-4</v>
      </c>
    </row>
    <row r="972" spans="1:9" x14ac:dyDescent="0.3">
      <c r="A972" s="5">
        <v>43046</v>
      </c>
      <c r="B972">
        <v>47.110000999999997</v>
      </c>
      <c r="C972">
        <v>47.203999000000003</v>
      </c>
      <c r="D972">
        <v>46.540000999999997</v>
      </c>
      <c r="E972">
        <v>46.970001000000003</v>
      </c>
      <c r="F972">
        <v>45.809227</v>
      </c>
      <c r="G972">
        <v>2168900</v>
      </c>
      <c r="I972">
        <f t="shared" ref="I972:I1035" si="16">LN(C972/B972)*(LN(C972/B972)-LN(E972/B972))+LN(D972/B972)*(LN(D972/B972)-LN(E972/B972))</f>
        <v>1.2186129939394572E-4</v>
      </c>
    </row>
    <row r="973" spans="1:9" x14ac:dyDescent="0.3">
      <c r="A973" s="5">
        <v>43047</v>
      </c>
      <c r="B973">
        <v>46.73</v>
      </c>
      <c r="C973">
        <v>46.77</v>
      </c>
      <c r="D973">
        <v>45.369999</v>
      </c>
      <c r="E973">
        <v>45.889999000000003</v>
      </c>
      <c r="F973">
        <v>44.755913</v>
      </c>
      <c r="G973">
        <v>3348200</v>
      </c>
      <c r="I973">
        <f t="shared" si="16"/>
        <v>3.5284030187770766E-4</v>
      </c>
    </row>
    <row r="974" spans="1:9" x14ac:dyDescent="0.3">
      <c r="A974" s="5">
        <v>43048</v>
      </c>
      <c r="B974">
        <v>44.709999000000003</v>
      </c>
      <c r="C974">
        <v>44.709999000000003</v>
      </c>
      <c r="D974">
        <v>43.110000999999997</v>
      </c>
      <c r="E974">
        <v>43.330002</v>
      </c>
      <c r="F974">
        <v>42.259174000000002</v>
      </c>
      <c r="G974">
        <v>7673600</v>
      </c>
      <c r="I974">
        <f t="shared" si="16"/>
        <v>1.8550041134792096E-4</v>
      </c>
    </row>
    <row r="975" spans="1:9" x14ac:dyDescent="0.3">
      <c r="A975" s="5">
        <v>43049</v>
      </c>
      <c r="B975">
        <v>42.93</v>
      </c>
      <c r="C975">
        <v>44.459999000000003</v>
      </c>
      <c r="D975">
        <v>42.75</v>
      </c>
      <c r="E975">
        <v>43.009998000000003</v>
      </c>
      <c r="F975">
        <v>41.947085999999999</v>
      </c>
      <c r="G975">
        <v>4465300</v>
      </c>
      <c r="I975">
        <f t="shared" si="16"/>
        <v>1.1866116445999472E-3</v>
      </c>
    </row>
    <row r="976" spans="1:9" x14ac:dyDescent="0.3">
      <c r="A976" s="5">
        <v>43052</v>
      </c>
      <c r="B976">
        <v>42.700001</v>
      </c>
      <c r="C976">
        <v>43.869999</v>
      </c>
      <c r="D976">
        <v>42.549999</v>
      </c>
      <c r="E976">
        <v>43.130001</v>
      </c>
      <c r="F976">
        <v>42.064117000000003</v>
      </c>
      <c r="G976">
        <v>3162700</v>
      </c>
      <c r="I976">
        <f t="shared" si="16"/>
        <v>5.0750555282909012E-4</v>
      </c>
    </row>
    <row r="977" spans="1:9" x14ac:dyDescent="0.3">
      <c r="A977" s="5">
        <v>43053</v>
      </c>
      <c r="B977">
        <v>42.900002000000001</v>
      </c>
      <c r="C977">
        <v>42.900002000000001</v>
      </c>
      <c r="D977">
        <v>40.619999</v>
      </c>
      <c r="E977">
        <v>41.869999</v>
      </c>
      <c r="F977">
        <v>40.835265999999997</v>
      </c>
      <c r="G977">
        <v>8096800</v>
      </c>
      <c r="I977">
        <f t="shared" si="16"/>
        <v>1.6552164791725223E-3</v>
      </c>
    </row>
    <row r="978" spans="1:9" x14ac:dyDescent="0.3">
      <c r="A978" s="5">
        <v>43054</v>
      </c>
      <c r="B978">
        <v>41.27</v>
      </c>
      <c r="C978">
        <v>42.369999</v>
      </c>
      <c r="D978">
        <v>40.729999999999997</v>
      </c>
      <c r="E978">
        <v>42.209999000000003</v>
      </c>
      <c r="F978">
        <v>41.166854999999998</v>
      </c>
      <c r="G978">
        <v>4734000</v>
      </c>
      <c r="I978">
        <f t="shared" si="16"/>
        <v>5.6962069758944038E-4</v>
      </c>
    </row>
    <row r="979" spans="1:9" x14ac:dyDescent="0.3">
      <c r="A979" s="5">
        <v>43055</v>
      </c>
      <c r="B979">
        <v>42.68</v>
      </c>
      <c r="C979">
        <v>43.080002</v>
      </c>
      <c r="D979">
        <v>42.060001</v>
      </c>
      <c r="E979">
        <v>42.299999</v>
      </c>
      <c r="F979">
        <v>41.254626999999999</v>
      </c>
      <c r="G979">
        <v>3351200</v>
      </c>
      <c r="I979">
        <f t="shared" si="16"/>
        <v>2.5370948440908995E-4</v>
      </c>
    </row>
    <row r="980" spans="1:9" x14ac:dyDescent="0.3">
      <c r="A980" s="5">
        <v>43056</v>
      </c>
      <c r="B980">
        <v>42</v>
      </c>
      <c r="C980">
        <v>43.599997999999999</v>
      </c>
      <c r="D980">
        <v>42</v>
      </c>
      <c r="E980">
        <v>43.400002000000001</v>
      </c>
      <c r="F980">
        <v>42.327449999999999</v>
      </c>
      <c r="G980">
        <v>3569000</v>
      </c>
      <c r="I980">
        <f t="shared" si="16"/>
        <v>1.7189335313707945E-4</v>
      </c>
    </row>
    <row r="981" spans="1:9" x14ac:dyDescent="0.3">
      <c r="A981" s="5">
        <v>43059</v>
      </c>
      <c r="B981">
        <v>42.290000999999997</v>
      </c>
      <c r="C981">
        <v>42.549999</v>
      </c>
      <c r="D981">
        <v>41.75</v>
      </c>
      <c r="E981">
        <v>42.209999000000003</v>
      </c>
      <c r="F981">
        <v>41.166854999999998</v>
      </c>
      <c r="G981">
        <v>4846200</v>
      </c>
      <c r="I981">
        <f t="shared" si="16"/>
        <v>1.8999201498722654E-4</v>
      </c>
    </row>
    <row r="982" spans="1:9" x14ac:dyDescent="0.3">
      <c r="A982" s="5">
        <v>43060</v>
      </c>
      <c r="B982">
        <v>42.73</v>
      </c>
      <c r="C982">
        <v>42.73</v>
      </c>
      <c r="D982">
        <v>40.220001000000003</v>
      </c>
      <c r="E982">
        <v>41.389999000000003</v>
      </c>
      <c r="F982">
        <v>40.367114999999998</v>
      </c>
      <c r="G982">
        <v>6260000</v>
      </c>
      <c r="I982">
        <f t="shared" si="16"/>
        <v>1.7358861748940102E-3</v>
      </c>
    </row>
    <row r="983" spans="1:9" x14ac:dyDescent="0.3">
      <c r="A983" s="5">
        <v>43061</v>
      </c>
      <c r="B983">
        <v>41.84</v>
      </c>
      <c r="C983">
        <v>42.68</v>
      </c>
      <c r="D983">
        <v>41.775002000000001</v>
      </c>
      <c r="E983">
        <v>42.639999000000003</v>
      </c>
      <c r="F983">
        <v>41.586235000000002</v>
      </c>
      <c r="G983">
        <v>3254600</v>
      </c>
      <c r="I983">
        <f t="shared" si="16"/>
        <v>5.0501590274375327E-5</v>
      </c>
    </row>
    <row r="984" spans="1:9" x14ac:dyDescent="0.3">
      <c r="A984" s="5">
        <v>43063</v>
      </c>
      <c r="B984">
        <v>42.799999</v>
      </c>
      <c r="C984">
        <v>42.900002000000001</v>
      </c>
      <c r="D984">
        <v>42.09</v>
      </c>
      <c r="E984">
        <v>42.209999000000003</v>
      </c>
      <c r="F984">
        <v>41.166854999999998</v>
      </c>
      <c r="G984">
        <v>1306100</v>
      </c>
      <c r="I984">
        <f t="shared" si="16"/>
        <v>8.5465384111579819E-5</v>
      </c>
    </row>
    <row r="985" spans="1:9" x14ac:dyDescent="0.3">
      <c r="A985" s="5">
        <v>43066</v>
      </c>
      <c r="B985">
        <v>42.150002000000001</v>
      </c>
      <c r="C985">
        <v>42.419998</v>
      </c>
      <c r="D985">
        <v>41.490001999999997</v>
      </c>
      <c r="E985">
        <v>42.040000999999997</v>
      </c>
      <c r="F985">
        <v>41.001060000000003</v>
      </c>
      <c r="G985">
        <v>3091700</v>
      </c>
      <c r="I985">
        <f t="shared" si="16"/>
        <v>2.6529370020738778E-4</v>
      </c>
    </row>
    <row r="986" spans="1:9" x14ac:dyDescent="0.3">
      <c r="A986" s="5">
        <v>43067</v>
      </c>
      <c r="B986">
        <v>41.810001</v>
      </c>
      <c r="C986">
        <v>43.75</v>
      </c>
      <c r="D986">
        <v>41.209999000000003</v>
      </c>
      <c r="E986">
        <v>43.299999</v>
      </c>
      <c r="F986">
        <v>42.229916000000003</v>
      </c>
      <c r="G986">
        <v>8604200</v>
      </c>
      <c r="I986">
        <f t="shared" si="16"/>
        <v>1.1840320611502125E-3</v>
      </c>
    </row>
    <row r="987" spans="1:9" x14ac:dyDescent="0.3">
      <c r="A987" s="5">
        <v>43068</v>
      </c>
      <c r="B987">
        <v>42.189999</v>
      </c>
      <c r="C987">
        <v>42.32</v>
      </c>
      <c r="D987">
        <v>40.799999</v>
      </c>
      <c r="E987">
        <v>41.240001999999997</v>
      </c>
      <c r="F987">
        <v>40.220824999999998</v>
      </c>
      <c r="G987">
        <v>4938500</v>
      </c>
      <c r="I987">
        <f t="shared" si="16"/>
        <v>4.3888813536820353E-4</v>
      </c>
    </row>
    <row r="988" spans="1:9" x14ac:dyDescent="0.3">
      <c r="A988" s="5">
        <v>43069</v>
      </c>
      <c r="B988">
        <v>41.5</v>
      </c>
      <c r="C988">
        <v>42.16</v>
      </c>
      <c r="D988">
        <v>41.130001</v>
      </c>
      <c r="E988">
        <v>41.509998000000003</v>
      </c>
      <c r="F988">
        <v>40.484158000000001</v>
      </c>
      <c r="G988">
        <v>4407400</v>
      </c>
      <c r="I988">
        <f t="shared" si="16"/>
        <v>3.2751994313092093E-4</v>
      </c>
    </row>
    <row r="989" spans="1:9" x14ac:dyDescent="0.3">
      <c r="A989" s="5">
        <v>43070</v>
      </c>
      <c r="B989">
        <v>41.82</v>
      </c>
      <c r="C989">
        <v>42.299999</v>
      </c>
      <c r="D989">
        <v>40.521000000000001</v>
      </c>
      <c r="E989">
        <v>41.639999000000003</v>
      </c>
      <c r="F989">
        <v>40.610939000000002</v>
      </c>
      <c r="G989">
        <v>3750900</v>
      </c>
      <c r="I989">
        <f t="shared" si="16"/>
        <v>1.039036399749262E-3</v>
      </c>
    </row>
    <row r="990" spans="1:9" x14ac:dyDescent="0.3">
      <c r="A990" s="5">
        <v>43073</v>
      </c>
      <c r="B990">
        <v>41.869999</v>
      </c>
      <c r="C990">
        <v>42.599997999999999</v>
      </c>
      <c r="D990">
        <v>41.5</v>
      </c>
      <c r="E990">
        <v>41.790000999999997</v>
      </c>
      <c r="F990">
        <v>40.757232999999999</v>
      </c>
      <c r="G990">
        <v>2709800</v>
      </c>
      <c r="I990">
        <f t="shared" si="16"/>
        <v>3.9362572118796285E-4</v>
      </c>
    </row>
    <row r="991" spans="1:9" x14ac:dyDescent="0.3">
      <c r="A991" s="5">
        <v>43074</v>
      </c>
      <c r="B991">
        <v>41.369999</v>
      </c>
      <c r="C991">
        <v>41.860000999999997</v>
      </c>
      <c r="D991">
        <v>40.950001</v>
      </c>
      <c r="E991">
        <v>41.18</v>
      </c>
      <c r="F991">
        <v>40.162312</v>
      </c>
      <c r="G991">
        <v>2855500</v>
      </c>
      <c r="I991">
        <f t="shared" si="16"/>
        <v>2.4999981172368901E-4</v>
      </c>
    </row>
    <row r="992" spans="1:9" x14ac:dyDescent="0.3">
      <c r="A992" s="5">
        <v>43075</v>
      </c>
      <c r="B992">
        <v>40.799999</v>
      </c>
      <c r="C992">
        <v>41.490001999999997</v>
      </c>
      <c r="D992">
        <v>40.299999</v>
      </c>
      <c r="E992">
        <v>41.310001</v>
      </c>
      <c r="F992">
        <v>40.289096999999998</v>
      </c>
      <c r="G992">
        <v>5437800</v>
      </c>
      <c r="I992">
        <f t="shared" si="16"/>
        <v>3.781373068428928E-4</v>
      </c>
    </row>
    <row r="993" spans="1:9" x14ac:dyDescent="0.3">
      <c r="A993" s="5">
        <v>43076</v>
      </c>
      <c r="B993">
        <v>41.130001</v>
      </c>
      <c r="C993">
        <v>41.189999</v>
      </c>
      <c r="D993">
        <v>40.270000000000003</v>
      </c>
      <c r="E993">
        <v>40.599997999999999</v>
      </c>
      <c r="F993">
        <v>39.596645000000002</v>
      </c>
      <c r="G993">
        <v>3426900</v>
      </c>
      <c r="I993">
        <f t="shared" si="16"/>
        <v>1.9348606898703796E-4</v>
      </c>
    </row>
    <row r="994" spans="1:9" x14ac:dyDescent="0.3">
      <c r="A994" s="5">
        <v>43077</v>
      </c>
      <c r="B994">
        <v>41</v>
      </c>
      <c r="C994">
        <v>41.77</v>
      </c>
      <c r="D994">
        <v>40.900002000000001</v>
      </c>
      <c r="E994">
        <v>41.400002000000001</v>
      </c>
      <c r="F994">
        <v>40.376880999999997</v>
      </c>
      <c r="G994">
        <v>3696900</v>
      </c>
      <c r="I994">
        <f t="shared" si="16"/>
        <v>1.9522046304875317E-4</v>
      </c>
    </row>
    <row r="995" spans="1:9" x14ac:dyDescent="0.3">
      <c r="A995" s="5">
        <v>43080</v>
      </c>
      <c r="B995">
        <v>41.540000999999997</v>
      </c>
      <c r="C995">
        <v>42.98</v>
      </c>
      <c r="D995">
        <v>41.540000999999997</v>
      </c>
      <c r="E995">
        <v>42.240001999999997</v>
      </c>
      <c r="F995">
        <v>41.196120999999998</v>
      </c>
      <c r="G995">
        <v>4053000</v>
      </c>
      <c r="I995">
        <f t="shared" si="16"/>
        <v>5.9184043952126785E-4</v>
      </c>
    </row>
    <row r="996" spans="1:9" x14ac:dyDescent="0.3">
      <c r="A996" s="5">
        <v>43081</v>
      </c>
      <c r="B996">
        <v>42.389999000000003</v>
      </c>
      <c r="C996">
        <v>42.880001</v>
      </c>
      <c r="D996">
        <v>42.185001</v>
      </c>
      <c r="E996">
        <v>42.400002000000001</v>
      </c>
      <c r="F996">
        <v>41.352173000000001</v>
      </c>
      <c r="G996">
        <v>3421500</v>
      </c>
      <c r="I996">
        <f t="shared" si="16"/>
        <v>1.5402338545257886E-4</v>
      </c>
    </row>
    <row r="997" spans="1:9" x14ac:dyDescent="0.3">
      <c r="A997" s="5">
        <v>43082</v>
      </c>
      <c r="B997">
        <v>42.450001</v>
      </c>
      <c r="C997">
        <v>42.57</v>
      </c>
      <c r="D997">
        <v>41.715000000000003</v>
      </c>
      <c r="E997">
        <v>41.860000999999997</v>
      </c>
      <c r="F997">
        <v>40.825507999999999</v>
      </c>
      <c r="G997">
        <v>4146200</v>
      </c>
      <c r="I997">
        <f t="shared" si="16"/>
        <v>1.0808447109787075E-4</v>
      </c>
    </row>
    <row r="998" spans="1:9" x14ac:dyDescent="0.3">
      <c r="A998" s="5">
        <v>43083</v>
      </c>
      <c r="B998">
        <v>42</v>
      </c>
      <c r="C998">
        <v>42.375</v>
      </c>
      <c r="D998">
        <v>41.959999000000003</v>
      </c>
      <c r="E998">
        <v>42.349997999999999</v>
      </c>
      <c r="F998">
        <v>41.303398000000001</v>
      </c>
      <c r="G998">
        <v>3684200</v>
      </c>
      <c r="I998">
        <f t="shared" si="16"/>
        <v>1.406166414208786E-5</v>
      </c>
    </row>
    <row r="999" spans="1:9" x14ac:dyDescent="0.3">
      <c r="A999" s="5">
        <v>43084</v>
      </c>
      <c r="B999">
        <v>42.799999</v>
      </c>
      <c r="C999">
        <v>43.139999000000003</v>
      </c>
      <c r="D999">
        <v>42.279998999999997</v>
      </c>
      <c r="E999">
        <v>42.610000999999997</v>
      </c>
      <c r="F999">
        <v>41.556969000000002</v>
      </c>
      <c r="G999">
        <v>4536800</v>
      </c>
      <c r="I999">
        <f t="shared" si="16"/>
        <v>1.9285120753703209E-4</v>
      </c>
    </row>
    <row r="1000" spans="1:9" x14ac:dyDescent="0.3">
      <c r="A1000" s="5">
        <v>43087</v>
      </c>
      <c r="B1000">
        <v>42.810001</v>
      </c>
      <c r="C1000">
        <v>44.689999</v>
      </c>
      <c r="D1000">
        <v>42.759998000000003</v>
      </c>
      <c r="E1000">
        <v>44.57</v>
      </c>
      <c r="F1000">
        <v>43.468533000000001</v>
      </c>
      <c r="G1000">
        <v>3175100</v>
      </c>
      <c r="I1000">
        <f t="shared" si="16"/>
        <v>1.6400931937255142E-4</v>
      </c>
    </row>
    <row r="1001" spans="1:9" x14ac:dyDescent="0.3">
      <c r="A1001" s="5">
        <v>43088</v>
      </c>
      <c r="B1001">
        <v>44.669998</v>
      </c>
      <c r="C1001">
        <v>46.540000999999997</v>
      </c>
      <c r="D1001">
        <v>44.66</v>
      </c>
      <c r="E1001">
        <v>46.52</v>
      </c>
      <c r="F1001">
        <v>45.370350000000002</v>
      </c>
      <c r="G1001">
        <v>5960200</v>
      </c>
      <c r="I1001">
        <f t="shared" si="16"/>
        <v>2.6762012882824248E-5</v>
      </c>
    </row>
    <row r="1002" spans="1:9" x14ac:dyDescent="0.3">
      <c r="A1002" s="5">
        <v>43089</v>
      </c>
      <c r="B1002">
        <v>48.200001</v>
      </c>
      <c r="C1002">
        <v>49.669998</v>
      </c>
      <c r="D1002">
        <v>47.629002</v>
      </c>
      <c r="E1002">
        <v>49.259998000000003</v>
      </c>
      <c r="F1002">
        <v>48.042625000000001</v>
      </c>
      <c r="G1002">
        <v>7170900</v>
      </c>
      <c r="I1002">
        <f t="shared" si="16"/>
        <v>6.5026793106386593E-4</v>
      </c>
    </row>
    <row r="1003" spans="1:9" x14ac:dyDescent="0.3">
      <c r="A1003" s="5">
        <v>43090</v>
      </c>
      <c r="B1003">
        <v>49.284999999999997</v>
      </c>
      <c r="C1003">
        <v>49.68</v>
      </c>
      <c r="D1003">
        <v>48.77</v>
      </c>
      <c r="E1003">
        <v>48.990001999999997</v>
      </c>
      <c r="F1003">
        <v>47.779305000000001</v>
      </c>
      <c r="G1003">
        <v>3055800</v>
      </c>
      <c r="I1003">
        <f t="shared" si="16"/>
        <v>1.5892605255386842E-4</v>
      </c>
    </row>
    <row r="1004" spans="1:9" x14ac:dyDescent="0.3">
      <c r="A1004" s="5">
        <v>43091</v>
      </c>
      <c r="B1004">
        <v>49.27</v>
      </c>
      <c r="C1004">
        <v>50.040000999999997</v>
      </c>
      <c r="D1004">
        <v>48.810001</v>
      </c>
      <c r="E1004">
        <v>49.990001999999997</v>
      </c>
      <c r="F1004">
        <v>48.754589000000003</v>
      </c>
      <c r="G1004">
        <v>2427500</v>
      </c>
      <c r="I1004">
        <f t="shared" si="16"/>
        <v>2.3957337819523644E-4</v>
      </c>
    </row>
    <row r="1005" spans="1:9" x14ac:dyDescent="0.3">
      <c r="A1005" s="5">
        <v>43095</v>
      </c>
      <c r="B1005">
        <v>49.98</v>
      </c>
      <c r="C1005">
        <v>50.5</v>
      </c>
      <c r="D1005">
        <v>49.209999000000003</v>
      </c>
      <c r="E1005">
        <v>50.380001</v>
      </c>
      <c r="F1005">
        <v>49.134953000000003</v>
      </c>
      <c r="G1005">
        <v>2759800</v>
      </c>
      <c r="I1005">
        <f t="shared" si="16"/>
        <v>3.8944773845959324E-4</v>
      </c>
    </row>
    <row r="1006" spans="1:9" x14ac:dyDescent="0.3">
      <c r="A1006" s="5">
        <v>43096</v>
      </c>
      <c r="B1006">
        <v>50.549999</v>
      </c>
      <c r="C1006">
        <v>51.93</v>
      </c>
      <c r="D1006">
        <v>50.200001</v>
      </c>
      <c r="E1006">
        <v>51.84</v>
      </c>
      <c r="F1006">
        <v>50.558864999999997</v>
      </c>
      <c r="G1006">
        <v>2977800</v>
      </c>
      <c r="I1006">
        <f t="shared" si="16"/>
        <v>2.7007291440698307E-4</v>
      </c>
    </row>
    <row r="1007" spans="1:9" x14ac:dyDescent="0.3">
      <c r="A1007" s="5">
        <v>43097</v>
      </c>
      <c r="B1007">
        <v>52.049999</v>
      </c>
      <c r="C1007">
        <v>54.200001</v>
      </c>
      <c r="D1007">
        <v>52.021000000000001</v>
      </c>
      <c r="E1007">
        <v>54.139999000000003</v>
      </c>
      <c r="F1007">
        <v>52.802028999999997</v>
      </c>
      <c r="G1007">
        <v>5702000</v>
      </c>
      <c r="I1007">
        <f t="shared" si="16"/>
        <v>6.7084205870015964E-5</v>
      </c>
    </row>
    <row r="1008" spans="1:9" x14ac:dyDescent="0.3">
      <c r="A1008" s="5">
        <v>43098</v>
      </c>
      <c r="B1008">
        <v>54</v>
      </c>
      <c r="C1008">
        <v>54.610000999999997</v>
      </c>
      <c r="D1008">
        <v>53.52</v>
      </c>
      <c r="E1008">
        <v>53.869999</v>
      </c>
      <c r="F1008">
        <v>52.538696000000002</v>
      </c>
      <c r="G1008">
        <v>5174600</v>
      </c>
      <c r="I1008">
        <f t="shared" si="16"/>
        <v>2.1145472199138939E-4</v>
      </c>
    </row>
    <row r="1009" spans="1:9" x14ac:dyDescent="0.3">
      <c r="A1009" s="5">
        <v>43102</v>
      </c>
      <c r="B1009">
        <v>54.060001</v>
      </c>
      <c r="C1009">
        <v>55.220001000000003</v>
      </c>
      <c r="D1009">
        <v>53.91</v>
      </c>
      <c r="E1009">
        <v>55.169998</v>
      </c>
      <c r="F1009">
        <v>53.806572000000003</v>
      </c>
      <c r="G1009">
        <v>2928900</v>
      </c>
      <c r="I1009">
        <f t="shared" si="16"/>
        <v>8.3427710491256173E-5</v>
      </c>
    </row>
    <row r="1010" spans="1:9" x14ac:dyDescent="0.3">
      <c r="A1010" s="5">
        <v>43103</v>
      </c>
      <c r="B1010">
        <v>54.919998</v>
      </c>
      <c r="C1010">
        <v>55.150002000000001</v>
      </c>
      <c r="D1010">
        <v>52.959999000000003</v>
      </c>
      <c r="E1010">
        <v>54.5</v>
      </c>
      <c r="F1010">
        <v>53.153132999999997</v>
      </c>
      <c r="G1010">
        <v>4100000</v>
      </c>
      <c r="I1010">
        <f t="shared" si="16"/>
        <v>1.091210872648766E-3</v>
      </c>
    </row>
    <row r="1011" spans="1:9" x14ac:dyDescent="0.3">
      <c r="A1011" s="5">
        <v>43104</v>
      </c>
      <c r="B1011">
        <v>54.810001</v>
      </c>
      <c r="C1011">
        <v>55.43</v>
      </c>
      <c r="D1011">
        <v>54.075001</v>
      </c>
      <c r="E1011">
        <v>54.700001</v>
      </c>
      <c r="F1011">
        <v>53.348190000000002</v>
      </c>
      <c r="G1011">
        <v>3555100</v>
      </c>
      <c r="I1011">
        <f t="shared" si="16"/>
        <v>3.0426752976707547E-4</v>
      </c>
    </row>
    <row r="1012" spans="1:9" x14ac:dyDescent="0.3">
      <c r="A1012" s="5">
        <v>43105</v>
      </c>
      <c r="B1012">
        <v>54.650002000000001</v>
      </c>
      <c r="C1012">
        <v>54.66</v>
      </c>
      <c r="D1012">
        <v>53.41</v>
      </c>
      <c r="E1012">
        <v>54.09</v>
      </c>
      <c r="F1012">
        <v>52.753261999999999</v>
      </c>
      <c r="G1012">
        <v>3371400</v>
      </c>
      <c r="I1012">
        <f t="shared" si="16"/>
        <v>2.9228158075386907E-4</v>
      </c>
    </row>
    <row r="1013" spans="1:9" x14ac:dyDescent="0.3">
      <c r="A1013" s="5">
        <v>43108</v>
      </c>
      <c r="B1013">
        <v>53.959999000000003</v>
      </c>
      <c r="C1013">
        <v>56.150002000000001</v>
      </c>
      <c r="D1013">
        <v>53.66</v>
      </c>
      <c r="E1013">
        <v>55</v>
      </c>
      <c r="F1013">
        <v>53.640770000000003</v>
      </c>
      <c r="G1013">
        <v>5028100</v>
      </c>
      <c r="I1013">
        <f t="shared" si="16"/>
        <v>9.6077874554400481E-4</v>
      </c>
    </row>
    <row r="1014" spans="1:9" x14ac:dyDescent="0.3">
      <c r="A1014" s="5">
        <v>43109</v>
      </c>
      <c r="B1014">
        <v>55</v>
      </c>
      <c r="C1014">
        <v>55.080002</v>
      </c>
      <c r="D1014">
        <v>54</v>
      </c>
      <c r="E1014">
        <v>54.200001</v>
      </c>
      <c r="F1014">
        <v>52.860550000000003</v>
      </c>
      <c r="G1014">
        <v>3533000</v>
      </c>
      <c r="I1014">
        <f t="shared" si="16"/>
        <v>9.1244727492498083E-5</v>
      </c>
    </row>
    <row r="1015" spans="1:9" x14ac:dyDescent="0.3">
      <c r="A1015" s="5">
        <v>43110</v>
      </c>
      <c r="B1015">
        <v>54.369999</v>
      </c>
      <c r="C1015">
        <v>56.259998000000003</v>
      </c>
      <c r="D1015">
        <v>54.23</v>
      </c>
      <c r="E1015">
        <v>56.169998</v>
      </c>
      <c r="F1015">
        <v>54.781860000000002</v>
      </c>
      <c r="G1015">
        <v>5056100</v>
      </c>
      <c r="I1015">
        <f t="shared" si="16"/>
        <v>1.4532977513455857E-4</v>
      </c>
    </row>
    <row r="1016" spans="1:9" x14ac:dyDescent="0.3">
      <c r="A1016" s="5">
        <v>43111</v>
      </c>
      <c r="B1016">
        <v>56.599997999999999</v>
      </c>
      <c r="C1016">
        <v>57.130001</v>
      </c>
      <c r="D1016">
        <v>55.869999</v>
      </c>
      <c r="E1016">
        <v>56.91</v>
      </c>
      <c r="F1016">
        <v>55.503574</v>
      </c>
      <c r="G1016">
        <v>2743100</v>
      </c>
      <c r="I1016">
        <f t="shared" si="16"/>
        <v>2.7538410062165634E-4</v>
      </c>
    </row>
    <row r="1017" spans="1:9" x14ac:dyDescent="0.3">
      <c r="A1017" s="5">
        <v>43112</v>
      </c>
      <c r="B1017">
        <v>57.049999</v>
      </c>
      <c r="C1017">
        <v>57.5</v>
      </c>
      <c r="D1017">
        <v>56.110000999999997</v>
      </c>
      <c r="E1017">
        <v>56.759998000000003</v>
      </c>
      <c r="F1017">
        <v>55.357272999999999</v>
      </c>
      <c r="G1017">
        <v>4216600</v>
      </c>
      <c r="I1017">
        <f t="shared" si="16"/>
        <v>2.9312709908137414E-4</v>
      </c>
    </row>
    <row r="1018" spans="1:9" x14ac:dyDescent="0.3">
      <c r="A1018" s="5">
        <v>43116</v>
      </c>
      <c r="B1018">
        <v>56.09</v>
      </c>
      <c r="C1018">
        <v>57.040000999999997</v>
      </c>
      <c r="D1018">
        <v>55.459999000000003</v>
      </c>
      <c r="E1018">
        <v>56.240001999999997</v>
      </c>
      <c r="F1018">
        <v>54.850132000000002</v>
      </c>
      <c r="G1018">
        <v>3888400</v>
      </c>
      <c r="I1018">
        <f t="shared" si="16"/>
        <v>3.94980886316481E-4</v>
      </c>
    </row>
    <row r="1019" spans="1:9" x14ac:dyDescent="0.3">
      <c r="A1019" s="5">
        <v>43117</v>
      </c>
      <c r="B1019">
        <v>56.029998999999997</v>
      </c>
      <c r="C1019">
        <v>57.040000999999997</v>
      </c>
      <c r="D1019">
        <v>55.580002</v>
      </c>
      <c r="E1019">
        <v>56.990001999999997</v>
      </c>
      <c r="F1019">
        <v>55.581600000000002</v>
      </c>
      <c r="G1019">
        <v>8189700</v>
      </c>
      <c r="I1019">
        <f t="shared" si="16"/>
        <v>2.1768413569007883E-4</v>
      </c>
    </row>
    <row r="1020" spans="1:9" x14ac:dyDescent="0.3">
      <c r="A1020" s="5">
        <v>43118</v>
      </c>
      <c r="B1020">
        <v>53.669998</v>
      </c>
      <c r="C1020">
        <v>53.869999</v>
      </c>
      <c r="D1020">
        <v>51.720001000000003</v>
      </c>
      <c r="E1020">
        <v>53</v>
      </c>
      <c r="F1020">
        <v>51.690207999999998</v>
      </c>
      <c r="G1020">
        <v>19521000</v>
      </c>
      <c r="I1020">
        <f t="shared" si="16"/>
        <v>9.653469905543361E-4</v>
      </c>
    </row>
    <row r="1021" spans="1:9" x14ac:dyDescent="0.3">
      <c r="A1021" s="5">
        <v>43119</v>
      </c>
      <c r="B1021">
        <v>52.860000999999997</v>
      </c>
      <c r="C1021">
        <v>53.68</v>
      </c>
      <c r="D1021">
        <v>52.549999</v>
      </c>
      <c r="E1021">
        <v>53.099997999999999</v>
      </c>
      <c r="F1021">
        <v>51.787726999999997</v>
      </c>
      <c r="G1021">
        <v>5759600</v>
      </c>
      <c r="I1021">
        <f t="shared" si="16"/>
        <v>2.2847027611896625E-4</v>
      </c>
    </row>
    <row r="1022" spans="1:9" x14ac:dyDescent="0.3">
      <c r="A1022" s="5">
        <v>43122</v>
      </c>
      <c r="B1022">
        <v>52.799999</v>
      </c>
      <c r="C1022">
        <v>53.900002000000001</v>
      </c>
      <c r="D1022">
        <v>52.261001999999998</v>
      </c>
      <c r="E1022">
        <v>52.939999</v>
      </c>
      <c r="F1022">
        <v>51.631683000000002</v>
      </c>
      <c r="G1022">
        <v>4220800</v>
      </c>
      <c r="I1022">
        <f t="shared" si="16"/>
        <v>5.0301042160288782E-4</v>
      </c>
    </row>
    <row r="1023" spans="1:9" x14ac:dyDescent="0.3">
      <c r="A1023" s="5">
        <v>43123</v>
      </c>
      <c r="B1023">
        <v>52.34</v>
      </c>
      <c r="C1023">
        <v>52.900002000000001</v>
      </c>
      <c r="D1023">
        <v>51.73</v>
      </c>
      <c r="E1023">
        <v>52.490001999999997</v>
      </c>
      <c r="F1023">
        <v>51.192810000000001</v>
      </c>
      <c r="G1023">
        <v>4892100</v>
      </c>
      <c r="I1023">
        <f t="shared" si="16"/>
        <v>2.5378369560782004E-4</v>
      </c>
    </row>
    <row r="1024" spans="1:9" x14ac:dyDescent="0.3">
      <c r="A1024" s="5">
        <v>43124</v>
      </c>
      <c r="B1024">
        <v>52.900002000000001</v>
      </c>
      <c r="C1024">
        <v>53.853000999999999</v>
      </c>
      <c r="D1024">
        <v>52.389999000000003</v>
      </c>
      <c r="E1024">
        <v>53.299999</v>
      </c>
      <c r="F1024">
        <v>51.982787999999999</v>
      </c>
      <c r="G1024">
        <v>2521900</v>
      </c>
      <c r="I1024">
        <f t="shared" si="16"/>
        <v>3.5112087251482256E-4</v>
      </c>
    </row>
    <row r="1025" spans="1:9" x14ac:dyDescent="0.3">
      <c r="A1025" s="5">
        <v>43125</v>
      </c>
      <c r="B1025">
        <v>53.740001999999997</v>
      </c>
      <c r="C1025">
        <v>53.889999000000003</v>
      </c>
      <c r="D1025">
        <v>52.720001000000003</v>
      </c>
      <c r="E1025">
        <v>53.110000999999997</v>
      </c>
      <c r="F1025">
        <v>51.797477999999998</v>
      </c>
      <c r="G1025">
        <v>3762700</v>
      </c>
      <c r="I1025">
        <f t="shared" si="16"/>
        <v>1.8187341596509859E-4</v>
      </c>
    </row>
    <row r="1026" spans="1:9" x14ac:dyDescent="0.3">
      <c r="A1026" s="5">
        <v>43126</v>
      </c>
      <c r="B1026">
        <v>53.549999</v>
      </c>
      <c r="C1026">
        <v>54.400002000000001</v>
      </c>
      <c r="D1026">
        <v>53.279998999999997</v>
      </c>
      <c r="E1026">
        <v>54</v>
      </c>
      <c r="F1026">
        <v>52.665492999999998</v>
      </c>
      <c r="G1026">
        <v>2747900</v>
      </c>
      <c r="I1026">
        <f t="shared" si="16"/>
        <v>1.8407593782383464E-4</v>
      </c>
    </row>
    <row r="1027" spans="1:9" x14ac:dyDescent="0.3">
      <c r="A1027" s="5">
        <v>43129</v>
      </c>
      <c r="B1027">
        <v>53.889999000000003</v>
      </c>
      <c r="C1027">
        <v>54.630001</v>
      </c>
      <c r="D1027">
        <v>53.52</v>
      </c>
      <c r="E1027">
        <v>54.490001999999997</v>
      </c>
      <c r="F1027">
        <v>53.143374999999999</v>
      </c>
      <c r="G1027">
        <v>4648600</v>
      </c>
      <c r="I1027">
        <f t="shared" si="16"/>
        <v>1.5874328521035369E-4</v>
      </c>
    </row>
    <row r="1028" spans="1:9" x14ac:dyDescent="0.3">
      <c r="A1028" s="5">
        <v>43130</v>
      </c>
      <c r="B1028">
        <v>53.669998</v>
      </c>
      <c r="C1028">
        <v>53.970001000000003</v>
      </c>
      <c r="D1028">
        <v>52.52</v>
      </c>
      <c r="E1028">
        <v>52.52</v>
      </c>
      <c r="F1028">
        <v>51.222065000000001</v>
      </c>
      <c r="G1028">
        <v>3655400</v>
      </c>
      <c r="I1028">
        <f t="shared" si="16"/>
        <v>1.5180963678760256E-4</v>
      </c>
    </row>
    <row r="1029" spans="1:9" x14ac:dyDescent="0.3">
      <c r="A1029" s="5">
        <v>43131</v>
      </c>
      <c r="B1029">
        <v>52.75</v>
      </c>
      <c r="C1029">
        <v>53.360000999999997</v>
      </c>
      <c r="D1029">
        <v>51.25</v>
      </c>
      <c r="E1029">
        <v>52.02</v>
      </c>
      <c r="F1029">
        <v>50.734420999999998</v>
      </c>
      <c r="G1029">
        <v>4470100</v>
      </c>
      <c r="I1029">
        <f t="shared" si="16"/>
        <v>7.2262372282066675E-4</v>
      </c>
    </row>
    <row r="1030" spans="1:9" x14ac:dyDescent="0.3">
      <c r="A1030" s="5">
        <v>43132</v>
      </c>
      <c r="B1030">
        <v>51.41</v>
      </c>
      <c r="C1030">
        <v>52.5</v>
      </c>
      <c r="D1030">
        <v>51.27</v>
      </c>
      <c r="E1030">
        <v>52.419998</v>
      </c>
      <c r="F1030">
        <v>51.124538000000001</v>
      </c>
      <c r="G1030">
        <v>3176500</v>
      </c>
      <c r="I1030">
        <f t="shared" si="16"/>
        <v>9.2484978851381099E-5</v>
      </c>
    </row>
    <row r="1031" spans="1:9" x14ac:dyDescent="0.3">
      <c r="A1031" s="5">
        <v>43133</v>
      </c>
      <c r="B1031">
        <v>52</v>
      </c>
      <c r="C1031">
        <v>52</v>
      </c>
      <c r="D1031">
        <v>49</v>
      </c>
      <c r="E1031">
        <v>49.09</v>
      </c>
      <c r="F1031">
        <v>47.876835</v>
      </c>
      <c r="G1031">
        <v>6060500</v>
      </c>
      <c r="I1031">
        <f t="shared" si="16"/>
        <v>1.0904494531846597E-4</v>
      </c>
    </row>
    <row r="1032" spans="1:9" x14ac:dyDescent="0.3">
      <c r="A1032" s="5">
        <v>43136</v>
      </c>
      <c r="B1032">
        <v>48.610000999999997</v>
      </c>
      <c r="C1032">
        <v>50.75</v>
      </c>
      <c r="D1032">
        <v>47.799999</v>
      </c>
      <c r="E1032">
        <v>48.459999000000003</v>
      </c>
      <c r="F1032">
        <v>47.262402000000002</v>
      </c>
      <c r="G1032">
        <v>3865500</v>
      </c>
      <c r="I1032">
        <f t="shared" si="16"/>
        <v>2.2196669904573775E-3</v>
      </c>
    </row>
    <row r="1033" spans="1:9" x14ac:dyDescent="0.3">
      <c r="A1033" s="5">
        <v>43137</v>
      </c>
      <c r="B1033">
        <v>47.439999</v>
      </c>
      <c r="C1033">
        <v>50.200001</v>
      </c>
      <c r="D1033">
        <v>47.279998999999997</v>
      </c>
      <c r="E1033">
        <v>49.43</v>
      </c>
      <c r="F1033">
        <v>48.208424000000001</v>
      </c>
      <c r="G1033">
        <v>3165800</v>
      </c>
      <c r="I1033">
        <f t="shared" si="16"/>
        <v>1.0243493221948508E-3</v>
      </c>
    </row>
    <row r="1034" spans="1:9" x14ac:dyDescent="0.3">
      <c r="A1034" s="5">
        <v>43138</v>
      </c>
      <c r="B1034">
        <v>49.23</v>
      </c>
      <c r="C1034">
        <v>49.419998</v>
      </c>
      <c r="D1034">
        <v>47.669998</v>
      </c>
      <c r="E1034">
        <v>47.700001</v>
      </c>
      <c r="F1034">
        <v>46.521183000000001</v>
      </c>
      <c r="G1034">
        <v>3176800</v>
      </c>
      <c r="I1034">
        <f t="shared" si="16"/>
        <v>1.5671163573103194E-4</v>
      </c>
    </row>
    <row r="1035" spans="1:9" x14ac:dyDescent="0.3">
      <c r="A1035" s="5">
        <v>43139</v>
      </c>
      <c r="B1035">
        <v>47.810001</v>
      </c>
      <c r="C1035">
        <v>48.240001999999997</v>
      </c>
      <c r="D1035">
        <v>45.529998999999997</v>
      </c>
      <c r="E1035">
        <v>45.98</v>
      </c>
      <c r="F1035">
        <v>44.843688999999998</v>
      </c>
      <c r="G1035">
        <v>3896900</v>
      </c>
      <c r="I1035">
        <f t="shared" si="16"/>
        <v>9.1019570662057253E-4</v>
      </c>
    </row>
    <row r="1036" spans="1:9" x14ac:dyDescent="0.3">
      <c r="A1036" s="5">
        <v>43140</v>
      </c>
      <c r="B1036">
        <v>46.540000999999997</v>
      </c>
      <c r="C1036">
        <v>47.060001</v>
      </c>
      <c r="D1036">
        <v>44.150002000000001</v>
      </c>
      <c r="E1036">
        <v>45.919998</v>
      </c>
      <c r="F1036">
        <v>44.785175000000002</v>
      </c>
      <c r="G1036">
        <v>4579600</v>
      </c>
      <c r="I1036">
        <f t="shared" ref="I1036:I1099" si="17">LN(C1036/B1036)*(LN(C1036/B1036)-LN(E1036/B1036))+LN(D1036/B1036)*(LN(D1036/B1036)-LN(E1036/B1036))</f>
        <v>2.3447498754482626E-3</v>
      </c>
    </row>
    <row r="1037" spans="1:9" x14ac:dyDescent="0.3">
      <c r="A1037" s="5">
        <v>43143</v>
      </c>
      <c r="B1037">
        <v>46.049999</v>
      </c>
      <c r="C1037">
        <v>47.130001</v>
      </c>
      <c r="D1037">
        <v>45.77</v>
      </c>
      <c r="E1037">
        <v>46.650002000000001</v>
      </c>
      <c r="F1037">
        <v>45.497135</v>
      </c>
      <c r="G1037">
        <v>3495900</v>
      </c>
      <c r="I1037">
        <f t="shared" si="17"/>
        <v>3.5345742405528969E-4</v>
      </c>
    </row>
    <row r="1038" spans="1:9" x14ac:dyDescent="0.3">
      <c r="A1038" s="5">
        <v>43144</v>
      </c>
      <c r="B1038">
        <v>46.389999000000003</v>
      </c>
      <c r="C1038">
        <v>47.98</v>
      </c>
      <c r="D1038">
        <v>46.119999</v>
      </c>
      <c r="E1038">
        <v>47.299999</v>
      </c>
      <c r="F1038">
        <v>46.131068999999997</v>
      </c>
      <c r="G1038">
        <v>2811000</v>
      </c>
      <c r="I1038">
        <f t="shared" si="17"/>
        <v>6.2850765357387725E-4</v>
      </c>
    </row>
    <row r="1039" spans="1:9" x14ac:dyDescent="0.3">
      <c r="A1039" s="5">
        <v>43145</v>
      </c>
      <c r="B1039">
        <v>46.709999000000003</v>
      </c>
      <c r="C1039">
        <v>48.650002000000001</v>
      </c>
      <c r="D1039">
        <v>46.52</v>
      </c>
      <c r="E1039">
        <v>48.540000999999997</v>
      </c>
      <c r="F1039">
        <v>47.340431000000002</v>
      </c>
      <c r="G1039">
        <v>2431700</v>
      </c>
      <c r="I1039">
        <f t="shared" si="17"/>
        <v>2.6536605130735816E-4</v>
      </c>
    </row>
    <row r="1040" spans="1:9" x14ac:dyDescent="0.3">
      <c r="A1040" s="5">
        <v>43146</v>
      </c>
      <c r="B1040">
        <v>48.990001999999997</v>
      </c>
      <c r="C1040">
        <v>48.990001999999997</v>
      </c>
      <c r="D1040">
        <v>46.189999</v>
      </c>
      <c r="E1040">
        <v>47.57</v>
      </c>
      <c r="F1040">
        <v>46.394401999999999</v>
      </c>
      <c r="G1040">
        <v>5113200</v>
      </c>
      <c r="I1040">
        <f t="shared" si="17"/>
        <v>1.7325719649806484E-3</v>
      </c>
    </row>
    <row r="1041" spans="1:9" x14ac:dyDescent="0.3">
      <c r="A1041" s="5">
        <v>43147</v>
      </c>
      <c r="B1041">
        <v>47.5</v>
      </c>
      <c r="C1041">
        <v>50.18</v>
      </c>
      <c r="D1041">
        <v>46.52</v>
      </c>
      <c r="E1041">
        <v>47.360000999999997</v>
      </c>
      <c r="F1041">
        <v>46.189587000000003</v>
      </c>
      <c r="G1041">
        <v>8372200</v>
      </c>
      <c r="I1041">
        <f t="shared" si="17"/>
        <v>3.5476517025621133E-3</v>
      </c>
    </row>
    <row r="1042" spans="1:9" x14ac:dyDescent="0.3">
      <c r="A1042" s="5">
        <v>43151</v>
      </c>
      <c r="B1042">
        <v>46.84</v>
      </c>
      <c r="C1042">
        <v>48.740001999999997</v>
      </c>
      <c r="D1042">
        <v>46.759998000000003</v>
      </c>
      <c r="E1042">
        <v>48.07</v>
      </c>
      <c r="F1042">
        <v>46.882041999999998</v>
      </c>
      <c r="G1042">
        <v>4589500</v>
      </c>
      <c r="I1042">
        <f t="shared" si="17"/>
        <v>5.9761784681606979E-4</v>
      </c>
    </row>
    <row r="1043" spans="1:9" x14ac:dyDescent="0.3">
      <c r="A1043" s="5">
        <v>43152</v>
      </c>
      <c r="B1043">
        <v>48.209999000000003</v>
      </c>
      <c r="C1043">
        <v>48.950001</v>
      </c>
      <c r="D1043">
        <v>47.23</v>
      </c>
      <c r="E1043">
        <v>47.549999</v>
      </c>
      <c r="F1043">
        <v>46.374889000000003</v>
      </c>
      <c r="G1043">
        <v>3194900</v>
      </c>
      <c r="I1043">
        <f t="shared" si="17"/>
        <v>5.8070060745354468E-4</v>
      </c>
    </row>
    <row r="1044" spans="1:9" x14ac:dyDescent="0.3">
      <c r="A1044" s="5">
        <v>43153</v>
      </c>
      <c r="B1044">
        <v>48.009998000000003</v>
      </c>
      <c r="C1044">
        <v>48.400002000000001</v>
      </c>
      <c r="D1044">
        <v>46.830002</v>
      </c>
      <c r="E1044">
        <v>48.009998000000003</v>
      </c>
      <c r="F1044">
        <v>46.823517000000002</v>
      </c>
      <c r="G1044">
        <v>4232500</v>
      </c>
      <c r="I1044">
        <f t="shared" si="17"/>
        <v>6.8473131492674457E-4</v>
      </c>
    </row>
    <row r="1045" spans="1:9" x14ac:dyDescent="0.3">
      <c r="A1045" s="5">
        <v>43154</v>
      </c>
      <c r="B1045">
        <v>48.060001</v>
      </c>
      <c r="C1045">
        <v>48.139999000000003</v>
      </c>
      <c r="D1045">
        <v>46.584000000000003</v>
      </c>
      <c r="E1045">
        <v>46.700001</v>
      </c>
      <c r="F1045">
        <v>45.545898000000001</v>
      </c>
      <c r="G1045">
        <v>3098000</v>
      </c>
      <c r="I1045">
        <f t="shared" si="17"/>
        <v>1.2808778428581745E-4</v>
      </c>
    </row>
    <row r="1046" spans="1:9" x14ac:dyDescent="0.3">
      <c r="A1046" s="5">
        <v>43157</v>
      </c>
      <c r="B1046">
        <v>47.419998</v>
      </c>
      <c r="C1046">
        <v>47.580002</v>
      </c>
      <c r="D1046">
        <v>46.139999000000003</v>
      </c>
      <c r="E1046">
        <v>46.68</v>
      </c>
      <c r="F1046">
        <v>45.526389999999999</v>
      </c>
      <c r="G1046">
        <v>3562000</v>
      </c>
      <c r="I1046">
        <f t="shared" si="17"/>
        <v>3.8272119829460587E-4</v>
      </c>
    </row>
    <row r="1047" spans="1:9" x14ac:dyDescent="0.3">
      <c r="A1047" s="5">
        <v>43158</v>
      </c>
      <c r="B1047">
        <v>46.5</v>
      </c>
      <c r="C1047">
        <v>47.169998</v>
      </c>
      <c r="D1047">
        <v>45.657001000000001</v>
      </c>
      <c r="E1047">
        <v>46.220001000000003</v>
      </c>
      <c r="F1047">
        <v>45.077759</v>
      </c>
      <c r="G1047">
        <v>3247700</v>
      </c>
      <c r="I1047">
        <f t="shared" si="17"/>
        <v>5.1527826199690766E-4</v>
      </c>
    </row>
    <row r="1048" spans="1:9" x14ac:dyDescent="0.3">
      <c r="A1048" s="5">
        <v>43159</v>
      </c>
      <c r="B1048">
        <v>46.25</v>
      </c>
      <c r="C1048">
        <v>46.84</v>
      </c>
      <c r="D1048">
        <v>44.939999</v>
      </c>
      <c r="E1048">
        <v>44.970001000000003</v>
      </c>
      <c r="F1048">
        <v>43.858649999999997</v>
      </c>
      <c r="G1048">
        <v>2837400</v>
      </c>
      <c r="I1048">
        <f t="shared" si="17"/>
        <v>5.3562350316698729E-4</v>
      </c>
    </row>
    <row r="1049" spans="1:9" x14ac:dyDescent="0.3">
      <c r="A1049" s="5">
        <v>43160</v>
      </c>
      <c r="B1049">
        <v>45.93</v>
      </c>
      <c r="C1049">
        <v>46.439999</v>
      </c>
      <c r="D1049">
        <v>44.580002</v>
      </c>
      <c r="E1049">
        <v>45.07</v>
      </c>
      <c r="F1049">
        <v>43.956176999999997</v>
      </c>
      <c r="G1049">
        <v>6501700</v>
      </c>
      <c r="I1049">
        <f t="shared" si="17"/>
        <v>6.5678375242426588E-4</v>
      </c>
    </row>
    <row r="1050" spans="1:9" x14ac:dyDescent="0.3">
      <c r="A1050" s="5">
        <v>43161</v>
      </c>
      <c r="B1050">
        <v>44.720001000000003</v>
      </c>
      <c r="C1050">
        <v>46.18</v>
      </c>
      <c r="D1050">
        <v>44.139999000000003</v>
      </c>
      <c r="E1050">
        <v>45.540000999999997</v>
      </c>
      <c r="F1050">
        <v>44.414561999999997</v>
      </c>
      <c r="G1050">
        <v>3707700</v>
      </c>
      <c r="I1050">
        <f t="shared" si="17"/>
        <v>8.55962905543076E-4</v>
      </c>
    </row>
    <row r="1051" spans="1:9" x14ac:dyDescent="0.3">
      <c r="A1051" s="5">
        <v>43164</v>
      </c>
      <c r="B1051">
        <v>45.18</v>
      </c>
      <c r="C1051">
        <v>46.459999000000003</v>
      </c>
      <c r="D1051">
        <v>44.849997999999999</v>
      </c>
      <c r="E1051">
        <v>45.650002000000001</v>
      </c>
      <c r="F1051">
        <v>44.521847000000001</v>
      </c>
      <c r="G1051">
        <v>4588000</v>
      </c>
      <c r="I1051">
        <f t="shared" si="17"/>
        <v>6.2097320015988273E-4</v>
      </c>
    </row>
    <row r="1052" spans="1:9" x14ac:dyDescent="0.3">
      <c r="A1052" s="5">
        <v>43165</v>
      </c>
      <c r="B1052">
        <v>46.189999</v>
      </c>
      <c r="C1052">
        <v>47.52</v>
      </c>
      <c r="D1052">
        <v>46.029998999999997</v>
      </c>
      <c r="E1052">
        <v>46.990001999999997</v>
      </c>
      <c r="F1052">
        <v>45.828724000000001</v>
      </c>
      <c r="G1052">
        <v>4431200</v>
      </c>
      <c r="I1052">
        <f t="shared" si="17"/>
        <v>3.9001302520549078E-4</v>
      </c>
    </row>
    <row r="1053" spans="1:9" x14ac:dyDescent="0.3">
      <c r="A1053" s="5">
        <v>43166</v>
      </c>
      <c r="B1053">
        <v>46.599997999999999</v>
      </c>
      <c r="C1053">
        <v>48.259998000000003</v>
      </c>
      <c r="D1053">
        <v>46.401001000000001</v>
      </c>
      <c r="E1053">
        <v>47.880001</v>
      </c>
      <c r="F1053">
        <v>46.696731999999997</v>
      </c>
      <c r="G1053">
        <v>3654700</v>
      </c>
      <c r="I1053">
        <f t="shared" si="17"/>
        <v>4.1097526985759607E-4</v>
      </c>
    </row>
    <row r="1054" spans="1:9" x14ac:dyDescent="0.3">
      <c r="A1054" s="5">
        <v>43167</v>
      </c>
      <c r="B1054">
        <v>47.880001</v>
      </c>
      <c r="C1054">
        <v>48.73</v>
      </c>
      <c r="D1054">
        <v>46.544998</v>
      </c>
      <c r="E1054">
        <v>47.470001000000003</v>
      </c>
      <c r="F1054">
        <v>46.296866999999999</v>
      </c>
      <c r="G1054">
        <v>3256000</v>
      </c>
      <c r="I1054">
        <f t="shared" si="17"/>
        <v>1.0174588577735273E-3</v>
      </c>
    </row>
    <row r="1055" spans="1:9" x14ac:dyDescent="0.3">
      <c r="A1055" s="5">
        <v>43168</v>
      </c>
      <c r="B1055">
        <v>48.049999</v>
      </c>
      <c r="C1055">
        <v>48.59</v>
      </c>
      <c r="D1055">
        <v>47.23</v>
      </c>
      <c r="E1055">
        <v>47.860000999999997</v>
      </c>
      <c r="F1055">
        <v>46.677230999999999</v>
      </c>
      <c r="G1055">
        <v>2768900</v>
      </c>
      <c r="I1055">
        <f t="shared" si="17"/>
        <v>3.9725688986564831E-4</v>
      </c>
    </row>
    <row r="1056" spans="1:9" x14ac:dyDescent="0.3">
      <c r="A1056" s="5">
        <v>43171</v>
      </c>
      <c r="B1056">
        <v>48.009998000000003</v>
      </c>
      <c r="C1056">
        <v>48.68</v>
      </c>
      <c r="D1056">
        <v>47.91</v>
      </c>
      <c r="E1056">
        <v>48.360000999999997</v>
      </c>
      <c r="F1056">
        <v>47.164870999999998</v>
      </c>
      <c r="G1056">
        <v>1495600</v>
      </c>
      <c r="I1056">
        <f t="shared" si="17"/>
        <v>1.1089561232082084E-4</v>
      </c>
    </row>
    <row r="1057" spans="1:9" x14ac:dyDescent="0.3">
      <c r="A1057" s="5">
        <v>43172</v>
      </c>
      <c r="B1057">
        <v>48.43</v>
      </c>
      <c r="C1057">
        <v>49.849997999999999</v>
      </c>
      <c r="D1057">
        <v>48.43</v>
      </c>
      <c r="E1057">
        <v>48.59</v>
      </c>
      <c r="F1057">
        <v>47.389190999999997</v>
      </c>
      <c r="G1057">
        <v>2746000</v>
      </c>
      <c r="I1057">
        <f t="shared" si="17"/>
        <v>7.39834853457709E-4</v>
      </c>
    </row>
    <row r="1058" spans="1:9" x14ac:dyDescent="0.3">
      <c r="A1058" s="5">
        <v>43173</v>
      </c>
      <c r="B1058">
        <v>49.09</v>
      </c>
      <c r="C1058">
        <v>49.43</v>
      </c>
      <c r="D1058">
        <v>46.209999000000003</v>
      </c>
      <c r="E1058">
        <v>46.57</v>
      </c>
      <c r="F1058">
        <v>45.419113000000003</v>
      </c>
      <c r="G1058">
        <v>4121900</v>
      </c>
      <c r="I1058">
        <f t="shared" si="17"/>
        <v>8.8056093202580231E-4</v>
      </c>
    </row>
    <row r="1059" spans="1:9" x14ac:dyDescent="0.3">
      <c r="A1059" s="5">
        <v>43174</v>
      </c>
      <c r="B1059">
        <v>46.450001</v>
      </c>
      <c r="C1059">
        <v>47.130001</v>
      </c>
      <c r="D1059">
        <v>45.709999000000003</v>
      </c>
      <c r="E1059">
        <v>46.93</v>
      </c>
      <c r="F1059">
        <v>45.770209999999999</v>
      </c>
      <c r="G1059">
        <v>2998800</v>
      </c>
      <c r="I1059">
        <f t="shared" si="17"/>
        <v>4.8481065580579076E-4</v>
      </c>
    </row>
    <row r="1060" spans="1:9" x14ac:dyDescent="0.3">
      <c r="A1060" s="5">
        <v>43175</v>
      </c>
      <c r="B1060">
        <v>46.799999</v>
      </c>
      <c r="C1060">
        <v>47.918998999999999</v>
      </c>
      <c r="D1060">
        <v>46.740001999999997</v>
      </c>
      <c r="E1060">
        <v>47.23</v>
      </c>
      <c r="F1060">
        <v>46.062793999999997</v>
      </c>
      <c r="G1060">
        <v>3129700</v>
      </c>
      <c r="I1060">
        <f t="shared" si="17"/>
        <v>3.5559024042180039E-4</v>
      </c>
    </row>
    <row r="1061" spans="1:9" x14ac:dyDescent="0.3">
      <c r="A1061" s="5">
        <v>43178</v>
      </c>
      <c r="B1061">
        <v>47.029998999999997</v>
      </c>
      <c r="C1061">
        <v>47.68</v>
      </c>
      <c r="D1061">
        <v>45.759998000000003</v>
      </c>
      <c r="E1061">
        <v>46.360000999999997</v>
      </c>
      <c r="F1061">
        <v>45.214297999999999</v>
      </c>
      <c r="G1061">
        <v>2509100</v>
      </c>
      <c r="I1061">
        <f t="shared" si="17"/>
        <v>7.4197873833993858E-4</v>
      </c>
    </row>
    <row r="1062" spans="1:9" x14ac:dyDescent="0.3">
      <c r="A1062" s="5">
        <v>43179</v>
      </c>
      <c r="B1062">
        <v>46.369999</v>
      </c>
      <c r="C1062">
        <v>47.060001</v>
      </c>
      <c r="D1062">
        <v>46.049999</v>
      </c>
      <c r="E1062">
        <v>46.470001000000003</v>
      </c>
      <c r="F1062">
        <v>45.321575000000003</v>
      </c>
      <c r="G1062">
        <v>1515400</v>
      </c>
      <c r="I1062">
        <f t="shared" si="17"/>
        <v>2.4922704015089523E-4</v>
      </c>
    </row>
    <row r="1063" spans="1:9" x14ac:dyDescent="0.3">
      <c r="A1063" s="5">
        <v>43180</v>
      </c>
      <c r="B1063">
        <v>46.419998</v>
      </c>
      <c r="C1063">
        <v>48.061999999999998</v>
      </c>
      <c r="D1063">
        <v>46.310001</v>
      </c>
      <c r="E1063">
        <v>47.950001</v>
      </c>
      <c r="F1063">
        <v>46.765006999999997</v>
      </c>
      <c r="G1063">
        <v>2138100</v>
      </c>
      <c r="I1063">
        <f t="shared" si="17"/>
        <v>1.6366146255622737E-4</v>
      </c>
    </row>
    <row r="1064" spans="1:9" x14ac:dyDescent="0.3">
      <c r="A1064" s="5">
        <v>43181</v>
      </c>
      <c r="B1064">
        <v>47.400002000000001</v>
      </c>
      <c r="C1064">
        <v>48.089001000000003</v>
      </c>
      <c r="D1064">
        <v>44.860000999999997</v>
      </c>
      <c r="E1064">
        <v>44.919998</v>
      </c>
      <c r="F1064">
        <v>43.809879000000002</v>
      </c>
      <c r="G1064">
        <v>4370000</v>
      </c>
      <c r="I1064">
        <f t="shared" si="17"/>
        <v>1.0573919155704734E-3</v>
      </c>
    </row>
    <row r="1065" spans="1:9" x14ac:dyDescent="0.3">
      <c r="A1065" s="5">
        <v>43182</v>
      </c>
      <c r="B1065">
        <v>45.169998</v>
      </c>
      <c r="C1065">
        <v>46</v>
      </c>
      <c r="D1065">
        <v>44.599997999999999</v>
      </c>
      <c r="E1065">
        <v>44.709999000000003</v>
      </c>
      <c r="F1065">
        <v>43.605072</v>
      </c>
      <c r="G1065">
        <v>3256200</v>
      </c>
      <c r="I1065">
        <f t="shared" si="17"/>
        <v>5.4920364056797177E-4</v>
      </c>
    </row>
    <row r="1066" spans="1:9" x14ac:dyDescent="0.3">
      <c r="A1066" s="5">
        <v>43185</v>
      </c>
      <c r="B1066">
        <v>45.259998000000003</v>
      </c>
      <c r="C1066">
        <v>46.529998999999997</v>
      </c>
      <c r="D1066">
        <v>44.27</v>
      </c>
      <c r="E1066">
        <v>45.77</v>
      </c>
      <c r="F1066">
        <v>44.638874000000001</v>
      </c>
      <c r="G1066">
        <v>5187000</v>
      </c>
      <c r="I1066">
        <f t="shared" si="17"/>
        <v>1.1926927445181823E-3</v>
      </c>
    </row>
    <row r="1067" spans="1:9" x14ac:dyDescent="0.3">
      <c r="A1067" s="5">
        <v>43186</v>
      </c>
      <c r="B1067">
        <v>46.25</v>
      </c>
      <c r="C1067">
        <v>46.490001999999997</v>
      </c>
      <c r="D1067">
        <v>44.634998000000003</v>
      </c>
      <c r="E1067">
        <v>44.900002000000001</v>
      </c>
      <c r="F1067">
        <v>43.790385999999998</v>
      </c>
      <c r="G1067">
        <v>4204800</v>
      </c>
      <c r="I1067">
        <f t="shared" si="17"/>
        <v>3.9051627381887115E-4</v>
      </c>
    </row>
    <row r="1068" spans="1:9" x14ac:dyDescent="0.3">
      <c r="A1068" s="5">
        <v>43187</v>
      </c>
      <c r="B1068">
        <v>44.509998000000003</v>
      </c>
      <c r="C1068">
        <v>44.919998</v>
      </c>
      <c r="D1068">
        <v>43.686000999999997</v>
      </c>
      <c r="E1068">
        <v>44.419998</v>
      </c>
      <c r="F1068">
        <v>43.322239000000003</v>
      </c>
      <c r="G1068">
        <v>1661700</v>
      </c>
      <c r="I1068">
        <f t="shared" si="17"/>
        <v>4.1398378347842367E-4</v>
      </c>
    </row>
    <row r="1069" spans="1:9" x14ac:dyDescent="0.3">
      <c r="A1069" s="5">
        <v>43188</v>
      </c>
      <c r="B1069">
        <v>44.740001999999997</v>
      </c>
      <c r="C1069">
        <v>45.662998000000002</v>
      </c>
      <c r="D1069">
        <v>44.5</v>
      </c>
      <c r="E1069">
        <v>44.959999000000003</v>
      </c>
      <c r="F1069">
        <v>43.848891999999999</v>
      </c>
      <c r="G1069">
        <v>2279200</v>
      </c>
      <c r="I1069">
        <f t="shared" si="17"/>
        <v>3.7213892597548183E-4</v>
      </c>
    </row>
    <row r="1070" spans="1:9" x14ac:dyDescent="0.3">
      <c r="A1070" s="5">
        <v>43192</v>
      </c>
      <c r="B1070">
        <v>44.860000999999997</v>
      </c>
      <c r="C1070">
        <v>46.119999</v>
      </c>
      <c r="D1070">
        <v>43.799999</v>
      </c>
      <c r="E1070">
        <v>44.34</v>
      </c>
      <c r="F1070">
        <v>43.244225</v>
      </c>
      <c r="G1070">
        <v>2139600</v>
      </c>
      <c r="I1070">
        <f t="shared" si="17"/>
        <v>1.3832749260231523E-3</v>
      </c>
    </row>
    <row r="1071" spans="1:9" x14ac:dyDescent="0.3">
      <c r="A1071" s="5">
        <v>43193</v>
      </c>
      <c r="B1071">
        <v>44.630001</v>
      </c>
      <c r="C1071">
        <v>45.900002000000001</v>
      </c>
      <c r="D1071">
        <v>44.630001</v>
      </c>
      <c r="E1071">
        <v>45.349997999999999</v>
      </c>
      <c r="F1071">
        <v>44.229258999999999</v>
      </c>
      <c r="G1071">
        <v>2915000</v>
      </c>
      <c r="I1071">
        <f t="shared" si="17"/>
        <v>3.3825034307204002E-4</v>
      </c>
    </row>
    <row r="1072" spans="1:9" x14ac:dyDescent="0.3">
      <c r="A1072" s="5">
        <v>43194</v>
      </c>
      <c r="B1072">
        <v>44.400002000000001</v>
      </c>
      <c r="C1072">
        <v>47.07</v>
      </c>
      <c r="D1072">
        <v>44.209999000000003</v>
      </c>
      <c r="E1072">
        <v>46.919998</v>
      </c>
      <c r="F1072">
        <v>45.760463999999999</v>
      </c>
      <c r="G1072">
        <v>3667500</v>
      </c>
      <c r="I1072">
        <f t="shared" si="17"/>
        <v>4.4153123123168587E-4</v>
      </c>
    </row>
    <row r="1073" spans="1:9" x14ac:dyDescent="0.3">
      <c r="A1073" s="5">
        <v>43195</v>
      </c>
      <c r="B1073">
        <v>47.200001</v>
      </c>
      <c r="C1073">
        <v>48.73</v>
      </c>
      <c r="D1073">
        <v>47.150002000000001</v>
      </c>
      <c r="E1073">
        <v>47.610000999999997</v>
      </c>
      <c r="F1073">
        <v>46.433407000000003</v>
      </c>
      <c r="G1073">
        <v>2979000</v>
      </c>
      <c r="I1073">
        <f t="shared" si="17"/>
        <v>7.5205111501202367E-4</v>
      </c>
    </row>
    <row r="1074" spans="1:9" x14ac:dyDescent="0.3">
      <c r="A1074" s="5">
        <v>43196</v>
      </c>
      <c r="B1074">
        <v>47.18</v>
      </c>
      <c r="C1074">
        <v>48.740001999999997</v>
      </c>
      <c r="D1074">
        <v>47.099997999999999</v>
      </c>
      <c r="E1074">
        <v>48.049999</v>
      </c>
      <c r="F1074">
        <v>46.862533999999997</v>
      </c>
      <c r="G1074">
        <v>4066400</v>
      </c>
      <c r="I1074">
        <f t="shared" si="17"/>
        <v>4.9770209470447564E-4</v>
      </c>
    </row>
    <row r="1075" spans="1:9" x14ac:dyDescent="0.3">
      <c r="A1075" s="5">
        <v>43199</v>
      </c>
      <c r="B1075">
        <v>49.779998999999997</v>
      </c>
      <c r="C1075">
        <v>52.02</v>
      </c>
      <c r="D1075">
        <v>49.32</v>
      </c>
      <c r="E1075">
        <v>50.619999</v>
      </c>
      <c r="F1075">
        <v>49.369014999999997</v>
      </c>
      <c r="G1075">
        <v>6810000</v>
      </c>
      <c r="I1075">
        <f t="shared" si="17"/>
        <v>1.4423277620627748E-3</v>
      </c>
    </row>
    <row r="1076" spans="1:9" x14ac:dyDescent="0.3">
      <c r="A1076" s="5">
        <v>43200</v>
      </c>
      <c r="B1076">
        <v>51.799999</v>
      </c>
      <c r="C1076">
        <v>55.18</v>
      </c>
      <c r="D1076">
        <v>51.650002000000001</v>
      </c>
      <c r="E1076">
        <v>54.080002</v>
      </c>
      <c r="F1076">
        <v>52.743518999999999</v>
      </c>
      <c r="G1076">
        <v>8948800</v>
      </c>
      <c r="I1076">
        <f t="shared" si="17"/>
        <v>1.4061322053340636E-3</v>
      </c>
    </row>
    <row r="1077" spans="1:9" x14ac:dyDescent="0.3">
      <c r="A1077" s="5">
        <v>43201</v>
      </c>
      <c r="B1077">
        <v>53.799999</v>
      </c>
      <c r="C1077">
        <v>54.889999000000003</v>
      </c>
      <c r="D1077">
        <v>52.650002000000001</v>
      </c>
      <c r="E1077">
        <v>53.970001000000003</v>
      </c>
      <c r="F1077">
        <v>52.636234000000002</v>
      </c>
      <c r="G1077">
        <v>5434600</v>
      </c>
      <c r="I1077">
        <f t="shared" si="17"/>
        <v>8.7407023378371571E-4</v>
      </c>
    </row>
    <row r="1078" spans="1:9" x14ac:dyDescent="0.3">
      <c r="A1078" s="5">
        <v>43202</v>
      </c>
      <c r="B1078">
        <v>53.700001</v>
      </c>
      <c r="C1078">
        <v>55.332000999999998</v>
      </c>
      <c r="D1078">
        <v>53.169998</v>
      </c>
      <c r="E1078">
        <v>54.470001000000003</v>
      </c>
      <c r="F1078">
        <v>53.123874999999998</v>
      </c>
      <c r="G1078">
        <v>5726300</v>
      </c>
      <c r="I1078">
        <f t="shared" si="17"/>
        <v>7.096672147918451E-4</v>
      </c>
    </row>
    <row r="1079" spans="1:9" x14ac:dyDescent="0.3">
      <c r="A1079" s="5">
        <v>43203</v>
      </c>
      <c r="B1079">
        <v>54.950001</v>
      </c>
      <c r="C1079">
        <v>55.380001</v>
      </c>
      <c r="D1079">
        <v>54.27</v>
      </c>
      <c r="E1079">
        <v>54.959999000000003</v>
      </c>
      <c r="F1079">
        <v>53.601761000000003</v>
      </c>
      <c r="G1079">
        <v>2685800</v>
      </c>
      <c r="I1079">
        <f t="shared" si="17"/>
        <v>2.1666184868867787E-4</v>
      </c>
    </row>
    <row r="1080" spans="1:9" x14ac:dyDescent="0.3">
      <c r="A1080" s="5">
        <v>43206</v>
      </c>
      <c r="B1080">
        <v>55.549999</v>
      </c>
      <c r="C1080">
        <v>56.5</v>
      </c>
      <c r="D1080">
        <v>54.404998999999997</v>
      </c>
      <c r="E1080">
        <v>55.029998999999997</v>
      </c>
      <c r="F1080">
        <v>53.670043999999997</v>
      </c>
      <c r="G1080">
        <v>5573000</v>
      </c>
      <c r="I1080">
        <f t="shared" si="17"/>
        <v>6.8492707366537447E-4</v>
      </c>
    </row>
    <row r="1081" spans="1:9" x14ac:dyDescent="0.3">
      <c r="A1081" s="5">
        <v>43207</v>
      </c>
      <c r="B1081">
        <v>55.369999</v>
      </c>
      <c r="C1081">
        <v>57.487999000000002</v>
      </c>
      <c r="D1081">
        <v>54.759998000000003</v>
      </c>
      <c r="E1081">
        <v>57.080002</v>
      </c>
      <c r="F1081">
        <v>55.669376</v>
      </c>
      <c r="G1081">
        <v>6077400</v>
      </c>
      <c r="I1081">
        <f t="shared" si="17"/>
        <v>7.2702913997805727E-4</v>
      </c>
    </row>
    <row r="1082" spans="1:9" x14ac:dyDescent="0.3">
      <c r="A1082" s="5">
        <v>43208</v>
      </c>
      <c r="B1082">
        <v>58.259998000000003</v>
      </c>
      <c r="C1082">
        <v>60.279998999999997</v>
      </c>
      <c r="D1082">
        <v>57.25</v>
      </c>
      <c r="E1082">
        <v>59.400002000000001</v>
      </c>
      <c r="F1082">
        <v>57.932040999999998</v>
      </c>
      <c r="G1082">
        <v>8700600</v>
      </c>
      <c r="I1082">
        <f t="shared" si="17"/>
        <v>1.1459781911138302E-3</v>
      </c>
    </row>
    <row r="1083" spans="1:9" x14ac:dyDescent="0.3">
      <c r="A1083" s="5">
        <v>43209</v>
      </c>
      <c r="B1083">
        <v>60.540000999999997</v>
      </c>
      <c r="C1083">
        <v>62.349997999999999</v>
      </c>
      <c r="D1083">
        <v>59.560001</v>
      </c>
      <c r="E1083">
        <v>60.23</v>
      </c>
      <c r="F1083">
        <v>58.741528000000002</v>
      </c>
      <c r="G1083">
        <v>11779200</v>
      </c>
      <c r="I1083">
        <f t="shared" si="17"/>
        <v>1.2016505820812268E-3</v>
      </c>
    </row>
    <row r="1084" spans="1:9" x14ac:dyDescent="0.3">
      <c r="A1084" s="5">
        <v>43210</v>
      </c>
      <c r="B1084">
        <v>59.82</v>
      </c>
      <c r="C1084">
        <v>60.139999000000003</v>
      </c>
      <c r="D1084">
        <v>57.490001999999997</v>
      </c>
      <c r="E1084">
        <v>60.009998000000003</v>
      </c>
      <c r="F1084">
        <v>58.526966000000002</v>
      </c>
      <c r="G1084">
        <v>7635800</v>
      </c>
      <c r="I1084">
        <f t="shared" si="17"/>
        <v>1.7159241655534468E-3</v>
      </c>
    </row>
    <row r="1085" spans="1:9" x14ac:dyDescent="0.3">
      <c r="A1085" s="5">
        <v>43213</v>
      </c>
      <c r="B1085">
        <v>54.560001</v>
      </c>
      <c r="C1085">
        <v>54.91</v>
      </c>
      <c r="D1085">
        <v>51.5</v>
      </c>
      <c r="E1085">
        <v>51.900002000000001</v>
      </c>
      <c r="F1085">
        <v>50.61739</v>
      </c>
      <c r="G1085">
        <v>13132500</v>
      </c>
      <c r="I1085">
        <f t="shared" si="17"/>
        <v>8.0707250568870829E-4</v>
      </c>
    </row>
    <row r="1086" spans="1:9" x14ac:dyDescent="0.3">
      <c r="A1086" s="5">
        <v>43214</v>
      </c>
      <c r="B1086">
        <v>51.470001000000003</v>
      </c>
      <c r="C1086">
        <v>52.200001</v>
      </c>
      <c r="D1086">
        <v>49.900002000000001</v>
      </c>
      <c r="E1086">
        <v>50.82</v>
      </c>
      <c r="F1086">
        <v>49.564075000000003</v>
      </c>
      <c r="G1086">
        <v>7258100</v>
      </c>
      <c r="I1086">
        <f t="shared" si="17"/>
        <v>9.4326621232082466E-4</v>
      </c>
    </row>
    <row r="1087" spans="1:9" x14ac:dyDescent="0.3">
      <c r="A1087" s="5">
        <v>43215</v>
      </c>
      <c r="B1087">
        <v>50.59</v>
      </c>
      <c r="C1087">
        <v>52.43</v>
      </c>
      <c r="D1087">
        <v>49.970001000000003</v>
      </c>
      <c r="E1087">
        <v>51.950001</v>
      </c>
      <c r="F1087">
        <v>50.666153000000001</v>
      </c>
      <c r="G1087">
        <v>4760700</v>
      </c>
      <c r="I1087">
        <f t="shared" si="17"/>
        <v>8.0774270084478473E-4</v>
      </c>
    </row>
    <row r="1088" spans="1:9" x14ac:dyDescent="0.3">
      <c r="A1088" s="5">
        <v>43216</v>
      </c>
      <c r="B1088">
        <v>54.25</v>
      </c>
      <c r="C1088">
        <v>55.080002</v>
      </c>
      <c r="D1088">
        <v>52.401001000000001</v>
      </c>
      <c r="E1088">
        <v>52.939999</v>
      </c>
      <c r="F1088">
        <v>51.631683000000002</v>
      </c>
      <c r="G1088">
        <v>5842600</v>
      </c>
      <c r="I1088">
        <f t="shared" si="17"/>
        <v>9.5656283154339989E-4</v>
      </c>
    </row>
    <row r="1089" spans="1:9" x14ac:dyDescent="0.3">
      <c r="A1089" s="5">
        <v>43217</v>
      </c>
      <c r="B1089">
        <v>52.560001</v>
      </c>
      <c r="C1089">
        <v>52.990001999999997</v>
      </c>
      <c r="D1089">
        <v>51.099997999999999</v>
      </c>
      <c r="E1089">
        <v>51.599997999999999</v>
      </c>
      <c r="F1089">
        <v>50.324801999999998</v>
      </c>
      <c r="G1089">
        <v>4355300</v>
      </c>
      <c r="I1089">
        <f t="shared" si="17"/>
        <v>4.9088869415793456E-4</v>
      </c>
    </row>
    <row r="1090" spans="1:9" x14ac:dyDescent="0.3">
      <c r="A1090" s="5">
        <v>43220</v>
      </c>
      <c r="B1090">
        <v>51.400002000000001</v>
      </c>
      <c r="C1090">
        <v>51.869999</v>
      </c>
      <c r="D1090">
        <v>51.049999</v>
      </c>
      <c r="E1090">
        <v>51.200001</v>
      </c>
      <c r="F1090">
        <v>49.934691999999998</v>
      </c>
      <c r="G1090">
        <v>2749800</v>
      </c>
      <c r="I1090">
        <f t="shared" si="17"/>
        <v>1.383871951732169E-4</v>
      </c>
    </row>
    <row r="1091" spans="1:9" x14ac:dyDescent="0.3">
      <c r="A1091" s="5">
        <v>43221</v>
      </c>
      <c r="B1091">
        <v>51.040000999999997</v>
      </c>
      <c r="C1091">
        <v>52.43</v>
      </c>
      <c r="D1091">
        <v>50.110000999999997</v>
      </c>
      <c r="E1091">
        <v>51.990001999999997</v>
      </c>
      <c r="F1091">
        <v>50.705162000000001</v>
      </c>
      <c r="G1091">
        <v>2526300</v>
      </c>
      <c r="I1091">
        <f t="shared" si="17"/>
        <v>9.0372516176181941E-4</v>
      </c>
    </row>
    <row r="1092" spans="1:9" x14ac:dyDescent="0.3">
      <c r="A1092" s="5">
        <v>43222</v>
      </c>
      <c r="B1092">
        <v>52.450001</v>
      </c>
      <c r="C1092">
        <v>53.5</v>
      </c>
      <c r="D1092">
        <v>52.209999000000003</v>
      </c>
      <c r="E1092">
        <v>53.07</v>
      </c>
      <c r="F1092">
        <v>51.758471999999998</v>
      </c>
      <c r="G1092">
        <v>3375500</v>
      </c>
      <c r="I1092">
        <f t="shared" si="17"/>
        <v>2.3488538461753216E-4</v>
      </c>
    </row>
    <row r="1093" spans="1:9" x14ac:dyDescent="0.3">
      <c r="A1093" s="5">
        <v>43223</v>
      </c>
      <c r="B1093">
        <v>52.830002</v>
      </c>
      <c r="C1093">
        <v>53.759998000000003</v>
      </c>
      <c r="D1093">
        <v>52.633999000000003</v>
      </c>
      <c r="E1093">
        <v>53.279998999999997</v>
      </c>
      <c r="F1093">
        <v>51.963284000000002</v>
      </c>
      <c r="G1093">
        <v>4050800</v>
      </c>
      <c r="I1093">
        <f t="shared" si="17"/>
        <v>2.0184894256298046E-4</v>
      </c>
    </row>
    <row r="1094" spans="1:9" x14ac:dyDescent="0.3">
      <c r="A1094" s="5">
        <v>43224</v>
      </c>
      <c r="B1094">
        <v>53.040000999999997</v>
      </c>
      <c r="C1094">
        <v>54.459999000000003</v>
      </c>
      <c r="D1094">
        <v>52.650002000000001</v>
      </c>
      <c r="E1094">
        <v>54.389999000000003</v>
      </c>
      <c r="F1094">
        <v>53.045853000000001</v>
      </c>
      <c r="G1094">
        <v>2598700</v>
      </c>
      <c r="I1094">
        <f t="shared" si="17"/>
        <v>2.7393716964841351E-4</v>
      </c>
    </row>
    <row r="1095" spans="1:9" x14ac:dyDescent="0.3">
      <c r="A1095" s="5">
        <v>43227</v>
      </c>
      <c r="B1095">
        <v>54.799999</v>
      </c>
      <c r="C1095">
        <v>55.380001</v>
      </c>
      <c r="D1095">
        <v>54.32</v>
      </c>
      <c r="E1095">
        <v>54.549999</v>
      </c>
      <c r="F1095">
        <v>53.201900000000002</v>
      </c>
      <c r="G1095">
        <v>3891600</v>
      </c>
      <c r="I1095">
        <f t="shared" si="17"/>
        <v>1.9615920501778043E-4</v>
      </c>
    </row>
    <row r="1096" spans="1:9" x14ac:dyDescent="0.3">
      <c r="A1096" s="5">
        <v>43228</v>
      </c>
      <c r="B1096">
        <v>54.259998000000003</v>
      </c>
      <c r="C1096">
        <v>54.650002000000001</v>
      </c>
      <c r="D1096">
        <v>53.439999</v>
      </c>
      <c r="E1096">
        <v>53.759998000000003</v>
      </c>
      <c r="F1096">
        <v>52.431418999999998</v>
      </c>
      <c r="G1096">
        <v>2756100</v>
      </c>
      <c r="I1096">
        <f t="shared" si="17"/>
        <v>2.0850879252169008E-4</v>
      </c>
    </row>
    <row r="1097" spans="1:9" x14ac:dyDescent="0.3">
      <c r="A1097" s="5">
        <v>43229</v>
      </c>
      <c r="B1097">
        <v>53.720001000000003</v>
      </c>
      <c r="C1097">
        <v>54.130001</v>
      </c>
      <c r="D1097">
        <v>53.18</v>
      </c>
      <c r="E1097">
        <v>53.490001999999997</v>
      </c>
      <c r="F1097">
        <v>52.168095000000001</v>
      </c>
      <c r="G1097">
        <v>3647500</v>
      </c>
      <c r="I1097">
        <f t="shared" si="17"/>
        <v>1.491533932141661E-4</v>
      </c>
    </row>
    <row r="1098" spans="1:9" x14ac:dyDescent="0.3">
      <c r="A1098" s="5">
        <v>43230</v>
      </c>
      <c r="B1098">
        <v>53.400002000000001</v>
      </c>
      <c r="C1098">
        <v>54.009998000000003</v>
      </c>
      <c r="D1098">
        <v>53.09</v>
      </c>
      <c r="E1098">
        <v>53.790000999999997</v>
      </c>
      <c r="F1098">
        <v>52.46069</v>
      </c>
      <c r="G1098">
        <v>3321900</v>
      </c>
      <c r="I1098">
        <f t="shared" si="17"/>
        <v>1.2262522947306432E-4</v>
      </c>
    </row>
    <row r="1099" spans="1:9" x14ac:dyDescent="0.3">
      <c r="A1099" s="5">
        <v>43231</v>
      </c>
      <c r="B1099">
        <v>53.790000999999997</v>
      </c>
      <c r="C1099">
        <v>54.25</v>
      </c>
      <c r="D1099">
        <v>53.369999</v>
      </c>
      <c r="E1099">
        <v>53.959999000000003</v>
      </c>
      <c r="F1099">
        <v>52.626472</v>
      </c>
      <c r="G1099">
        <v>3978800</v>
      </c>
      <c r="I1099">
        <f t="shared" si="17"/>
        <v>1.3182427095081019E-4</v>
      </c>
    </row>
    <row r="1100" spans="1:9" x14ac:dyDescent="0.3">
      <c r="A1100" s="5">
        <v>43234</v>
      </c>
      <c r="B1100">
        <v>54.380001</v>
      </c>
      <c r="C1100">
        <v>54.514999000000003</v>
      </c>
      <c r="D1100">
        <v>51.919998</v>
      </c>
      <c r="E1100">
        <v>52.330002</v>
      </c>
      <c r="F1100">
        <v>51.036762000000003</v>
      </c>
      <c r="G1100">
        <v>4377300</v>
      </c>
      <c r="I1100">
        <f t="shared" ref="I1100:I1163" si="18">LN(C1100/B1100)*(LN(C1100/B1100)-LN(E1100/B1100))+LN(D1100/B1100)*(LN(D1100/B1100)-LN(E1100/B1100))</f>
        <v>4.6555117225815352E-4</v>
      </c>
    </row>
    <row r="1101" spans="1:9" x14ac:dyDescent="0.3">
      <c r="A1101" s="5">
        <v>43235</v>
      </c>
      <c r="B1101">
        <v>51.790000999999997</v>
      </c>
      <c r="C1101">
        <v>51.950001</v>
      </c>
      <c r="D1101">
        <v>50.400002000000001</v>
      </c>
      <c r="E1101">
        <v>50.540000999999997</v>
      </c>
      <c r="F1101">
        <v>49.290993</v>
      </c>
      <c r="G1101">
        <v>6216300</v>
      </c>
      <c r="I1101">
        <f t="shared" si="18"/>
        <v>1.6034536470002002E-4</v>
      </c>
    </row>
    <row r="1102" spans="1:9" x14ac:dyDescent="0.3">
      <c r="A1102" s="5">
        <v>43236</v>
      </c>
      <c r="B1102">
        <v>50.540000999999997</v>
      </c>
      <c r="C1102">
        <v>50.674999</v>
      </c>
      <c r="D1102">
        <v>49.540000999999997</v>
      </c>
      <c r="E1102">
        <v>50.189999</v>
      </c>
      <c r="F1102">
        <v>48.949638</v>
      </c>
      <c r="G1102">
        <v>5433300</v>
      </c>
      <c r="I1102">
        <f t="shared" si="18"/>
        <v>2.8616059605181005E-4</v>
      </c>
    </row>
    <row r="1103" spans="1:9" x14ac:dyDescent="0.3">
      <c r="A1103" s="5">
        <v>43237</v>
      </c>
      <c r="B1103">
        <v>49.830002</v>
      </c>
      <c r="C1103">
        <v>51.09</v>
      </c>
      <c r="D1103">
        <v>49.830002</v>
      </c>
      <c r="E1103">
        <v>50.709999000000003</v>
      </c>
      <c r="F1103">
        <v>49.456798999999997</v>
      </c>
      <c r="G1103">
        <v>2887600</v>
      </c>
      <c r="I1103">
        <f t="shared" si="18"/>
        <v>1.8642929049193915E-4</v>
      </c>
    </row>
    <row r="1104" spans="1:9" x14ac:dyDescent="0.3">
      <c r="A1104" s="5">
        <v>43238</v>
      </c>
      <c r="B1104">
        <v>50.529998999999997</v>
      </c>
      <c r="C1104">
        <v>51.049999</v>
      </c>
      <c r="D1104">
        <v>50.349997999999999</v>
      </c>
      <c r="E1104">
        <v>50.830002</v>
      </c>
      <c r="F1104">
        <v>49.573836999999997</v>
      </c>
      <c r="G1104">
        <v>3011300</v>
      </c>
      <c r="I1104">
        <f t="shared" si="18"/>
        <v>7.8076561593588828E-5</v>
      </c>
    </row>
    <row r="1105" spans="1:9" x14ac:dyDescent="0.3">
      <c r="A1105" s="5">
        <v>43241</v>
      </c>
      <c r="B1105">
        <v>51.200001</v>
      </c>
      <c r="C1105">
        <v>51.200001</v>
      </c>
      <c r="D1105">
        <v>50.150002000000001</v>
      </c>
      <c r="E1105">
        <v>50.369999</v>
      </c>
      <c r="F1105">
        <v>49.125194999999998</v>
      </c>
      <c r="G1105">
        <v>2446600</v>
      </c>
      <c r="I1105">
        <f t="shared" si="18"/>
        <v>9.0699651283501895E-5</v>
      </c>
    </row>
    <row r="1106" spans="1:9" x14ac:dyDescent="0.3">
      <c r="A1106" s="5">
        <v>43242</v>
      </c>
      <c r="B1106">
        <v>50.68</v>
      </c>
      <c r="C1106">
        <v>50.900002000000001</v>
      </c>
      <c r="D1106">
        <v>49.599997999999999</v>
      </c>
      <c r="E1106">
        <v>49.689999</v>
      </c>
      <c r="F1106">
        <v>48.462009000000002</v>
      </c>
      <c r="G1106">
        <v>3607800</v>
      </c>
      <c r="I1106">
        <f t="shared" si="18"/>
        <v>1.4326605811473554E-4</v>
      </c>
    </row>
    <row r="1107" spans="1:9" x14ac:dyDescent="0.3">
      <c r="A1107" s="5">
        <v>43243</v>
      </c>
      <c r="B1107">
        <v>49.259998000000003</v>
      </c>
      <c r="C1107">
        <v>49.380001</v>
      </c>
      <c r="D1107">
        <v>48.310001</v>
      </c>
      <c r="E1107">
        <v>48.57</v>
      </c>
      <c r="F1107">
        <v>47.369678</v>
      </c>
      <c r="G1107">
        <v>2276100</v>
      </c>
      <c r="I1107">
        <f t="shared" si="18"/>
        <v>1.447675244919725E-4</v>
      </c>
    </row>
    <row r="1108" spans="1:9" x14ac:dyDescent="0.3">
      <c r="A1108" s="5">
        <v>43244</v>
      </c>
      <c r="B1108">
        <v>48.619999</v>
      </c>
      <c r="C1108">
        <v>49.439999</v>
      </c>
      <c r="D1108">
        <v>48.549999</v>
      </c>
      <c r="E1108">
        <v>49.150002000000001</v>
      </c>
      <c r="F1108">
        <v>47.935352000000002</v>
      </c>
      <c r="G1108">
        <v>1867200</v>
      </c>
      <c r="I1108">
        <f t="shared" si="18"/>
        <v>1.1608729856984014E-4</v>
      </c>
    </row>
    <row r="1109" spans="1:9" x14ac:dyDescent="0.3">
      <c r="A1109" s="5">
        <v>43245</v>
      </c>
      <c r="B1109">
        <v>48.740001999999997</v>
      </c>
      <c r="C1109">
        <v>48.825001</v>
      </c>
      <c r="D1109">
        <v>47.66</v>
      </c>
      <c r="E1109">
        <v>47.93</v>
      </c>
      <c r="F1109">
        <v>46.745502000000002</v>
      </c>
      <c r="G1109">
        <v>3553500</v>
      </c>
      <c r="I1109">
        <f t="shared" si="18"/>
        <v>1.5881989095276207E-4</v>
      </c>
    </row>
    <row r="1110" spans="1:9" x14ac:dyDescent="0.3">
      <c r="A1110" s="5">
        <v>43249</v>
      </c>
      <c r="B1110">
        <v>47.57</v>
      </c>
      <c r="C1110">
        <v>47.950001</v>
      </c>
      <c r="D1110">
        <v>46.82</v>
      </c>
      <c r="E1110">
        <v>47.299999</v>
      </c>
      <c r="F1110">
        <v>46.131068999999997</v>
      </c>
      <c r="G1110">
        <v>1973400</v>
      </c>
      <c r="I1110">
        <f t="shared" si="18"/>
        <v>2.706887015207164E-4</v>
      </c>
    </row>
    <row r="1111" spans="1:9" x14ac:dyDescent="0.3">
      <c r="A1111" s="5">
        <v>43250</v>
      </c>
      <c r="B1111">
        <v>48.110000999999997</v>
      </c>
      <c r="C1111">
        <v>48.66</v>
      </c>
      <c r="D1111">
        <v>47.5</v>
      </c>
      <c r="E1111">
        <v>48.540000999999997</v>
      </c>
      <c r="F1111">
        <v>47.340431000000002</v>
      </c>
      <c r="G1111">
        <v>1681200</v>
      </c>
      <c r="I1111">
        <f t="shared" si="18"/>
        <v>3.0443759188632474E-4</v>
      </c>
    </row>
    <row r="1112" spans="1:9" x14ac:dyDescent="0.3">
      <c r="A1112" s="5">
        <v>43251</v>
      </c>
      <c r="B1112">
        <v>49.98</v>
      </c>
      <c r="C1112">
        <v>50.43</v>
      </c>
      <c r="D1112">
        <v>47.810001</v>
      </c>
      <c r="E1112">
        <v>48.07</v>
      </c>
      <c r="F1112">
        <v>46.882041999999998</v>
      </c>
      <c r="G1112">
        <v>4026900</v>
      </c>
      <c r="I1112">
        <f t="shared" si="18"/>
        <v>6.7032916916406676E-4</v>
      </c>
    </row>
    <row r="1113" spans="1:9" x14ac:dyDescent="0.3">
      <c r="A1113" s="5">
        <v>43252</v>
      </c>
      <c r="B1113">
        <v>48.389999000000003</v>
      </c>
      <c r="C1113">
        <v>48.619999</v>
      </c>
      <c r="D1113">
        <v>47.470001000000003</v>
      </c>
      <c r="E1113">
        <v>47.639999000000003</v>
      </c>
      <c r="F1113">
        <v>46.462662000000002</v>
      </c>
      <c r="G1113">
        <v>2442100</v>
      </c>
      <c r="I1113">
        <f t="shared" si="18"/>
        <v>1.6517180282756569E-4</v>
      </c>
    </row>
    <row r="1114" spans="1:9" x14ac:dyDescent="0.3">
      <c r="A1114" s="5">
        <v>43255</v>
      </c>
      <c r="B1114">
        <v>48.130001</v>
      </c>
      <c r="C1114">
        <v>48.82</v>
      </c>
      <c r="D1114">
        <v>48.130001</v>
      </c>
      <c r="E1114">
        <v>48.459999000000003</v>
      </c>
      <c r="F1114">
        <v>47.262402000000002</v>
      </c>
      <c r="G1114">
        <v>2229500</v>
      </c>
      <c r="I1114">
        <f t="shared" si="18"/>
        <v>1.0535377455045933E-4</v>
      </c>
    </row>
    <row r="1115" spans="1:9" x14ac:dyDescent="0.3">
      <c r="A1115" s="5">
        <v>43256</v>
      </c>
      <c r="B1115">
        <v>48.619999</v>
      </c>
      <c r="C1115">
        <v>49.5</v>
      </c>
      <c r="D1115">
        <v>48.419998</v>
      </c>
      <c r="E1115">
        <v>49.450001</v>
      </c>
      <c r="F1115">
        <v>48.227939999999997</v>
      </c>
      <c r="G1115">
        <v>2434000</v>
      </c>
      <c r="I1115">
        <f t="shared" si="18"/>
        <v>1.0489317790021949E-4</v>
      </c>
    </row>
    <row r="1116" spans="1:9" x14ac:dyDescent="0.3">
      <c r="A1116" s="5">
        <v>43257</v>
      </c>
      <c r="B1116">
        <v>49.889999000000003</v>
      </c>
      <c r="C1116">
        <v>50.189999</v>
      </c>
      <c r="D1116">
        <v>49.169998</v>
      </c>
      <c r="E1116">
        <v>50.130001</v>
      </c>
      <c r="F1116">
        <v>48.891131999999999</v>
      </c>
      <c r="G1116">
        <v>2873400</v>
      </c>
      <c r="I1116">
        <f t="shared" si="18"/>
        <v>2.8825713816950496E-4</v>
      </c>
    </row>
    <row r="1117" spans="1:9" x14ac:dyDescent="0.3">
      <c r="A1117" s="5">
        <v>43258</v>
      </c>
      <c r="B1117">
        <v>50.040000999999997</v>
      </c>
      <c r="C1117">
        <v>50.119999</v>
      </c>
      <c r="D1117">
        <v>48.542000000000002</v>
      </c>
      <c r="E1117">
        <v>49.189999</v>
      </c>
      <c r="F1117">
        <v>47.974361000000002</v>
      </c>
      <c r="G1117">
        <v>4036800</v>
      </c>
      <c r="I1117">
        <f t="shared" si="18"/>
        <v>4.3296243373496359E-4</v>
      </c>
    </row>
    <row r="1118" spans="1:9" x14ac:dyDescent="0.3">
      <c r="A1118" s="5">
        <v>43259</v>
      </c>
      <c r="B1118">
        <v>49.009998000000003</v>
      </c>
      <c r="C1118">
        <v>49.490001999999997</v>
      </c>
      <c r="D1118">
        <v>48.439999</v>
      </c>
      <c r="E1118">
        <v>48.52</v>
      </c>
      <c r="F1118">
        <v>47.320911000000002</v>
      </c>
      <c r="G1118">
        <v>2299300</v>
      </c>
      <c r="I1118">
        <f t="shared" si="18"/>
        <v>2.1222955086769123E-4</v>
      </c>
    </row>
    <row r="1119" spans="1:9" x14ac:dyDescent="0.3">
      <c r="A1119" s="5">
        <v>43262</v>
      </c>
      <c r="B1119">
        <v>48.5</v>
      </c>
      <c r="C1119">
        <v>50.59</v>
      </c>
      <c r="D1119">
        <v>48.18</v>
      </c>
      <c r="E1119">
        <v>49.919998</v>
      </c>
      <c r="F1119">
        <v>48.686317000000003</v>
      </c>
      <c r="G1119">
        <v>4973500</v>
      </c>
      <c r="I1119">
        <f t="shared" si="18"/>
        <v>7.9734434329318518E-4</v>
      </c>
    </row>
    <row r="1120" spans="1:9" x14ac:dyDescent="0.3">
      <c r="A1120" s="5">
        <v>43263</v>
      </c>
      <c r="B1120">
        <v>49.98</v>
      </c>
      <c r="C1120">
        <v>50.130001</v>
      </c>
      <c r="D1120">
        <v>49.110000999999997</v>
      </c>
      <c r="E1120">
        <v>49.290000999999997</v>
      </c>
      <c r="F1120">
        <v>48.071888000000001</v>
      </c>
      <c r="G1120">
        <v>1561800</v>
      </c>
      <c r="I1120">
        <f t="shared" si="18"/>
        <v>1.1488469810094289E-4</v>
      </c>
    </row>
    <row r="1121" spans="1:9" x14ac:dyDescent="0.3">
      <c r="A1121" s="5">
        <v>43264</v>
      </c>
      <c r="B1121">
        <v>49.34</v>
      </c>
      <c r="C1121">
        <v>49.490001999999997</v>
      </c>
      <c r="D1121">
        <v>48.279998999999997</v>
      </c>
      <c r="E1121">
        <v>48.349997999999999</v>
      </c>
      <c r="F1121">
        <v>47.155113</v>
      </c>
      <c r="G1121">
        <v>2589400</v>
      </c>
      <c r="I1121">
        <f t="shared" si="18"/>
        <v>1.0220689822525657E-4</v>
      </c>
    </row>
    <row r="1122" spans="1:9" x14ac:dyDescent="0.3">
      <c r="A1122" s="5">
        <v>43265</v>
      </c>
      <c r="B1122">
        <v>48.439999</v>
      </c>
      <c r="C1122">
        <v>48.645000000000003</v>
      </c>
      <c r="D1122">
        <v>47.639999000000003</v>
      </c>
      <c r="E1122">
        <v>47.84</v>
      </c>
      <c r="F1122">
        <v>46.657722</v>
      </c>
      <c r="G1122">
        <v>2166900</v>
      </c>
      <c r="I1122">
        <f t="shared" si="18"/>
        <v>1.4023761250381349E-4</v>
      </c>
    </row>
    <row r="1123" spans="1:9" x14ac:dyDescent="0.3">
      <c r="A1123" s="5">
        <v>43266</v>
      </c>
      <c r="B1123">
        <v>47.400002000000001</v>
      </c>
      <c r="C1123">
        <v>47.400002000000001</v>
      </c>
      <c r="D1123">
        <v>45.029998999999997</v>
      </c>
      <c r="E1123">
        <v>45.34</v>
      </c>
      <c r="F1123">
        <v>44.219498000000002</v>
      </c>
      <c r="G1123">
        <v>4962400</v>
      </c>
      <c r="I1123">
        <f t="shared" si="18"/>
        <v>3.5191003795645404E-4</v>
      </c>
    </row>
    <row r="1124" spans="1:9" x14ac:dyDescent="0.3">
      <c r="A1124" s="5">
        <v>43269</v>
      </c>
      <c r="B1124">
        <v>45.009998000000003</v>
      </c>
      <c r="C1124">
        <v>45.869999</v>
      </c>
      <c r="D1124">
        <v>45</v>
      </c>
      <c r="E1124">
        <v>45.779998999999997</v>
      </c>
      <c r="F1124">
        <v>44.648631999999999</v>
      </c>
      <c r="G1124">
        <v>2835700</v>
      </c>
      <c r="I1124">
        <f t="shared" si="18"/>
        <v>4.0989474786610265E-5</v>
      </c>
    </row>
    <row r="1125" spans="1:9" x14ac:dyDescent="0.3">
      <c r="A1125" s="5">
        <v>43270</v>
      </c>
      <c r="B1125">
        <v>44.630001</v>
      </c>
      <c r="C1125">
        <v>44.630001</v>
      </c>
      <c r="D1125">
        <v>43.349997999999999</v>
      </c>
      <c r="E1125">
        <v>44.470001000000003</v>
      </c>
      <c r="F1125">
        <v>43.371006000000001</v>
      </c>
      <c r="G1125">
        <v>3320100</v>
      </c>
      <c r="I1125">
        <f t="shared" si="18"/>
        <v>7.4227866264881903E-4</v>
      </c>
    </row>
    <row r="1126" spans="1:9" x14ac:dyDescent="0.3">
      <c r="A1126" s="5">
        <v>43271</v>
      </c>
      <c r="B1126">
        <v>44.880001</v>
      </c>
      <c r="C1126">
        <v>45.43</v>
      </c>
      <c r="D1126">
        <v>44.330002</v>
      </c>
      <c r="E1126">
        <v>45.27</v>
      </c>
      <c r="F1126">
        <v>44.151226000000001</v>
      </c>
      <c r="G1126">
        <v>2160500</v>
      </c>
      <c r="I1126">
        <f t="shared" si="18"/>
        <v>3.0170500846208562E-4</v>
      </c>
    </row>
    <row r="1127" spans="1:9" x14ac:dyDescent="0.3">
      <c r="A1127" s="5">
        <v>43272</v>
      </c>
      <c r="B1127">
        <v>45.009998000000003</v>
      </c>
      <c r="C1127">
        <v>45.429001</v>
      </c>
      <c r="D1127">
        <v>44.57</v>
      </c>
      <c r="E1127">
        <v>44.810001</v>
      </c>
      <c r="F1127">
        <v>43.702601999999999</v>
      </c>
      <c r="G1127">
        <v>2251200</v>
      </c>
      <c r="I1127">
        <f t="shared" si="18"/>
        <v>1.7988064236177897E-4</v>
      </c>
    </row>
    <row r="1128" spans="1:9" x14ac:dyDescent="0.3">
      <c r="A1128" s="5">
        <v>43273</v>
      </c>
      <c r="B1128">
        <v>45.450001</v>
      </c>
      <c r="C1128">
        <v>45.779998999999997</v>
      </c>
      <c r="D1128">
        <v>45.259998000000003</v>
      </c>
      <c r="E1128">
        <v>45.560001</v>
      </c>
      <c r="F1128">
        <v>44.434066999999999</v>
      </c>
      <c r="G1128">
        <v>3339700</v>
      </c>
      <c r="I1128">
        <f t="shared" si="18"/>
        <v>6.2525829949135284E-5</v>
      </c>
    </row>
    <row r="1129" spans="1:9" x14ac:dyDescent="0.3">
      <c r="A1129" s="5">
        <v>43276</v>
      </c>
      <c r="B1129">
        <v>45.130001</v>
      </c>
      <c r="C1129">
        <v>45.130001</v>
      </c>
      <c r="D1129">
        <v>43.59</v>
      </c>
      <c r="E1129">
        <v>44.259998000000003</v>
      </c>
      <c r="F1129">
        <v>43.166195000000002</v>
      </c>
      <c r="G1129">
        <v>2281900</v>
      </c>
      <c r="I1129">
        <f t="shared" si="18"/>
        <v>5.2959423675652951E-4</v>
      </c>
    </row>
    <row r="1130" spans="1:9" x14ac:dyDescent="0.3">
      <c r="A1130" s="5">
        <v>43277</v>
      </c>
      <c r="B1130">
        <v>44.509998000000003</v>
      </c>
      <c r="C1130">
        <v>45.959999000000003</v>
      </c>
      <c r="D1130">
        <v>44.080002</v>
      </c>
      <c r="E1130">
        <v>45.799999</v>
      </c>
      <c r="F1130">
        <v>44.668132999999997</v>
      </c>
      <c r="G1130">
        <v>3918200</v>
      </c>
      <c r="I1130">
        <f t="shared" si="18"/>
        <v>4.8338364183598507E-4</v>
      </c>
    </row>
    <row r="1131" spans="1:9" x14ac:dyDescent="0.3">
      <c r="A1131" s="5">
        <v>43278</v>
      </c>
      <c r="B1131">
        <v>45.68</v>
      </c>
      <c r="C1131">
        <v>47.049999</v>
      </c>
      <c r="D1131">
        <v>45.470001000000003</v>
      </c>
      <c r="E1131">
        <v>45.740001999999997</v>
      </c>
      <c r="F1131">
        <v>44.609619000000002</v>
      </c>
      <c r="G1131">
        <v>2468600</v>
      </c>
      <c r="I1131">
        <f t="shared" si="18"/>
        <v>8.6170940850701413E-4</v>
      </c>
    </row>
    <row r="1132" spans="1:9" x14ac:dyDescent="0.3">
      <c r="A1132" s="5">
        <v>43279</v>
      </c>
      <c r="B1132">
        <v>45.23</v>
      </c>
      <c r="C1132">
        <v>46.68</v>
      </c>
      <c r="D1132">
        <v>45.074001000000003</v>
      </c>
      <c r="E1132">
        <v>46.470001000000003</v>
      </c>
      <c r="F1132">
        <v>45.321575000000003</v>
      </c>
      <c r="G1132">
        <v>2273000</v>
      </c>
      <c r="I1132">
        <f t="shared" si="18"/>
        <v>2.4765905910345575E-4</v>
      </c>
    </row>
    <row r="1133" spans="1:9" x14ac:dyDescent="0.3">
      <c r="A1133" s="5">
        <v>43280</v>
      </c>
      <c r="B1133">
        <v>46.189999</v>
      </c>
      <c r="C1133">
        <v>47.32</v>
      </c>
      <c r="D1133">
        <v>46.088000999999998</v>
      </c>
      <c r="E1133">
        <v>46.880001</v>
      </c>
      <c r="F1133">
        <v>45.721446999999998</v>
      </c>
      <c r="G1133">
        <v>3118900</v>
      </c>
      <c r="I1133">
        <f t="shared" si="18"/>
        <v>2.6345714512167171E-4</v>
      </c>
    </row>
    <row r="1134" spans="1:9" x14ac:dyDescent="0.3">
      <c r="A1134" s="5">
        <v>43283</v>
      </c>
      <c r="B1134">
        <v>46.459999000000003</v>
      </c>
      <c r="C1134">
        <v>47.290000999999997</v>
      </c>
      <c r="D1134">
        <v>45.490001999999997</v>
      </c>
      <c r="E1134">
        <v>45.880001</v>
      </c>
      <c r="F1134">
        <v>44.746166000000002</v>
      </c>
      <c r="G1134">
        <v>2150500</v>
      </c>
      <c r="I1134">
        <f t="shared" si="18"/>
        <v>7.1610642535363468E-4</v>
      </c>
    </row>
    <row r="1135" spans="1:9" x14ac:dyDescent="0.3">
      <c r="A1135" s="5">
        <v>43284</v>
      </c>
      <c r="B1135">
        <v>46.34</v>
      </c>
      <c r="C1135">
        <v>46.900002000000001</v>
      </c>
      <c r="D1135">
        <v>45.509998000000003</v>
      </c>
      <c r="E1135">
        <v>45.799999</v>
      </c>
      <c r="F1135">
        <v>44.668132999999997</v>
      </c>
      <c r="G1135">
        <v>1251300</v>
      </c>
      <c r="I1135">
        <f t="shared" si="18"/>
        <v>3.9989662946480884E-4</v>
      </c>
    </row>
    <row r="1136" spans="1:9" x14ac:dyDescent="0.3">
      <c r="A1136" s="5">
        <v>43286</v>
      </c>
      <c r="B1136">
        <v>46.259998000000003</v>
      </c>
      <c r="C1136">
        <v>47.5</v>
      </c>
      <c r="D1136">
        <v>46.169998</v>
      </c>
      <c r="E1136">
        <v>46.880001</v>
      </c>
      <c r="F1136">
        <v>45.721446999999998</v>
      </c>
      <c r="G1136">
        <v>2251000</v>
      </c>
      <c r="I1136">
        <f t="shared" si="18"/>
        <v>3.7726158862035601E-4</v>
      </c>
    </row>
    <row r="1137" spans="1:9" x14ac:dyDescent="0.3">
      <c r="A1137" s="5">
        <v>43287</v>
      </c>
      <c r="B1137">
        <v>46.490001999999997</v>
      </c>
      <c r="C1137">
        <v>47.244999</v>
      </c>
      <c r="D1137">
        <v>46.02</v>
      </c>
      <c r="E1137">
        <v>47.139999000000003</v>
      </c>
      <c r="F1137">
        <v>45.975025000000002</v>
      </c>
      <c r="G1137">
        <v>2184800</v>
      </c>
      <c r="I1137">
        <f t="shared" si="18"/>
        <v>2.8017654235799319E-4</v>
      </c>
    </row>
    <row r="1138" spans="1:9" x14ac:dyDescent="0.3">
      <c r="A1138" s="5">
        <v>43290</v>
      </c>
      <c r="B1138">
        <v>47.939999</v>
      </c>
      <c r="C1138">
        <v>48.560001</v>
      </c>
      <c r="D1138">
        <v>47.57</v>
      </c>
      <c r="E1138">
        <v>48.290000999999997</v>
      </c>
      <c r="F1138">
        <v>47.096600000000002</v>
      </c>
      <c r="G1138">
        <v>2370200</v>
      </c>
      <c r="I1138">
        <f t="shared" si="18"/>
        <v>1.8803738075125727E-4</v>
      </c>
    </row>
    <row r="1139" spans="1:9" x14ac:dyDescent="0.3">
      <c r="A1139" s="5">
        <v>43291</v>
      </c>
      <c r="B1139">
        <v>48.049999</v>
      </c>
      <c r="C1139">
        <v>48.869999</v>
      </c>
      <c r="D1139">
        <v>47.518002000000003</v>
      </c>
      <c r="E1139">
        <v>47.889999000000003</v>
      </c>
      <c r="F1139">
        <v>46.706485999999998</v>
      </c>
      <c r="G1139">
        <v>2234800</v>
      </c>
      <c r="I1139">
        <f t="shared" si="18"/>
        <v>4.2959996841765219E-4</v>
      </c>
    </row>
    <row r="1140" spans="1:9" x14ac:dyDescent="0.3">
      <c r="A1140" s="5">
        <v>43292</v>
      </c>
      <c r="B1140">
        <v>46.91</v>
      </c>
      <c r="C1140">
        <v>48.299999</v>
      </c>
      <c r="D1140">
        <v>46.59</v>
      </c>
      <c r="E1140">
        <v>48.060001</v>
      </c>
      <c r="F1140">
        <v>46.872280000000003</v>
      </c>
      <c r="G1140">
        <v>2847300</v>
      </c>
      <c r="I1140">
        <f t="shared" si="18"/>
        <v>3.5809060468648316E-4</v>
      </c>
    </row>
    <row r="1141" spans="1:9" x14ac:dyDescent="0.3">
      <c r="A1141" s="5">
        <v>43293</v>
      </c>
      <c r="B1141">
        <v>48.099997999999999</v>
      </c>
      <c r="C1141">
        <v>48.286999000000002</v>
      </c>
      <c r="D1141">
        <v>47.150002000000001</v>
      </c>
      <c r="E1141">
        <v>47.400002000000001</v>
      </c>
      <c r="F1141">
        <v>46.228596000000003</v>
      </c>
      <c r="G1141">
        <v>1896600</v>
      </c>
      <c r="I1141">
        <f t="shared" si="18"/>
        <v>1.7742938603054916E-4</v>
      </c>
    </row>
    <row r="1142" spans="1:9" x14ac:dyDescent="0.3">
      <c r="A1142" s="5">
        <v>43294</v>
      </c>
      <c r="B1142">
        <v>47.68</v>
      </c>
      <c r="C1142">
        <v>47.849997999999999</v>
      </c>
      <c r="D1142">
        <v>47.02</v>
      </c>
      <c r="E1142">
        <v>47.259998000000003</v>
      </c>
      <c r="F1142">
        <v>46.092052000000002</v>
      </c>
      <c r="G1142">
        <v>1350400</v>
      </c>
      <c r="I1142">
        <f t="shared" si="18"/>
        <v>1.1512257170045859E-4</v>
      </c>
    </row>
    <row r="1143" spans="1:9" x14ac:dyDescent="0.3">
      <c r="A1143" s="5">
        <v>43297</v>
      </c>
      <c r="B1143">
        <v>47.540000999999997</v>
      </c>
      <c r="C1143">
        <v>48.080002</v>
      </c>
      <c r="D1143">
        <v>46.759998000000003</v>
      </c>
      <c r="E1143">
        <v>47.41</v>
      </c>
      <c r="F1143">
        <v>46.238349999999997</v>
      </c>
      <c r="G1143">
        <v>2714100</v>
      </c>
      <c r="I1143">
        <f t="shared" si="18"/>
        <v>3.868852251612126E-4</v>
      </c>
    </row>
    <row r="1144" spans="1:9" x14ac:dyDescent="0.3">
      <c r="A1144" s="5">
        <v>43298</v>
      </c>
      <c r="B1144">
        <v>47.400002000000001</v>
      </c>
      <c r="C1144">
        <v>48.290000999999997</v>
      </c>
      <c r="D1144">
        <v>47.395000000000003</v>
      </c>
      <c r="E1144">
        <v>48.02</v>
      </c>
      <c r="F1144">
        <v>46.833275</v>
      </c>
      <c r="G1144">
        <v>2203000</v>
      </c>
      <c r="I1144">
        <f t="shared" si="18"/>
        <v>1.0568408037070319E-4</v>
      </c>
    </row>
    <row r="1145" spans="1:9" x14ac:dyDescent="0.3">
      <c r="A1145" s="5">
        <v>43299</v>
      </c>
      <c r="B1145">
        <v>47.98</v>
      </c>
      <c r="C1145">
        <v>48.75</v>
      </c>
      <c r="D1145">
        <v>47.32</v>
      </c>
      <c r="E1145">
        <v>47.959999000000003</v>
      </c>
      <c r="F1145">
        <v>46.774749999999997</v>
      </c>
      <c r="G1145">
        <v>3937700</v>
      </c>
      <c r="I1145">
        <f t="shared" si="18"/>
        <v>4.4619554649367879E-4</v>
      </c>
    </row>
    <row r="1146" spans="1:9" x14ac:dyDescent="0.3">
      <c r="A1146" s="5">
        <v>43300</v>
      </c>
      <c r="B1146">
        <v>45.75</v>
      </c>
      <c r="C1146">
        <v>46.299999</v>
      </c>
      <c r="D1146">
        <v>41.025002000000001</v>
      </c>
      <c r="E1146">
        <v>41.560001</v>
      </c>
      <c r="F1146">
        <v>40.532921000000002</v>
      </c>
      <c r="G1146">
        <v>19926800</v>
      </c>
      <c r="I1146">
        <f t="shared" si="18"/>
        <v>2.7030506989547628E-3</v>
      </c>
    </row>
    <row r="1147" spans="1:9" x14ac:dyDescent="0.3">
      <c r="A1147" s="5">
        <v>43301</v>
      </c>
      <c r="B1147">
        <v>41.529998999999997</v>
      </c>
      <c r="C1147">
        <v>41.549999</v>
      </c>
      <c r="D1147">
        <v>40.029998999999997</v>
      </c>
      <c r="E1147">
        <v>40.32</v>
      </c>
      <c r="F1147">
        <v>39.323566</v>
      </c>
      <c r="G1147">
        <v>9835500</v>
      </c>
      <c r="I1147">
        <f t="shared" si="18"/>
        <v>2.8001316319610216E-4</v>
      </c>
    </row>
    <row r="1148" spans="1:9" x14ac:dyDescent="0.3">
      <c r="A1148" s="5">
        <v>43304</v>
      </c>
      <c r="B1148">
        <v>40.860000999999997</v>
      </c>
      <c r="C1148">
        <v>41.82</v>
      </c>
      <c r="D1148">
        <v>40.080002</v>
      </c>
      <c r="E1148">
        <v>41.330002</v>
      </c>
      <c r="F1148">
        <v>40.308608999999997</v>
      </c>
      <c r="G1148">
        <v>7709800</v>
      </c>
      <c r="I1148">
        <f t="shared" si="18"/>
        <v>8.6563800626928312E-4</v>
      </c>
    </row>
    <row r="1149" spans="1:9" x14ac:dyDescent="0.3">
      <c r="A1149" s="5">
        <v>43305</v>
      </c>
      <c r="B1149">
        <v>42.349997999999999</v>
      </c>
      <c r="C1149">
        <v>43.099997999999999</v>
      </c>
      <c r="D1149">
        <v>42</v>
      </c>
      <c r="E1149">
        <v>42.490001999999997</v>
      </c>
      <c r="F1149">
        <v>41.439940999999997</v>
      </c>
      <c r="G1149">
        <v>8243900</v>
      </c>
      <c r="I1149">
        <f t="shared" si="18"/>
        <v>3.4648434678881488E-4</v>
      </c>
    </row>
    <row r="1150" spans="1:9" x14ac:dyDescent="0.3">
      <c r="A1150" s="5">
        <v>43306</v>
      </c>
      <c r="B1150">
        <v>42.099997999999999</v>
      </c>
      <c r="C1150">
        <v>43.244999</v>
      </c>
      <c r="D1150">
        <v>41.645000000000003</v>
      </c>
      <c r="E1150">
        <v>43.110000999999997</v>
      </c>
      <c r="F1150">
        <v>42.044612999999998</v>
      </c>
      <c r="G1150">
        <v>5502300</v>
      </c>
      <c r="I1150">
        <f t="shared" si="18"/>
        <v>4.595894109713392E-4</v>
      </c>
    </row>
    <row r="1151" spans="1:9" x14ac:dyDescent="0.3">
      <c r="A1151" s="5">
        <v>43307</v>
      </c>
      <c r="B1151">
        <v>42.700001</v>
      </c>
      <c r="C1151">
        <v>43.459999000000003</v>
      </c>
      <c r="D1151">
        <v>42.049999</v>
      </c>
      <c r="E1151">
        <v>42.82</v>
      </c>
      <c r="F1151">
        <v>41.761780000000002</v>
      </c>
      <c r="G1151">
        <v>3023700</v>
      </c>
      <c r="I1151">
        <f t="shared" si="18"/>
        <v>5.4008180556438211E-4</v>
      </c>
    </row>
    <row r="1152" spans="1:9" x14ac:dyDescent="0.3">
      <c r="A1152" s="5">
        <v>43308</v>
      </c>
      <c r="B1152">
        <v>42.860000999999997</v>
      </c>
      <c r="C1152">
        <v>43.48</v>
      </c>
      <c r="D1152">
        <v>42.362999000000002</v>
      </c>
      <c r="E1152">
        <v>43.220001000000003</v>
      </c>
      <c r="F1152">
        <v>42.151896999999998</v>
      </c>
      <c r="G1152">
        <v>3977500</v>
      </c>
      <c r="I1152">
        <f t="shared" si="18"/>
        <v>3.1974029406850506E-4</v>
      </c>
    </row>
    <row r="1153" spans="1:9" x14ac:dyDescent="0.3">
      <c r="A1153" s="5">
        <v>43311</v>
      </c>
      <c r="B1153">
        <v>43.380001</v>
      </c>
      <c r="C1153">
        <v>43.68</v>
      </c>
      <c r="D1153">
        <v>42.32</v>
      </c>
      <c r="E1153">
        <v>42.580002</v>
      </c>
      <c r="F1153">
        <v>41.527718</v>
      </c>
      <c r="G1153">
        <v>2704100</v>
      </c>
      <c r="I1153">
        <f t="shared" si="18"/>
        <v>3.2730252388812881E-4</v>
      </c>
    </row>
    <row r="1154" spans="1:9" x14ac:dyDescent="0.3">
      <c r="A1154" s="5">
        <v>43312</v>
      </c>
      <c r="B1154">
        <v>42.68</v>
      </c>
      <c r="C1154">
        <v>43.610000999999997</v>
      </c>
      <c r="D1154">
        <v>42.654998999999997</v>
      </c>
      <c r="E1154">
        <v>43.27</v>
      </c>
      <c r="F1154">
        <v>42.200660999999997</v>
      </c>
      <c r="G1154">
        <v>2557600</v>
      </c>
      <c r="I1154">
        <f t="shared" si="18"/>
        <v>1.7710627191449034E-4</v>
      </c>
    </row>
    <row r="1155" spans="1:9" x14ac:dyDescent="0.3">
      <c r="A1155" s="5">
        <v>43313</v>
      </c>
      <c r="B1155">
        <v>43.009998000000003</v>
      </c>
      <c r="C1155">
        <v>43.009998000000003</v>
      </c>
      <c r="D1155">
        <v>41.900002000000001</v>
      </c>
      <c r="E1155">
        <v>42.040000999999997</v>
      </c>
      <c r="F1155">
        <v>41.001060000000003</v>
      </c>
      <c r="G1155">
        <v>3886600</v>
      </c>
      <c r="I1155">
        <f t="shared" si="18"/>
        <v>8.7217505489257279E-5</v>
      </c>
    </row>
    <row r="1156" spans="1:9" x14ac:dyDescent="0.3">
      <c r="A1156" s="5">
        <v>43314</v>
      </c>
      <c r="B1156">
        <v>41.630001</v>
      </c>
      <c r="C1156">
        <v>42.75</v>
      </c>
      <c r="D1156">
        <v>41.459999000000003</v>
      </c>
      <c r="E1156">
        <v>42.48</v>
      </c>
      <c r="F1156">
        <v>41.430186999999997</v>
      </c>
      <c r="G1156">
        <v>2571700</v>
      </c>
      <c r="I1156">
        <f t="shared" si="18"/>
        <v>2.6765723421434321E-4</v>
      </c>
    </row>
    <row r="1157" spans="1:9" x14ac:dyDescent="0.3">
      <c r="A1157" s="5">
        <v>43315</v>
      </c>
      <c r="B1157">
        <v>42.540000999999997</v>
      </c>
      <c r="C1157">
        <v>43.299999</v>
      </c>
      <c r="D1157">
        <v>42.310001</v>
      </c>
      <c r="E1157">
        <v>42.720001000000003</v>
      </c>
      <c r="F1157">
        <v>41.664256999999999</v>
      </c>
      <c r="G1157">
        <v>2101600</v>
      </c>
      <c r="I1157">
        <f t="shared" si="18"/>
        <v>2.9107835406424115E-4</v>
      </c>
    </row>
    <row r="1158" spans="1:9" x14ac:dyDescent="0.3">
      <c r="A1158" s="5">
        <v>43318</v>
      </c>
      <c r="B1158">
        <v>42.529998999999997</v>
      </c>
      <c r="C1158">
        <v>42.98</v>
      </c>
      <c r="D1158">
        <v>42.209999000000003</v>
      </c>
      <c r="E1158">
        <v>42.720001000000003</v>
      </c>
      <c r="F1158">
        <v>41.664256999999999</v>
      </c>
      <c r="G1158">
        <v>3233400</v>
      </c>
      <c r="I1158">
        <f t="shared" si="18"/>
        <v>1.5457024689412269E-4</v>
      </c>
    </row>
    <row r="1159" spans="1:9" x14ac:dyDescent="0.3">
      <c r="A1159" s="5">
        <v>43319</v>
      </c>
      <c r="B1159">
        <v>43.209999000000003</v>
      </c>
      <c r="C1159">
        <v>43.400002000000001</v>
      </c>
      <c r="D1159">
        <v>41.900002000000001</v>
      </c>
      <c r="E1159">
        <v>41.970001000000003</v>
      </c>
      <c r="F1159">
        <v>40.932796000000003</v>
      </c>
      <c r="G1159">
        <v>2887900</v>
      </c>
      <c r="I1159">
        <f t="shared" si="18"/>
        <v>1.9839141133160402E-4</v>
      </c>
    </row>
    <row r="1160" spans="1:9" x14ac:dyDescent="0.3">
      <c r="A1160" s="5">
        <v>43320</v>
      </c>
      <c r="B1160">
        <v>42</v>
      </c>
      <c r="C1160">
        <v>44.32</v>
      </c>
      <c r="D1160">
        <v>41.945</v>
      </c>
      <c r="E1160">
        <v>43.700001</v>
      </c>
      <c r="F1160">
        <v>42.620037000000004</v>
      </c>
      <c r="G1160">
        <v>6483900</v>
      </c>
      <c r="I1160">
        <f t="shared" si="18"/>
        <v>8.1116804663644701E-4</v>
      </c>
    </row>
    <row r="1161" spans="1:9" x14ac:dyDescent="0.3">
      <c r="A1161" s="5">
        <v>43321</v>
      </c>
      <c r="B1161">
        <v>44.27</v>
      </c>
      <c r="C1161">
        <v>44.400002000000001</v>
      </c>
      <c r="D1161">
        <v>42.810001</v>
      </c>
      <c r="E1161">
        <v>42.990001999999997</v>
      </c>
      <c r="F1161">
        <v>41.927585999999998</v>
      </c>
      <c r="G1161">
        <v>3058400</v>
      </c>
      <c r="I1161">
        <f t="shared" si="18"/>
        <v>2.3533934945170308E-4</v>
      </c>
    </row>
    <row r="1162" spans="1:9" x14ac:dyDescent="0.3">
      <c r="A1162" s="5">
        <v>43322</v>
      </c>
      <c r="B1162">
        <v>42.450001</v>
      </c>
      <c r="C1162">
        <v>45.169998</v>
      </c>
      <c r="D1162">
        <v>42.049999</v>
      </c>
      <c r="E1162">
        <v>44.98</v>
      </c>
      <c r="F1162">
        <v>43.868400999999999</v>
      </c>
      <c r="G1162">
        <v>7608200</v>
      </c>
      <c r="I1162">
        <f t="shared" si="18"/>
        <v>8.9950972449445135E-4</v>
      </c>
    </row>
    <row r="1163" spans="1:9" x14ac:dyDescent="0.3">
      <c r="A1163" s="5">
        <v>43325</v>
      </c>
      <c r="B1163">
        <v>44.950001</v>
      </c>
      <c r="C1163">
        <v>44.950001</v>
      </c>
      <c r="D1163">
        <v>44.009998000000003</v>
      </c>
      <c r="E1163">
        <v>44.450001</v>
      </c>
      <c r="F1163">
        <v>43.351497999999999</v>
      </c>
      <c r="G1163">
        <v>4337600</v>
      </c>
      <c r="I1163">
        <f t="shared" si="18"/>
        <v>2.1024366318643837E-4</v>
      </c>
    </row>
    <row r="1164" spans="1:9" x14ac:dyDescent="0.3">
      <c r="A1164" s="5">
        <v>43326</v>
      </c>
      <c r="B1164">
        <v>44.360000999999997</v>
      </c>
      <c r="C1164">
        <v>44.560001</v>
      </c>
      <c r="D1164">
        <v>43.759998000000003</v>
      </c>
      <c r="E1164">
        <v>44.130001</v>
      </c>
      <c r="F1164">
        <v>43.039409999999997</v>
      </c>
      <c r="G1164">
        <v>3399500</v>
      </c>
      <c r="I1164">
        <f t="shared" ref="I1164:I1227" si="19">LN(C1164/B1164)*(LN(C1164/B1164)-LN(E1164/B1164))+LN(D1164/B1164)*(LN(D1164/B1164)-LN(E1164/B1164))</f>
        <v>1.5828082267635042E-4</v>
      </c>
    </row>
    <row r="1165" spans="1:9" x14ac:dyDescent="0.3">
      <c r="A1165" s="5">
        <v>43327</v>
      </c>
      <c r="B1165">
        <v>43.18</v>
      </c>
      <c r="C1165">
        <v>43.369999</v>
      </c>
      <c r="D1165">
        <v>40.689999</v>
      </c>
      <c r="E1165">
        <v>40.880001</v>
      </c>
      <c r="F1165">
        <v>39.869720000000001</v>
      </c>
      <c r="G1165">
        <v>5392400</v>
      </c>
      <c r="I1165">
        <f t="shared" si="19"/>
        <v>5.3629742165582986E-4</v>
      </c>
    </row>
    <row r="1166" spans="1:9" x14ac:dyDescent="0.3">
      <c r="A1166" s="5">
        <v>43328</v>
      </c>
      <c r="B1166">
        <v>41.25</v>
      </c>
      <c r="C1166">
        <v>42.240001999999997</v>
      </c>
      <c r="D1166">
        <v>41.25</v>
      </c>
      <c r="E1166">
        <v>41.450001</v>
      </c>
      <c r="F1166">
        <v>40.425643999999998</v>
      </c>
      <c r="G1166">
        <v>3398900</v>
      </c>
      <c r="I1166">
        <f t="shared" si="19"/>
        <v>4.4776372348694261E-4</v>
      </c>
    </row>
    <row r="1167" spans="1:9" x14ac:dyDescent="0.3">
      <c r="A1167" s="5">
        <v>43329</v>
      </c>
      <c r="B1167">
        <v>41.419998</v>
      </c>
      <c r="C1167">
        <v>42.240001999999997</v>
      </c>
      <c r="D1167">
        <v>41.09</v>
      </c>
      <c r="E1167">
        <v>42.029998999999997</v>
      </c>
      <c r="F1167">
        <v>40.991301999999997</v>
      </c>
      <c r="G1167">
        <v>2264900</v>
      </c>
      <c r="I1167">
        <f t="shared" si="19"/>
        <v>2.786356197569529E-4</v>
      </c>
    </row>
    <row r="1168" spans="1:9" x14ac:dyDescent="0.3">
      <c r="A1168" s="5">
        <v>43332</v>
      </c>
      <c r="B1168">
        <v>42.57</v>
      </c>
      <c r="C1168">
        <v>42.869999</v>
      </c>
      <c r="D1168">
        <v>41.709999000000003</v>
      </c>
      <c r="E1168">
        <v>41.830002</v>
      </c>
      <c r="F1168">
        <v>40.796249000000003</v>
      </c>
      <c r="G1168">
        <v>2730900</v>
      </c>
      <c r="I1168">
        <f t="shared" si="19"/>
        <v>2.3109469560055778E-4</v>
      </c>
    </row>
    <row r="1169" spans="1:9" x14ac:dyDescent="0.3">
      <c r="A1169" s="5">
        <v>43333</v>
      </c>
      <c r="B1169">
        <v>41.880001</v>
      </c>
      <c r="C1169">
        <v>43.220001000000003</v>
      </c>
      <c r="D1169">
        <v>41.880001</v>
      </c>
      <c r="E1169">
        <v>43.029998999999997</v>
      </c>
      <c r="F1169">
        <v>41.966586999999997</v>
      </c>
      <c r="G1169">
        <v>3095900</v>
      </c>
      <c r="I1169">
        <f t="shared" si="19"/>
        <v>1.3876210768309143E-4</v>
      </c>
    </row>
    <row r="1170" spans="1:9" x14ac:dyDescent="0.3">
      <c r="A1170" s="5">
        <v>43334</v>
      </c>
      <c r="B1170">
        <v>43.200001</v>
      </c>
      <c r="C1170">
        <v>43.790000999999997</v>
      </c>
      <c r="D1170">
        <v>43.119999</v>
      </c>
      <c r="E1170">
        <v>43.220001000000003</v>
      </c>
      <c r="F1170">
        <v>42.151896999999998</v>
      </c>
      <c r="G1170">
        <v>2037900</v>
      </c>
      <c r="I1170">
        <f t="shared" si="19"/>
        <v>1.8202403753293865E-4</v>
      </c>
    </row>
    <row r="1171" spans="1:9" x14ac:dyDescent="0.3">
      <c r="A1171" s="5">
        <v>43335</v>
      </c>
      <c r="B1171">
        <v>42.5</v>
      </c>
      <c r="C1171">
        <v>42.73</v>
      </c>
      <c r="D1171">
        <v>41.889999000000003</v>
      </c>
      <c r="E1171">
        <v>42.02</v>
      </c>
      <c r="F1171">
        <v>40.981563999999999</v>
      </c>
      <c r="G1171">
        <v>2813000</v>
      </c>
      <c r="I1171">
        <f t="shared" si="19"/>
        <v>1.3522876181911833E-4</v>
      </c>
    </row>
    <row r="1172" spans="1:9" x14ac:dyDescent="0.3">
      <c r="A1172" s="5">
        <v>43336</v>
      </c>
      <c r="B1172">
        <v>42.709999000000003</v>
      </c>
      <c r="C1172">
        <v>43.529998999999997</v>
      </c>
      <c r="D1172">
        <v>42.18</v>
      </c>
      <c r="E1172">
        <v>43.439999</v>
      </c>
      <c r="F1172">
        <v>42.366458999999999</v>
      </c>
      <c r="G1172">
        <v>4630500</v>
      </c>
      <c r="I1172">
        <f t="shared" si="19"/>
        <v>4.0690464264074762E-4</v>
      </c>
    </row>
    <row r="1173" spans="1:9" x14ac:dyDescent="0.3">
      <c r="A1173" s="5">
        <v>43339</v>
      </c>
      <c r="B1173">
        <v>43.41</v>
      </c>
      <c r="C1173">
        <v>44.349997999999999</v>
      </c>
      <c r="D1173">
        <v>43.41</v>
      </c>
      <c r="E1173">
        <v>43.869999</v>
      </c>
      <c r="F1173">
        <v>42.785839000000003</v>
      </c>
      <c r="G1173">
        <v>2358900</v>
      </c>
      <c r="I1173">
        <f t="shared" si="19"/>
        <v>2.3312266803374198E-4</v>
      </c>
    </row>
    <row r="1174" spans="1:9" x14ac:dyDescent="0.3">
      <c r="A1174" s="5">
        <v>43340</v>
      </c>
      <c r="B1174">
        <v>44.490001999999997</v>
      </c>
      <c r="C1174">
        <v>45.650002000000001</v>
      </c>
      <c r="D1174">
        <v>44</v>
      </c>
      <c r="E1174">
        <v>44.25</v>
      </c>
      <c r="F1174">
        <v>43.156444999999998</v>
      </c>
      <c r="G1174">
        <v>3837200</v>
      </c>
      <c r="I1174">
        <f t="shared" si="19"/>
        <v>8.6447780734094084E-4</v>
      </c>
    </row>
    <row r="1175" spans="1:9" x14ac:dyDescent="0.3">
      <c r="A1175" s="5">
        <v>43341</v>
      </c>
      <c r="B1175">
        <v>44.119999</v>
      </c>
      <c r="C1175">
        <v>45.470001000000003</v>
      </c>
      <c r="D1175">
        <v>44.040000999999997</v>
      </c>
      <c r="E1175">
        <v>45.130001</v>
      </c>
      <c r="F1175">
        <v>44.014702</v>
      </c>
      <c r="G1175">
        <v>2549000</v>
      </c>
      <c r="I1175">
        <f t="shared" si="19"/>
        <v>2.7058530102353124E-4</v>
      </c>
    </row>
    <row r="1176" spans="1:9" x14ac:dyDescent="0.3">
      <c r="A1176" s="5">
        <v>43342</v>
      </c>
      <c r="B1176">
        <v>44.990001999999997</v>
      </c>
      <c r="C1176">
        <v>45.169998</v>
      </c>
      <c r="D1176">
        <v>44.305</v>
      </c>
      <c r="E1176">
        <v>44.369999</v>
      </c>
      <c r="F1176">
        <v>43.273476000000002</v>
      </c>
      <c r="G1176">
        <v>3086400</v>
      </c>
      <c r="I1176">
        <f t="shared" si="19"/>
        <v>9.3842465771824688E-5</v>
      </c>
    </row>
    <row r="1177" spans="1:9" x14ac:dyDescent="0.3">
      <c r="A1177" s="5">
        <v>43343</v>
      </c>
      <c r="B1177">
        <v>44.099997999999999</v>
      </c>
      <c r="C1177">
        <v>45.040000999999997</v>
      </c>
      <c r="D1177">
        <v>44.040000999999997</v>
      </c>
      <c r="E1177">
        <v>44.669998</v>
      </c>
      <c r="F1177">
        <v>43.566063</v>
      </c>
      <c r="G1177">
        <v>2028600</v>
      </c>
      <c r="I1177">
        <f t="shared" si="19"/>
        <v>1.9331712354370232E-4</v>
      </c>
    </row>
    <row r="1178" spans="1:9" x14ac:dyDescent="0.3">
      <c r="A1178" s="5">
        <v>43347</v>
      </c>
      <c r="B1178">
        <v>43.880001</v>
      </c>
      <c r="C1178">
        <v>43.918998999999999</v>
      </c>
      <c r="D1178">
        <v>43.099997999999999</v>
      </c>
      <c r="E1178">
        <v>43.360000999999997</v>
      </c>
      <c r="F1178">
        <v>42.288440999999999</v>
      </c>
      <c r="G1178">
        <v>2045100</v>
      </c>
      <c r="I1178">
        <f t="shared" si="19"/>
        <v>1.1925244415623289E-4</v>
      </c>
    </row>
    <row r="1179" spans="1:9" x14ac:dyDescent="0.3">
      <c r="A1179" s="5">
        <v>43348</v>
      </c>
      <c r="B1179">
        <v>43.169998</v>
      </c>
      <c r="C1179">
        <v>43.226002000000001</v>
      </c>
      <c r="D1179">
        <v>41.630001</v>
      </c>
      <c r="E1179">
        <v>42.869999</v>
      </c>
      <c r="F1179">
        <v>41.810550999999997</v>
      </c>
      <c r="G1179">
        <v>3340700</v>
      </c>
      <c r="I1179">
        <f t="shared" si="19"/>
        <v>1.0768934498643341E-3</v>
      </c>
    </row>
    <row r="1180" spans="1:9" x14ac:dyDescent="0.3">
      <c r="A1180" s="5">
        <v>43349</v>
      </c>
      <c r="B1180">
        <v>42.900002000000001</v>
      </c>
      <c r="C1180">
        <v>42.93</v>
      </c>
      <c r="D1180">
        <v>40.119999</v>
      </c>
      <c r="E1180">
        <v>40.360000999999997</v>
      </c>
      <c r="F1180">
        <v>39.362583000000001</v>
      </c>
      <c r="G1180">
        <v>6537200</v>
      </c>
      <c r="I1180">
        <f t="shared" si="19"/>
        <v>4.4273964553572193E-4</v>
      </c>
    </row>
    <row r="1181" spans="1:9" x14ac:dyDescent="0.3">
      <c r="A1181" s="5">
        <v>43350</v>
      </c>
      <c r="B1181">
        <v>40.5</v>
      </c>
      <c r="C1181">
        <v>41.821998999999998</v>
      </c>
      <c r="D1181">
        <v>40.099997999999999</v>
      </c>
      <c r="E1181">
        <v>41</v>
      </c>
      <c r="F1181">
        <v>39.986767</v>
      </c>
      <c r="G1181">
        <v>5305200</v>
      </c>
      <c r="I1181">
        <f t="shared" si="19"/>
        <v>8.5791443723539913E-4</v>
      </c>
    </row>
    <row r="1182" spans="1:9" x14ac:dyDescent="0.3">
      <c r="A1182" s="5">
        <v>43353</v>
      </c>
      <c r="B1182">
        <v>42.09</v>
      </c>
      <c r="C1182">
        <v>42.689999</v>
      </c>
      <c r="D1182">
        <v>41.639999000000003</v>
      </c>
      <c r="E1182">
        <v>42.009998000000003</v>
      </c>
      <c r="F1182">
        <v>40.971794000000003</v>
      </c>
      <c r="G1182">
        <v>3405900</v>
      </c>
      <c r="I1182">
        <f t="shared" si="19"/>
        <v>3.2236910066025046E-4</v>
      </c>
    </row>
    <row r="1183" spans="1:9" x14ac:dyDescent="0.3">
      <c r="A1183" s="5">
        <v>43354</v>
      </c>
      <c r="B1183">
        <v>41.189999</v>
      </c>
      <c r="C1183">
        <v>41.384998000000003</v>
      </c>
      <c r="D1183">
        <v>40.566001999999997</v>
      </c>
      <c r="E1183">
        <v>40.869999</v>
      </c>
      <c r="F1183">
        <v>39.859969999999997</v>
      </c>
      <c r="G1183">
        <v>3701700</v>
      </c>
      <c r="I1183">
        <f t="shared" si="19"/>
        <v>1.7311062824245142E-4</v>
      </c>
    </row>
    <row r="1184" spans="1:9" x14ac:dyDescent="0.3">
      <c r="A1184" s="5">
        <v>43355</v>
      </c>
      <c r="B1184">
        <v>41.310001</v>
      </c>
      <c r="C1184">
        <v>42.040000999999997</v>
      </c>
      <c r="D1184">
        <v>40.32</v>
      </c>
      <c r="E1184">
        <v>42.02</v>
      </c>
      <c r="F1184">
        <v>40.981563999999999</v>
      </c>
      <c r="G1184">
        <v>4466900</v>
      </c>
      <c r="I1184">
        <f t="shared" si="19"/>
        <v>1.0101032655501639E-3</v>
      </c>
    </row>
    <row r="1185" spans="1:9" x14ac:dyDescent="0.3">
      <c r="A1185" s="5">
        <v>43356</v>
      </c>
      <c r="B1185">
        <v>42.509998000000003</v>
      </c>
      <c r="C1185">
        <v>42.880001</v>
      </c>
      <c r="D1185">
        <v>41.560001</v>
      </c>
      <c r="E1185">
        <v>41.77</v>
      </c>
      <c r="F1185">
        <v>40.737732000000001</v>
      </c>
      <c r="G1185">
        <v>2609000</v>
      </c>
      <c r="I1185">
        <f t="shared" si="19"/>
        <v>3.4120482482929385E-4</v>
      </c>
    </row>
    <row r="1186" spans="1:9" x14ac:dyDescent="0.3">
      <c r="A1186" s="5">
        <v>43357</v>
      </c>
      <c r="B1186">
        <v>41.810001</v>
      </c>
      <c r="C1186">
        <v>42.91</v>
      </c>
      <c r="D1186">
        <v>41.810001</v>
      </c>
      <c r="E1186">
        <v>42.790000999999997</v>
      </c>
      <c r="F1186">
        <v>41.732525000000003</v>
      </c>
      <c r="G1186">
        <v>2731400</v>
      </c>
      <c r="I1186">
        <f t="shared" si="19"/>
        <v>7.2725684877519571E-5</v>
      </c>
    </row>
    <row r="1187" spans="1:9" x14ac:dyDescent="0.3">
      <c r="A1187" s="5">
        <v>43360</v>
      </c>
      <c r="B1187">
        <v>42.5</v>
      </c>
      <c r="C1187">
        <v>43.5</v>
      </c>
      <c r="D1187">
        <v>42.5</v>
      </c>
      <c r="E1187">
        <v>42.830002</v>
      </c>
      <c r="F1187">
        <v>41.771534000000003</v>
      </c>
      <c r="G1187">
        <v>3015500</v>
      </c>
      <c r="I1187">
        <f t="shared" si="19"/>
        <v>3.6099533487691604E-4</v>
      </c>
    </row>
    <row r="1188" spans="1:9" x14ac:dyDescent="0.3">
      <c r="A1188" s="5">
        <v>43361</v>
      </c>
      <c r="B1188">
        <v>43.490001999999997</v>
      </c>
      <c r="C1188">
        <v>43.799999</v>
      </c>
      <c r="D1188">
        <v>42.73</v>
      </c>
      <c r="E1188">
        <v>43.119999</v>
      </c>
      <c r="F1188">
        <v>42.054371000000003</v>
      </c>
      <c r="G1188">
        <v>2707100</v>
      </c>
      <c r="I1188">
        <f t="shared" si="19"/>
        <v>2.7131398421045166E-4</v>
      </c>
    </row>
    <row r="1189" spans="1:9" x14ac:dyDescent="0.3">
      <c r="A1189" s="5">
        <v>43362</v>
      </c>
      <c r="B1189">
        <v>43.049999</v>
      </c>
      <c r="C1189">
        <v>43.119999</v>
      </c>
      <c r="D1189">
        <v>42.130001</v>
      </c>
      <c r="E1189">
        <v>42.630001</v>
      </c>
      <c r="F1189">
        <v>41.576481000000001</v>
      </c>
      <c r="G1189">
        <v>3010300</v>
      </c>
      <c r="I1189">
        <f t="shared" si="19"/>
        <v>2.7343308482094146E-4</v>
      </c>
    </row>
    <row r="1190" spans="1:9" x14ac:dyDescent="0.3">
      <c r="A1190" s="5">
        <v>43363</v>
      </c>
      <c r="B1190">
        <v>43.389999000000003</v>
      </c>
      <c r="C1190">
        <v>43.580002</v>
      </c>
      <c r="D1190">
        <v>42.380001</v>
      </c>
      <c r="E1190">
        <v>42.93</v>
      </c>
      <c r="F1190">
        <v>41.869067999999999</v>
      </c>
      <c r="G1190">
        <v>4026300</v>
      </c>
      <c r="I1190">
        <f t="shared" si="19"/>
        <v>3.6935296046598451E-4</v>
      </c>
    </row>
    <row r="1191" spans="1:9" x14ac:dyDescent="0.3">
      <c r="A1191" s="5">
        <v>43364</v>
      </c>
      <c r="B1191">
        <v>43.360000999999997</v>
      </c>
      <c r="C1191">
        <v>44</v>
      </c>
      <c r="D1191">
        <v>42.919998</v>
      </c>
      <c r="E1191">
        <v>43.790000999999997</v>
      </c>
      <c r="F1191">
        <v>42.707813000000002</v>
      </c>
      <c r="G1191">
        <v>4939900</v>
      </c>
      <c r="I1191">
        <f t="shared" si="19"/>
        <v>2.7477828929064828E-4</v>
      </c>
    </row>
    <row r="1192" spans="1:9" x14ac:dyDescent="0.3">
      <c r="A1192" s="5">
        <v>43367</v>
      </c>
      <c r="B1192">
        <v>43.009998000000003</v>
      </c>
      <c r="C1192">
        <v>43.689999</v>
      </c>
      <c r="D1192">
        <v>41.91</v>
      </c>
      <c r="E1192">
        <v>41.959999000000003</v>
      </c>
      <c r="F1192">
        <v>40.923034999999999</v>
      </c>
      <c r="G1192">
        <v>4054300</v>
      </c>
      <c r="I1192">
        <f t="shared" si="19"/>
        <v>6.6466824944134083E-4</v>
      </c>
    </row>
    <row r="1193" spans="1:9" x14ac:dyDescent="0.3">
      <c r="A1193" s="5">
        <v>43368</v>
      </c>
      <c r="B1193">
        <v>41.650002000000001</v>
      </c>
      <c r="C1193">
        <v>41.939999</v>
      </c>
      <c r="D1193">
        <v>40.599997999999999</v>
      </c>
      <c r="E1193">
        <v>41.240001999999997</v>
      </c>
      <c r="F1193">
        <v>40.220824999999998</v>
      </c>
      <c r="G1193">
        <v>5152100</v>
      </c>
      <c r="I1193">
        <f t="shared" si="19"/>
        <v>5.1614535444064098E-4</v>
      </c>
    </row>
    <row r="1194" spans="1:9" x14ac:dyDescent="0.3">
      <c r="A1194" s="5">
        <v>43369</v>
      </c>
      <c r="B1194">
        <v>41.299999</v>
      </c>
      <c r="C1194">
        <v>41.299999</v>
      </c>
      <c r="D1194">
        <v>39.580002</v>
      </c>
      <c r="E1194">
        <v>40.479999999999997</v>
      </c>
      <c r="F1194">
        <v>39.479613999999998</v>
      </c>
      <c r="G1194">
        <v>7849600</v>
      </c>
      <c r="I1194">
        <f t="shared" si="19"/>
        <v>9.5643675581339512E-4</v>
      </c>
    </row>
    <row r="1195" spans="1:9" x14ac:dyDescent="0.3">
      <c r="A1195" s="5">
        <v>43370</v>
      </c>
      <c r="B1195">
        <v>40.380001</v>
      </c>
      <c r="C1195">
        <v>40.810001</v>
      </c>
      <c r="D1195">
        <v>40.080002</v>
      </c>
      <c r="E1195">
        <v>40.5</v>
      </c>
      <c r="F1195">
        <v>39.499119</v>
      </c>
      <c r="G1195">
        <v>2842800</v>
      </c>
      <c r="I1195">
        <f t="shared" si="19"/>
        <v>1.585068245466388E-4</v>
      </c>
    </row>
    <row r="1196" spans="1:9" x14ac:dyDescent="0.3">
      <c r="A1196" s="5">
        <v>43371</v>
      </c>
      <c r="B1196">
        <v>40.540000999999997</v>
      </c>
      <c r="C1196">
        <v>41.354999999999997</v>
      </c>
      <c r="D1196">
        <v>40.240001999999997</v>
      </c>
      <c r="E1196">
        <v>40.400002000000001</v>
      </c>
      <c r="F1196">
        <v>39.401592000000001</v>
      </c>
      <c r="G1196">
        <v>3755700</v>
      </c>
      <c r="I1196">
        <f t="shared" si="19"/>
        <v>4.9450559134449866E-4</v>
      </c>
    </row>
    <row r="1197" spans="1:9" x14ac:dyDescent="0.3">
      <c r="A1197" s="5">
        <v>43374</v>
      </c>
      <c r="B1197">
        <v>40.75</v>
      </c>
      <c r="C1197">
        <v>40.959999000000003</v>
      </c>
      <c r="D1197">
        <v>39.880001</v>
      </c>
      <c r="E1197">
        <v>40.860000999999997</v>
      </c>
      <c r="F1197">
        <v>39.85022</v>
      </c>
      <c r="G1197">
        <v>3624900</v>
      </c>
      <c r="I1197">
        <f t="shared" si="19"/>
        <v>5.3647528520208191E-4</v>
      </c>
    </row>
    <row r="1198" spans="1:9" x14ac:dyDescent="0.3">
      <c r="A1198" s="5">
        <v>43375</v>
      </c>
      <c r="B1198">
        <v>40.959999000000003</v>
      </c>
      <c r="C1198">
        <v>41.860000999999997</v>
      </c>
      <c r="D1198">
        <v>40.860000999999997</v>
      </c>
      <c r="E1198">
        <v>41.560001</v>
      </c>
      <c r="F1198">
        <v>40.532921000000002</v>
      </c>
      <c r="G1198">
        <v>4589900</v>
      </c>
      <c r="I1198">
        <f t="shared" si="19"/>
        <v>1.9784954816764685E-4</v>
      </c>
    </row>
    <row r="1199" spans="1:9" x14ac:dyDescent="0.3">
      <c r="A1199" s="5">
        <v>43376</v>
      </c>
      <c r="B1199">
        <v>44.700001</v>
      </c>
      <c r="C1199">
        <v>45.450001</v>
      </c>
      <c r="D1199">
        <v>42.509998000000003</v>
      </c>
      <c r="E1199">
        <v>42.889999000000003</v>
      </c>
      <c r="F1199">
        <v>41.830050999999997</v>
      </c>
      <c r="G1199">
        <v>14417700</v>
      </c>
      <c r="I1199">
        <f t="shared" si="19"/>
        <v>1.4117041285780412E-3</v>
      </c>
    </row>
    <row r="1200" spans="1:9" x14ac:dyDescent="0.3">
      <c r="A1200" s="5">
        <v>43377</v>
      </c>
      <c r="B1200">
        <v>43.349997999999999</v>
      </c>
      <c r="C1200">
        <v>43.73</v>
      </c>
      <c r="D1200">
        <v>42.529998999999997</v>
      </c>
      <c r="E1200">
        <v>43.110000999999997</v>
      </c>
      <c r="F1200">
        <v>42.044612999999998</v>
      </c>
      <c r="G1200">
        <v>6420400</v>
      </c>
      <c r="I1200">
        <f t="shared" si="19"/>
        <v>3.8330073853844052E-4</v>
      </c>
    </row>
    <row r="1201" spans="1:9" x14ac:dyDescent="0.3">
      <c r="A1201" s="5">
        <v>43378</v>
      </c>
      <c r="B1201">
        <v>42.639999000000003</v>
      </c>
      <c r="C1201">
        <v>42.650002000000001</v>
      </c>
      <c r="D1201">
        <v>41.599997999999999</v>
      </c>
      <c r="E1201">
        <v>42.060001</v>
      </c>
      <c r="F1201">
        <v>41.020561000000001</v>
      </c>
      <c r="G1201">
        <v>4314200</v>
      </c>
      <c r="I1201">
        <f t="shared" si="19"/>
        <v>2.7481429212774567E-4</v>
      </c>
    </row>
    <row r="1202" spans="1:9" x14ac:dyDescent="0.3">
      <c r="A1202" s="5">
        <v>43381</v>
      </c>
      <c r="B1202">
        <v>41</v>
      </c>
      <c r="C1202">
        <v>41.009998000000003</v>
      </c>
      <c r="D1202">
        <v>38.270000000000003</v>
      </c>
      <c r="E1202">
        <v>38.740001999999997</v>
      </c>
      <c r="F1202">
        <v>37.782612</v>
      </c>
      <c r="G1202">
        <v>7466700</v>
      </c>
      <c r="I1202">
        <f t="shared" si="19"/>
        <v>8.5497616840729768E-4</v>
      </c>
    </row>
    <row r="1203" spans="1:9" x14ac:dyDescent="0.3">
      <c r="A1203" s="5">
        <v>43382</v>
      </c>
      <c r="B1203">
        <v>38.479999999999997</v>
      </c>
      <c r="C1203">
        <v>38.729999999999997</v>
      </c>
      <c r="D1203">
        <v>37.404998999999997</v>
      </c>
      <c r="E1203">
        <v>37.639999000000003</v>
      </c>
      <c r="F1203">
        <v>36.709797000000002</v>
      </c>
      <c r="G1203">
        <v>5164800</v>
      </c>
      <c r="I1203">
        <f t="shared" si="19"/>
        <v>3.6232344570538938E-4</v>
      </c>
    </row>
    <row r="1204" spans="1:9" x14ac:dyDescent="0.3">
      <c r="A1204" s="5">
        <v>43383</v>
      </c>
      <c r="B1204">
        <v>37.310001</v>
      </c>
      <c r="C1204">
        <v>37.450001</v>
      </c>
      <c r="D1204">
        <v>35.970001000000003</v>
      </c>
      <c r="E1204">
        <v>36.060001</v>
      </c>
      <c r="F1204">
        <v>35.168849999999999</v>
      </c>
      <c r="G1204">
        <v>4374400</v>
      </c>
      <c r="I1204">
        <f t="shared" si="19"/>
        <v>2.3305971413864875E-4</v>
      </c>
    </row>
    <row r="1205" spans="1:9" x14ac:dyDescent="0.3">
      <c r="A1205" s="5">
        <v>43384</v>
      </c>
      <c r="B1205">
        <v>35.799999</v>
      </c>
      <c r="C1205">
        <v>36.220001000000003</v>
      </c>
      <c r="D1205">
        <v>35.130001</v>
      </c>
      <c r="E1205">
        <v>35.669998</v>
      </c>
      <c r="F1205">
        <v>34.788482999999999</v>
      </c>
      <c r="G1205">
        <v>3505400</v>
      </c>
      <c r="I1205">
        <f t="shared" si="19"/>
        <v>4.6666392488891857E-4</v>
      </c>
    </row>
    <row r="1206" spans="1:9" x14ac:dyDescent="0.3">
      <c r="A1206" s="5">
        <v>43385</v>
      </c>
      <c r="B1206">
        <v>36.389999000000003</v>
      </c>
      <c r="C1206">
        <v>36.549999</v>
      </c>
      <c r="D1206">
        <v>35.590000000000003</v>
      </c>
      <c r="E1206">
        <v>35.669998</v>
      </c>
      <c r="F1206">
        <v>34.788482999999999</v>
      </c>
      <c r="G1206">
        <v>2848500</v>
      </c>
      <c r="I1206">
        <f t="shared" si="19"/>
        <v>1.5683094302033944E-4</v>
      </c>
    </row>
    <row r="1207" spans="1:9" x14ac:dyDescent="0.3">
      <c r="A1207" s="5">
        <v>43388</v>
      </c>
      <c r="B1207">
        <v>35.470001000000003</v>
      </c>
      <c r="C1207">
        <v>35.880001</v>
      </c>
      <c r="D1207">
        <v>35.310001</v>
      </c>
      <c r="E1207">
        <v>35.340000000000003</v>
      </c>
      <c r="F1207">
        <v>34.466636999999999</v>
      </c>
      <c r="G1207">
        <v>2439900</v>
      </c>
      <c r="I1207">
        <f t="shared" si="19"/>
        <v>1.7812262233891785E-4</v>
      </c>
    </row>
    <row r="1208" spans="1:9" x14ac:dyDescent="0.3">
      <c r="A1208" s="5">
        <v>43389</v>
      </c>
      <c r="B1208">
        <v>35.479999999999997</v>
      </c>
      <c r="C1208">
        <v>36.294998</v>
      </c>
      <c r="D1208">
        <v>35.299999</v>
      </c>
      <c r="E1208">
        <v>36.189999</v>
      </c>
      <c r="F1208">
        <v>35.295628000000001</v>
      </c>
      <c r="G1208">
        <v>2686800</v>
      </c>
      <c r="I1208">
        <f t="shared" si="19"/>
        <v>1.924422633330075E-4</v>
      </c>
    </row>
    <row r="1209" spans="1:9" x14ac:dyDescent="0.3">
      <c r="A1209" s="5">
        <v>43390</v>
      </c>
      <c r="B1209">
        <v>36.380001</v>
      </c>
      <c r="C1209">
        <v>36.709999000000003</v>
      </c>
      <c r="D1209">
        <v>35.560001</v>
      </c>
      <c r="E1209">
        <v>36.700001</v>
      </c>
      <c r="F1209">
        <v>35.793025999999998</v>
      </c>
      <c r="G1209">
        <v>7398600</v>
      </c>
      <c r="I1209">
        <f t="shared" si="19"/>
        <v>7.2185086092073337E-4</v>
      </c>
    </row>
    <row r="1210" spans="1:9" x14ac:dyDescent="0.3">
      <c r="A1210" s="5">
        <v>43391</v>
      </c>
      <c r="B1210">
        <v>38.610000999999997</v>
      </c>
      <c r="C1210">
        <v>40.68</v>
      </c>
      <c r="D1210">
        <v>38.599997999999999</v>
      </c>
      <c r="E1210">
        <v>38.849997999999999</v>
      </c>
      <c r="F1210">
        <v>37.889893000000001</v>
      </c>
      <c r="G1210">
        <v>13826700</v>
      </c>
      <c r="I1210">
        <f t="shared" si="19"/>
        <v>2.4055243960665589E-3</v>
      </c>
    </row>
    <row r="1211" spans="1:9" x14ac:dyDescent="0.3">
      <c r="A1211" s="5">
        <v>43392</v>
      </c>
      <c r="B1211">
        <v>38.900002000000001</v>
      </c>
      <c r="C1211">
        <v>39.150002000000001</v>
      </c>
      <c r="D1211">
        <v>37.900002000000001</v>
      </c>
      <c r="E1211">
        <v>38.599997999999999</v>
      </c>
      <c r="F1211">
        <v>37.646071999999997</v>
      </c>
      <c r="G1211">
        <v>5061800</v>
      </c>
      <c r="I1211">
        <f t="shared" si="19"/>
        <v>5.6725311929062185E-4</v>
      </c>
    </row>
    <row r="1212" spans="1:9" x14ac:dyDescent="0.3">
      <c r="A1212" s="5">
        <v>43395</v>
      </c>
      <c r="B1212">
        <v>38.720001000000003</v>
      </c>
      <c r="C1212">
        <v>39.759998000000003</v>
      </c>
      <c r="D1212">
        <v>38.639999000000003</v>
      </c>
      <c r="E1212">
        <v>39.459999000000003</v>
      </c>
      <c r="F1212">
        <v>38.484820999999997</v>
      </c>
      <c r="G1212">
        <v>3141100</v>
      </c>
      <c r="I1212">
        <f t="shared" si="19"/>
        <v>2.4417873611167406E-4</v>
      </c>
    </row>
    <row r="1213" spans="1:9" x14ac:dyDescent="0.3">
      <c r="A1213" s="5">
        <v>43396</v>
      </c>
      <c r="B1213">
        <v>38.869999</v>
      </c>
      <c r="C1213">
        <v>38.970001000000003</v>
      </c>
      <c r="D1213">
        <v>37.07</v>
      </c>
      <c r="E1213">
        <v>37.32</v>
      </c>
      <c r="F1213">
        <v>36.397705000000002</v>
      </c>
      <c r="G1213">
        <v>3192900</v>
      </c>
      <c r="I1213">
        <f t="shared" si="19"/>
        <v>4.2985170328326163E-4</v>
      </c>
    </row>
    <row r="1214" spans="1:9" x14ac:dyDescent="0.3">
      <c r="A1214" s="5">
        <v>43397</v>
      </c>
      <c r="B1214">
        <v>37.119999</v>
      </c>
      <c r="C1214">
        <v>37.349997999999999</v>
      </c>
      <c r="D1214">
        <v>34.040000999999997</v>
      </c>
      <c r="E1214">
        <v>34.200001</v>
      </c>
      <c r="F1214">
        <v>33.354804999999999</v>
      </c>
      <c r="G1214">
        <v>4897200</v>
      </c>
      <c r="I1214">
        <f t="shared" si="19"/>
        <v>9.504245885365544E-4</v>
      </c>
    </row>
    <row r="1215" spans="1:9" x14ac:dyDescent="0.3">
      <c r="A1215" s="5">
        <v>43398</v>
      </c>
      <c r="B1215">
        <v>34.560001</v>
      </c>
      <c r="C1215">
        <v>35.189999</v>
      </c>
      <c r="D1215">
        <v>33.880001</v>
      </c>
      <c r="E1215">
        <v>34.560001</v>
      </c>
      <c r="F1215">
        <v>33.705914</v>
      </c>
      <c r="G1215">
        <v>3200400</v>
      </c>
      <c r="I1215">
        <f t="shared" si="19"/>
        <v>7.212417281599018E-4</v>
      </c>
    </row>
    <row r="1216" spans="1:9" x14ac:dyDescent="0.3">
      <c r="A1216" s="5">
        <v>43399</v>
      </c>
      <c r="B1216">
        <v>33.840000000000003</v>
      </c>
      <c r="C1216">
        <v>34.990001999999997</v>
      </c>
      <c r="D1216">
        <v>33.080002</v>
      </c>
      <c r="E1216">
        <v>34.25</v>
      </c>
      <c r="F1216">
        <v>33.403576000000001</v>
      </c>
      <c r="G1216">
        <v>3944700</v>
      </c>
      <c r="I1216">
        <f t="shared" si="19"/>
        <v>1.5038600602794122E-3</v>
      </c>
    </row>
    <row r="1217" spans="1:9" x14ac:dyDescent="0.3">
      <c r="A1217" s="5">
        <v>43402</v>
      </c>
      <c r="B1217">
        <v>34.599997999999999</v>
      </c>
      <c r="C1217">
        <v>35.119999</v>
      </c>
      <c r="D1217">
        <v>33.400002000000001</v>
      </c>
      <c r="E1217">
        <v>33.82</v>
      </c>
      <c r="F1217">
        <v>32.984200000000001</v>
      </c>
      <c r="G1217">
        <v>2219600</v>
      </c>
      <c r="I1217">
        <f t="shared" si="19"/>
        <v>1.003742856738083E-3</v>
      </c>
    </row>
    <row r="1218" spans="1:9" x14ac:dyDescent="0.3">
      <c r="A1218" s="5">
        <v>43403</v>
      </c>
      <c r="B1218">
        <v>33.650002000000001</v>
      </c>
      <c r="C1218">
        <v>34.479999999999997</v>
      </c>
      <c r="D1218">
        <v>33.412998000000002</v>
      </c>
      <c r="E1218">
        <v>34.150002000000001</v>
      </c>
      <c r="F1218">
        <v>33.306046000000002</v>
      </c>
      <c r="G1218">
        <v>2193400</v>
      </c>
      <c r="I1218">
        <f t="shared" si="19"/>
        <v>3.8853619260204985E-4</v>
      </c>
    </row>
    <row r="1219" spans="1:9" x14ac:dyDescent="0.3">
      <c r="A1219" s="5">
        <v>43404</v>
      </c>
      <c r="B1219">
        <v>34.82</v>
      </c>
      <c r="C1219">
        <v>35.820999</v>
      </c>
      <c r="D1219">
        <v>34.599997999999999</v>
      </c>
      <c r="E1219">
        <v>34.990001999999997</v>
      </c>
      <c r="F1219">
        <v>34.12529</v>
      </c>
      <c r="G1219">
        <v>3380700</v>
      </c>
      <c r="I1219">
        <f t="shared" si="19"/>
        <v>7.3629392966680063E-4</v>
      </c>
    </row>
    <row r="1220" spans="1:9" x14ac:dyDescent="0.3">
      <c r="A1220" s="5">
        <v>43405</v>
      </c>
      <c r="B1220">
        <v>35.439999</v>
      </c>
      <c r="C1220">
        <v>36.880001</v>
      </c>
      <c r="D1220">
        <v>35.240001999999997</v>
      </c>
      <c r="E1220">
        <v>36.779998999999997</v>
      </c>
      <c r="F1220">
        <v>35.871043999999998</v>
      </c>
      <c r="G1220">
        <v>2756200</v>
      </c>
      <c r="I1220">
        <f t="shared" si="19"/>
        <v>3.50202115293392E-4</v>
      </c>
    </row>
    <row r="1221" spans="1:9" x14ac:dyDescent="0.3">
      <c r="A1221" s="5">
        <v>43406</v>
      </c>
      <c r="B1221">
        <v>37</v>
      </c>
      <c r="C1221">
        <v>37.689999</v>
      </c>
      <c r="D1221">
        <v>36.409999999999997</v>
      </c>
      <c r="E1221">
        <v>36.93</v>
      </c>
      <c r="F1221">
        <v>36.017341999999999</v>
      </c>
      <c r="G1221">
        <v>2690000</v>
      </c>
      <c r="I1221">
        <f t="shared" si="19"/>
        <v>6.0433203169886008E-4</v>
      </c>
    </row>
    <row r="1222" spans="1:9" x14ac:dyDescent="0.3">
      <c r="A1222" s="5">
        <v>43409</v>
      </c>
      <c r="B1222">
        <v>36.840000000000003</v>
      </c>
      <c r="C1222">
        <v>37.165999999999997</v>
      </c>
      <c r="D1222">
        <v>36.381000999999998</v>
      </c>
      <c r="E1222">
        <v>36.599997999999999</v>
      </c>
      <c r="F1222">
        <v>35.695495999999999</v>
      </c>
      <c r="G1222">
        <v>1774700</v>
      </c>
      <c r="I1222">
        <f t="shared" si="19"/>
        <v>2.1044611457854255E-4</v>
      </c>
    </row>
    <row r="1223" spans="1:9" x14ac:dyDescent="0.3">
      <c r="A1223" s="5">
        <v>43410</v>
      </c>
      <c r="B1223">
        <v>36.099997999999999</v>
      </c>
      <c r="C1223">
        <v>36.580002</v>
      </c>
      <c r="D1223">
        <v>35.68</v>
      </c>
      <c r="E1223">
        <v>36.189999</v>
      </c>
      <c r="F1223">
        <v>35.295628000000001</v>
      </c>
      <c r="G1223">
        <v>2417800</v>
      </c>
      <c r="I1223">
        <f t="shared" si="19"/>
        <v>3.0767237276969591E-4</v>
      </c>
    </row>
    <row r="1224" spans="1:9" x14ac:dyDescent="0.3">
      <c r="A1224" s="5">
        <v>43411</v>
      </c>
      <c r="B1224">
        <v>36.740001999999997</v>
      </c>
      <c r="C1224">
        <v>37.330002</v>
      </c>
      <c r="D1224">
        <v>36.119999</v>
      </c>
      <c r="E1224">
        <v>36.830002</v>
      </c>
      <c r="F1224">
        <v>35.919811000000003</v>
      </c>
      <c r="G1224">
        <v>3267900</v>
      </c>
      <c r="I1224">
        <f t="shared" si="19"/>
        <v>5.4612713328021671E-4</v>
      </c>
    </row>
    <row r="1225" spans="1:9" x14ac:dyDescent="0.3">
      <c r="A1225" s="5">
        <v>43412</v>
      </c>
      <c r="B1225">
        <v>36.860000999999997</v>
      </c>
      <c r="C1225">
        <v>37.939999</v>
      </c>
      <c r="D1225">
        <v>36.159999999999997</v>
      </c>
      <c r="E1225">
        <v>36.380001</v>
      </c>
      <c r="F1225">
        <v>35.480930000000001</v>
      </c>
      <c r="G1225">
        <v>3763900</v>
      </c>
      <c r="I1225">
        <f t="shared" si="19"/>
        <v>1.3288329518675048E-3</v>
      </c>
    </row>
    <row r="1226" spans="1:9" x14ac:dyDescent="0.3">
      <c r="A1226" s="5">
        <v>43413</v>
      </c>
      <c r="B1226">
        <v>35.970001000000003</v>
      </c>
      <c r="C1226">
        <v>36.150002000000001</v>
      </c>
      <c r="D1226">
        <v>33.82</v>
      </c>
      <c r="E1226">
        <v>34.360000999999997</v>
      </c>
      <c r="F1226">
        <v>33.510857000000001</v>
      </c>
      <c r="G1226">
        <v>4279000</v>
      </c>
      <c r="I1226">
        <f t="shared" si="19"/>
        <v>1.2298128628927098E-3</v>
      </c>
    </row>
    <row r="1227" spans="1:9" x14ac:dyDescent="0.3">
      <c r="A1227" s="5">
        <v>43416</v>
      </c>
      <c r="B1227">
        <v>34.220001000000003</v>
      </c>
      <c r="C1227">
        <v>34.57</v>
      </c>
      <c r="D1227">
        <v>33.479999999999997</v>
      </c>
      <c r="E1227">
        <v>33.729999999999997</v>
      </c>
      <c r="F1227">
        <v>32.896431</v>
      </c>
      <c r="G1227">
        <v>2422900</v>
      </c>
      <c r="I1227">
        <f t="shared" si="19"/>
        <v>4.1295495239737845E-4</v>
      </c>
    </row>
    <row r="1228" spans="1:9" x14ac:dyDescent="0.3">
      <c r="A1228" s="5">
        <v>43417</v>
      </c>
      <c r="B1228">
        <v>33.689999</v>
      </c>
      <c r="C1228">
        <v>35.360000999999997</v>
      </c>
      <c r="D1228">
        <v>33.259998000000003</v>
      </c>
      <c r="E1228">
        <v>34.720001000000003</v>
      </c>
      <c r="F1228">
        <v>33.861961000000001</v>
      </c>
      <c r="G1228">
        <v>4016900</v>
      </c>
      <c r="I1228">
        <f t="shared" ref="I1228:I1291" si="20">LN(C1228/B1228)*(LN(C1228/B1228)-LN(E1228/B1228))+LN(D1228/B1228)*(LN(D1228/B1228)-LN(E1228/B1228))</f>
        <v>1.4355359312376666E-3</v>
      </c>
    </row>
    <row r="1229" spans="1:9" x14ac:dyDescent="0.3">
      <c r="A1229" s="5">
        <v>43418</v>
      </c>
      <c r="B1229">
        <v>34.909999999999997</v>
      </c>
      <c r="C1229">
        <v>35.599997999999999</v>
      </c>
      <c r="D1229">
        <v>34.25</v>
      </c>
      <c r="E1229">
        <v>35.150002000000001</v>
      </c>
      <c r="F1229">
        <v>34.281342000000002</v>
      </c>
      <c r="G1229">
        <v>2872900</v>
      </c>
      <c r="I1229">
        <f t="shared" si="20"/>
        <v>7.4405129284700914E-4</v>
      </c>
    </row>
    <row r="1230" spans="1:9" x14ac:dyDescent="0.3">
      <c r="A1230" s="5">
        <v>43419</v>
      </c>
      <c r="B1230">
        <v>35.090000000000003</v>
      </c>
      <c r="C1230">
        <v>36.159999999999997</v>
      </c>
      <c r="D1230">
        <v>34.799999</v>
      </c>
      <c r="E1230">
        <v>35.939999</v>
      </c>
      <c r="F1230">
        <v>35.0518</v>
      </c>
      <c r="G1230">
        <v>2535100</v>
      </c>
      <c r="I1230">
        <f t="shared" si="20"/>
        <v>4.5080871942936008E-4</v>
      </c>
    </row>
    <row r="1231" spans="1:9" x14ac:dyDescent="0.3">
      <c r="A1231" s="5">
        <v>43420</v>
      </c>
      <c r="B1231">
        <v>35.849997999999999</v>
      </c>
      <c r="C1231">
        <v>36.720001000000003</v>
      </c>
      <c r="D1231">
        <v>35.720001000000003</v>
      </c>
      <c r="E1231">
        <v>35.950001</v>
      </c>
      <c r="F1231">
        <v>35.061562000000002</v>
      </c>
      <c r="G1231">
        <v>3092100</v>
      </c>
      <c r="I1231">
        <f t="shared" si="20"/>
        <v>5.3147107645446824E-4</v>
      </c>
    </row>
    <row r="1232" spans="1:9" x14ac:dyDescent="0.3">
      <c r="A1232" s="5">
        <v>43423</v>
      </c>
      <c r="B1232">
        <v>35.810001</v>
      </c>
      <c r="C1232">
        <v>35.994999</v>
      </c>
      <c r="D1232">
        <v>32.25</v>
      </c>
      <c r="E1232">
        <v>33.490001999999997</v>
      </c>
      <c r="F1232">
        <v>32.662360999999997</v>
      </c>
      <c r="G1232">
        <v>4603100</v>
      </c>
      <c r="I1232">
        <f t="shared" si="20"/>
        <v>4.3222493737778717E-3</v>
      </c>
    </row>
    <row r="1233" spans="1:9" x14ac:dyDescent="0.3">
      <c r="A1233" s="5">
        <v>43424</v>
      </c>
      <c r="B1233">
        <v>32.419998</v>
      </c>
      <c r="C1233">
        <v>33.200001</v>
      </c>
      <c r="D1233">
        <v>31.98</v>
      </c>
      <c r="E1233">
        <v>32.68</v>
      </c>
      <c r="F1233">
        <v>31.872366</v>
      </c>
      <c r="G1233">
        <v>2938300</v>
      </c>
      <c r="I1233">
        <f t="shared" si="20"/>
        <v>6.7119540618951613E-4</v>
      </c>
    </row>
    <row r="1234" spans="1:9" x14ac:dyDescent="0.3">
      <c r="A1234" s="5">
        <v>43425</v>
      </c>
      <c r="B1234">
        <v>33.200001</v>
      </c>
      <c r="C1234">
        <v>33.389999000000003</v>
      </c>
      <c r="D1234">
        <v>32.709999000000003</v>
      </c>
      <c r="E1234">
        <v>32.799999</v>
      </c>
      <c r="F1234">
        <v>31.989412000000002</v>
      </c>
      <c r="G1234">
        <v>1697200</v>
      </c>
      <c r="I1234">
        <f t="shared" si="20"/>
        <v>1.4259087952825952E-4</v>
      </c>
    </row>
    <row r="1235" spans="1:9" x14ac:dyDescent="0.3">
      <c r="A1235" s="5">
        <v>43427</v>
      </c>
      <c r="B1235">
        <v>32.049999</v>
      </c>
      <c r="C1235">
        <v>32.580002</v>
      </c>
      <c r="D1235">
        <v>31.629999000000002</v>
      </c>
      <c r="E1235">
        <v>32.310001</v>
      </c>
      <c r="F1235">
        <v>31.511517999999999</v>
      </c>
      <c r="G1235">
        <v>1346600</v>
      </c>
      <c r="I1235">
        <f t="shared" si="20"/>
        <v>4.1707729310719278E-4</v>
      </c>
    </row>
    <row r="1236" spans="1:9" x14ac:dyDescent="0.3">
      <c r="A1236" s="5">
        <v>43430</v>
      </c>
      <c r="B1236">
        <v>32.400002000000001</v>
      </c>
      <c r="C1236">
        <v>32.860000999999997</v>
      </c>
      <c r="D1236">
        <v>32.009998000000003</v>
      </c>
      <c r="E1236">
        <v>32.57</v>
      </c>
      <c r="F1236">
        <v>31.765094999999999</v>
      </c>
      <c r="G1236">
        <v>2348200</v>
      </c>
      <c r="I1236">
        <f t="shared" si="20"/>
        <v>3.3500007596700657E-4</v>
      </c>
    </row>
    <row r="1237" spans="1:9" x14ac:dyDescent="0.3">
      <c r="A1237" s="5">
        <v>43431</v>
      </c>
      <c r="B1237">
        <v>32.139999000000003</v>
      </c>
      <c r="C1237">
        <v>32.349997999999999</v>
      </c>
      <c r="D1237">
        <v>30.950001</v>
      </c>
      <c r="E1237">
        <v>31.190000999999999</v>
      </c>
      <c r="F1237">
        <v>30.419198999999999</v>
      </c>
      <c r="G1237">
        <v>2964900</v>
      </c>
      <c r="I1237">
        <f t="shared" si="20"/>
        <v>5.2925119097243319E-4</v>
      </c>
    </row>
    <row r="1238" spans="1:9" x14ac:dyDescent="0.3">
      <c r="A1238" s="5">
        <v>43432</v>
      </c>
      <c r="B1238">
        <v>31.35</v>
      </c>
      <c r="C1238">
        <v>34.169998</v>
      </c>
      <c r="D1238">
        <v>30.959999</v>
      </c>
      <c r="E1238">
        <v>33.599997999999999</v>
      </c>
      <c r="F1238">
        <v>32.769638</v>
      </c>
      <c r="G1238">
        <v>5636700</v>
      </c>
      <c r="I1238">
        <f t="shared" si="20"/>
        <v>2.4733101348927001E-3</v>
      </c>
    </row>
    <row r="1239" spans="1:9" x14ac:dyDescent="0.3">
      <c r="A1239" s="5">
        <v>43433</v>
      </c>
      <c r="B1239">
        <v>33.450001</v>
      </c>
      <c r="C1239">
        <v>33.479999999999997</v>
      </c>
      <c r="D1239">
        <v>30.978999999999999</v>
      </c>
      <c r="E1239">
        <v>30.99</v>
      </c>
      <c r="F1239">
        <v>30.224138</v>
      </c>
      <c r="G1239">
        <v>8105500</v>
      </c>
      <c r="I1239">
        <f t="shared" si="20"/>
        <v>9.6524085654159451E-5</v>
      </c>
    </row>
    <row r="1240" spans="1:9" x14ac:dyDescent="0.3">
      <c r="A1240" s="5">
        <v>43434</v>
      </c>
      <c r="B1240">
        <v>31.040001</v>
      </c>
      <c r="C1240">
        <v>32.459999000000003</v>
      </c>
      <c r="D1240">
        <v>30.941998999999999</v>
      </c>
      <c r="E1240">
        <v>31.809999000000001</v>
      </c>
      <c r="F1240">
        <v>31.023873999999999</v>
      </c>
      <c r="G1240">
        <v>5353800</v>
      </c>
      <c r="I1240">
        <f t="shared" si="20"/>
        <v>9.9231674611829196E-4</v>
      </c>
    </row>
    <row r="1241" spans="1:9" x14ac:dyDescent="0.3">
      <c r="A1241" s="5">
        <v>43437</v>
      </c>
      <c r="B1241">
        <v>32.900002000000001</v>
      </c>
      <c r="C1241">
        <v>33.469002000000003</v>
      </c>
      <c r="D1241">
        <v>31.780000999999999</v>
      </c>
      <c r="E1241">
        <v>32.049999</v>
      </c>
      <c r="F1241">
        <v>31.257943999999998</v>
      </c>
      <c r="G1241">
        <v>2946200</v>
      </c>
      <c r="I1241">
        <f t="shared" si="20"/>
        <v>1.0358658943205176E-3</v>
      </c>
    </row>
    <row r="1242" spans="1:9" x14ac:dyDescent="0.3">
      <c r="A1242" s="5">
        <v>43438</v>
      </c>
      <c r="B1242">
        <v>32.110000999999997</v>
      </c>
      <c r="C1242">
        <v>32.189999</v>
      </c>
      <c r="D1242">
        <v>30.27</v>
      </c>
      <c r="E1242">
        <v>30.4</v>
      </c>
      <c r="F1242">
        <v>29.648717999999999</v>
      </c>
      <c r="G1242">
        <v>3038000</v>
      </c>
      <c r="I1242">
        <f t="shared" si="20"/>
        <v>3.9525046564306104E-4</v>
      </c>
    </row>
    <row r="1243" spans="1:9" x14ac:dyDescent="0.3">
      <c r="A1243" s="5">
        <v>43440</v>
      </c>
      <c r="B1243">
        <v>29.66</v>
      </c>
      <c r="C1243">
        <v>29.68</v>
      </c>
      <c r="D1243">
        <v>28.120000999999998</v>
      </c>
      <c r="E1243">
        <v>29.65</v>
      </c>
      <c r="F1243">
        <v>28.917252000000001</v>
      </c>
      <c r="G1243">
        <v>4244200</v>
      </c>
      <c r="I1243">
        <f t="shared" si="20"/>
        <v>2.825536283421963E-3</v>
      </c>
    </row>
    <row r="1244" spans="1:9" x14ac:dyDescent="0.3">
      <c r="A1244" s="5">
        <v>43441</v>
      </c>
      <c r="B1244">
        <v>30.15</v>
      </c>
      <c r="C1244">
        <v>30.209999</v>
      </c>
      <c r="D1244">
        <v>28.68</v>
      </c>
      <c r="E1244">
        <v>28.82</v>
      </c>
      <c r="F1244">
        <v>28.107766999999999</v>
      </c>
      <c r="G1244">
        <v>3383900</v>
      </c>
      <c r="I1244">
        <f t="shared" si="20"/>
        <v>3.3704859350764841E-4</v>
      </c>
    </row>
    <row r="1245" spans="1:9" x14ac:dyDescent="0.3">
      <c r="A1245" s="5">
        <v>43444</v>
      </c>
      <c r="B1245">
        <v>28.639999</v>
      </c>
      <c r="C1245">
        <v>29.139999</v>
      </c>
      <c r="D1245">
        <v>27.85</v>
      </c>
      <c r="E1245">
        <v>28.32</v>
      </c>
      <c r="F1245">
        <v>27.620123</v>
      </c>
      <c r="G1245">
        <v>2915600</v>
      </c>
      <c r="I1245">
        <f t="shared" si="20"/>
        <v>9.6212427099648303E-4</v>
      </c>
    </row>
    <row r="1246" spans="1:9" x14ac:dyDescent="0.3">
      <c r="A1246" s="5">
        <v>43445</v>
      </c>
      <c r="B1246">
        <v>29.16</v>
      </c>
      <c r="C1246">
        <v>29.440000999999999</v>
      </c>
      <c r="D1246">
        <v>28.33</v>
      </c>
      <c r="E1246">
        <v>28.43</v>
      </c>
      <c r="F1246">
        <v>27.727405999999998</v>
      </c>
      <c r="G1246">
        <v>2490500</v>
      </c>
      <c r="I1246">
        <f t="shared" si="20"/>
        <v>4.3535883852340658E-4</v>
      </c>
    </row>
    <row r="1247" spans="1:9" x14ac:dyDescent="0.3">
      <c r="A1247" s="5">
        <v>43446</v>
      </c>
      <c r="B1247">
        <v>28.889999</v>
      </c>
      <c r="C1247">
        <v>29.99</v>
      </c>
      <c r="D1247">
        <v>28.82</v>
      </c>
      <c r="E1247">
        <v>29.24</v>
      </c>
      <c r="F1247">
        <v>28.517384</v>
      </c>
      <c r="G1247">
        <v>3116400</v>
      </c>
      <c r="I1247">
        <f t="shared" si="20"/>
        <v>9.8150620482241038E-4</v>
      </c>
    </row>
    <row r="1248" spans="1:9" x14ac:dyDescent="0.3">
      <c r="A1248" s="5">
        <v>43447</v>
      </c>
      <c r="B1248">
        <v>29.27</v>
      </c>
      <c r="C1248">
        <v>29.312999999999999</v>
      </c>
      <c r="D1248">
        <v>28.52</v>
      </c>
      <c r="E1248">
        <v>29.1</v>
      </c>
      <c r="F1248">
        <v>28.380849999999999</v>
      </c>
      <c r="G1248">
        <v>2557700</v>
      </c>
      <c r="I1248">
        <f t="shared" si="20"/>
        <v>5.3329755544082133E-4</v>
      </c>
    </row>
    <row r="1249" spans="1:9" x14ac:dyDescent="0.3">
      <c r="A1249" s="5">
        <v>43448</v>
      </c>
      <c r="B1249">
        <v>28.51</v>
      </c>
      <c r="C1249">
        <v>29.59</v>
      </c>
      <c r="D1249">
        <v>28.41</v>
      </c>
      <c r="E1249">
        <v>28.610001</v>
      </c>
      <c r="F1249">
        <v>27.902956</v>
      </c>
      <c r="G1249">
        <v>3358900</v>
      </c>
      <c r="I1249">
        <f t="shared" si="20"/>
        <v>1.2769288520849773E-3</v>
      </c>
    </row>
    <row r="1250" spans="1:9" x14ac:dyDescent="0.3">
      <c r="A1250" s="5">
        <v>43451</v>
      </c>
      <c r="B1250">
        <v>28.5</v>
      </c>
      <c r="C1250">
        <v>29.02</v>
      </c>
      <c r="D1250">
        <v>27.834999</v>
      </c>
      <c r="E1250">
        <v>28.110001</v>
      </c>
      <c r="F1250">
        <v>27.415310000000002</v>
      </c>
      <c r="G1250">
        <v>2186600</v>
      </c>
      <c r="I1250">
        <f t="shared" si="20"/>
        <v>8.0817712017405407E-4</v>
      </c>
    </row>
    <row r="1251" spans="1:9" x14ac:dyDescent="0.3">
      <c r="A1251" s="5">
        <v>43452</v>
      </c>
      <c r="B1251">
        <v>28.120000999999998</v>
      </c>
      <c r="C1251">
        <v>28.66</v>
      </c>
      <c r="D1251">
        <v>28.09</v>
      </c>
      <c r="E1251">
        <v>28.24</v>
      </c>
      <c r="F1251">
        <v>27.542103000000001</v>
      </c>
      <c r="G1251">
        <v>2107800</v>
      </c>
      <c r="I1251">
        <f t="shared" si="20"/>
        <v>2.864969870011553E-4</v>
      </c>
    </row>
    <row r="1252" spans="1:9" x14ac:dyDescent="0.3">
      <c r="A1252" s="5">
        <v>43453</v>
      </c>
      <c r="B1252">
        <v>28.32</v>
      </c>
      <c r="C1252">
        <v>29.43</v>
      </c>
      <c r="D1252">
        <v>27.040001</v>
      </c>
      <c r="E1252">
        <v>27.610001</v>
      </c>
      <c r="F1252">
        <v>26.927669999999999</v>
      </c>
      <c r="G1252">
        <v>4941600</v>
      </c>
      <c r="I1252">
        <f t="shared" si="20"/>
        <v>3.4191080683284177E-3</v>
      </c>
    </row>
    <row r="1253" spans="1:9" x14ac:dyDescent="0.3">
      <c r="A1253" s="5">
        <v>43454</v>
      </c>
      <c r="B1253">
        <v>27.66</v>
      </c>
      <c r="C1253">
        <v>27.780000999999999</v>
      </c>
      <c r="D1253">
        <v>26.290001</v>
      </c>
      <c r="E1253">
        <v>27.33</v>
      </c>
      <c r="F1253">
        <v>26.654591</v>
      </c>
      <c r="G1253">
        <v>4942500</v>
      </c>
      <c r="I1253">
        <f t="shared" si="20"/>
        <v>2.0415001048598434E-3</v>
      </c>
    </row>
    <row r="1254" spans="1:9" x14ac:dyDescent="0.3">
      <c r="A1254" s="5">
        <v>43455</v>
      </c>
      <c r="B1254">
        <v>27.33</v>
      </c>
      <c r="C1254">
        <v>27.43</v>
      </c>
      <c r="D1254">
        <v>26.190000999999999</v>
      </c>
      <c r="E1254">
        <v>26.389999</v>
      </c>
      <c r="F1254">
        <v>25.737819999999999</v>
      </c>
      <c r="G1254">
        <v>4323600</v>
      </c>
      <c r="I1254">
        <f t="shared" si="20"/>
        <v>4.6530107262503164E-4</v>
      </c>
    </row>
    <row r="1255" spans="1:9" x14ac:dyDescent="0.3">
      <c r="A1255" s="5">
        <v>43458</v>
      </c>
      <c r="B1255">
        <v>26.27</v>
      </c>
      <c r="C1255">
        <v>26.27</v>
      </c>
      <c r="D1255">
        <v>25.08</v>
      </c>
      <c r="E1255">
        <v>25.15</v>
      </c>
      <c r="F1255">
        <v>24.528462999999999</v>
      </c>
      <c r="G1255">
        <v>1926900</v>
      </c>
      <c r="I1255">
        <f t="shared" si="20"/>
        <v>1.2920502711438457E-4</v>
      </c>
    </row>
    <row r="1256" spans="1:9" x14ac:dyDescent="0.3">
      <c r="A1256" s="5">
        <v>43460</v>
      </c>
      <c r="B1256">
        <v>25.309999000000001</v>
      </c>
      <c r="C1256">
        <v>27.200001</v>
      </c>
      <c r="D1256">
        <v>25.01</v>
      </c>
      <c r="E1256">
        <v>27.139999</v>
      </c>
      <c r="F1256">
        <v>26.469283999999998</v>
      </c>
      <c r="G1256">
        <v>3237100</v>
      </c>
      <c r="I1256">
        <f t="shared" si="20"/>
        <v>1.1336084748240583E-3</v>
      </c>
    </row>
    <row r="1257" spans="1:9" x14ac:dyDescent="0.3">
      <c r="A1257" s="5">
        <v>43461</v>
      </c>
      <c r="B1257">
        <v>26.41</v>
      </c>
      <c r="C1257">
        <v>27.16</v>
      </c>
      <c r="D1257">
        <v>25.788</v>
      </c>
      <c r="E1257">
        <v>27.16</v>
      </c>
      <c r="F1257">
        <v>26.488790999999999</v>
      </c>
      <c r="G1257">
        <v>3036600</v>
      </c>
      <c r="I1257">
        <f t="shared" si="20"/>
        <v>1.2354320134431982E-3</v>
      </c>
    </row>
    <row r="1258" spans="1:9" x14ac:dyDescent="0.3">
      <c r="A1258" s="5">
        <v>43462</v>
      </c>
      <c r="B1258">
        <v>27.09</v>
      </c>
      <c r="C1258">
        <v>27.264999</v>
      </c>
      <c r="D1258">
        <v>26.24</v>
      </c>
      <c r="E1258">
        <v>26.6</v>
      </c>
      <c r="F1258">
        <v>25.942630999999999</v>
      </c>
      <c r="G1258">
        <v>3010400</v>
      </c>
      <c r="I1258">
        <f t="shared" si="20"/>
        <v>5.9339955269021444E-4</v>
      </c>
    </row>
    <row r="1259" spans="1:9" x14ac:dyDescent="0.3">
      <c r="A1259" s="5">
        <v>43465</v>
      </c>
      <c r="B1259">
        <v>26.75</v>
      </c>
      <c r="C1259">
        <v>27.07</v>
      </c>
      <c r="D1259">
        <v>25.950001</v>
      </c>
      <c r="E1259">
        <v>26.58</v>
      </c>
      <c r="F1259">
        <v>25.923121999999999</v>
      </c>
      <c r="G1259">
        <v>2402600</v>
      </c>
      <c r="I1259">
        <f t="shared" si="20"/>
        <v>9.4555039809989774E-4</v>
      </c>
    </row>
    <row r="1260" spans="1:9" x14ac:dyDescent="0.3">
      <c r="A1260" s="5">
        <v>43467</v>
      </c>
      <c r="B1260">
        <v>25.954999999999998</v>
      </c>
      <c r="C1260">
        <v>26.847000000000001</v>
      </c>
      <c r="D1260">
        <v>25.48</v>
      </c>
      <c r="E1260">
        <v>26.24</v>
      </c>
      <c r="F1260">
        <v>25.591526000000002</v>
      </c>
      <c r="G1260">
        <v>3067000</v>
      </c>
      <c r="I1260">
        <f t="shared" si="20"/>
        <v>1.3156103845753649E-3</v>
      </c>
    </row>
    <row r="1261" spans="1:9" x14ac:dyDescent="0.3">
      <c r="A1261" s="5">
        <v>43468</v>
      </c>
      <c r="B1261">
        <v>26.120000999999998</v>
      </c>
      <c r="C1261">
        <v>26.85</v>
      </c>
      <c r="D1261">
        <v>25.530000999999999</v>
      </c>
      <c r="E1261">
        <v>26.24</v>
      </c>
      <c r="F1261">
        <v>25.591526000000002</v>
      </c>
      <c r="G1261">
        <v>2979900</v>
      </c>
      <c r="I1261">
        <f t="shared" si="20"/>
        <v>1.2601663701843006E-3</v>
      </c>
    </row>
    <row r="1262" spans="1:9" x14ac:dyDescent="0.3">
      <c r="A1262" s="5">
        <v>43469</v>
      </c>
      <c r="B1262">
        <v>26.84</v>
      </c>
      <c r="C1262">
        <v>28.610001</v>
      </c>
      <c r="D1262">
        <v>26.65</v>
      </c>
      <c r="E1262">
        <v>28.34</v>
      </c>
      <c r="F1262">
        <v>27.639627000000001</v>
      </c>
      <c r="G1262">
        <v>5653300</v>
      </c>
      <c r="I1262">
        <f t="shared" si="20"/>
        <v>1.0423560945882881E-3</v>
      </c>
    </row>
    <row r="1263" spans="1:9" x14ac:dyDescent="0.3">
      <c r="A1263" s="5">
        <v>43472</v>
      </c>
      <c r="B1263">
        <v>28.530000999999999</v>
      </c>
      <c r="C1263">
        <v>28.91</v>
      </c>
      <c r="D1263">
        <v>28.146000000000001</v>
      </c>
      <c r="E1263">
        <v>28.42</v>
      </c>
      <c r="F1263">
        <v>27.717652999999999</v>
      </c>
      <c r="G1263">
        <v>2441000</v>
      </c>
      <c r="I1263">
        <f t="shared" si="20"/>
        <v>3.5746244310544276E-4</v>
      </c>
    </row>
    <row r="1264" spans="1:9" x14ac:dyDescent="0.3">
      <c r="A1264" s="5">
        <v>43473</v>
      </c>
      <c r="B1264">
        <v>28.73</v>
      </c>
      <c r="C1264">
        <v>28.847000000000001</v>
      </c>
      <c r="D1264">
        <v>27.65</v>
      </c>
      <c r="E1264">
        <v>28.25</v>
      </c>
      <c r="F1264">
        <v>27.551853000000001</v>
      </c>
      <c r="G1264">
        <v>2218300</v>
      </c>
      <c r="I1264">
        <f t="shared" si="20"/>
        <v>9.0755190527681655E-4</v>
      </c>
    </row>
    <row r="1265" spans="1:9" x14ac:dyDescent="0.3">
      <c r="A1265" s="5">
        <v>43474</v>
      </c>
      <c r="B1265">
        <v>28.6</v>
      </c>
      <c r="C1265">
        <v>29.280000999999999</v>
      </c>
      <c r="D1265">
        <v>28.24</v>
      </c>
      <c r="E1265">
        <v>29.1</v>
      </c>
      <c r="F1265">
        <v>28.380849999999999</v>
      </c>
      <c r="G1265">
        <v>2372400</v>
      </c>
      <c r="I1265">
        <f t="shared" si="20"/>
        <v>5.2490507166949574E-4</v>
      </c>
    </row>
    <row r="1266" spans="1:9" x14ac:dyDescent="0.3">
      <c r="A1266" s="5">
        <v>43475</v>
      </c>
      <c r="B1266">
        <v>28.690000999999999</v>
      </c>
      <c r="C1266">
        <v>29.01</v>
      </c>
      <c r="D1266">
        <v>28.48</v>
      </c>
      <c r="E1266">
        <v>28.98</v>
      </c>
      <c r="F1266">
        <v>28.263812999999999</v>
      </c>
      <c r="G1266">
        <v>2351600</v>
      </c>
      <c r="I1266">
        <f t="shared" si="20"/>
        <v>1.393351428479761E-4</v>
      </c>
    </row>
    <row r="1267" spans="1:9" x14ac:dyDescent="0.3">
      <c r="A1267" s="5">
        <v>43476</v>
      </c>
      <c r="B1267">
        <v>28.719999000000001</v>
      </c>
      <c r="C1267">
        <v>28.879999000000002</v>
      </c>
      <c r="D1267">
        <v>27.959999</v>
      </c>
      <c r="E1267">
        <v>28.549999</v>
      </c>
      <c r="F1267">
        <v>27.844439000000001</v>
      </c>
      <c r="G1267">
        <v>3838400</v>
      </c>
      <c r="I1267">
        <f t="shared" si="20"/>
        <v>6.2387799628272071E-4</v>
      </c>
    </row>
    <row r="1268" spans="1:9" x14ac:dyDescent="0.3">
      <c r="A1268" s="5">
        <v>43479</v>
      </c>
      <c r="B1268">
        <v>29.059999000000001</v>
      </c>
      <c r="C1268">
        <v>29.17</v>
      </c>
      <c r="D1268">
        <v>27.889999</v>
      </c>
      <c r="E1268">
        <v>28.790001</v>
      </c>
      <c r="F1268">
        <v>28.078507999999999</v>
      </c>
      <c r="G1268">
        <v>4035500</v>
      </c>
      <c r="I1268">
        <f t="shared" si="20"/>
        <v>1.3547005693967519E-3</v>
      </c>
    </row>
    <row r="1269" spans="1:9" x14ac:dyDescent="0.3">
      <c r="A1269" s="5">
        <v>43480</v>
      </c>
      <c r="B1269">
        <v>28.940000999999999</v>
      </c>
      <c r="C1269">
        <v>29.469999000000001</v>
      </c>
      <c r="D1269">
        <v>28.587</v>
      </c>
      <c r="E1269">
        <v>28.9</v>
      </c>
      <c r="F1269">
        <v>28.185787000000001</v>
      </c>
      <c r="G1269">
        <v>3770900</v>
      </c>
      <c r="I1269">
        <f t="shared" si="20"/>
        <v>4.880955114633771E-4</v>
      </c>
    </row>
    <row r="1270" spans="1:9" x14ac:dyDescent="0.3">
      <c r="A1270" s="5">
        <v>43481</v>
      </c>
      <c r="B1270">
        <v>29.190000999999999</v>
      </c>
      <c r="C1270">
        <v>29.33</v>
      </c>
      <c r="D1270">
        <v>28.16</v>
      </c>
      <c r="E1270">
        <v>28.98</v>
      </c>
      <c r="F1270">
        <v>28.263812999999999</v>
      </c>
      <c r="G1270">
        <v>9242900</v>
      </c>
      <c r="I1270">
        <f t="shared" si="20"/>
        <v>1.0885718144490117E-3</v>
      </c>
    </row>
    <row r="1271" spans="1:9" x14ac:dyDescent="0.3">
      <c r="A1271" s="5">
        <v>43482</v>
      </c>
      <c r="B1271">
        <v>28.209999</v>
      </c>
      <c r="C1271">
        <v>30.280000999999999</v>
      </c>
      <c r="D1271">
        <v>27.51</v>
      </c>
      <c r="E1271">
        <v>29.59</v>
      </c>
      <c r="F1271">
        <v>28.858736</v>
      </c>
      <c r="G1271">
        <v>12073100</v>
      </c>
      <c r="I1271">
        <f t="shared" si="20"/>
        <v>3.4636860747676223E-3</v>
      </c>
    </row>
    <row r="1272" spans="1:9" x14ac:dyDescent="0.3">
      <c r="A1272" s="5">
        <v>43483</v>
      </c>
      <c r="B1272">
        <v>29.92</v>
      </c>
      <c r="C1272">
        <v>30.1</v>
      </c>
      <c r="D1272">
        <v>29.1</v>
      </c>
      <c r="E1272">
        <v>29.27</v>
      </c>
      <c r="F1272">
        <v>28.546645999999999</v>
      </c>
      <c r="G1272">
        <v>6601200</v>
      </c>
      <c r="I1272">
        <f t="shared" si="20"/>
        <v>3.2958578411894856E-4</v>
      </c>
    </row>
    <row r="1273" spans="1:9" x14ac:dyDescent="0.3">
      <c r="A1273" s="5">
        <v>43487</v>
      </c>
      <c r="B1273">
        <v>29</v>
      </c>
      <c r="C1273">
        <v>29</v>
      </c>
      <c r="D1273">
        <v>27.530000999999999</v>
      </c>
      <c r="E1273">
        <v>27.809999000000001</v>
      </c>
      <c r="F1273">
        <v>27.122726</v>
      </c>
      <c r="G1273">
        <v>5026800</v>
      </c>
      <c r="I1273">
        <f t="shared" si="20"/>
        <v>5.2639946200772221E-4</v>
      </c>
    </row>
    <row r="1274" spans="1:9" x14ac:dyDescent="0.3">
      <c r="A1274" s="5">
        <v>43488</v>
      </c>
      <c r="B1274">
        <v>28.15</v>
      </c>
      <c r="C1274">
        <v>28.66</v>
      </c>
      <c r="D1274">
        <v>27.844999000000001</v>
      </c>
      <c r="E1274">
        <v>28.299999</v>
      </c>
      <c r="F1274">
        <v>27.600615999999999</v>
      </c>
      <c r="G1274">
        <v>4392900</v>
      </c>
      <c r="I1274">
        <f t="shared" si="20"/>
        <v>4.0353753405619102E-4</v>
      </c>
    </row>
    <row r="1275" spans="1:9" x14ac:dyDescent="0.3">
      <c r="A1275" s="5">
        <v>43489</v>
      </c>
      <c r="B1275">
        <v>28.15</v>
      </c>
      <c r="C1275">
        <v>28.530000999999999</v>
      </c>
      <c r="D1275">
        <v>27.66</v>
      </c>
      <c r="E1275">
        <v>27.959999</v>
      </c>
      <c r="F1275">
        <v>27.269020000000001</v>
      </c>
      <c r="G1275">
        <v>3022000</v>
      </c>
      <c r="I1275">
        <f t="shared" si="20"/>
        <v>4.6003796596044374E-4</v>
      </c>
    </row>
    <row r="1276" spans="1:9" x14ac:dyDescent="0.3">
      <c r="A1276" s="5">
        <v>43490</v>
      </c>
      <c r="B1276">
        <v>28.42</v>
      </c>
      <c r="C1276">
        <v>29.514999</v>
      </c>
      <c r="D1276">
        <v>28.16</v>
      </c>
      <c r="E1276">
        <v>29.02</v>
      </c>
      <c r="F1276">
        <v>28.302824000000001</v>
      </c>
      <c r="G1276">
        <v>6607500</v>
      </c>
      <c r="I1276">
        <f t="shared" si="20"/>
        <v>9.1589393976944486E-4</v>
      </c>
    </row>
    <row r="1277" spans="1:9" x14ac:dyDescent="0.3">
      <c r="A1277" s="5">
        <v>43493</v>
      </c>
      <c r="B1277">
        <v>28.74</v>
      </c>
      <c r="C1277">
        <v>28.83</v>
      </c>
      <c r="D1277">
        <v>27.809999000000001</v>
      </c>
      <c r="E1277">
        <v>27.98</v>
      </c>
      <c r="F1277">
        <v>27.288526999999998</v>
      </c>
      <c r="G1277">
        <v>3538100</v>
      </c>
      <c r="I1277">
        <f t="shared" si="20"/>
        <v>2.9403788844892156E-4</v>
      </c>
    </row>
    <row r="1278" spans="1:9" x14ac:dyDescent="0.3">
      <c r="A1278" s="5">
        <v>43494</v>
      </c>
      <c r="B1278">
        <v>28.27</v>
      </c>
      <c r="C1278">
        <v>29.565000999999999</v>
      </c>
      <c r="D1278">
        <v>28.163</v>
      </c>
      <c r="E1278">
        <v>28.75</v>
      </c>
      <c r="F1278">
        <v>28.039497000000001</v>
      </c>
      <c r="G1278">
        <v>3565700</v>
      </c>
      <c r="I1278">
        <f t="shared" si="20"/>
        <v>1.3302660033421457E-3</v>
      </c>
    </row>
    <row r="1279" spans="1:9" x14ac:dyDescent="0.3">
      <c r="A1279" s="5">
        <v>43495</v>
      </c>
      <c r="B1279">
        <v>29.1</v>
      </c>
      <c r="C1279">
        <v>29.82</v>
      </c>
      <c r="D1279">
        <v>28.67</v>
      </c>
      <c r="E1279">
        <v>29.59</v>
      </c>
      <c r="F1279">
        <v>28.858736</v>
      </c>
      <c r="G1279">
        <v>6502400</v>
      </c>
      <c r="I1279">
        <f t="shared" si="20"/>
        <v>6.5944920299186376E-4</v>
      </c>
    </row>
    <row r="1280" spans="1:9" x14ac:dyDescent="0.3">
      <c r="A1280" s="5">
        <v>43496</v>
      </c>
      <c r="B1280">
        <v>29.280000999999999</v>
      </c>
      <c r="C1280">
        <v>30.264999</v>
      </c>
      <c r="D1280">
        <v>29.15</v>
      </c>
      <c r="E1280">
        <v>29.68</v>
      </c>
      <c r="F1280">
        <v>28.946518000000001</v>
      </c>
      <c r="G1280">
        <v>6466800</v>
      </c>
      <c r="I1280">
        <f t="shared" si="20"/>
        <v>7.25990193548664E-4</v>
      </c>
    </row>
    <row r="1281" spans="1:9" x14ac:dyDescent="0.3">
      <c r="A1281" s="5">
        <v>43497</v>
      </c>
      <c r="B1281">
        <v>29.700001</v>
      </c>
      <c r="C1281">
        <v>30.07</v>
      </c>
      <c r="D1281">
        <v>28.27</v>
      </c>
      <c r="E1281">
        <v>28.6</v>
      </c>
      <c r="F1281">
        <v>27.893204000000001</v>
      </c>
      <c r="G1281">
        <v>5042200</v>
      </c>
      <c r="I1281">
        <f t="shared" si="20"/>
        <v>1.193233632055939E-3</v>
      </c>
    </row>
    <row r="1282" spans="1:9" x14ac:dyDescent="0.3">
      <c r="A1282" s="5">
        <v>43500</v>
      </c>
      <c r="B1282">
        <v>28.43</v>
      </c>
      <c r="C1282">
        <v>29.190000999999999</v>
      </c>
      <c r="D1282">
        <v>28.350999999999999</v>
      </c>
      <c r="E1282">
        <v>29.09</v>
      </c>
      <c r="F1282">
        <v>28.371093999999999</v>
      </c>
      <c r="G1282">
        <v>2337200</v>
      </c>
      <c r="I1282">
        <f t="shared" si="20"/>
        <v>1.6213683490369325E-4</v>
      </c>
    </row>
    <row r="1283" spans="1:9" x14ac:dyDescent="0.3">
      <c r="A1283" s="5">
        <v>43501</v>
      </c>
      <c r="B1283">
        <v>29</v>
      </c>
      <c r="C1283">
        <v>29.497</v>
      </c>
      <c r="D1283">
        <v>28.91</v>
      </c>
      <c r="E1283">
        <v>29.07</v>
      </c>
      <c r="F1283">
        <v>28.351590999999999</v>
      </c>
      <c r="G1283">
        <v>2749600</v>
      </c>
      <c r="I1283">
        <f t="shared" si="20"/>
        <v>2.6494052215583129E-4</v>
      </c>
    </row>
    <row r="1284" spans="1:9" x14ac:dyDescent="0.3">
      <c r="A1284" s="5">
        <v>43502</v>
      </c>
      <c r="B1284">
        <v>29.01</v>
      </c>
      <c r="C1284">
        <v>29.299999</v>
      </c>
      <c r="D1284">
        <v>28.51</v>
      </c>
      <c r="E1284">
        <v>28.549999</v>
      </c>
      <c r="F1284">
        <v>27.844439000000001</v>
      </c>
      <c r="G1284">
        <v>2923700</v>
      </c>
      <c r="I1284">
        <f t="shared" si="20"/>
        <v>2.8230318576156853E-4</v>
      </c>
    </row>
    <row r="1285" spans="1:9" x14ac:dyDescent="0.3">
      <c r="A1285" s="5">
        <v>43503</v>
      </c>
      <c r="B1285">
        <v>28.379999000000002</v>
      </c>
      <c r="C1285">
        <v>28.49</v>
      </c>
      <c r="D1285">
        <v>27.062000000000001</v>
      </c>
      <c r="E1285">
        <v>27.290001</v>
      </c>
      <c r="F1285">
        <v>26.615577999999999</v>
      </c>
      <c r="G1285">
        <v>4955700</v>
      </c>
      <c r="I1285">
        <f t="shared" si="20"/>
        <v>5.6544423394804281E-4</v>
      </c>
    </row>
    <row r="1286" spans="1:9" x14ac:dyDescent="0.3">
      <c r="A1286" s="5">
        <v>43504</v>
      </c>
      <c r="B1286">
        <v>27.120000999999998</v>
      </c>
      <c r="C1286">
        <v>27.68</v>
      </c>
      <c r="D1286">
        <v>26.51</v>
      </c>
      <c r="E1286">
        <v>27.65</v>
      </c>
      <c r="F1286">
        <v>26.966681999999999</v>
      </c>
      <c r="G1286">
        <v>4784900</v>
      </c>
      <c r="I1286">
        <f t="shared" si="20"/>
        <v>9.8000114862055801E-4</v>
      </c>
    </row>
    <row r="1287" spans="1:9" x14ac:dyDescent="0.3">
      <c r="A1287" s="5">
        <v>43507</v>
      </c>
      <c r="B1287">
        <v>27.549999</v>
      </c>
      <c r="C1287">
        <v>28.120000999999998</v>
      </c>
      <c r="D1287">
        <v>27.26</v>
      </c>
      <c r="E1287">
        <v>27.969999000000001</v>
      </c>
      <c r="F1287">
        <v>27.278776000000001</v>
      </c>
      <c r="G1287">
        <v>3448100</v>
      </c>
      <c r="I1287">
        <f t="shared" si="20"/>
        <v>3.8161923286676253E-4</v>
      </c>
    </row>
    <row r="1288" spans="1:9" x14ac:dyDescent="0.3">
      <c r="A1288" s="5">
        <v>43508</v>
      </c>
      <c r="B1288">
        <v>28.33</v>
      </c>
      <c r="C1288">
        <v>28.690000999999999</v>
      </c>
      <c r="D1288">
        <v>27.950001</v>
      </c>
      <c r="E1288">
        <v>28.4</v>
      </c>
      <c r="F1288">
        <v>27.698146999999999</v>
      </c>
      <c r="G1288">
        <v>3021400</v>
      </c>
      <c r="I1288">
        <f t="shared" si="20"/>
        <v>3.439737440539335E-4</v>
      </c>
    </row>
    <row r="1289" spans="1:9" x14ac:dyDescent="0.3">
      <c r="A1289" s="5">
        <v>43509</v>
      </c>
      <c r="B1289">
        <v>28.809999000000001</v>
      </c>
      <c r="C1289">
        <v>29.549999</v>
      </c>
      <c r="D1289">
        <v>28.700001</v>
      </c>
      <c r="E1289">
        <v>29.049999</v>
      </c>
      <c r="F1289">
        <v>28.332083000000001</v>
      </c>
      <c r="G1289">
        <v>4566800</v>
      </c>
      <c r="I1289">
        <f t="shared" si="20"/>
        <v>4.7916368977164259E-4</v>
      </c>
    </row>
    <row r="1290" spans="1:9" x14ac:dyDescent="0.3">
      <c r="A1290" s="5">
        <v>43510</v>
      </c>
      <c r="B1290">
        <v>28.73</v>
      </c>
      <c r="C1290">
        <v>28.75</v>
      </c>
      <c r="D1290">
        <v>28.15</v>
      </c>
      <c r="E1290">
        <v>28.200001</v>
      </c>
      <c r="F1290">
        <v>27.503091999999999</v>
      </c>
      <c r="G1290">
        <v>3196600</v>
      </c>
      <c r="I1290">
        <f t="shared" si="20"/>
        <v>4.9635034027168651E-5</v>
      </c>
    </row>
    <row r="1291" spans="1:9" x14ac:dyDescent="0.3">
      <c r="A1291" s="5">
        <v>43511</v>
      </c>
      <c r="B1291">
        <v>28.709999</v>
      </c>
      <c r="C1291">
        <v>28.93</v>
      </c>
      <c r="D1291">
        <v>28.200001</v>
      </c>
      <c r="E1291">
        <v>28.27</v>
      </c>
      <c r="F1291">
        <v>27.571358</v>
      </c>
      <c r="G1291">
        <v>3407600</v>
      </c>
      <c r="I1291">
        <f t="shared" si="20"/>
        <v>2.2060425547727237E-4</v>
      </c>
    </row>
    <row r="1292" spans="1:9" x14ac:dyDescent="0.3">
      <c r="A1292" s="5">
        <v>43515</v>
      </c>
      <c r="B1292">
        <v>28.209999</v>
      </c>
      <c r="C1292">
        <v>28.4</v>
      </c>
      <c r="D1292">
        <v>28.1</v>
      </c>
      <c r="E1292">
        <v>28.209999</v>
      </c>
      <c r="F1292">
        <v>27.512840000000001</v>
      </c>
      <c r="G1292">
        <v>3029500</v>
      </c>
      <c r="I1292">
        <f t="shared" ref="I1292:I1355" si="21">LN(C1292/B1292)*(LN(C1292/B1292)-LN(E1292/B1292))+LN(D1292/B1292)*(LN(D1292/B1292)-LN(E1292/B1292))</f>
        <v>6.0323716180532757E-5</v>
      </c>
    </row>
    <row r="1293" spans="1:9" x14ac:dyDescent="0.3">
      <c r="A1293" s="5">
        <v>43516</v>
      </c>
      <c r="B1293">
        <v>28.389999</v>
      </c>
      <c r="C1293">
        <v>29.594999000000001</v>
      </c>
      <c r="D1293">
        <v>28.34</v>
      </c>
      <c r="E1293">
        <v>29.24</v>
      </c>
      <c r="F1293">
        <v>28.517384</v>
      </c>
      <c r="G1293">
        <v>6520000</v>
      </c>
      <c r="I1293">
        <f t="shared" si="21"/>
        <v>5.5674619342107766E-4</v>
      </c>
    </row>
    <row r="1294" spans="1:9" x14ac:dyDescent="0.3">
      <c r="A1294" s="5">
        <v>43517</v>
      </c>
      <c r="B1294">
        <v>29.200001</v>
      </c>
      <c r="C1294">
        <v>29.9</v>
      </c>
      <c r="D1294">
        <v>29.129999000000002</v>
      </c>
      <c r="E1294">
        <v>29.58</v>
      </c>
      <c r="F1294">
        <v>28.848986</v>
      </c>
      <c r="G1294">
        <v>3983900</v>
      </c>
      <c r="I1294">
        <f t="shared" si="21"/>
        <v>2.9169709731314945E-4</v>
      </c>
    </row>
    <row r="1295" spans="1:9" x14ac:dyDescent="0.3">
      <c r="A1295" s="5">
        <v>43518</v>
      </c>
      <c r="B1295">
        <v>29.879999000000002</v>
      </c>
      <c r="C1295">
        <v>30.48</v>
      </c>
      <c r="D1295">
        <v>29.360001</v>
      </c>
      <c r="E1295">
        <v>30.17</v>
      </c>
      <c r="F1295">
        <v>29.424402000000001</v>
      </c>
      <c r="G1295">
        <v>3197600</v>
      </c>
      <c r="I1295">
        <f t="shared" si="21"/>
        <v>6.8102690490691399E-4</v>
      </c>
    </row>
    <row r="1296" spans="1:9" x14ac:dyDescent="0.3">
      <c r="A1296" s="5">
        <v>43521</v>
      </c>
      <c r="B1296">
        <v>30.469999000000001</v>
      </c>
      <c r="C1296">
        <v>30.870000999999998</v>
      </c>
      <c r="D1296">
        <v>30.389999</v>
      </c>
      <c r="E1296">
        <v>30.780000999999999</v>
      </c>
      <c r="F1296">
        <v>30.019331000000001</v>
      </c>
      <c r="G1296">
        <v>3937600</v>
      </c>
      <c r="I1296">
        <f t="shared" si="21"/>
        <v>7.160351052830168E-5</v>
      </c>
    </row>
    <row r="1297" spans="1:9" x14ac:dyDescent="0.3">
      <c r="A1297" s="5">
        <v>43522</v>
      </c>
      <c r="B1297">
        <v>30.700001</v>
      </c>
      <c r="C1297">
        <v>31.27</v>
      </c>
      <c r="D1297">
        <v>30.48</v>
      </c>
      <c r="E1297">
        <v>30.85</v>
      </c>
      <c r="F1297">
        <v>30.087599000000001</v>
      </c>
      <c r="G1297">
        <v>3723600</v>
      </c>
      <c r="I1297">
        <f t="shared" si="21"/>
        <v>3.3554329362156076E-4</v>
      </c>
    </row>
    <row r="1298" spans="1:9" x14ac:dyDescent="0.3">
      <c r="A1298" s="5">
        <v>43523</v>
      </c>
      <c r="B1298">
        <v>31.07</v>
      </c>
      <c r="C1298">
        <v>31.450001</v>
      </c>
      <c r="D1298">
        <v>30.790001</v>
      </c>
      <c r="E1298">
        <v>30.98</v>
      </c>
      <c r="F1298">
        <v>30.214383999999999</v>
      </c>
      <c r="G1298">
        <v>2880100</v>
      </c>
      <c r="I1298">
        <f t="shared" si="21"/>
        <v>2.3873041477481105E-4</v>
      </c>
    </row>
    <row r="1299" spans="1:9" x14ac:dyDescent="0.3">
      <c r="A1299" s="5">
        <v>43524</v>
      </c>
      <c r="B1299">
        <v>31.02</v>
      </c>
      <c r="C1299">
        <v>31.02</v>
      </c>
      <c r="D1299">
        <v>29.33</v>
      </c>
      <c r="E1299">
        <v>29.5</v>
      </c>
      <c r="F1299">
        <v>28.770962000000001</v>
      </c>
      <c r="G1299">
        <v>3660500</v>
      </c>
      <c r="I1299">
        <f t="shared" si="21"/>
        <v>3.2376825488365362E-4</v>
      </c>
    </row>
    <row r="1300" spans="1:9" x14ac:dyDescent="0.3">
      <c r="A1300" s="5">
        <v>43525</v>
      </c>
      <c r="B1300">
        <v>29.68</v>
      </c>
      <c r="C1300">
        <v>30.200001</v>
      </c>
      <c r="D1300">
        <v>29.35</v>
      </c>
      <c r="E1300">
        <v>29.66</v>
      </c>
      <c r="F1300">
        <v>28.927005999999999</v>
      </c>
      <c r="G1300">
        <v>2187700</v>
      </c>
      <c r="I1300">
        <f t="shared" si="21"/>
        <v>4.3084904550248846E-4</v>
      </c>
    </row>
    <row r="1301" spans="1:9" x14ac:dyDescent="0.3">
      <c r="A1301" s="5">
        <v>43528</v>
      </c>
      <c r="B1301">
        <v>29.91</v>
      </c>
      <c r="C1301">
        <v>29.969999000000001</v>
      </c>
      <c r="D1301">
        <v>28.73</v>
      </c>
      <c r="E1301">
        <v>29.16</v>
      </c>
      <c r="F1301">
        <v>28.439364999999999</v>
      </c>
      <c r="G1301">
        <v>2690900</v>
      </c>
      <c r="I1301">
        <f t="shared" si="21"/>
        <v>6.5287702655265185E-4</v>
      </c>
    </row>
    <row r="1302" spans="1:9" x14ac:dyDescent="0.3">
      <c r="A1302" s="5">
        <v>43529</v>
      </c>
      <c r="B1302">
        <v>29.07</v>
      </c>
      <c r="C1302">
        <v>29.309999000000001</v>
      </c>
      <c r="D1302">
        <v>28.76</v>
      </c>
      <c r="E1302">
        <v>29.200001</v>
      </c>
      <c r="F1302">
        <v>28.478376000000001</v>
      </c>
      <c r="G1302">
        <v>1890800</v>
      </c>
      <c r="I1302">
        <f t="shared" si="21"/>
        <v>1.9369651490473976E-4</v>
      </c>
    </row>
    <row r="1303" spans="1:9" x14ac:dyDescent="0.3">
      <c r="A1303" s="5">
        <v>43530</v>
      </c>
      <c r="B1303">
        <v>29.059999000000001</v>
      </c>
      <c r="C1303">
        <v>29.155000999999999</v>
      </c>
      <c r="D1303">
        <v>28.139999</v>
      </c>
      <c r="E1303">
        <v>28.25</v>
      </c>
      <c r="F1303">
        <v>27.551853000000001</v>
      </c>
      <c r="G1303">
        <v>2465600</v>
      </c>
      <c r="I1303">
        <f t="shared" si="21"/>
        <v>2.2843026288118165E-4</v>
      </c>
    </row>
    <row r="1304" spans="1:9" x14ac:dyDescent="0.3">
      <c r="A1304" s="5">
        <v>43531</v>
      </c>
      <c r="B1304">
        <v>28.16</v>
      </c>
      <c r="C1304">
        <v>28.299999</v>
      </c>
      <c r="D1304">
        <v>27.309999000000001</v>
      </c>
      <c r="E1304">
        <v>27.360001</v>
      </c>
      <c r="F1304">
        <v>26.683848999999999</v>
      </c>
      <c r="G1304">
        <v>3102400</v>
      </c>
      <c r="I1304">
        <f t="shared" si="21"/>
        <v>2.2358651560826418E-4</v>
      </c>
    </row>
    <row r="1305" spans="1:9" x14ac:dyDescent="0.3">
      <c r="A1305" s="5">
        <v>43532</v>
      </c>
      <c r="B1305">
        <v>26.93</v>
      </c>
      <c r="C1305">
        <v>27.16</v>
      </c>
      <c r="D1305">
        <v>26.51</v>
      </c>
      <c r="E1305">
        <v>26.82</v>
      </c>
      <c r="F1305">
        <v>26.157195999999999</v>
      </c>
      <c r="G1305">
        <v>2864000</v>
      </c>
      <c r="I1305">
        <f t="shared" si="21"/>
        <v>2.8987902331504889E-4</v>
      </c>
    </row>
    <row r="1306" spans="1:9" x14ac:dyDescent="0.3">
      <c r="A1306" s="5">
        <v>43535</v>
      </c>
      <c r="B1306">
        <v>26.76</v>
      </c>
      <c r="C1306">
        <v>27.57</v>
      </c>
      <c r="D1306">
        <v>26.73</v>
      </c>
      <c r="E1306">
        <v>27.52</v>
      </c>
      <c r="F1306">
        <v>26.839893</v>
      </c>
      <c r="G1306">
        <v>3497700</v>
      </c>
      <c r="I1306">
        <f t="shared" si="21"/>
        <v>8.6800927100880897E-5</v>
      </c>
    </row>
    <row r="1307" spans="1:9" x14ac:dyDescent="0.3">
      <c r="A1307" s="5">
        <v>43536</v>
      </c>
      <c r="B1307">
        <v>27.73</v>
      </c>
      <c r="C1307">
        <v>28.59</v>
      </c>
      <c r="D1307">
        <v>27.6</v>
      </c>
      <c r="E1307">
        <v>28.440000999999999</v>
      </c>
      <c r="F1307">
        <v>27.737159999999999</v>
      </c>
      <c r="G1307">
        <v>3112600</v>
      </c>
      <c r="I1307">
        <f t="shared" si="21"/>
        <v>3.0154557861757336E-4</v>
      </c>
    </row>
    <row r="1308" spans="1:9" x14ac:dyDescent="0.3">
      <c r="A1308" s="5">
        <v>43537</v>
      </c>
      <c r="B1308">
        <v>28.620000999999998</v>
      </c>
      <c r="C1308">
        <v>29.32</v>
      </c>
      <c r="D1308">
        <v>28.559999000000001</v>
      </c>
      <c r="E1308">
        <v>28.98</v>
      </c>
      <c r="F1308">
        <v>28.263812999999999</v>
      </c>
      <c r="G1308">
        <v>3670400</v>
      </c>
      <c r="I1308">
        <f t="shared" si="21"/>
        <v>3.1248691211169721E-4</v>
      </c>
    </row>
    <row r="1309" spans="1:9" x14ac:dyDescent="0.3">
      <c r="A1309" s="5">
        <v>43538</v>
      </c>
      <c r="B1309">
        <v>28.790001</v>
      </c>
      <c r="C1309">
        <v>28.84</v>
      </c>
      <c r="D1309">
        <v>27.809999000000001</v>
      </c>
      <c r="E1309">
        <v>27.889999</v>
      </c>
      <c r="F1309">
        <v>27.200748000000001</v>
      </c>
      <c r="G1309">
        <v>3701400</v>
      </c>
      <c r="I1309">
        <f t="shared" si="21"/>
        <v>1.5760291265763719E-4</v>
      </c>
    </row>
    <row r="1310" spans="1:9" x14ac:dyDescent="0.3">
      <c r="A1310" s="5">
        <v>43539</v>
      </c>
      <c r="B1310">
        <v>27.870000999999998</v>
      </c>
      <c r="C1310">
        <v>28.530000999999999</v>
      </c>
      <c r="D1310">
        <v>27.74</v>
      </c>
      <c r="E1310">
        <v>27.84</v>
      </c>
      <c r="F1310">
        <v>27.151985</v>
      </c>
      <c r="G1310">
        <v>2936800</v>
      </c>
      <c r="I1310">
        <f t="shared" si="21"/>
        <v>5.8984193420648801E-4</v>
      </c>
    </row>
    <row r="1311" spans="1:9" x14ac:dyDescent="0.3">
      <c r="A1311" s="5">
        <v>43542</v>
      </c>
      <c r="B1311">
        <v>28</v>
      </c>
      <c r="C1311">
        <v>28.860001</v>
      </c>
      <c r="D1311">
        <v>27.927</v>
      </c>
      <c r="E1311">
        <v>28.639999</v>
      </c>
      <c r="F1311">
        <v>27.932214999999999</v>
      </c>
      <c r="G1311">
        <v>3522200</v>
      </c>
      <c r="I1311">
        <f t="shared" si="21"/>
        <v>2.9731019312761032E-4</v>
      </c>
    </row>
    <row r="1312" spans="1:9" x14ac:dyDescent="0.3">
      <c r="A1312" s="5">
        <v>43543</v>
      </c>
      <c r="B1312">
        <v>29.030000999999999</v>
      </c>
      <c r="C1312">
        <v>29.32</v>
      </c>
      <c r="D1312">
        <v>28.49</v>
      </c>
      <c r="E1312">
        <v>28.620000999999998</v>
      </c>
      <c r="F1312">
        <v>27.912710000000001</v>
      </c>
      <c r="G1312">
        <v>2459700</v>
      </c>
      <c r="I1312">
        <f t="shared" si="21"/>
        <v>3.2567617234648984E-4</v>
      </c>
    </row>
    <row r="1313" spans="1:9" x14ac:dyDescent="0.3">
      <c r="A1313" s="5">
        <v>43544</v>
      </c>
      <c r="B1313">
        <v>28.5</v>
      </c>
      <c r="C1313">
        <v>29.120000999999998</v>
      </c>
      <c r="D1313">
        <v>27.690000999999999</v>
      </c>
      <c r="E1313">
        <v>28.790001</v>
      </c>
      <c r="F1313">
        <v>28.078507999999999</v>
      </c>
      <c r="G1313">
        <v>3381800</v>
      </c>
      <c r="I1313">
        <f t="shared" si="21"/>
        <v>1.3685086185134588E-3</v>
      </c>
    </row>
    <row r="1314" spans="1:9" x14ac:dyDescent="0.3">
      <c r="A1314" s="5">
        <v>43545</v>
      </c>
      <c r="B1314">
        <v>28.540001</v>
      </c>
      <c r="C1314">
        <v>29.530000999999999</v>
      </c>
      <c r="D1314">
        <v>28.5</v>
      </c>
      <c r="E1314">
        <v>29.41</v>
      </c>
      <c r="F1314">
        <v>28.683187</v>
      </c>
      <c r="G1314">
        <v>3234800</v>
      </c>
      <c r="I1314">
        <f t="shared" si="21"/>
        <v>1.8293814162640326E-4</v>
      </c>
    </row>
    <row r="1315" spans="1:9" x14ac:dyDescent="0.3">
      <c r="A1315" s="5">
        <v>43546</v>
      </c>
      <c r="B1315">
        <v>29.1</v>
      </c>
      <c r="C1315">
        <v>29.27</v>
      </c>
      <c r="D1315">
        <v>27.799999</v>
      </c>
      <c r="E1315">
        <v>28.120000999999998</v>
      </c>
      <c r="F1315">
        <v>27.425066000000001</v>
      </c>
      <c r="G1315">
        <v>3356000</v>
      </c>
      <c r="I1315">
        <f t="shared" si="21"/>
        <v>7.5654163557702255E-4</v>
      </c>
    </row>
    <row r="1316" spans="1:9" x14ac:dyDescent="0.3">
      <c r="A1316" s="5">
        <v>43549</v>
      </c>
      <c r="B1316">
        <v>28.120000999999998</v>
      </c>
      <c r="C1316">
        <v>28.559999000000001</v>
      </c>
      <c r="D1316">
        <v>27.77</v>
      </c>
      <c r="E1316">
        <v>28.02</v>
      </c>
      <c r="F1316">
        <v>27.327538000000001</v>
      </c>
      <c r="G1316">
        <v>2871100</v>
      </c>
      <c r="I1316">
        <f t="shared" si="21"/>
        <v>4.0861927475047144E-4</v>
      </c>
    </row>
    <row r="1317" spans="1:9" x14ac:dyDescent="0.3">
      <c r="A1317" s="5">
        <v>43550</v>
      </c>
      <c r="B1317">
        <v>28.139999</v>
      </c>
      <c r="C1317">
        <v>28.5</v>
      </c>
      <c r="D1317">
        <v>27.27</v>
      </c>
      <c r="E1317">
        <v>27.540001</v>
      </c>
      <c r="F1317">
        <v>26.859406</v>
      </c>
      <c r="G1317">
        <v>4287200</v>
      </c>
      <c r="I1317">
        <f t="shared" si="21"/>
        <v>7.4498422382117705E-4</v>
      </c>
    </row>
    <row r="1318" spans="1:9" x14ac:dyDescent="0.3">
      <c r="A1318" s="5">
        <v>43551</v>
      </c>
      <c r="B1318">
        <v>27.9</v>
      </c>
      <c r="C1318">
        <v>27.985001</v>
      </c>
      <c r="D1318">
        <v>27.219999000000001</v>
      </c>
      <c r="E1318">
        <v>27.91</v>
      </c>
      <c r="F1318">
        <v>27.220255000000002</v>
      </c>
      <c r="G1318">
        <v>2523300</v>
      </c>
      <c r="I1318">
        <f t="shared" si="21"/>
        <v>6.2584825529721677E-4</v>
      </c>
    </row>
    <row r="1319" spans="1:9" x14ac:dyDescent="0.3">
      <c r="A1319" s="5">
        <v>43552</v>
      </c>
      <c r="B1319">
        <v>28.049999</v>
      </c>
      <c r="C1319">
        <v>28.049999</v>
      </c>
      <c r="D1319">
        <v>27.385000000000002</v>
      </c>
      <c r="E1319">
        <v>27.99</v>
      </c>
      <c r="F1319">
        <v>27.298279000000001</v>
      </c>
      <c r="G1319">
        <v>2553100</v>
      </c>
      <c r="I1319">
        <f t="shared" si="21"/>
        <v>5.2429617523930836E-4</v>
      </c>
    </row>
    <row r="1320" spans="1:9" x14ac:dyDescent="0.3">
      <c r="A1320" s="5">
        <v>43553</v>
      </c>
      <c r="B1320">
        <v>28.280000999999999</v>
      </c>
      <c r="C1320">
        <v>28.799999</v>
      </c>
      <c r="D1320">
        <v>28.01</v>
      </c>
      <c r="E1320">
        <v>28.16</v>
      </c>
      <c r="F1320">
        <v>27.464079000000002</v>
      </c>
      <c r="G1320">
        <v>3382500</v>
      </c>
      <c r="I1320">
        <f t="shared" si="21"/>
        <v>4.6070268898915675E-4</v>
      </c>
    </row>
    <row r="1321" spans="1:9" x14ac:dyDescent="0.3">
      <c r="A1321" s="5">
        <v>43556</v>
      </c>
      <c r="B1321">
        <v>28.68</v>
      </c>
      <c r="C1321">
        <v>29.67</v>
      </c>
      <c r="D1321">
        <v>28.530000999999999</v>
      </c>
      <c r="E1321">
        <v>29.459999</v>
      </c>
      <c r="F1321">
        <v>28.731950999999999</v>
      </c>
      <c r="G1321">
        <v>3880400</v>
      </c>
      <c r="I1321">
        <f t="shared" si="21"/>
        <v>4.0925911823765093E-4</v>
      </c>
    </row>
    <row r="1322" spans="1:9" x14ac:dyDescent="0.3">
      <c r="A1322" s="5">
        <v>43557</v>
      </c>
      <c r="B1322">
        <v>29.129999000000002</v>
      </c>
      <c r="C1322">
        <v>29.290001</v>
      </c>
      <c r="D1322">
        <v>28.18</v>
      </c>
      <c r="E1322">
        <v>28.540001</v>
      </c>
      <c r="F1322">
        <v>27.834688</v>
      </c>
      <c r="G1322">
        <v>3838800</v>
      </c>
      <c r="I1322">
        <f t="shared" si="21"/>
        <v>5.6297529011158478E-4</v>
      </c>
    </row>
    <row r="1323" spans="1:9" x14ac:dyDescent="0.3">
      <c r="A1323" s="5">
        <v>43558</v>
      </c>
      <c r="B1323">
        <v>28.450001</v>
      </c>
      <c r="C1323">
        <v>28.870000999999998</v>
      </c>
      <c r="D1323">
        <v>28.309999000000001</v>
      </c>
      <c r="E1323">
        <v>28.690000999999999</v>
      </c>
      <c r="F1323">
        <v>27.980982000000001</v>
      </c>
      <c r="G1323">
        <v>4675900</v>
      </c>
      <c r="I1323">
        <f t="shared" si="21"/>
        <v>1.5743306248636749E-4</v>
      </c>
    </row>
    <row r="1324" spans="1:9" x14ac:dyDescent="0.3">
      <c r="A1324" s="5">
        <v>43559</v>
      </c>
      <c r="B1324">
        <v>28.6</v>
      </c>
      <c r="C1324">
        <v>29.34</v>
      </c>
      <c r="D1324">
        <v>28.379999000000002</v>
      </c>
      <c r="E1324">
        <v>29.290001</v>
      </c>
      <c r="F1324">
        <v>28.566154000000001</v>
      </c>
      <c r="G1324">
        <v>2654500</v>
      </c>
      <c r="I1324">
        <f t="shared" si="21"/>
        <v>2.8728999835249749E-4</v>
      </c>
    </row>
    <row r="1325" spans="1:9" x14ac:dyDescent="0.3">
      <c r="A1325" s="5">
        <v>43560</v>
      </c>
      <c r="B1325">
        <v>29.4</v>
      </c>
      <c r="C1325">
        <v>29.690000999999999</v>
      </c>
      <c r="D1325">
        <v>29.09</v>
      </c>
      <c r="E1325">
        <v>29.549999</v>
      </c>
      <c r="F1325">
        <v>28.819724999999998</v>
      </c>
      <c r="G1325">
        <v>3018600</v>
      </c>
      <c r="I1325">
        <f t="shared" si="21"/>
        <v>2.1270384875230071E-4</v>
      </c>
    </row>
    <row r="1326" spans="1:9" x14ac:dyDescent="0.3">
      <c r="A1326" s="5">
        <v>43563</v>
      </c>
      <c r="B1326">
        <v>29.549999</v>
      </c>
      <c r="C1326">
        <v>29.73</v>
      </c>
      <c r="D1326">
        <v>29.32</v>
      </c>
      <c r="E1326">
        <v>29.66</v>
      </c>
      <c r="F1326">
        <v>28.927005999999999</v>
      </c>
      <c r="G1326">
        <v>2375100</v>
      </c>
      <c r="I1326">
        <f t="shared" si="21"/>
        <v>1.0440498516185482E-4</v>
      </c>
    </row>
    <row r="1327" spans="1:9" x14ac:dyDescent="0.3">
      <c r="A1327" s="5">
        <v>43564</v>
      </c>
      <c r="B1327">
        <v>29.379999000000002</v>
      </c>
      <c r="C1327">
        <v>29.5</v>
      </c>
      <c r="D1327">
        <v>28.93</v>
      </c>
      <c r="E1327">
        <v>29.1</v>
      </c>
      <c r="F1327">
        <v>28.380849999999999</v>
      </c>
      <c r="G1327">
        <v>2355300</v>
      </c>
      <c r="I1327">
        <f t="shared" si="21"/>
        <v>1.4608226498336025E-4</v>
      </c>
    </row>
    <row r="1328" spans="1:9" x14ac:dyDescent="0.3">
      <c r="A1328" s="5">
        <v>43565</v>
      </c>
      <c r="B1328">
        <v>29.209999</v>
      </c>
      <c r="C1328">
        <v>29.34</v>
      </c>
      <c r="D1328">
        <v>28.879999000000002</v>
      </c>
      <c r="E1328">
        <v>29.15</v>
      </c>
      <c r="F1328">
        <v>28.429608999999999</v>
      </c>
      <c r="G1328">
        <v>2598100</v>
      </c>
      <c r="I1328">
        <f t="shared" si="21"/>
        <v>1.3457931572605125E-4</v>
      </c>
    </row>
    <row r="1329" spans="1:9" x14ac:dyDescent="0.3">
      <c r="A1329" s="5">
        <v>43566</v>
      </c>
      <c r="B1329">
        <v>28.85</v>
      </c>
      <c r="C1329">
        <v>29.110001</v>
      </c>
      <c r="D1329">
        <v>28.299999</v>
      </c>
      <c r="E1329">
        <v>28.49</v>
      </c>
      <c r="F1329">
        <v>27.785920999999998</v>
      </c>
      <c r="G1329">
        <v>3409900</v>
      </c>
      <c r="I1329">
        <f t="shared" si="21"/>
        <v>3.2194782971398995E-4</v>
      </c>
    </row>
    <row r="1330" spans="1:9" x14ac:dyDescent="0.3">
      <c r="A1330" s="5">
        <v>43567</v>
      </c>
      <c r="B1330">
        <v>28.9</v>
      </c>
      <c r="C1330">
        <v>29.200001</v>
      </c>
      <c r="D1330">
        <v>28.25</v>
      </c>
      <c r="E1330">
        <v>28.290001</v>
      </c>
      <c r="F1330">
        <v>27.590865999999998</v>
      </c>
      <c r="G1330">
        <v>2752800</v>
      </c>
      <c r="I1330">
        <f t="shared" si="21"/>
        <v>3.5914862712756873E-4</v>
      </c>
    </row>
    <row r="1331" spans="1:9" x14ac:dyDescent="0.3">
      <c r="A1331" s="5">
        <v>43570</v>
      </c>
      <c r="B1331">
        <v>28.379999000000002</v>
      </c>
      <c r="C1331">
        <v>28.4</v>
      </c>
      <c r="D1331">
        <v>27.57</v>
      </c>
      <c r="E1331">
        <v>27.74</v>
      </c>
      <c r="F1331">
        <v>27.054455000000001</v>
      </c>
      <c r="G1331">
        <v>4164500</v>
      </c>
      <c r="I1331">
        <f t="shared" si="21"/>
        <v>1.9456618552666903E-4</v>
      </c>
    </row>
    <row r="1332" spans="1:9" x14ac:dyDescent="0.3">
      <c r="A1332" s="5">
        <v>43571</v>
      </c>
      <c r="B1332">
        <v>27.799999</v>
      </c>
      <c r="C1332">
        <v>27.959999</v>
      </c>
      <c r="D1332">
        <v>27.4</v>
      </c>
      <c r="E1332">
        <v>27.719999000000001</v>
      </c>
      <c r="F1332">
        <v>27.034949999999998</v>
      </c>
      <c r="G1332">
        <v>4094300</v>
      </c>
      <c r="I1332">
        <f t="shared" si="21"/>
        <v>2.1775325670473511E-4</v>
      </c>
    </row>
    <row r="1333" spans="1:9" x14ac:dyDescent="0.3">
      <c r="A1333" s="5">
        <v>43572</v>
      </c>
      <c r="B1333">
        <v>27.98</v>
      </c>
      <c r="C1333">
        <v>28.59</v>
      </c>
      <c r="D1333">
        <v>27.67</v>
      </c>
      <c r="E1333">
        <v>27.719999000000001</v>
      </c>
      <c r="F1333">
        <v>27.034949999999998</v>
      </c>
      <c r="G1333">
        <v>5016000</v>
      </c>
      <c r="I1333">
        <f t="shared" si="21"/>
        <v>6.8659696166465463E-4</v>
      </c>
    </row>
    <row r="1334" spans="1:9" x14ac:dyDescent="0.3">
      <c r="A1334" s="5">
        <v>43573</v>
      </c>
      <c r="B1334">
        <v>27.360001</v>
      </c>
      <c r="C1334">
        <v>27.41</v>
      </c>
      <c r="D1334">
        <v>25.709999</v>
      </c>
      <c r="E1334">
        <v>26.66</v>
      </c>
      <c r="F1334">
        <v>26.001148000000001</v>
      </c>
      <c r="G1334">
        <v>9476200</v>
      </c>
      <c r="I1334">
        <f t="shared" si="21"/>
        <v>2.3076171028639267E-3</v>
      </c>
    </row>
    <row r="1335" spans="1:9" x14ac:dyDescent="0.3">
      <c r="A1335" s="5">
        <v>43577</v>
      </c>
      <c r="B1335">
        <v>26.52</v>
      </c>
      <c r="C1335">
        <v>28.24</v>
      </c>
      <c r="D1335">
        <v>26.52</v>
      </c>
      <c r="E1335">
        <v>28.139999</v>
      </c>
      <c r="F1335">
        <v>27.444571</v>
      </c>
      <c r="G1335">
        <v>6241200</v>
      </c>
      <c r="I1335">
        <f t="shared" si="21"/>
        <v>2.2291927181156064E-4</v>
      </c>
    </row>
    <row r="1336" spans="1:9" x14ac:dyDescent="0.3">
      <c r="A1336" s="5">
        <v>43578</v>
      </c>
      <c r="B1336">
        <v>28.08</v>
      </c>
      <c r="C1336">
        <v>28.92</v>
      </c>
      <c r="D1336">
        <v>28.08</v>
      </c>
      <c r="E1336">
        <v>28.530000999999999</v>
      </c>
      <c r="F1336">
        <v>27.824933999999999</v>
      </c>
      <c r="G1336">
        <v>4784800</v>
      </c>
      <c r="I1336">
        <f t="shared" si="21"/>
        <v>4.0019898994974419E-4</v>
      </c>
    </row>
    <row r="1337" spans="1:9" x14ac:dyDescent="0.3">
      <c r="A1337" s="5">
        <v>43579</v>
      </c>
      <c r="B1337">
        <v>28.49</v>
      </c>
      <c r="C1337">
        <v>28.540001</v>
      </c>
      <c r="D1337">
        <v>27.75</v>
      </c>
      <c r="E1337">
        <v>28.120000999999998</v>
      </c>
      <c r="F1337">
        <v>27.425066000000001</v>
      </c>
      <c r="G1337">
        <v>3391200</v>
      </c>
      <c r="I1337">
        <f t="shared" si="21"/>
        <v>3.7457622334219993E-4</v>
      </c>
    </row>
    <row r="1338" spans="1:9" x14ac:dyDescent="0.3">
      <c r="A1338" s="5">
        <v>43580</v>
      </c>
      <c r="B1338">
        <v>28.040001</v>
      </c>
      <c r="C1338">
        <v>28.040001</v>
      </c>
      <c r="D1338">
        <v>27.01</v>
      </c>
      <c r="E1338">
        <v>27.110001</v>
      </c>
      <c r="F1338">
        <v>26.440028999999999</v>
      </c>
      <c r="G1338">
        <v>3153400</v>
      </c>
      <c r="I1338">
        <f t="shared" si="21"/>
        <v>1.3830504869165588E-4</v>
      </c>
    </row>
    <row r="1339" spans="1:9" x14ac:dyDescent="0.3">
      <c r="A1339" s="5">
        <v>43581</v>
      </c>
      <c r="B1339">
        <v>27.049999</v>
      </c>
      <c r="C1339">
        <v>27.25</v>
      </c>
      <c r="D1339">
        <v>26.84</v>
      </c>
      <c r="E1339">
        <v>26.91</v>
      </c>
      <c r="F1339">
        <v>26.244969999999999</v>
      </c>
      <c r="G1339">
        <v>2257700</v>
      </c>
      <c r="I1339">
        <f t="shared" si="21"/>
        <v>1.1279093596557845E-4</v>
      </c>
    </row>
    <row r="1340" spans="1:9" x14ac:dyDescent="0.3">
      <c r="A1340" s="5">
        <v>43584</v>
      </c>
      <c r="B1340">
        <v>26.82</v>
      </c>
      <c r="C1340">
        <v>26.940000999999999</v>
      </c>
      <c r="D1340">
        <v>26.48</v>
      </c>
      <c r="E1340">
        <v>26.85</v>
      </c>
      <c r="F1340">
        <v>26.186453</v>
      </c>
      <c r="G1340">
        <v>2298600</v>
      </c>
      <c r="I1340">
        <f t="shared" si="21"/>
        <v>1.9197256892645618E-4</v>
      </c>
    </row>
    <row r="1341" spans="1:9" x14ac:dyDescent="0.3">
      <c r="A1341" s="5">
        <v>43585</v>
      </c>
      <c r="B1341">
        <v>26.709999</v>
      </c>
      <c r="C1341">
        <v>27.02</v>
      </c>
      <c r="D1341">
        <v>26.370000999999998</v>
      </c>
      <c r="E1341">
        <v>26.68</v>
      </c>
      <c r="F1341">
        <v>26.020652999999999</v>
      </c>
      <c r="G1341">
        <v>3270000</v>
      </c>
      <c r="I1341">
        <f t="shared" si="21"/>
        <v>2.9584791525530808E-4</v>
      </c>
    </row>
    <row r="1342" spans="1:9" x14ac:dyDescent="0.3">
      <c r="A1342" s="5">
        <v>43586</v>
      </c>
      <c r="B1342">
        <v>26.700001</v>
      </c>
      <c r="C1342">
        <v>27.1</v>
      </c>
      <c r="D1342">
        <v>25.98</v>
      </c>
      <c r="E1342">
        <v>26</v>
      </c>
      <c r="F1342">
        <v>25.357458000000001</v>
      </c>
      <c r="G1342">
        <v>3681900</v>
      </c>
      <c r="I1342">
        <f t="shared" si="21"/>
        <v>6.3721243331408813E-4</v>
      </c>
    </row>
    <row r="1343" spans="1:9" x14ac:dyDescent="0.3">
      <c r="A1343" s="5">
        <v>43587</v>
      </c>
      <c r="B1343">
        <v>25.879999000000002</v>
      </c>
      <c r="C1343">
        <v>26.379999000000002</v>
      </c>
      <c r="D1343">
        <v>25.719000000000001</v>
      </c>
      <c r="E1343">
        <v>25.93</v>
      </c>
      <c r="F1343">
        <v>25.289192</v>
      </c>
      <c r="G1343">
        <v>2917100</v>
      </c>
      <c r="I1343">
        <f t="shared" si="21"/>
        <v>3.8022690065475108E-4</v>
      </c>
    </row>
    <row r="1344" spans="1:9" x14ac:dyDescent="0.3">
      <c r="A1344" s="5">
        <v>43588</v>
      </c>
      <c r="B1344">
        <v>26.23</v>
      </c>
      <c r="C1344">
        <v>26.83</v>
      </c>
      <c r="D1344">
        <v>26.049999</v>
      </c>
      <c r="E1344">
        <v>26.68</v>
      </c>
      <c r="F1344">
        <v>26.020652999999999</v>
      </c>
      <c r="G1344">
        <v>3375900</v>
      </c>
      <c r="I1344">
        <f t="shared" si="21"/>
        <v>2.913529740779865E-4</v>
      </c>
    </row>
    <row r="1345" spans="1:9" x14ac:dyDescent="0.3">
      <c r="A1345" s="5">
        <v>43591</v>
      </c>
      <c r="B1345">
        <v>25.950001</v>
      </c>
      <c r="C1345">
        <v>26</v>
      </c>
      <c r="D1345">
        <v>25.280000999999999</v>
      </c>
      <c r="E1345">
        <v>25.91</v>
      </c>
      <c r="F1345">
        <v>25.269682</v>
      </c>
      <c r="G1345">
        <v>4081500</v>
      </c>
      <c r="I1345">
        <f t="shared" si="21"/>
        <v>6.5056486709274479E-4</v>
      </c>
    </row>
    <row r="1346" spans="1:9" x14ac:dyDescent="0.3">
      <c r="A1346" s="5">
        <v>43592</v>
      </c>
      <c r="B1346">
        <v>25.610001</v>
      </c>
      <c r="C1346">
        <v>25.719999000000001</v>
      </c>
      <c r="D1346">
        <v>25</v>
      </c>
      <c r="E1346">
        <v>25.18</v>
      </c>
      <c r="F1346">
        <v>24.557725999999999</v>
      </c>
      <c r="G1346">
        <v>4020300</v>
      </c>
      <c r="I1346">
        <f t="shared" si="21"/>
        <v>2.6389159242417692E-4</v>
      </c>
    </row>
    <row r="1347" spans="1:9" x14ac:dyDescent="0.3">
      <c r="A1347" s="5">
        <v>43593</v>
      </c>
      <c r="B1347">
        <v>25.030000999999999</v>
      </c>
      <c r="C1347">
        <v>25.43</v>
      </c>
      <c r="D1347">
        <v>24.67</v>
      </c>
      <c r="E1347">
        <v>24.690000999999999</v>
      </c>
      <c r="F1347">
        <v>24.079830000000001</v>
      </c>
      <c r="G1347">
        <v>3304000</v>
      </c>
      <c r="I1347">
        <f t="shared" si="21"/>
        <v>4.7994165834796957E-4</v>
      </c>
    </row>
    <row r="1348" spans="1:9" x14ac:dyDescent="0.3">
      <c r="A1348" s="5">
        <v>43594</v>
      </c>
      <c r="B1348">
        <v>24.4</v>
      </c>
      <c r="C1348">
        <v>24.9</v>
      </c>
      <c r="D1348">
        <v>23.879999000000002</v>
      </c>
      <c r="E1348">
        <v>24.809999000000001</v>
      </c>
      <c r="F1348">
        <v>24.196864999999999</v>
      </c>
      <c r="G1348">
        <v>2633800</v>
      </c>
      <c r="I1348">
        <f t="shared" si="21"/>
        <v>8.9647047267942892E-4</v>
      </c>
    </row>
    <row r="1349" spans="1:9" x14ac:dyDescent="0.3">
      <c r="A1349" s="5">
        <v>43595</v>
      </c>
      <c r="B1349">
        <v>24.73</v>
      </c>
      <c r="C1349">
        <v>25.309999000000001</v>
      </c>
      <c r="D1349">
        <v>24.27</v>
      </c>
      <c r="E1349">
        <v>25.040001</v>
      </c>
      <c r="F1349">
        <v>24.421182999999999</v>
      </c>
      <c r="G1349">
        <v>3551000</v>
      </c>
      <c r="I1349">
        <f t="shared" si="21"/>
        <v>8.3507400217505971E-4</v>
      </c>
    </row>
    <row r="1350" spans="1:9" x14ac:dyDescent="0.3">
      <c r="A1350" s="5">
        <v>43598</v>
      </c>
      <c r="B1350">
        <v>24.33</v>
      </c>
      <c r="C1350">
        <v>24.65</v>
      </c>
      <c r="D1350">
        <v>23.969999000000001</v>
      </c>
      <c r="E1350">
        <v>24.540001</v>
      </c>
      <c r="F1350">
        <v>23.933540000000001</v>
      </c>
      <c r="G1350">
        <v>4367000</v>
      </c>
      <c r="I1350">
        <f t="shared" si="21"/>
        <v>4.0877996116579112E-4</v>
      </c>
    </row>
    <row r="1351" spans="1:9" x14ac:dyDescent="0.3">
      <c r="A1351" s="5">
        <v>43599</v>
      </c>
      <c r="B1351">
        <v>24.790001</v>
      </c>
      <c r="C1351">
        <v>25.469999000000001</v>
      </c>
      <c r="D1351">
        <v>24.700001</v>
      </c>
      <c r="E1351">
        <v>25.01</v>
      </c>
      <c r="F1351">
        <v>24.391923999999999</v>
      </c>
      <c r="G1351">
        <v>4318500</v>
      </c>
      <c r="I1351">
        <f t="shared" si="21"/>
        <v>5.385615111718683E-4</v>
      </c>
    </row>
    <row r="1352" spans="1:9" x14ac:dyDescent="0.3">
      <c r="A1352" s="5">
        <v>43600</v>
      </c>
      <c r="B1352">
        <v>24.639999</v>
      </c>
      <c r="C1352">
        <v>25.139999</v>
      </c>
      <c r="D1352">
        <v>24.533000999999999</v>
      </c>
      <c r="E1352">
        <v>25.01</v>
      </c>
      <c r="F1352">
        <v>24.391923999999999</v>
      </c>
      <c r="G1352">
        <v>2739700</v>
      </c>
      <c r="I1352">
        <f t="shared" si="21"/>
        <v>1.8795286015118109E-4</v>
      </c>
    </row>
    <row r="1353" spans="1:9" x14ac:dyDescent="0.3">
      <c r="A1353" s="5">
        <v>43601</v>
      </c>
      <c r="B1353">
        <v>25.129999000000002</v>
      </c>
      <c r="C1353">
        <v>25.235001</v>
      </c>
      <c r="D1353">
        <v>24.67</v>
      </c>
      <c r="E1353">
        <v>24.98</v>
      </c>
      <c r="F1353">
        <v>24.362665</v>
      </c>
      <c r="G1353">
        <v>2237900</v>
      </c>
      <c r="I1353">
        <f t="shared" si="21"/>
        <v>2.7304904312781749E-4</v>
      </c>
    </row>
    <row r="1354" spans="1:9" x14ac:dyDescent="0.3">
      <c r="A1354" s="5">
        <v>43602</v>
      </c>
      <c r="B1354">
        <v>24.6</v>
      </c>
      <c r="C1354">
        <v>25</v>
      </c>
      <c r="D1354">
        <v>24.35</v>
      </c>
      <c r="E1354">
        <v>24.5</v>
      </c>
      <c r="F1354">
        <v>23.894525999999999</v>
      </c>
      <c r="G1354">
        <v>3227200</v>
      </c>
      <c r="I1354">
        <f t="shared" si="21"/>
        <v>3.8858773820759902E-4</v>
      </c>
    </row>
    <row r="1355" spans="1:9" x14ac:dyDescent="0.3">
      <c r="A1355" s="5">
        <v>43605</v>
      </c>
      <c r="B1355">
        <v>24.33</v>
      </c>
      <c r="C1355">
        <v>24.879999000000002</v>
      </c>
      <c r="D1355">
        <v>23.85</v>
      </c>
      <c r="E1355">
        <v>23.99</v>
      </c>
      <c r="F1355">
        <v>23.397131000000002</v>
      </c>
      <c r="G1355">
        <v>3289200</v>
      </c>
      <c r="I1355">
        <f t="shared" si="21"/>
        <v>9.3091883604134085E-4</v>
      </c>
    </row>
    <row r="1356" spans="1:9" x14ac:dyDescent="0.3">
      <c r="A1356" s="5">
        <v>43606</v>
      </c>
      <c r="B1356">
        <v>24.290001</v>
      </c>
      <c r="C1356">
        <v>24.864999999999998</v>
      </c>
      <c r="D1356">
        <v>23.889999</v>
      </c>
      <c r="E1356">
        <v>24.74</v>
      </c>
      <c r="F1356">
        <v>24.128596999999999</v>
      </c>
      <c r="G1356">
        <v>2769600</v>
      </c>
      <c r="I1356">
        <f t="shared" ref="I1356:I1419" si="22">LN(C1356/B1356)*(LN(C1356/B1356)-LN(E1356/B1356))+LN(D1356/B1356)*(LN(D1356/B1356)-LN(E1356/B1356))</f>
        <v>6.9844391194934241E-4</v>
      </c>
    </row>
    <row r="1357" spans="1:9" x14ac:dyDescent="0.3">
      <c r="A1357" s="5">
        <v>43607</v>
      </c>
      <c r="B1357">
        <v>24.6</v>
      </c>
      <c r="C1357">
        <v>24.75</v>
      </c>
      <c r="D1357">
        <v>24.040001</v>
      </c>
      <c r="E1357">
        <v>24.24</v>
      </c>
      <c r="F1357">
        <v>23.640953</v>
      </c>
      <c r="G1357">
        <v>2198400</v>
      </c>
      <c r="I1357">
        <f t="shared" si="22"/>
        <v>3.173551514860151E-4</v>
      </c>
    </row>
    <row r="1358" spans="1:9" x14ac:dyDescent="0.3">
      <c r="A1358" s="5">
        <v>43608</v>
      </c>
      <c r="B1358">
        <v>23.9</v>
      </c>
      <c r="C1358">
        <v>23.9</v>
      </c>
      <c r="D1358">
        <v>23.065999999999999</v>
      </c>
      <c r="E1358">
        <v>23.24</v>
      </c>
      <c r="F1358">
        <v>22.665666999999999</v>
      </c>
      <c r="G1358">
        <v>3338100</v>
      </c>
      <c r="I1358">
        <f t="shared" si="22"/>
        <v>2.6693292658663055E-4</v>
      </c>
    </row>
    <row r="1359" spans="1:9" x14ac:dyDescent="0.3">
      <c r="A1359" s="5">
        <v>43609</v>
      </c>
      <c r="B1359">
        <v>23.450001</v>
      </c>
      <c r="C1359">
        <v>23.6</v>
      </c>
      <c r="D1359">
        <v>22.969999000000001</v>
      </c>
      <c r="E1359">
        <v>23.01</v>
      </c>
      <c r="F1359">
        <v>22.441348999999999</v>
      </c>
      <c r="G1359">
        <v>3783400</v>
      </c>
      <c r="I1359">
        <f t="shared" si="22"/>
        <v>1.9741525406937781E-4</v>
      </c>
    </row>
    <row r="1360" spans="1:9" x14ac:dyDescent="0.3">
      <c r="A1360" s="5">
        <v>43613</v>
      </c>
      <c r="B1360">
        <v>23.040001</v>
      </c>
      <c r="C1360">
        <v>23.120000999999998</v>
      </c>
      <c r="D1360">
        <v>22.415001</v>
      </c>
      <c r="E1360">
        <v>22.549999</v>
      </c>
      <c r="F1360">
        <v>21.992716000000001</v>
      </c>
      <c r="G1360">
        <v>3632900</v>
      </c>
      <c r="I1360">
        <f t="shared" si="22"/>
        <v>2.5166240462307738E-4</v>
      </c>
    </row>
    <row r="1361" spans="1:9" x14ac:dyDescent="0.3">
      <c r="A1361" s="5">
        <v>43614</v>
      </c>
      <c r="B1361">
        <v>22.23</v>
      </c>
      <c r="C1361">
        <v>22.51</v>
      </c>
      <c r="D1361">
        <v>21.950001</v>
      </c>
      <c r="E1361">
        <v>22.459999</v>
      </c>
      <c r="F1361">
        <v>21.90494</v>
      </c>
      <c r="G1361">
        <v>2261000</v>
      </c>
      <c r="I1361">
        <f t="shared" si="22"/>
        <v>3.1897550987701874E-4</v>
      </c>
    </row>
    <row r="1362" spans="1:9" x14ac:dyDescent="0.3">
      <c r="A1362" s="5">
        <v>43615</v>
      </c>
      <c r="B1362">
        <v>22.41</v>
      </c>
      <c r="C1362">
        <v>22.469999000000001</v>
      </c>
      <c r="D1362">
        <v>21.5</v>
      </c>
      <c r="E1362">
        <v>21.620000999999998</v>
      </c>
      <c r="F1362">
        <v>21.085702999999999</v>
      </c>
      <c r="G1362">
        <v>3410000</v>
      </c>
      <c r="I1362">
        <f t="shared" si="22"/>
        <v>3.3383753579861118E-4</v>
      </c>
    </row>
    <row r="1363" spans="1:9" x14ac:dyDescent="0.3">
      <c r="A1363" s="5">
        <v>43616</v>
      </c>
      <c r="B1363">
        <v>21.26</v>
      </c>
      <c r="C1363">
        <v>21.370000999999998</v>
      </c>
      <c r="D1363">
        <v>21.02</v>
      </c>
      <c r="E1363">
        <v>21.190000999999999</v>
      </c>
      <c r="F1363">
        <v>20.666326999999999</v>
      </c>
      <c r="G1363">
        <v>2721000</v>
      </c>
      <c r="I1363">
        <f t="shared" si="22"/>
        <v>1.3510224979410208E-4</v>
      </c>
    </row>
    <row r="1364" spans="1:9" x14ac:dyDescent="0.3">
      <c r="A1364" s="5">
        <v>43619</v>
      </c>
      <c r="B1364">
        <v>21.049999</v>
      </c>
      <c r="C1364">
        <v>21.67</v>
      </c>
      <c r="D1364">
        <v>20.82</v>
      </c>
      <c r="E1364">
        <v>21.51</v>
      </c>
      <c r="F1364">
        <v>20.978424</v>
      </c>
      <c r="G1364">
        <v>3181000</v>
      </c>
      <c r="I1364">
        <f t="shared" si="22"/>
        <v>5.7332592520330326E-4</v>
      </c>
    </row>
    <row r="1365" spans="1:9" x14ac:dyDescent="0.3">
      <c r="A1365" s="5">
        <v>43620</v>
      </c>
      <c r="B1365">
        <v>21.67</v>
      </c>
      <c r="C1365">
        <v>22.23</v>
      </c>
      <c r="D1365">
        <v>21.48</v>
      </c>
      <c r="E1365">
        <v>21.889999</v>
      </c>
      <c r="F1365">
        <v>21.349028000000001</v>
      </c>
      <c r="G1365">
        <v>3593400</v>
      </c>
      <c r="I1365">
        <f t="shared" si="22"/>
        <v>5.5975302853749004E-4</v>
      </c>
    </row>
    <row r="1366" spans="1:9" x14ac:dyDescent="0.3">
      <c r="A1366" s="5">
        <v>43621</v>
      </c>
      <c r="B1366">
        <v>22.02</v>
      </c>
      <c r="C1366">
        <v>22.049999</v>
      </c>
      <c r="D1366">
        <v>21.040001</v>
      </c>
      <c r="E1366">
        <v>21.370000999999998</v>
      </c>
      <c r="F1366">
        <v>20.841881000000001</v>
      </c>
      <c r="G1366">
        <v>5820500</v>
      </c>
      <c r="I1366">
        <f t="shared" si="22"/>
        <v>7.5114775416459435E-4</v>
      </c>
    </row>
    <row r="1367" spans="1:9" x14ac:dyDescent="0.3">
      <c r="A1367" s="5">
        <v>43622</v>
      </c>
      <c r="B1367">
        <v>21.450001</v>
      </c>
      <c r="C1367">
        <v>21.98</v>
      </c>
      <c r="D1367">
        <v>21.209999</v>
      </c>
      <c r="E1367">
        <v>21.57</v>
      </c>
      <c r="F1367">
        <v>21.036937999999999</v>
      </c>
      <c r="G1367">
        <v>4244700</v>
      </c>
      <c r="I1367">
        <f t="shared" si="22"/>
        <v>6.4897397545418374E-4</v>
      </c>
    </row>
    <row r="1368" spans="1:9" x14ac:dyDescent="0.3">
      <c r="A1368" s="5">
        <v>43623</v>
      </c>
      <c r="B1368">
        <v>21.530000999999999</v>
      </c>
      <c r="C1368">
        <v>21.629999000000002</v>
      </c>
      <c r="D1368">
        <v>20.92</v>
      </c>
      <c r="E1368">
        <v>21.440000999999999</v>
      </c>
      <c r="F1368">
        <v>20.910150999999999</v>
      </c>
      <c r="G1368">
        <v>3970900</v>
      </c>
      <c r="I1368">
        <f t="shared" si="22"/>
        <v>7.4657150734700503E-4</v>
      </c>
    </row>
    <row r="1369" spans="1:9" x14ac:dyDescent="0.3">
      <c r="A1369" s="5">
        <v>43626</v>
      </c>
      <c r="B1369">
        <v>21.59</v>
      </c>
      <c r="C1369">
        <v>22.113001000000001</v>
      </c>
      <c r="D1369">
        <v>21.559999000000001</v>
      </c>
      <c r="E1369">
        <v>21.58</v>
      </c>
      <c r="F1369">
        <v>21.046690000000002</v>
      </c>
      <c r="G1369">
        <v>3989900</v>
      </c>
      <c r="I1369">
        <f t="shared" si="22"/>
        <v>5.8528513387757293E-4</v>
      </c>
    </row>
    <row r="1370" spans="1:9" x14ac:dyDescent="0.3">
      <c r="A1370" s="5">
        <v>43627</v>
      </c>
      <c r="B1370">
        <v>22.4</v>
      </c>
      <c r="C1370">
        <v>22.5</v>
      </c>
      <c r="D1370">
        <v>21.66</v>
      </c>
      <c r="E1370">
        <v>21.67</v>
      </c>
      <c r="F1370">
        <v>21.134467999999998</v>
      </c>
      <c r="G1370">
        <v>3015200</v>
      </c>
      <c r="I1370">
        <f t="shared" si="22"/>
        <v>1.8292939681372191E-4</v>
      </c>
    </row>
    <row r="1371" spans="1:9" x14ac:dyDescent="0.3">
      <c r="A1371" s="5">
        <v>43628</v>
      </c>
      <c r="B1371">
        <v>21.5</v>
      </c>
      <c r="C1371">
        <v>21.639999</v>
      </c>
      <c r="D1371">
        <v>21.08</v>
      </c>
      <c r="E1371">
        <v>21.17</v>
      </c>
      <c r="F1371">
        <v>20.646823999999999</v>
      </c>
      <c r="G1371">
        <v>2638500</v>
      </c>
      <c r="I1371">
        <f t="shared" si="22"/>
        <v>2.2656920410687182E-4</v>
      </c>
    </row>
    <row r="1372" spans="1:9" x14ac:dyDescent="0.3">
      <c r="A1372" s="5">
        <v>43629</v>
      </c>
      <c r="B1372">
        <v>21.309999000000001</v>
      </c>
      <c r="C1372">
        <v>21.902000000000001</v>
      </c>
      <c r="D1372">
        <v>21.1</v>
      </c>
      <c r="E1372">
        <v>21.799999</v>
      </c>
      <c r="F1372">
        <v>21.261251000000001</v>
      </c>
      <c r="G1372">
        <v>2923800</v>
      </c>
      <c r="I1372">
        <f t="shared" si="22"/>
        <v>4.5112613717820455E-4</v>
      </c>
    </row>
    <row r="1373" spans="1:9" x14ac:dyDescent="0.3">
      <c r="A1373" s="5">
        <v>43630</v>
      </c>
      <c r="B1373">
        <v>21.5</v>
      </c>
      <c r="C1373">
        <v>22.139999</v>
      </c>
      <c r="D1373">
        <v>21.299999</v>
      </c>
      <c r="E1373">
        <v>21.73</v>
      </c>
      <c r="F1373">
        <v>21.192983999999999</v>
      </c>
      <c r="G1373">
        <v>3210700</v>
      </c>
      <c r="I1373">
        <f t="shared" si="22"/>
        <v>7.3508854864369911E-4</v>
      </c>
    </row>
    <row r="1374" spans="1:9" x14ac:dyDescent="0.3">
      <c r="A1374" s="5">
        <v>43633</v>
      </c>
      <c r="B1374">
        <v>21.530000999999999</v>
      </c>
      <c r="C1374">
        <v>21.99</v>
      </c>
      <c r="D1374">
        <v>21.200001</v>
      </c>
      <c r="E1374">
        <v>21.65</v>
      </c>
      <c r="F1374">
        <v>21.114958000000001</v>
      </c>
      <c r="G1374">
        <v>3228900</v>
      </c>
      <c r="I1374">
        <f t="shared" si="22"/>
        <v>6.5385182046832154E-4</v>
      </c>
    </row>
    <row r="1375" spans="1:9" x14ac:dyDescent="0.3">
      <c r="A1375" s="5">
        <v>43634</v>
      </c>
      <c r="B1375">
        <v>22.030000999999999</v>
      </c>
      <c r="C1375">
        <v>23.09</v>
      </c>
      <c r="D1375">
        <v>21.68</v>
      </c>
      <c r="E1375">
        <v>22.540001</v>
      </c>
      <c r="F1375">
        <v>21.982966999999999</v>
      </c>
      <c r="G1375">
        <v>4550800</v>
      </c>
      <c r="I1375">
        <f t="shared" si="22"/>
        <v>1.7559514127789754E-3</v>
      </c>
    </row>
    <row r="1376" spans="1:9" x14ac:dyDescent="0.3">
      <c r="A1376" s="5">
        <v>43635</v>
      </c>
      <c r="B1376">
        <v>22.67</v>
      </c>
      <c r="C1376">
        <v>23.030000999999999</v>
      </c>
      <c r="D1376">
        <v>22.299999</v>
      </c>
      <c r="E1376">
        <v>22.4</v>
      </c>
      <c r="F1376">
        <v>21.846422</v>
      </c>
      <c r="G1376">
        <v>2708100</v>
      </c>
      <c r="I1376">
        <f t="shared" si="22"/>
        <v>5.1063011770239306E-4</v>
      </c>
    </row>
    <row r="1377" spans="1:9" x14ac:dyDescent="0.3">
      <c r="A1377" s="5">
        <v>43636</v>
      </c>
      <c r="B1377">
        <v>23.059999000000001</v>
      </c>
      <c r="C1377">
        <v>23.25</v>
      </c>
      <c r="D1377">
        <v>22.459999</v>
      </c>
      <c r="E1377">
        <v>22.51</v>
      </c>
      <c r="F1377">
        <v>21.953709</v>
      </c>
      <c r="G1377">
        <v>2519300</v>
      </c>
      <c r="I1377">
        <f t="shared" si="22"/>
        <v>3.2404199067995898E-4</v>
      </c>
    </row>
    <row r="1378" spans="1:9" x14ac:dyDescent="0.3">
      <c r="A1378" s="5">
        <v>43637</v>
      </c>
      <c r="B1378">
        <v>22.59</v>
      </c>
      <c r="C1378">
        <v>22.74</v>
      </c>
      <c r="D1378">
        <v>22.18</v>
      </c>
      <c r="E1378">
        <v>22.6</v>
      </c>
      <c r="F1378">
        <v>22.041485000000002</v>
      </c>
      <c r="G1378">
        <v>2947700</v>
      </c>
      <c r="I1378">
        <f t="shared" si="22"/>
        <v>3.8446597380956403E-4</v>
      </c>
    </row>
    <row r="1379" spans="1:9" x14ac:dyDescent="0.3">
      <c r="A1379" s="5">
        <v>43640</v>
      </c>
      <c r="B1379">
        <v>22.530000999999999</v>
      </c>
      <c r="C1379">
        <v>22.693000999999999</v>
      </c>
      <c r="D1379">
        <v>22.16</v>
      </c>
      <c r="E1379">
        <v>22.219999000000001</v>
      </c>
      <c r="F1379">
        <v>21.670871999999999</v>
      </c>
      <c r="G1379">
        <v>2198400</v>
      </c>
      <c r="I1379">
        <f t="shared" si="22"/>
        <v>1.9661713187547268E-4</v>
      </c>
    </row>
    <row r="1380" spans="1:9" x14ac:dyDescent="0.3">
      <c r="A1380" s="5">
        <v>43641</v>
      </c>
      <c r="B1380">
        <v>22.23</v>
      </c>
      <c r="C1380">
        <v>22.860001</v>
      </c>
      <c r="D1380">
        <v>21.950001</v>
      </c>
      <c r="E1380">
        <v>22.549999</v>
      </c>
      <c r="F1380">
        <v>21.992716000000001</v>
      </c>
      <c r="G1380">
        <v>2568300</v>
      </c>
      <c r="I1380">
        <f t="shared" si="22"/>
        <v>7.2339737102559726E-4</v>
      </c>
    </row>
    <row r="1381" spans="1:9" x14ac:dyDescent="0.3">
      <c r="A1381" s="5">
        <v>43642</v>
      </c>
      <c r="B1381">
        <v>22.77</v>
      </c>
      <c r="C1381">
        <v>23.385000000000002</v>
      </c>
      <c r="D1381">
        <v>22.67</v>
      </c>
      <c r="E1381">
        <v>23.209999</v>
      </c>
      <c r="F1381">
        <v>22.636407999999999</v>
      </c>
      <c r="G1381">
        <v>2578500</v>
      </c>
      <c r="I1381">
        <f t="shared" si="22"/>
        <v>3.038038153215806E-4</v>
      </c>
    </row>
    <row r="1382" spans="1:9" x14ac:dyDescent="0.3">
      <c r="A1382" s="5">
        <v>43643</v>
      </c>
      <c r="B1382">
        <v>23.280000999999999</v>
      </c>
      <c r="C1382">
        <v>23.389999</v>
      </c>
      <c r="D1382">
        <v>22.915001</v>
      </c>
      <c r="E1382">
        <v>23.129999000000002</v>
      </c>
      <c r="F1382">
        <v>22.558384</v>
      </c>
      <c r="G1382">
        <v>2625300</v>
      </c>
      <c r="I1382">
        <f t="shared" si="22"/>
        <v>2.0027028545400034E-4</v>
      </c>
    </row>
    <row r="1383" spans="1:9" x14ac:dyDescent="0.3">
      <c r="A1383" s="5">
        <v>43644</v>
      </c>
      <c r="B1383">
        <v>23.1</v>
      </c>
      <c r="C1383">
        <v>23.42</v>
      </c>
      <c r="D1383">
        <v>22.85</v>
      </c>
      <c r="E1383">
        <v>23.41</v>
      </c>
      <c r="F1383">
        <v>22.831465000000001</v>
      </c>
      <c r="G1383">
        <v>2910100</v>
      </c>
      <c r="I1383">
        <f t="shared" si="22"/>
        <v>2.693402788913484E-4</v>
      </c>
    </row>
    <row r="1384" spans="1:9" x14ac:dyDescent="0.3">
      <c r="A1384" s="5">
        <v>43647</v>
      </c>
      <c r="B1384">
        <v>23.67</v>
      </c>
      <c r="C1384">
        <v>23.85</v>
      </c>
      <c r="D1384">
        <v>22.780000999999999</v>
      </c>
      <c r="E1384">
        <v>22.92</v>
      </c>
      <c r="F1384">
        <v>22.353574999999999</v>
      </c>
      <c r="G1384">
        <v>3419900</v>
      </c>
      <c r="I1384">
        <f t="shared" si="22"/>
        <v>5.361377284584972E-4</v>
      </c>
    </row>
    <row r="1385" spans="1:9" x14ac:dyDescent="0.3">
      <c r="A1385" s="5">
        <v>43648</v>
      </c>
      <c r="B1385">
        <v>22.93</v>
      </c>
      <c r="C1385">
        <v>23.485001</v>
      </c>
      <c r="D1385">
        <v>22.66</v>
      </c>
      <c r="E1385">
        <v>23.299999</v>
      </c>
      <c r="F1385">
        <v>22.724184000000001</v>
      </c>
      <c r="G1385">
        <v>3259000</v>
      </c>
      <c r="I1385">
        <f t="shared" si="22"/>
        <v>5.1904532751146748E-4</v>
      </c>
    </row>
    <row r="1386" spans="1:9" x14ac:dyDescent="0.3">
      <c r="A1386" s="5">
        <v>43649</v>
      </c>
      <c r="B1386">
        <v>23.23</v>
      </c>
      <c r="C1386">
        <v>23.440000999999999</v>
      </c>
      <c r="D1386">
        <v>22.364999999999998</v>
      </c>
      <c r="E1386">
        <v>22.700001</v>
      </c>
      <c r="F1386">
        <v>22.139012999999998</v>
      </c>
      <c r="G1386">
        <v>3189200</v>
      </c>
      <c r="I1386">
        <f t="shared" si="22"/>
        <v>8.5288446627814884E-4</v>
      </c>
    </row>
    <row r="1387" spans="1:9" x14ac:dyDescent="0.3">
      <c r="A1387" s="5">
        <v>43651</v>
      </c>
      <c r="B1387">
        <v>22.25</v>
      </c>
      <c r="C1387">
        <v>23.245000999999998</v>
      </c>
      <c r="D1387">
        <v>22.219999000000001</v>
      </c>
      <c r="E1387">
        <v>23.129999000000002</v>
      </c>
      <c r="F1387">
        <v>22.558384</v>
      </c>
      <c r="G1387">
        <v>2291900</v>
      </c>
      <c r="I1387">
        <f t="shared" si="22"/>
        <v>2.7113243750295584E-4</v>
      </c>
    </row>
    <row r="1388" spans="1:9" x14ac:dyDescent="0.3">
      <c r="A1388" s="5">
        <v>43654</v>
      </c>
      <c r="B1388">
        <v>22.940000999999999</v>
      </c>
      <c r="C1388">
        <v>23.110001</v>
      </c>
      <c r="D1388">
        <v>22.209999</v>
      </c>
      <c r="E1388">
        <v>22.299999</v>
      </c>
      <c r="F1388">
        <v>21.748898000000001</v>
      </c>
      <c r="G1388">
        <v>3451300</v>
      </c>
      <c r="I1388">
        <f t="shared" si="22"/>
        <v>3.9421048012188288E-4</v>
      </c>
    </row>
    <row r="1389" spans="1:9" x14ac:dyDescent="0.3">
      <c r="A1389" s="5">
        <v>43655</v>
      </c>
      <c r="B1389">
        <v>21.700001</v>
      </c>
      <c r="C1389">
        <v>22.25</v>
      </c>
      <c r="D1389">
        <v>21.16</v>
      </c>
      <c r="E1389">
        <v>22.219999000000001</v>
      </c>
      <c r="F1389">
        <v>21.670871999999999</v>
      </c>
      <c r="G1389">
        <v>4720900</v>
      </c>
      <c r="I1389">
        <f t="shared" si="22"/>
        <v>1.2655364613014142E-3</v>
      </c>
    </row>
    <row r="1390" spans="1:9" x14ac:dyDescent="0.3">
      <c r="A1390" s="5">
        <v>43656</v>
      </c>
      <c r="B1390">
        <v>22.459999</v>
      </c>
      <c r="C1390">
        <v>22.954999999999998</v>
      </c>
      <c r="D1390">
        <v>22.139999</v>
      </c>
      <c r="E1390">
        <v>22.610001</v>
      </c>
      <c r="F1390">
        <v>22.051237</v>
      </c>
      <c r="G1390">
        <v>3425000</v>
      </c>
      <c r="I1390">
        <f t="shared" si="22"/>
        <v>6.3156823497247149E-4</v>
      </c>
    </row>
    <row r="1391" spans="1:9" x14ac:dyDescent="0.3">
      <c r="A1391" s="5">
        <v>43657</v>
      </c>
      <c r="B1391">
        <v>22.309999000000001</v>
      </c>
      <c r="C1391">
        <v>22.594999000000001</v>
      </c>
      <c r="D1391">
        <v>21.98</v>
      </c>
      <c r="E1391">
        <v>22.5</v>
      </c>
      <c r="F1391">
        <v>21.943954000000002</v>
      </c>
      <c r="G1391">
        <v>3323600</v>
      </c>
      <c r="I1391">
        <f t="shared" si="22"/>
        <v>4.0192623234535361E-4</v>
      </c>
    </row>
    <row r="1392" spans="1:9" x14ac:dyDescent="0.3">
      <c r="A1392" s="5">
        <v>43658</v>
      </c>
      <c r="B1392">
        <v>22.51</v>
      </c>
      <c r="C1392">
        <v>22.809999000000001</v>
      </c>
      <c r="D1392">
        <v>22.364999999999998</v>
      </c>
      <c r="E1392">
        <v>22.6</v>
      </c>
      <c r="F1392">
        <v>22.041485000000002</v>
      </c>
      <c r="G1392">
        <v>2217000</v>
      </c>
      <c r="I1392">
        <f t="shared" si="22"/>
        <v>1.9000129300642408E-4</v>
      </c>
    </row>
    <row r="1393" spans="1:9" x14ac:dyDescent="0.3">
      <c r="A1393" s="5">
        <v>43661</v>
      </c>
      <c r="B1393">
        <v>22.780000999999999</v>
      </c>
      <c r="C1393">
        <v>23.23</v>
      </c>
      <c r="D1393">
        <v>22.68</v>
      </c>
      <c r="E1393">
        <v>23.17</v>
      </c>
      <c r="F1393">
        <v>22.597397000000001</v>
      </c>
      <c r="G1393">
        <v>3320900</v>
      </c>
      <c r="I1393">
        <f t="shared" si="22"/>
        <v>1.4462941803184581E-4</v>
      </c>
    </row>
    <row r="1394" spans="1:9" x14ac:dyDescent="0.3">
      <c r="A1394" s="5">
        <v>43662</v>
      </c>
      <c r="B1394">
        <v>23.25</v>
      </c>
      <c r="C1394">
        <v>23.924999</v>
      </c>
      <c r="D1394">
        <v>23.09</v>
      </c>
      <c r="E1394">
        <v>23.32</v>
      </c>
      <c r="F1394">
        <v>22.743687000000001</v>
      </c>
      <c r="G1394">
        <v>2881500</v>
      </c>
      <c r="I1394">
        <f t="shared" si="22"/>
        <v>8.0144464856112679E-4</v>
      </c>
    </row>
    <row r="1395" spans="1:9" x14ac:dyDescent="0.3">
      <c r="A1395" s="5">
        <v>43663</v>
      </c>
      <c r="B1395">
        <v>23.32</v>
      </c>
      <c r="C1395">
        <v>23.370000999999998</v>
      </c>
      <c r="D1395">
        <v>22.82</v>
      </c>
      <c r="E1395">
        <v>23.15</v>
      </c>
      <c r="F1395">
        <v>22.57789</v>
      </c>
      <c r="G1395">
        <v>3304800</v>
      </c>
      <c r="I1395">
        <f t="shared" si="22"/>
        <v>3.3144162144787816E-4</v>
      </c>
    </row>
    <row r="1396" spans="1:9" x14ac:dyDescent="0.3">
      <c r="A1396" s="5">
        <v>43664</v>
      </c>
      <c r="B1396">
        <v>22.9</v>
      </c>
      <c r="C1396">
        <v>24.629999000000002</v>
      </c>
      <c r="D1396">
        <v>22.52</v>
      </c>
      <c r="E1396">
        <v>23.41</v>
      </c>
      <c r="F1396">
        <v>22.831465000000001</v>
      </c>
      <c r="G1396">
        <v>10617100</v>
      </c>
      <c r="I1396">
        <f t="shared" si="22"/>
        <v>4.3483798125498966E-3</v>
      </c>
    </row>
    <row r="1397" spans="1:9" x14ac:dyDescent="0.3">
      <c r="A1397" s="5">
        <v>43665</v>
      </c>
      <c r="B1397">
        <v>23.360001</v>
      </c>
      <c r="C1397">
        <v>23.780000999999999</v>
      </c>
      <c r="D1397">
        <v>22.870000999999998</v>
      </c>
      <c r="E1397">
        <v>23.110001</v>
      </c>
      <c r="F1397">
        <v>22.538879000000001</v>
      </c>
      <c r="G1397">
        <v>4645200</v>
      </c>
      <c r="I1397">
        <f t="shared" si="22"/>
        <v>7.3058516716518584E-4</v>
      </c>
    </row>
    <row r="1398" spans="1:9" x14ac:dyDescent="0.3">
      <c r="A1398" s="5">
        <v>43668</v>
      </c>
      <c r="B1398">
        <v>23.18</v>
      </c>
      <c r="C1398">
        <v>23.389999</v>
      </c>
      <c r="D1398">
        <v>22.695</v>
      </c>
      <c r="E1398">
        <v>22.98</v>
      </c>
      <c r="F1398">
        <v>22.412089999999999</v>
      </c>
      <c r="G1398">
        <v>3719200</v>
      </c>
      <c r="I1398">
        <f t="shared" si="22"/>
        <v>4.2337351832190298E-4</v>
      </c>
    </row>
    <row r="1399" spans="1:9" x14ac:dyDescent="0.3">
      <c r="A1399" s="5">
        <v>43669</v>
      </c>
      <c r="B1399">
        <v>23.16</v>
      </c>
      <c r="C1399">
        <v>23.559999000000001</v>
      </c>
      <c r="D1399">
        <v>22.860001</v>
      </c>
      <c r="E1399">
        <v>22.950001</v>
      </c>
      <c r="F1399">
        <v>22.382836999999999</v>
      </c>
      <c r="G1399">
        <v>3088400</v>
      </c>
      <c r="I1399">
        <f t="shared" si="22"/>
        <v>5.0042343444723421E-4</v>
      </c>
    </row>
    <row r="1400" spans="1:9" x14ac:dyDescent="0.3">
      <c r="A1400" s="5">
        <v>43670</v>
      </c>
      <c r="B1400">
        <v>22.93</v>
      </c>
      <c r="C1400">
        <v>23.6</v>
      </c>
      <c r="D1400">
        <v>22.834999</v>
      </c>
      <c r="E1400">
        <v>23.559999000000001</v>
      </c>
      <c r="F1400">
        <v>22.977758000000001</v>
      </c>
      <c r="G1400">
        <v>2951300</v>
      </c>
      <c r="I1400">
        <f t="shared" si="22"/>
        <v>1.7862222882385442E-4</v>
      </c>
    </row>
    <row r="1401" spans="1:9" x14ac:dyDescent="0.3">
      <c r="A1401" s="5">
        <v>43671</v>
      </c>
      <c r="B1401">
        <v>23.48</v>
      </c>
      <c r="C1401">
        <v>23.629999000000002</v>
      </c>
      <c r="D1401">
        <v>22.6</v>
      </c>
      <c r="E1401">
        <v>22.85</v>
      </c>
      <c r="F1401">
        <v>22.285305000000001</v>
      </c>
      <c r="G1401">
        <v>3893100</v>
      </c>
      <c r="I1401">
        <f t="shared" si="22"/>
        <v>6.3398589887502617E-4</v>
      </c>
    </row>
    <row r="1402" spans="1:9" x14ac:dyDescent="0.3">
      <c r="A1402" s="5">
        <v>43672</v>
      </c>
      <c r="B1402">
        <v>22.85</v>
      </c>
      <c r="C1402">
        <v>23.299999</v>
      </c>
      <c r="D1402">
        <v>22.629999000000002</v>
      </c>
      <c r="E1402">
        <v>23.129999000000002</v>
      </c>
      <c r="F1402">
        <v>22.558384</v>
      </c>
      <c r="G1402">
        <v>2506700</v>
      </c>
      <c r="I1402">
        <f t="shared" si="22"/>
        <v>3.5424346798331179E-4</v>
      </c>
    </row>
    <row r="1403" spans="1:9" x14ac:dyDescent="0.3">
      <c r="A1403" s="5">
        <v>43675</v>
      </c>
      <c r="B1403">
        <v>23.059999000000001</v>
      </c>
      <c r="C1403">
        <v>23.57</v>
      </c>
      <c r="D1403">
        <v>22.9</v>
      </c>
      <c r="E1403">
        <v>23.120000999999998</v>
      </c>
      <c r="F1403">
        <v>22.548629999999999</v>
      </c>
      <c r="G1403">
        <v>2393900</v>
      </c>
      <c r="I1403">
        <f t="shared" si="22"/>
        <v>4.882512845315166E-4</v>
      </c>
    </row>
    <row r="1404" spans="1:9" x14ac:dyDescent="0.3">
      <c r="A1404" s="5">
        <v>43676</v>
      </c>
      <c r="B1404">
        <v>22.9</v>
      </c>
      <c r="C1404">
        <v>23.040001</v>
      </c>
      <c r="D1404">
        <v>22.575001</v>
      </c>
      <c r="E1404">
        <v>23.040001</v>
      </c>
      <c r="F1404">
        <v>22.470610000000001</v>
      </c>
      <c r="G1404">
        <v>2865600</v>
      </c>
      <c r="I1404">
        <f t="shared" si="22"/>
        <v>2.9143183572056744E-4</v>
      </c>
    </row>
    <row r="1405" spans="1:9" x14ac:dyDescent="0.3">
      <c r="A1405" s="5">
        <v>43677</v>
      </c>
      <c r="B1405">
        <v>23.049999</v>
      </c>
      <c r="C1405">
        <v>23.24</v>
      </c>
      <c r="D1405">
        <v>22.42</v>
      </c>
      <c r="E1405">
        <v>22.49</v>
      </c>
      <c r="F1405">
        <v>21.934200000000001</v>
      </c>
      <c r="G1405">
        <v>2763800</v>
      </c>
      <c r="I1405">
        <f t="shared" si="22"/>
        <v>3.5568507227413325E-4</v>
      </c>
    </row>
    <row r="1406" spans="1:9" x14ac:dyDescent="0.3">
      <c r="A1406" s="5">
        <v>43678</v>
      </c>
      <c r="B1406">
        <v>22.27</v>
      </c>
      <c r="C1406">
        <v>22.450001</v>
      </c>
      <c r="D1406">
        <v>21</v>
      </c>
      <c r="E1406">
        <v>21.33</v>
      </c>
      <c r="F1406">
        <v>20.802868</v>
      </c>
      <c r="G1406">
        <v>4783900</v>
      </c>
      <c r="I1406">
        <f t="shared" si="22"/>
        <v>1.3275141972180168E-3</v>
      </c>
    </row>
    <row r="1407" spans="1:9" x14ac:dyDescent="0.3">
      <c r="A1407" s="5">
        <v>43679</v>
      </c>
      <c r="B1407">
        <v>21.15</v>
      </c>
      <c r="C1407">
        <v>21.325001</v>
      </c>
      <c r="D1407">
        <v>20.309999000000001</v>
      </c>
      <c r="E1407">
        <v>20.709999</v>
      </c>
      <c r="F1407">
        <v>20.198191000000001</v>
      </c>
      <c r="G1407">
        <v>3516600</v>
      </c>
      <c r="I1407">
        <f t="shared" si="22"/>
        <v>1.0315402807326455E-3</v>
      </c>
    </row>
    <row r="1408" spans="1:9" x14ac:dyDescent="0.3">
      <c r="A1408" s="5">
        <v>43682</v>
      </c>
      <c r="B1408">
        <v>20.219999000000001</v>
      </c>
      <c r="C1408">
        <v>20.266000999999999</v>
      </c>
      <c r="D1408">
        <v>19.540001</v>
      </c>
      <c r="E1408">
        <v>20.149999999999999</v>
      </c>
      <c r="F1408">
        <v>19.652032999999999</v>
      </c>
      <c r="G1408">
        <v>3982200</v>
      </c>
      <c r="I1408">
        <f t="shared" si="22"/>
        <v>1.0646333846077538E-3</v>
      </c>
    </row>
    <row r="1409" spans="1:9" x14ac:dyDescent="0.3">
      <c r="A1409" s="5">
        <v>43683</v>
      </c>
      <c r="B1409">
        <v>20.219999000000001</v>
      </c>
      <c r="C1409">
        <v>20.350000000000001</v>
      </c>
      <c r="D1409">
        <v>19.350000000000001</v>
      </c>
      <c r="E1409">
        <v>19.889999</v>
      </c>
      <c r="F1409">
        <v>19.398454999999998</v>
      </c>
      <c r="G1409">
        <v>3781100</v>
      </c>
      <c r="I1409">
        <f t="shared" si="22"/>
        <v>1.3570546673921581E-3</v>
      </c>
    </row>
    <row r="1410" spans="1:9" x14ac:dyDescent="0.3">
      <c r="A1410" s="5">
        <v>43684</v>
      </c>
      <c r="B1410">
        <v>19.530000999999999</v>
      </c>
      <c r="C1410">
        <v>19.629999000000002</v>
      </c>
      <c r="D1410">
        <v>19.149999999999999</v>
      </c>
      <c r="E1410">
        <v>19.579999999999998</v>
      </c>
      <c r="F1410">
        <v>19.096117</v>
      </c>
      <c r="G1410">
        <v>2949000</v>
      </c>
      <c r="I1410">
        <f t="shared" si="22"/>
        <v>4.4935083461373641E-4</v>
      </c>
    </row>
    <row r="1411" spans="1:9" x14ac:dyDescent="0.3">
      <c r="A1411" s="5">
        <v>43685</v>
      </c>
      <c r="B1411">
        <v>19.790001</v>
      </c>
      <c r="C1411">
        <v>20.239999999999998</v>
      </c>
      <c r="D1411">
        <v>19.68</v>
      </c>
      <c r="E1411">
        <v>20.120000999999998</v>
      </c>
      <c r="F1411">
        <v>19.622768000000001</v>
      </c>
      <c r="G1411">
        <v>2980800</v>
      </c>
      <c r="I1411">
        <f t="shared" si="22"/>
        <v>2.5694789187277202E-4</v>
      </c>
    </row>
    <row r="1412" spans="1:9" x14ac:dyDescent="0.3">
      <c r="A1412" s="5">
        <v>43686</v>
      </c>
      <c r="B1412">
        <v>19.850000000000001</v>
      </c>
      <c r="C1412">
        <v>19.959999</v>
      </c>
      <c r="D1412">
        <v>19.16</v>
      </c>
      <c r="E1412">
        <v>19.209999</v>
      </c>
      <c r="F1412">
        <v>18.73526</v>
      </c>
      <c r="G1412">
        <v>3068400</v>
      </c>
      <c r="I1412">
        <f t="shared" si="22"/>
        <v>3.0385376207155623E-4</v>
      </c>
    </row>
    <row r="1413" spans="1:9" x14ac:dyDescent="0.3">
      <c r="A1413" s="5">
        <v>43689</v>
      </c>
      <c r="B1413">
        <v>19.030000999999999</v>
      </c>
      <c r="C1413">
        <v>19.049999</v>
      </c>
      <c r="D1413">
        <v>18.389999</v>
      </c>
      <c r="E1413">
        <v>18.52</v>
      </c>
      <c r="F1413">
        <v>18.062315000000002</v>
      </c>
      <c r="G1413">
        <v>2600300</v>
      </c>
      <c r="I1413">
        <f t="shared" si="22"/>
        <v>2.7061736210300938E-4</v>
      </c>
    </row>
    <row r="1414" spans="1:9" x14ac:dyDescent="0.3">
      <c r="A1414" s="5">
        <v>43690</v>
      </c>
      <c r="B1414">
        <v>18.5</v>
      </c>
      <c r="C1414">
        <v>19.52</v>
      </c>
      <c r="D1414">
        <v>18.329999999999998</v>
      </c>
      <c r="E1414">
        <v>19.110001</v>
      </c>
      <c r="F1414">
        <v>18.637730000000001</v>
      </c>
      <c r="G1414">
        <v>4426600</v>
      </c>
      <c r="I1414">
        <f t="shared" si="22"/>
        <v>1.5239790762745897E-3</v>
      </c>
    </row>
    <row r="1415" spans="1:9" x14ac:dyDescent="0.3">
      <c r="A1415" s="5">
        <v>43691</v>
      </c>
      <c r="B1415">
        <v>18.350000000000001</v>
      </c>
      <c r="C1415">
        <v>18.41</v>
      </c>
      <c r="D1415">
        <v>17.5</v>
      </c>
      <c r="E1415">
        <v>17.5</v>
      </c>
      <c r="F1415">
        <v>17.067519999999998</v>
      </c>
      <c r="G1415">
        <v>5541500</v>
      </c>
      <c r="I1415">
        <f t="shared" si="22"/>
        <v>1.6548365397017455E-4</v>
      </c>
    </row>
    <row r="1416" spans="1:9" x14ac:dyDescent="0.3">
      <c r="A1416" s="5">
        <v>43692</v>
      </c>
      <c r="B1416">
        <v>17.600000000000001</v>
      </c>
      <c r="C1416">
        <v>17.739999999999998</v>
      </c>
      <c r="D1416">
        <v>16.681000000000001</v>
      </c>
      <c r="E1416">
        <v>16.920000000000002</v>
      </c>
      <c r="F1416">
        <v>16.501852</v>
      </c>
      <c r="G1416">
        <v>3973300</v>
      </c>
      <c r="I1416">
        <f t="shared" si="22"/>
        <v>1.1378846477437226E-3</v>
      </c>
    </row>
    <row r="1417" spans="1:9" x14ac:dyDescent="0.3">
      <c r="A1417" s="5">
        <v>43693</v>
      </c>
      <c r="B1417">
        <v>17.040001</v>
      </c>
      <c r="C1417">
        <v>17.629999000000002</v>
      </c>
      <c r="D1417">
        <v>17.040001</v>
      </c>
      <c r="E1417">
        <v>17.52</v>
      </c>
      <c r="F1417">
        <v>17.087025000000001</v>
      </c>
      <c r="G1417">
        <v>4273200</v>
      </c>
      <c r="I1417">
        <f t="shared" si="22"/>
        <v>2.130411292744114E-4</v>
      </c>
    </row>
    <row r="1418" spans="1:9" x14ac:dyDescent="0.3">
      <c r="A1418" s="5">
        <v>43696</v>
      </c>
      <c r="B1418">
        <v>17.84</v>
      </c>
      <c r="C1418">
        <v>18.370000999999998</v>
      </c>
      <c r="D1418">
        <v>17.809999000000001</v>
      </c>
      <c r="E1418">
        <v>18.23</v>
      </c>
      <c r="F1418">
        <v>17.779475999999999</v>
      </c>
      <c r="G1418">
        <v>3505000</v>
      </c>
      <c r="I1418">
        <f t="shared" si="22"/>
        <v>2.6320104770825707E-4</v>
      </c>
    </row>
    <row r="1419" spans="1:9" x14ac:dyDescent="0.3">
      <c r="A1419" s="5">
        <v>43697</v>
      </c>
      <c r="B1419">
        <v>18.120000999999998</v>
      </c>
      <c r="C1419">
        <v>18.399999999999999</v>
      </c>
      <c r="D1419">
        <v>18.063998999999999</v>
      </c>
      <c r="E1419">
        <v>18.309999000000001</v>
      </c>
      <c r="F1419">
        <v>17.857506000000001</v>
      </c>
      <c r="G1419">
        <v>2954100</v>
      </c>
      <c r="I1419">
        <f t="shared" si="22"/>
        <v>1.1705916562073646E-4</v>
      </c>
    </row>
    <row r="1420" spans="1:9" x14ac:dyDescent="0.3">
      <c r="A1420" s="5">
        <v>43698</v>
      </c>
      <c r="B1420">
        <v>18.670000000000002</v>
      </c>
      <c r="C1420">
        <v>19.010000000000002</v>
      </c>
      <c r="D1420">
        <v>18.459999</v>
      </c>
      <c r="E1420">
        <v>18.469999000000001</v>
      </c>
      <c r="F1420">
        <v>18.013548</v>
      </c>
      <c r="G1420">
        <v>3383100</v>
      </c>
      <c r="I1420">
        <f t="shared" ref="I1420:I1483" si="23">LN(C1420/B1420)*(LN(C1420/B1420)-LN(E1420/B1420))+LN(D1420/B1420)*(LN(D1420/B1420)-LN(E1420/B1420))</f>
        <v>5.2619971490719083E-4</v>
      </c>
    </row>
    <row r="1421" spans="1:9" x14ac:dyDescent="0.3">
      <c r="A1421" s="5">
        <v>43699</v>
      </c>
      <c r="B1421">
        <v>18.459999</v>
      </c>
      <c r="C1421">
        <v>18.545000000000002</v>
      </c>
      <c r="D1421">
        <v>17.905000999999999</v>
      </c>
      <c r="E1421">
        <v>18.049999</v>
      </c>
      <c r="F1421">
        <v>17.603926000000001</v>
      </c>
      <c r="G1421">
        <v>2999300</v>
      </c>
      <c r="I1421">
        <f t="shared" si="23"/>
        <v>3.7050024725847916E-4</v>
      </c>
    </row>
    <row r="1422" spans="1:9" x14ac:dyDescent="0.3">
      <c r="A1422" s="5">
        <v>43700</v>
      </c>
      <c r="B1422">
        <v>17.829999999999998</v>
      </c>
      <c r="C1422">
        <v>18</v>
      </c>
      <c r="D1422">
        <v>17.309999000000001</v>
      </c>
      <c r="E1422">
        <v>17.48</v>
      </c>
      <c r="F1422">
        <v>17.048012</v>
      </c>
      <c r="G1422">
        <v>3217300</v>
      </c>
      <c r="I1422">
        <f t="shared" si="23"/>
        <v>5.6743795357089527E-4</v>
      </c>
    </row>
    <row r="1423" spans="1:9" x14ac:dyDescent="0.3">
      <c r="A1423" s="5">
        <v>43703</v>
      </c>
      <c r="B1423">
        <v>17.73</v>
      </c>
      <c r="C1423">
        <v>17.73</v>
      </c>
      <c r="D1423">
        <v>17.09</v>
      </c>
      <c r="E1423">
        <v>17.170000000000002</v>
      </c>
      <c r="F1423">
        <v>16.745676</v>
      </c>
      <c r="G1423">
        <v>3108700</v>
      </c>
      <c r="I1423">
        <f t="shared" si="23"/>
        <v>1.7169732530070587E-4</v>
      </c>
    </row>
    <row r="1424" spans="1:9" x14ac:dyDescent="0.3">
      <c r="A1424" s="5">
        <v>43704</v>
      </c>
      <c r="B1424">
        <v>17.309999000000001</v>
      </c>
      <c r="C1424">
        <v>17.370000999999998</v>
      </c>
      <c r="D1424">
        <v>16.68</v>
      </c>
      <c r="E1424">
        <v>16.73</v>
      </c>
      <c r="F1424">
        <v>16.316548999999998</v>
      </c>
      <c r="G1424">
        <v>2376000</v>
      </c>
      <c r="I1424">
        <f t="shared" si="23"/>
        <v>2.4087114191132132E-4</v>
      </c>
    </row>
    <row r="1425" spans="1:9" x14ac:dyDescent="0.3">
      <c r="A1425" s="5">
        <v>43705</v>
      </c>
      <c r="B1425">
        <v>16.579999999999998</v>
      </c>
      <c r="C1425">
        <v>17.280000999999999</v>
      </c>
      <c r="D1425">
        <v>16.459999</v>
      </c>
      <c r="E1425">
        <v>17.010000000000002</v>
      </c>
      <c r="F1425">
        <v>16.589628000000001</v>
      </c>
      <c r="G1425">
        <v>2915700</v>
      </c>
      <c r="I1425">
        <f t="shared" si="23"/>
        <v>8.8999465322687392E-4</v>
      </c>
    </row>
    <row r="1426" spans="1:9" x14ac:dyDescent="0.3">
      <c r="A1426" s="5">
        <v>43706</v>
      </c>
      <c r="B1426">
        <v>17.32</v>
      </c>
      <c r="C1426">
        <v>17.98</v>
      </c>
      <c r="D1426">
        <v>17.263000000000002</v>
      </c>
      <c r="E1426">
        <v>17.799999</v>
      </c>
      <c r="F1426">
        <v>17.360105999999998</v>
      </c>
      <c r="G1426">
        <v>3069400</v>
      </c>
      <c r="I1426">
        <f t="shared" si="23"/>
        <v>4.7726500167380816E-4</v>
      </c>
    </row>
    <row r="1427" spans="1:9" x14ac:dyDescent="0.3">
      <c r="A1427" s="5">
        <v>43707</v>
      </c>
      <c r="B1427">
        <v>17.940000999999999</v>
      </c>
      <c r="C1427">
        <v>18.170000000000002</v>
      </c>
      <c r="D1427">
        <v>17.709999</v>
      </c>
      <c r="E1427">
        <v>17.93</v>
      </c>
      <c r="F1427">
        <v>17.486892999999998</v>
      </c>
      <c r="G1427">
        <v>2095400</v>
      </c>
      <c r="I1427">
        <f t="shared" si="23"/>
        <v>3.2869035416292476E-4</v>
      </c>
    </row>
    <row r="1428" spans="1:9" x14ac:dyDescent="0.3">
      <c r="A1428" s="5">
        <v>43711</v>
      </c>
      <c r="B1428">
        <v>17.629999000000002</v>
      </c>
      <c r="C1428">
        <v>17.700001</v>
      </c>
      <c r="D1428">
        <v>17.09</v>
      </c>
      <c r="E1428">
        <v>17.610001</v>
      </c>
      <c r="F1428">
        <v>17.174803000000001</v>
      </c>
      <c r="G1428">
        <v>2604500</v>
      </c>
      <c r="I1428">
        <f t="shared" si="23"/>
        <v>9.526293580733072E-4</v>
      </c>
    </row>
    <row r="1429" spans="1:9" x14ac:dyDescent="0.3">
      <c r="A1429" s="5">
        <v>43712</v>
      </c>
      <c r="B1429">
        <v>18.02</v>
      </c>
      <c r="C1429">
        <v>18.389999</v>
      </c>
      <c r="D1429">
        <v>17.959999</v>
      </c>
      <c r="E1429">
        <v>18.280000999999999</v>
      </c>
      <c r="F1429">
        <v>17.828240999999998</v>
      </c>
      <c r="G1429">
        <v>2573200</v>
      </c>
      <c r="I1429">
        <f t="shared" si="23"/>
        <v>1.8083792856265354E-4</v>
      </c>
    </row>
    <row r="1430" spans="1:9" x14ac:dyDescent="0.3">
      <c r="A1430" s="5">
        <v>43713</v>
      </c>
      <c r="B1430">
        <v>18.709999</v>
      </c>
      <c r="C1430">
        <v>19.764999</v>
      </c>
      <c r="D1430">
        <v>18.700001</v>
      </c>
      <c r="E1430">
        <v>19.620000999999998</v>
      </c>
      <c r="F1430">
        <v>19.13513</v>
      </c>
      <c r="G1430">
        <v>5547200</v>
      </c>
      <c r="I1430">
        <f t="shared" si="23"/>
        <v>4.2957217213907353E-4</v>
      </c>
    </row>
    <row r="1431" spans="1:9" x14ac:dyDescent="0.3">
      <c r="A1431" s="5">
        <v>43714</v>
      </c>
      <c r="B1431">
        <v>19.52</v>
      </c>
      <c r="C1431">
        <v>19.639999</v>
      </c>
      <c r="D1431">
        <v>18.98</v>
      </c>
      <c r="E1431">
        <v>19.110001</v>
      </c>
      <c r="F1431">
        <v>18.637730000000001</v>
      </c>
      <c r="G1431">
        <v>2970600</v>
      </c>
      <c r="I1431">
        <f t="shared" si="23"/>
        <v>3.5915427358259341E-4</v>
      </c>
    </row>
    <row r="1432" spans="1:9" x14ac:dyDescent="0.3">
      <c r="A1432" s="5">
        <v>43717</v>
      </c>
      <c r="B1432">
        <v>19.27</v>
      </c>
      <c r="C1432">
        <v>20.420000000000002</v>
      </c>
      <c r="D1432">
        <v>19.27</v>
      </c>
      <c r="E1432">
        <v>20.299999</v>
      </c>
      <c r="F1432">
        <v>19.798323</v>
      </c>
      <c r="G1432">
        <v>4241600</v>
      </c>
      <c r="I1432">
        <f t="shared" si="23"/>
        <v>3.416462627744415E-4</v>
      </c>
    </row>
    <row r="1433" spans="1:9" x14ac:dyDescent="0.3">
      <c r="A1433" s="5">
        <v>43718</v>
      </c>
      <c r="B1433">
        <v>20.389999</v>
      </c>
      <c r="C1433">
        <v>20.889999</v>
      </c>
      <c r="D1433">
        <v>19.850000000000001</v>
      </c>
      <c r="E1433">
        <v>20.83</v>
      </c>
      <c r="F1433">
        <v>20.315221999999999</v>
      </c>
      <c r="G1433">
        <v>3213800</v>
      </c>
      <c r="I1433">
        <f t="shared" si="23"/>
        <v>1.3631322774804605E-3</v>
      </c>
    </row>
    <row r="1434" spans="1:9" x14ac:dyDescent="0.3">
      <c r="A1434" s="5">
        <v>43719</v>
      </c>
      <c r="B1434">
        <v>21.35</v>
      </c>
      <c r="C1434">
        <v>22.280000999999999</v>
      </c>
      <c r="D1434">
        <v>20.700001</v>
      </c>
      <c r="E1434">
        <v>22.18</v>
      </c>
      <c r="F1434">
        <v>21.631862999999999</v>
      </c>
      <c r="G1434">
        <v>6270100</v>
      </c>
      <c r="I1434">
        <f t="shared" si="23"/>
        <v>2.3269157728991541E-3</v>
      </c>
    </row>
    <row r="1435" spans="1:9" x14ac:dyDescent="0.3">
      <c r="A1435" s="5">
        <v>43720</v>
      </c>
      <c r="B1435">
        <v>22.030000999999999</v>
      </c>
      <c r="C1435">
        <v>22.82</v>
      </c>
      <c r="D1435">
        <v>21.379999000000002</v>
      </c>
      <c r="E1435">
        <v>22.559999000000001</v>
      </c>
      <c r="F1435">
        <v>22.002472000000001</v>
      </c>
      <c r="G1435">
        <v>5143800</v>
      </c>
      <c r="I1435">
        <f t="shared" si="23"/>
        <v>2.0126782556725478E-3</v>
      </c>
    </row>
    <row r="1436" spans="1:9" x14ac:dyDescent="0.3">
      <c r="A1436" s="5">
        <v>43721</v>
      </c>
      <c r="B1436">
        <v>22.950001</v>
      </c>
      <c r="C1436">
        <v>23.325001</v>
      </c>
      <c r="D1436">
        <v>22.700001</v>
      </c>
      <c r="E1436">
        <v>22.889999</v>
      </c>
      <c r="F1436">
        <v>22.324316</v>
      </c>
      <c r="G1436">
        <v>4218900</v>
      </c>
      <c r="I1436">
        <f t="shared" si="23"/>
        <v>3.9641803348514868E-4</v>
      </c>
    </row>
    <row r="1437" spans="1:9" x14ac:dyDescent="0.3">
      <c r="A1437" s="5">
        <v>43724</v>
      </c>
      <c r="B1437">
        <v>22.559999000000001</v>
      </c>
      <c r="C1437">
        <v>22.870000999999998</v>
      </c>
      <c r="D1437">
        <v>22.379999000000002</v>
      </c>
      <c r="E1437">
        <v>22.559999000000001</v>
      </c>
      <c r="F1437">
        <v>22.002472000000001</v>
      </c>
      <c r="G1437">
        <v>2866100</v>
      </c>
      <c r="I1437">
        <f t="shared" si="23"/>
        <v>2.5043058224108298E-4</v>
      </c>
    </row>
    <row r="1438" spans="1:9" x14ac:dyDescent="0.3">
      <c r="A1438" s="5">
        <v>43725</v>
      </c>
      <c r="B1438">
        <v>22</v>
      </c>
      <c r="C1438">
        <v>22.35</v>
      </c>
      <c r="D1438">
        <v>21.549999</v>
      </c>
      <c r="E1438">
        <v>22.030000999999999</v>
      </c>
      <c r="F1438">
        <v>21.485569000000002</v>
      </c>
      <c r="G1438">
        <v>3653900</v>
      </c>
      <c r="I1438">
        <f t="shared" si="23"/>
        <v>6.8289634535409157E-4</v>
      </c>
    </row>
    <row r="1439" spans="1:9" x14ac:dyDescent="0.3">
      <c r="A1439" s="5">
        <v>43726</v>
      </c>
      <c r="B1439">
        <v>21.790001</v>
      </c>
      <c r="C1439">
        <v>22</v>
      </c>
      <c r="D1439">
        <v>21.368998999999999</v>
      </c>
      <c r="E1439">
        <v>21.67</v>
      </c>
      <c r="F1439">
        <v>21.134467999999998</v>
      </c>
      <c r="G1439">
        <v>4159200</v>
      </c>
      <c r="I1439">
        <f t="shared" si="23"/>
        <v>4.1785621455022761E-4</v>
      </c>
    </row>
    <row r="1440" spans="1:9" x14ac:dyDescent="0.3">
      <c r="A1440" s="5">
        <v>43727</v>
      </c>
      <c r="B1440">
        <v>21.299999</v>
      </c>
      <c r="C1440">
        <v>22.209999</v>
      </c>
      <c r="D1440">
        <v>21.299999</v>
      </c>
      <c r="E1440">
        <v>21.940000999999999</v>
      </c>
      <c r="F1440">
        <v>21.397794999999999</v>
      </c>
      <c r="G1440">
        <v>2990600</v>
      </c>
      <c r="I1440">
        <f t="shared" si="23"/>
        <v>5.1169468931205962E-4</v>
      </c>
    </row>
    <row r="1441" spans="1:9" x14ac:dyDescent="0.3">
      <c r="A1441" s="5">
        <v>43728</v>
      </c>
      <c r="B1441">
        <v>22.040001</v>
      </c>
      <c r="C1441">
        <v>22.096001000000001</v>
      </c>
      <c r="D1441">
        <v>21.5</v>
      </c>
      <c r="E1441">
        <v>21.700001</v>
      </c>
      <c r="F1441">
        <v>21.163724999999999</v>
      </c>
      <c r="G1441">
        <v>5090200</v>
      </c>
      <c r="I1441">
        <f t="shared" si="23"/>
        <v>2.7557987563677248E-4</v>
      </c>
    </row>
    <row r="1442" spans="1:9" x14ac:dyDescent="0.3">
      <c r="A1442" s="5">
        <v>43731</v>
      </c>
      <c r="B1442">
        <v>20.66</v>
      </c>
      <c r="C1442">
        <v>21.707001000000002</v>
      </c>
      <c r="D1442">
        <v>20.440000999999999</v>
      </c>
      <c r="E1442">
        <v>21.299999</v>
      </c>
      <c r="F1442">
        <v>20.773606999999998</v>
      </c>
      <c r="G1442">
        <v>3529200</v>
      </c>
      <c r="I1442">
        <f t="shared" si="23"/>
        <v>1.3769174883957668E-3</v>
      </c>
    </row>
    <row r="1443" spans="1:9" x14ac:dyDescent="0.3">
      <c r="A1443" s="5">
        <v>43732</v>
      </c>
      <c r="B1443">
        <v>21.07</v>
      </c>
      <c r="C1443">
        <v>21.440000999999999</v>
      </c>
      <c r="D1443">
        <v>20.420000000000002</v>
      </c>
      <c r="E1443">
        <v>20.620000999999998</v>
      </c>
      <c r="F1443">
        <v>20.110413000000001</v>
      </c>
      <c r="G1443">
        <v>3718000</v>
      </c>
      <c r="I1443">
        <f t="shared" si="23"/>
        <v>9.8428065045301841E-4</v>
      </c>
    </row>
    <row r="1444" spans="1:9" x14ac:dyDescent="0.3">
      <c r="A1444" s="5">
        <v>43733</v>
      </c>
      <c r="B1444">
        <v>20.48</v>
      </c>
      <c r="C1444">
        <v>21.559999000000001</v>
      </c>
      <c r="D1444">
        <v>20.379999000000002</v>
      </c>
      <c r="E1444">
        <v>21.5</v>
      </c>
      <c r="F1444">
        <v>20.968664</v>
      </c>
      <c r="G1444">
        <v>3352100</v>
      </c>
      <c r="I1444">
        <f t="shared" si="23"/>
        <v>4.0508217467357679E-4</v>
      </c>
    </row>
    <row r="1445" spans="1:9" x14ac:dyDescent="0.3">
      <c r="A1445" s="5">
        <v>43734</v>
      </c>
      <c r="B1445">
        <v>21.190000999999999</v>
      </c>
      <c r="C1445">
        <v>21.23</v>
      </c>
      <c r="D1445">
        <v>20.59</v>
      </c>
      <c r="E1445">
        <v>20.99</v>
      </c>
      <c r="F1445">
        <v>20.471271999999999</v>
      </c>
      <c r="G1445">
        <v>2260200</v>
      </c>
      <c r="I1445">
        <f t="shared" si="23"/>
        <v>5.7410597483784249E-4</v>
      </c>
    </row>
    <row r="1446" spans="1:9" x14ac:dyDescent="0.3">
      <c r="A1446" s="5">
        <v>43735</v>
      </c>
      <c r="B1446">
        <v>21.08</v>
      </c>
      <c r="C1446">
        <v>21.23</v>
      </c>
      <c r="D1446">
        <v>20.43</v>
      </c>
      <c r="E1446">
        <v>20.610001</v>
      </c>
      <c r="F1446">
        <v>20.100662</v>
      </c>
      <c r="G1446">
        <v>3087400</v>
      </c>
      <c r="I1446">
        <f t="shared" si="23"/>
        <v>4.848985681064255E-4</v>
      </c>
    </row>
    <row r="1447" spans="1:9" x14ac:dyDescent="0.3">
      <c r="A1447" s="5">
        <v>43738</v>
      </c>
      <c r="B1447">
        <v>20.530000999999999</v>
      </c>
      <c r="C1447">
        <v>20.549999</v>
      </c>
      <c r="D1447">
        <v>19.950001</v>
      </c>
      <c r="E1447">
        <v>20.07</v>
      </c>
      <c r="F1447">
        <v>19.574009</v>
      </c>
      <c r="G1447">
        <v>3276600</v>
      </c>
      <c r="I1447">
        <f t="shared" si="23"/>
        <v>1.9487273396278095E-4</v>
      </c>
    </row>
    <row r="1448" spans="1:9" x14ac:dyDescent="0.3">
      <c r="A1448" s="5">
        <v>43739</v>
      </c>
      <c r="B1448">
        <v>20.190000999999999</v>
      </c>
      <c r="C1448">
        <v>20.870000999999998</v>
      </c>
      <c r="D1448">
        <v>19.700001</v>
      </c>
      <c r="E1448">
        <v>19.860001</v>
      </c>
      <c r="F1448">
        <v>19.369195999999999</v>
      </c>
      <c r="G1448">
        <v>3241700</v>
      </c>
      <c r="I1448">
        <f t="shared" si="23"/>
        <v>1.8419193952831077E-3</v>
      </c>
    </row>
    <row r="1449" spans="1:9" x14ac:dyDescent="0.3">
      <c r="A1449" s="5">
        <v>43740</v>
      </c>
      <c r="B1449">
        <v>19.420000000000002</v>
      </c>
      <c r="C1449">
        <v>19.549999</v>
      </c>
      <c r="D1449">
        <v>18.82</v>
      </c>
      <c r="E1449">
        <v>19.299999</v>
      </c>
      <c r="F1449">
        <v>18.823035999999998</v>
      </c>
      <c r="G1449">
        <v>3069500</v>
      </c>
      <c r="I1449">
        <f t="shared" si="23"/>
        <v>8.7625329362168774E-4</v>
      </c>
    </row>
    <row r="1450" spans="1:9" x14ac:dyDescent="0.3">
      <c r="A1450" s="5">
        <v>43741</v>
      </c>
      <c r="B1450">
        <v>19.129999000000002</v>
      </c>
      <c r="C1450">
        <v>19.34</v>
      </c>
      <c r="D1450">
        <v>18.68</v>
      </c>
      <c r="E1450">
        <v>19.049999</v>
      </c>
      <c r="F1450">
        <v>18.579214</v>
      </c>
      <c r="G1450">
        <v>3504800</v>
      </c>
      <c r="I1450">
        <f t="shared" si="23"/>
        <v>6.318386889576866E-4</v>
      </c>
    </row>
    <row r="1451" spans="1:9" x14ac:dyDescent="0.3">
      <c r="A1451" s="5">
        <v>43742</v>
      </c>
      <c r="B1451">
        <v>19.100000000000001</v>
      </c>
      <c r="C1451">
        <v>19.489999999999998</v>
      </c>
      <c r="D1451">
        <v>18.940000999999999</v>
      </c>
      <c r="E1451">
        <v>19.450001</v>
      </c>
      <c r="F1451">
        <v>18.969329999999999</v>
      </c>
      <c r="G1451">
        <v>2750900</v>
      </c>
      <c r="I1451">
        <f t="shared" si="23"/>
        <v>2.650460524436659E-4</v>
      </c>
    </row>
    <row r="1452" spans="1:9" x14ac:dyDescent="0.3">
      <c r="A1452" s="5">
        <v>43745</v>
      </c>
      <c r="B1452">
        <v>19.41</v>
      </c>
      <c r="C1452">
        <v>19.774999999999999</v>
      </c>
      <c r="D1452">
        <v>19.190000999999999</v>
      </c>
      <c r="E1452">
        <v>19.25</v>
      </c>
      <c r="F1452">
        <v>18.774270999999999</v>
      </c>
      <c r="G1452">
        <v>2624400</v>
      </c>
      <c r="I1452">
        <f t="shared" si="23"/>
        <v>5.368733336863999E-4</v>
      </c>
    </row>
    <row r="1453" spans="1:9" x14ac:dyDescent="0.3">
      <c r="A1453" s="5">
        <v>43746</v>
      </c>
      <c r="B1453">
        <v>18.899999999999999</v>
      </c>
      <c r="C1453">
        <v>19.010000000000002</v>
      </c>
      <c r="D1453">
        <v>18.469999000000001</v>
      </c>
      <c r="E1453">
        <v>18.489999999999998</v>
      </c>
      <c r="F1453">
        <v>18.033052000000001</v>
      </c>
      <c r="G1453">
        <v>3526900</v>
      </c>
      <c r="I1453">
        <f t="shared" si="23"/>
        <v>1.8586172362861816E-4</v>
      </c>
    </row>
    <row r="1454" spans="1:9" x14ac:dyDescent="0.3">
      <c r="A1454" s="5">
        <v>43747</v>
      </c>
      <c r="B1454">
        <v>18.75</v>
      </c>
      <c r="C1454">
        <v>18.82</v>
      </c>
      <c r="D1454">
        <v>18.186001000000001</v>
      </c>
      <c r="E1454">
        <v>18.41</v>
      </c>
      <c r="F1454">
        <v>17.955030000000001</v>
      </c>
      <c r="G1454">
        <v>3000400</v>
      </c>
      <c r="I1454">
        <f t="shared" si="23"/>
        <v>4.5596455766315589E-4</v>
      </c>
    </row>
    <row r="1455" spans="1:9" x14ac:dyDescent="0.3">
      <c r="A1455" s="5">
        <v>43748</v>
      </c>
      <c r="B1455">
        <v>18.639999</v>
      </c>
      <c r="C1455">
        <v>18.993998999999999</v>
      </c>
      <c r="D1455">
        <v>18.420000000000002</v>
      </c>
      <c r="E1455">
        <v>18.690000999999999</v>
      </c>
      <c r="F1455">
        <v>18.228113</v>
      </c>
      <c r="G1455">
        <v>3313500</v>
      </c>
      <c r="I1455">
        <f t="shared" si="23"/>
        <v>4.7630971236631644E-4</v>
      </c>
    </row>
    <row r="1456" spans="1:9" x14ac:dyDescent="0.3">
      <c r="A1456" s="5">
        <v>43749</v>
      </c>
      <c r="B1456">
        <v>19.16</v>
      </c>
      <c r="C1456">
        <v>19.5</v>
      </c>
      <c r="D1456">
        <v>18.969999000000001</v>
      </c>
      <c r="E1456">
        <v>19.280000999999999</v>
      </c>
      <c r="F1456">
        <v>18.803533999999999</v>
      </c>
      <c r="G1456">
        <v>5999800</v>
      </c>
      <c r="I1456">
        <f t="shared" si="23"/>
        <v>3.6112048842432988E-4</v>
      </c>
    </row>
    <row r="1457" spans="1:9" x14ac:dyDescent="0.3">
      <c r="A1457" s="5">
        <v>43752</v>
      </c>
      <c r="B1457">
        <v>19.02</v>
      </c>
      <c r="C1457">
        <v>19.440000999999999</v>
      </c>
      <c r="D1457">
        <v>18.780000999999999</v>
      </c>
      <c r="E1457">
        <v>19.170000000000002</v>
      </c>
      <c r="F1457">
        <v>18.696251</v>
      </c>
      <c r="G1457">
        <v>5806700</v>
      </c>
      <c r="I1457">
        <f t="shared" si="23"/>
        <v>5.6649169935671351E-4</v>
      </c>
    </row>
    <row r="1458" spans="1:9" x14ac:dyDescent="0.3">
      <c r="A1458" s="5">
        <v>43753</v>
      </c>
      <c r="B1458">
        <v>19.110001</v>
      </c>
      <c r="C1458">
        <v>19.812999999999999</v>
      </c>
      <c r="D1458">
        <v>18.960999999999999</v>
      </c>
      <c r="E1458">
        <v>19.459999</v>
      </c>
      <c r="F1458">
        <v>18.979081999999998</v>
      </c>
      <c r="G1458">
        <v>7569500</v>
      </c>
      <c r="I1458">
        <f t="shared" si="23"/>
        <v>8.5279035449060589E-4</v>
      </c>
    </row>
    <row r="1459" spans="1:9" x14ac:dyDescent="0.3">
      <c r="A1459" s="5">
        <v>43754</v>
      </c>
      <c r="B1459">
        <v>19.25</v>
      </c>
      <c r="C1459">
        <v>19.959999</v>
      </c>
      <c r="D1459">
        <v>19.16</v>
      </c>
      <c r="E1459">
        <v>19.16</v>
      </c>
      <c r="F1459">
        <v>18.686499000000001</v>
      </c>
      <c r="G1459">
        <v>7168000</v>
      </c>
      <c r="I1459">
        <f t="shared" si="23"/>
        <v>1.4815609767084084E-3</v>
      </c>
    </row>
    <row r="1460" spans="1:9" x14ac:dyDescent="0.3">
      <c r="A1460" s="5">
        <v>43755</v>
      </c>
      <c r="B1460">
        <v>20.549999</v>
      </c>
      <c r="C1460">
        <v>21.629999000000002</v>
      </c>
      <c r="D1460">
        <v>20.030000999999999</v>
      </c>
      <c r="E1460">
        <v>20.299999</v>
      </c>
      <c r="F1460">
        <v>19.798323</v>
      </c>
      <c r="G1460">
        <v>9109900</v>
      </c>
      <c r="I1460">
        <f t="shared" si="23"/>
        <v>3.5936308991509299E-3</v>
      </c>
    </row>
    <row r="1461" spans="1:9" x14ac:dyDescent="0.3">
      <c r="A1461" s="5">
        <v>43756</v>
      </c>
      <c r="B1461">
        <v>20.66</v>
      </c>
      <c r="C1461">
        <v>21.639999</v>
      </c>
      <c r="D1461">
        <v>20.34</v>
      </c>
      <c r="E1461">
        <v>21.540001</v>
      </c>
      <c r="F1461">
        <v>21.007679</v>
      </c>
      <c r="G1461">
        <v>6030900</v>
      </c>
      <c r="I1461">
        <f t="shared" si="23"/>
        <v>1.1094564858475096E-3</v>
      </c>
    </row>
    <row r="1462" spans="1:9" x14ac:dyDescent="0.3">
      <c r="A1462" s="5">
        <v>43759</v>
      </c>
      <c r="B1462">
        <v>21.57</v>
      </c>
      <c r="C1462">
        <v>21.66</v>
      </c>
      <c r="D1462">
        <v>20.450001</v>
      </c>
      <c r="E1462">
        <v>20.469999000000001</v>
      </c>
      <c r="F1462">
        <v>19.964123000000001</v>
      </c>
      <c r="G1462">
        <v>6187000</v>
      </c>
      <c r="I1462">
        <f t="shared" si="23"/>
        <v>2.8739884900360485E-4</v>
      </c>
    </row>
    <row r="1463" spans="1:9" x14ac:dyDescent="0.3">
      <c r="A1463" s="5">
        <v>43760</v>
      </c>
      <c r="B1463">
        <v>20.450001</v>
      </c>
      <c r="C1463">
        <v>21.030000999999999</v>
      </c>
      <c r="D1463">
        <v>19.920000000000002</v>
      </c>
      <c r="E1463">
        <v>20.73</v>
      </c>
      <c r="F1463">
        <v>20.217693000000001</v>
      </c>
      <c r="G1463">
        <v>4071100</v>
      </c>
      <c r="I1463">
        <f t="shared" si="23"/>
        <v>1.4484443606543806E-3</v>
      </c>
    </row>
    <row r="1464" spans="1:9" x14ac:dyDescent="0.3">
      <c r="A1464" s="5">
        <v>43761</v>
      </c>
      <c r="B1464">
        <v>20.809999000000001</v>
      </c>
      <c r="C1464">
        <v>21.389999</v>
      </c>
      <c r="D1464">
        <v>20.809999000000001</v>
      </c>
      <c r="E1464">
        <v>21.280000999999999</v>
      </c>
      <c r="F1464">
        <v>20.754103000000001</v>
      </c>
      <c r="G1464">
        <v>3167000</v>
      </c>
      <c r="I1464">
        <f t="shared" si="23"/>
        <v>1.4173137837329757E-4</v>
      </c>
    </row>
    <row r="1465" spans="1:9" x14ac:dyDescent="0.3">
      <c r="A1465" s="5">
        <v>43762</v>
      </c>
      <c r="B1465">
        <v>21.34</v>
      </c>
      <c r="C1465">
        <v>21.57</v>
      </c>
      <c r="D1465">
        <v>20.445</v>
      </c>
      <c r="E1465">
        <v>20.74</v>
      </c>
      <c r="F1465">
        <v>20.227447999999999</v>
      </c>
      <c r="G1465">
        <v>4190300</v>
      </c>
      <c r="I1465">
        <f t="shared" si="23"/>
        <v>1.034442712744408E-3</v>
      </c>
    </row>
    <row r="1466" spans="1:9" x14ac:dyDescent="0.3">
      <c r="A1466" s="5">
        <v>43763</v>
      </c>
      <c r="B1466">
        <v>20.68</v>
      </c>
      <c r="C1466">
        <v>21.200001</v>
      </c>
      <c r="D1466">
        <v>20.6</v>
      </c>
      <c r="E1466">
        <v>21.02</v>
      </c>
      <c r="F1466">
        <v>20.500530000000001</v>
      </c>
      <c r="G1466">
        <v>5924400</v>
      </c>
      <c r="I1466">
        <f t="shared" si="23"/>
        <v>2.8998755652428907E-4</v>
      </c>
    </row>
    <row r="1467" spans="1:9" x14ac:dyDescent="0.3">
      <c r="A1467" s="5">
        <v>43766</v>
      </c>
      <c r="B1467">
        <v>21.219999000000001</v>
      </c>
      <c r="C1467">
        <v>21.77</v>
      </c>
      <c r="D1467">
        <v>21.190000999999999</v>
      </c>
      <c r="E1467">
        <v>21.52</v>
      </c>
      <c r="F1467">
        <v>20.988174000000001</v>
      </c>
      <c r="G1467">
        <v>2825800</v>
      </c>
      <c r="I1467">
        <f t="shared" si="23"/>
        <v>3.174153858919056E-4</v>
      </c>
    </row>
    <row r="1468" spans="1:9" x14ac:dyDescent="0.3">
      <c r="A1468" s="5">
        <v>43767</v>
      </c>
      <c r="B1468">
        <v>21.450001</v>
      </c>
      <c r="C1468">
        <v>21.73</v>
      </c>
      <c r="D1468">
        <v>21.049999</v>
      </c>
      <c r="E1468">
        <v>21.6</v>
      </c>
      <c r="F1468">
        <v>21.066195</v>
      </c>
      <c r="G1468">
        <v>2443600</v>
      </c>
      <c r="I1468">
        <f t="shared" si="23"/>
        <v>5.6334916596306197E-4</v>
      </c>
    </row>
    <row r="1469" spans="1:9" x14ac:dyDescent="0.3">
      <c r="A1469" s="5">
        <v>43768</v>
      </c>
      <c r="B1469">
        <v>21.299999</v>
      </c>
      <c r="C1469">
        <v>21.344999000000001</v>
      </c>
      <c r="D1469">
        <v>20.774999999999999</v>
      </c>
      <c r="E1469">
        <v>21.290001</v>
      </c>
      <c r="F1469">
        <v>20.763859</v>
      </c>
      <c r="G1469">
        <v>3718500</v>
      </c>
      <c r="I1469">
        <f t="shared" si="23"/>
        <v>6.1656381051826989E-4</v>
      </c>
    </row>
    <row r="1470" spans="1:9" x14ac:dyDescent="0.3">
      <c r="A1470" s="5">
        <v>43769</v>
      </c>
      <c r="B1470">
        <v>20.940000999999999</v>
      </c>
      <c r="C1470">
        <v>21.299999</v>
      </c>
      <c r="D1470">
        <v>20.360001</v>
      </c>
      <c r="E1470">
        <v>20.790001</v>
      </c>
      <c r="F1470">
        <v>20.276218</v>
      </c>
      <c r="G1470">
        <v>5468700</v>
      </c>
      <c r="I1470">
        <f t="shared" si="23"/>
        <v>1.0001599889542627E-3</v>
      </c>
    </row>
    <row r="1471" spans="1:9" x14ac:dyDescent="0.3">
      <c r="A1471" s="5">
        <v>43770</v>
      </c>
      <c r="B1471">
        <v>21.030000999999999</v>
      </c>
      <c r="C1471">
        <v>22.059999000000001</v>
      </c>
      <c r="D1471">
        <v>21</v>
      </c>
      <c r="E1471">
        <v>21.870000999999998</v>
      </c>
      <c r="F1471">
        <v>21.329525</v>
      </c>
      <c r="G1471">
        <v>5474100</v>
      </c>
      <c r="I1471">
        <f t="shared" si="23"/>
        <v>4.7156319700940259E-4</v>
      </c>
    </row>
    <row r="1472" spans="1:9" x14ac:dyDescent="0.3">
      <c r="A1472" s="5">
        <v>43773</v>
      </c>
      <c r="B1472">
        <v>22.280000999999999</v>
      </c>
      <c r="C1472">
        <v>22.985001</v>
      </c>
      <c r="D1472">
        <v>22.02</v>
      </c>
      <c r="E1472">
        <v>22.91</v>
      </c>
      <c r="F1472">
        <v>22.343820999999998</v>
      </c>
      <c r="G1472">
        <v>3741000</v>
      </c>
      <c r="I1472">
        <f t="shared" si="23"/>
        <v>5.6691815191950911E-4</v>
      </c>
    </row>
    <row r="1473" spans="1:9" x14ac:dyDescent="0.3">
      <c r="A1473" s="5">
        <v>43774</v>
      </c>
      <c r="B1473">
        <v>23.200001</v>
      </c>
      <c r="C1473">
        <v>23.465</v>
      </c>
      <c r="D1473">
        <v>22.549999</v>
      </c>
      <c r="E1473">
        <v>22.59</v>
      </c>
      <c r="F1473">
        <v>22.031727</v>
      </c>
      <c r="G1473">
        <v>5205300</v>
      </c>
      <c r="I1473">
        <f t="shared" si="23"/>
        <v>4.8198382021977677E-4</v>
      </c>
    </row>
    <row r="1474" spans="1:9" x14ac:dyDescent="0.3">
      <c r="A1474" s="5">
        <v>43775</v>
      </c>
      <c r="B1474">
        <v>22.41</v>
      </c>
      <c r="C1474">
        <v>22.620000999999998</v>
      </c>
      <c r="D1474">
        <v>21.889999</v>
      </c>
      <c r="E1474">
        <v>21.9</v>
      </c>
      <c r="F1474">
        <v>21.358782000000001</v>
      </c>
      <c r="G1474">
        <v>2274000</v>
      </c>
      <c r="I1474">
        <f t="shared" si="23"/>
        <v>3.124398092944436E-4</v>
      </c>
    </row>
    <row r="1475" spans="1:9" x14ac:dyDescent="0.3">
      <c r="A1475" s="5">
        <v>43776</v>
      </c>
      <c r="B1475">
        <v>22.4</v>
      </c>
      <c r="C1475">
        <v>23.065000999999999</v>
      </c>
      <c r="D1475">
        <v>22.299999</v>
      </c>
      <c r="E1475">
        <v>22.559999000000001</v>
      </c>
      <c r="F1475">
        <v>22.002472000000001</v>
      </c>
      <c r="G1475">
        <v>2963600</v>
      </c>
      <c r="I1475">
        <f t="shared" si="23"/>
        <v>6.9952069037300694E-4</v>
      </c>
    </row>
    <row r="1476" spans="1:9" x14ac:dyDescent="0.3">
      <c r="A1476" s="5">
        <v>43777</v>
      </c>
      <c r="B1476">
        <v>22.379999000000002</v>
      </c>
      <c r="C1476">
        <v>22.950001</v>
      </c>
      <c r="D1476">
        <v>22.25</v>
      </c>
      <c r="E1476">
        <v>22.530000999999999</v>
      </c>
      <c r="F1476">
        <v>21.973215</v>
      </c>
      <c r="G1476">
        <v>4674800</v>
      </c>
      <c r="I1476">
        <f t="shared" si="23"/>
        <v>5.3738535523098897E-4</v>
      </c>
    </row>
    <row r="1477" spans="1:9" x14ac:dyDescent="0.3">
      <c r="A1477" s="5">
        <v>43780</v>
      </c>
      <c r="B1477">
        <v>22.15</v>
      </c>
      <c r="C1477">
        <v>22.309999000000001</v>
      </c>
      <c r="D1477">
        <v>21.684000000000001</v>
      </c>
      <c r="E1477">
        <v>22.219999000000001</v>
      </c>
      <c r="F1477">
        <v>21.670871999999999</v>
      </c>
      <c r="G1477">
        <v>3124800</v>
      </c>
      <c r="I1477">
        <f t="shared" si="23"/>
        <v>5.4829133909668336E-4</v>
      </c>
    </row>
    <row r="1478" spans="1:9" x14ac:dyDescent="0.3">
      <c r="A1478" s="5">
        <v>43781</v>
      </c>
      <c r="B1478">
        <v>22.33</v>
      </c>
      <c r="C1478">
        <v>23.02</v>
      </c>
      <c r="D1478">
        <v>22.059999000000001</v>
      </c>
      <c r="E1478">
        <v>22.18</v>
      </c>
      <c r="F1478">
        <v>21.631862999999999</v>
      </c>
      <c r="G1478">
        <v>3105100</v>
      </c>
      <c r="I1478">
        <f t="shared" si="23"/>
        <v>1.1972394872173076E-3</v>
      </c>
    </row>
    <row r="1479" spans="1:9" x14ac:dyDescent="0.3">
      <c r="A1479" s="5">
        <v>43782</v>
      </c>
      <c r="B1479">
        <v>21.530000999999999</v>
      </c>
      <c r="C1479">
        <v>21.82</v>
      </c>
      <c r="D1479">
        <v>20.98</v>
      </c>
      <c r="E1479">
        <v>21.219999000000001</v>
      </c>
      <c r="F1479">
        <v>20.695587</v>
      </c>
      <c r="G1479">
        <v>4458400</v>
      </c>
      <c r="I1479">
        <f t="shared" si="23"/>
        <v>6.6740868788283238E-4</v>
      </c>
    </row>
    <row r="1480" spans="1:9" x14ac:dyDescent="0.3">
      <c r="A1480" s="5">
        <v>43783</v>
      </c>
      <c r="B1480">
        <v>21.049999</v>
      </c>
      <c r="C1480">
        <v>21.4</v>
      </c>
      <c r="D1480">
        <v>20.709999</v>
      </c>
      <c r="E1480">
        <v>20.99</v>
      </c>
      <c r="F1480">
        <v>20.471271999999999</v>
      </c>
      <c r="G1480">
        <v>2919400</v>
      </c>
      <c r="I1480">
        <f t="shared" si="23"/>
        <v>5.3768802681249074E-4</v>
      </c>
    </row>
    <row r="1481" spans="1:9" x14ac:dyDescent="0.3">
      <c r="A1481" s="5">
        <v>43784</v>
      </c>
      <c r="B1481">
        <v>21</v>
      </c>
      <c r="C1481">
        <v>21.25</v>
      </c>
      <c r="D1481">
        <v>20.434999000000001</v>
      </c>
      <c r="E1481">
        <v>20.889999</v>
      </c>
      <c r="F1481">
        <v>20.373739</v>
      </c>
      <c r="G1481">
        <v>3289100</v>
      </c>
      <c r="I1481">
        <f t="shared" si="23"/>
        <v>8.0280730279127491E-4</v>
      </c>
    </row>
    <row r="1482" spans="1:9" x14ac:dyDescent="0.3">
      <c r="A1482" s="5">
        <v>43787</v>
      </c>
      <c r="B1482">
        <v>20.620000999999998</v>
      </c>
      <c r="C1482">
        <v>20.82</v>
      </c>
      <c r="D1482">
        <v>20</v>
      </c>
      <c r="E1482">
        <v>20.76</v>
      </c>
      <c r="F1482">
        <v>20.246956000000001</v>
      </c>
      <c r="G1482">
        <v>3616500</v>
      </c>
      <c r="I1482">
        <f t="shared" si="23"/>
        <v>1.1664697344750509E-3</v>
      </c>
    </row>
    <row r="1483" spans="1:9" x14ac:dyDescent="0.3">
      <c r="A1483" s="5">
        <v>43788</v>
      </c>
      <c r="B1483">
        <v>21.030000999999999</v>
      </c>
      <c r="C1483">
        <v>21.032</v>
      </c>
      <c r="D1483">
        <v>20.440000999999999</v>
      </c>
      <c r="E1483">
        <v>20.57</v>
      </c>
      <c r="F1483">
        <v>20.061648999999999</v>
      </c>
      <c r="G1483">
        <v>2341100</v>
      </c>
      <c r="I1483">
        <f t="shared" si="23"/>
        <v>1.8252050238665057E-4</v>
      </c>
    </row>
    <row r="1484" spans="1:9" x14ac:dyDescent="0.3">
      <c r="A1484" s="5">
        <v>43789</v>
      </c>
      <c r="B1484">
        <v>20.399999999999999</v>
      </c>
      <c r="C1484">
        <v>20.98</v>
      </c>
      <c r="D1484">
        <v>20.23</v>
      </c>
      <c r="E1484">
        <v>20.370000999999998</v>
      </c>
      <c r="F1484">
        <v>19.866593999999999</v>
      </c>
      <c r="G1484">
        <v>2526000</v>
      </c>
      <c r="I1484">
        <f t="shared" ref="I1484:I1547" si="24">LN(C1484/B1484)*(LN(C1484/B1484)-LN(E1484/B1484))+LN(D1484/B1484)*(LN(D1484/B1484)-LN(E1484/B1484))</f>
        <v>8.8491370002897649E-4</v>
      </c>
    </row>
    <row r="1485" spans="1:9" x14ac:dyDescent="0.3">
      <c r="A1485" s="5">
        <v>43790</v>
      </c>
      <c r="B1485">
        <v>20.43</v>
      </c>
      <c r="C1485">
        <v>20.700001</v>
      </c>
      <c r="D1485">
        <v>20.105</v>
      </c>
      <c r="E1485">
        <v>20.149999999999999</v>
      </c>
      <c r="F1485">
        <v>19.652032999999999</v>
      </c>
      <c r="G1485">
        <v>2470200</v>
      </c>
      <c r="I1485">
        <f t="shared" si="24"/>
        <v>3.8941819369588311E-4</v>
      </c>
    </row>
    <row r="1486" spans="1:9" x14ac:dyDescent="0.3">
      <c r="A1486" s="5">
        <v>43791</v>
      </c>
      <c r="B1486">
        <v>20.389999</v>
      </c>
      <c r="C1486">
        <v>20.945</v>
      </c>
      <c r="D1486">
        <v>20.389999</v>
      </c>
      <c r="E1486">
        <v>20.559999000000001</v>
      </c>
      <c r="F1486">
        <v>20.051898999999999</v>
      </c>
      <c r="G1486">
        <v>4420100</v>
      </c>
      <c r="I1486">
        <f t="shared" si="24"/>
        <v>4.9823683545662022E-4</v>
      </c>
    </row>
    <row r="1487" spans="1:9" x14ac:dyDescent="0.3">
      <c r="A1487" s="5">
        <v>43794</v>
      </c>
      <c r="B1487">
        <v>20.75</v>
      </c>
      <c r="C1487">
        <v>20.9</v>
      </c>
      <c r="D1487">
        <v>20.399999999999999</v>
      </c>
      <c r="E1487">
        <v>20.440000999999999</v>
      </c>
      <c r="F1487">
        <v>19.93486</v>
      </c>
      <c r="G1487">
        <v>2775200</v>
      </c>
      <c r="I1487">
        <f t="shared" si="24"/>
        <v>1.9362704947649008E-4</v>
      </c>
    </row>
    <row r="1488" spans="1:9" x14ac:dyDescent="0.3">
      <c r="A1488" s="5">
        <v>43795</v>
      </c>
      <c r="B1488">
        <v>20.41</v>
      </c>
      <c r="C1488">
        <v>20.51</v>
      </c>
      <c r="D1488">
        <v>20.139999</v>
      </c>
      <c r="E1488">
        <v>20.260000000000002</v>
      </c>
      <c r="F1488">
        <v>19.759312000000001</v>
      </c>
      <c r="G1488">
        <v>2739500</v>
      </c>
      <c r="I1488">
        <f t="shared" si="24"/>
        <v>1.3905443819502589E-4</v>
      </c>
    </row>
    <row r="1489" spans="1:9" x14ac:dyDescent="0.3">
      <c r="A1489" s="5">
        <v>43796</v>
      </c>
      <c r="B1489">
        <v>20.290001</v>
      </c>
      <c r="C1489">
        <v>20.6</v>
      </c>
      <c r="D1489">
        <v>20.18</v>
      </c>
      <c r="E1489">
        <v>20.6</v>
      </c>
      <c r="F1489">
        <v>20.090911999999999</v>
      </c>
      <c r="G1489">
        <v>2292600</v>
      </c>
      <c r="I1489">
        <f t="shared" si="24"/>
        <v>1.1198037158397544E-4</v>
      </c>
    </row>
    <row r="1490" spans="1:9" x14ac:dyDescent="0.3">
      <c r="A1490" s="5">
        <v>43798</v>
      </c>
      <c r="B1490">
        <v>20.43</v>
      </c>
      <c r="C1490">
        <v>20.469999000000001</v>
      </c>
      <c r="D1490">
        <v>20.158000999999999</v>
      </c>
      <c r="E1490">
        <v>20.350000000000001</v>
      </c>
      <c r="F1490">
        <v>19.847092</v>
      </c>
      <c r="G1490">
        <v>1223300</v>
      </c>
      <c r="I1490">
        <f t="shared" si="24"/>
        <v>1.3855653369803416E-4</v>
      </c>
    </row>
    <row r="1491" spans="1:9" x14ac:dyDescent="0.3">
      <c r="A1491" s="5">
        <v>43801</v>
      </c>
      <c r="B1491">
        <v>20.469999000000001</v>
      </c>
      <c r="C1491">
        <v>20.959999</v>
      </c>
      <c r="D1491">
        <v>20.329999999999998</v>
      </c>
      <c r="E1491">
        <v>20.329999999999998</v>
      </c>
      <c r="F1491">
        <v>19.827579</v>
      </c>
      <c r="G1491">
        <v>2589100</v>
      </c>
      <c r="I1491">
        <f t="shared" si="24"/>
        <v>7.2192171144169629E-4</v>
      </c>
    </row>
    <row r="1492" spans="1:9" x14ac:dyDescent="0.3">
      <c r="A1492" s="5">
        <v>43802</v>
      </c>
      <c r="B1492">
        <v>19.969999000000001</v>
      </c>
      <c r="C1492">
        <v>20.010000000000002</v>
      </c>
      <c r="D1492">
        <v>19.52</v>
      </c>
      <c r="E1492">
        <v>19.790001</v>
      </c>
      <c r="F1492">
        <v>19.300926</v>
      </c>
      <c r="G1492">
        <v>3053700</v>
      </c>
      <c r="I1492">
        <f t="shared" si="24"/>
        <v>3.3521458199742266E-4</v>
      </c>
    </row>
    <row r="1493" spans="1:9" x14ac:dyDescent="0.3">
      <c r="A1493" s="5">
        <v>43803</v>
      </c>
      <c r="B1493">
        <v>19.969999000000001</v>
      </c>
      <c r="C1493">
        <v>20.149999999999999</v>
      </c>
      <c r="D1493">
        <v>19.760000000000002</v>
      </c>
      <c r="E1493">
        <v>19.760000000000002</v>
      </c>
      <c r="F1493">
        <v>19.271666</v>
      </c>
      <c r="G1493">
        <v>4574700</v>
      </c>
      <c r="I1493">
        <f t="shared" si="24"/>
        <v>1.7537739436399743E-4</v>
      </c>
    </row>
    <row r="1494" spans="1:9" x14ac:dyDescent="0.3">
      <c r="A1494" s="5">
        <v>43804</v>
      </c>
      <c r="B1494">
        <v>19.860001</v>
      </c>
      <c r="C1494">
        <v>20.010000000000002</v>
      </c>
      <c r="D1494">
        <v>19.75</v>
      </c>
      <c r="E1494">
        <v>19.870000999999998</v>
      </c>
      <c r="F1494">
        <v>19.37895</v>
      </c>
      <c r="G1494">
        <v>4065900</v>
      </c>
      <c r="I1494">
        <f t="shared" si="24"/>
        <v>8.6474719422803881E-5</v>
      </c>
    </row>
    <row r="1495" spans="1:9" x14ac:dyDescent="0.3">
      <c r="A1495" s="5">
        <v>43805</v>
      </c>
      <c r="B1495">
        <v>20.129999000000002</v>
      </c>
      <c r="C1495">
        <v>20.9</v>
      </c>
      <c r="D1495">
        <v>20.059999000000001</v>
      </c>
      <c r="E1495">
        <v>20.6</v>
      </c>
      <c r="F1495">
        <v>20.090911999999999</v>
      </c>
      <c r="G1495">
        <v>5271100</v>
      </c>
      <c r="I1495">
        <f t="shared" si="24"/>
        <v>6.3525934922018543E-4</v>
      </c>
    </row>
    <row r="1496" spans="1:9" x14ac:dyDescent="0.3">
      <c r="A1496" s="5">
        <v>43808</v>
      </c>
      <c r="B1496">
        <v>20.67</v>
      </c>
      <c r="C1496">
        <v>20.809999000000001</v>
      </c>
      <c r="D1496">
        <v>20.120000999999998</v>
      </c>
      <c r="E1496">
        <v>20.25</v>
      </c>
      <c r="F1496">
        <v>19.749559000000001</v>
      </c>
      <c r="G1496">
        <v>5420600</v>
      </c>
      <c r="I1496">
        <f t="shared" si="24"/>
        <v>3.5782883019320837E-4</v>
      </c>
    </row>
    <row r="1497" spans="1:9" x14ac:dyDescent="0.3">
      <c r="A1497" s="5">
        <v>43809</v>
      </c>
      <c r="B1497">
        <v>20.219999000000001</v>
      </c>
      <c r="C1497">
        <v>20.719999000000001</v>
      </c>
      <c r="D1497">
        <v>20.190000999999999</v>
      </c>
      <c r="E1497">
        <v>20.65</v>
      </c>
      <c r="F1497">
        <v>20.139671</v>
      </c>
      <c r="G1497">
        <v>3175800</v>
      </c>
      <c r="I1497">
        <f t="shared" si="24"/>
        <v>1.1610955752547565E-4</v>
      </c>
    </row>
    <row r="1498" spans="1:9" x14ac:dyDescent="0.3">
      <c r="A1498" s="5">
        <v>43810</v>
      </c>
      <c r="B1498">
        <v>20.549999</v>
      </c>
      <c r="C1498">
        <v>20.92</v>
      </c>
      <c r="D1498">
        <v>20.459999</v>
      </c>
      <c r="E1498">
        <v>20.65</v>
      </c>
      <c r="F1498">
        <v>20.139671</v>
      </c>
      <c r="G1498">
        <v>2535400</v>
      </c>
      <c r="I1498">
        <f t="shared" si="24"/>
        <v>2.7238083316340244E-4</v>
      </c>
    </row>
    <row r="1499" spans="1:9" x14ac:dyDescent="0.3">
      <c r="A1499" s="5">
        <v>43811</v>
      </c>
      <c r="B1499">
        <v>20.399999999999999</v>
      </c>
      <c r="C1499">
        <v>21.34</v>
      </c>
      <c r="D1499">
        <v>20.309999000000001</v>
      </c>
      <c r="E1499">
        <v>21.26</v>
      </c>
      <c r="F1499">
        <v>20.734597999999998</v>
      </c>
      <c r="G1499">
        <v>3444100</v>
      </c>
      <c r="I1499">
        <f t="shared" si="24"/>
        <v>3.7132392326973758E-4</v>
      </c>
    </row>
    <row r="1500" spans="1:9" x14ac:dyDescent="0.3">
      <c r="A1500" s="5">
        <v>43812</v>
      </c>
      <c r="B1500">
        <v>21.42</v>
      </c>
      <c r="C1500">
        <v>21.59</v>
      </c>
      <c r="D1500">
        <v>20.59</v>
      </c>
      <c r="E1500">
        <v>20.690000999999999</v>
      </c>
      <c r="F1500">
        <v>20.178685999999999</v>
      </c>
      <c r="G1500">
        <v>4333800</v>
      </c>
      <c r="I1500">
        <f t="shared" si="24"/>
        <v>5.2807315037326299E-4</v>
      </c>
    </row>
    <row r="1501" spans="1:9" x14ac:dyDescent="0.3">
      <c r="A1501" s="5">
        <v>43815</v>
      </c>
      <c r="B1501">
        <v>20.99</v>
      </c>
      <c r="C1501">
        <v>21.395</v>
      </c>
      <c r="D1501">
        <v>20.879999000000002</v>
      </c>
      <c r="E1501">
        <v>20.98</v>
      </c>
      <c r="F1501">
        <v>20.461517000000001</v>
      </c>
      <c r="G1501">
        <v>3211800</v>
      </c>
      <c r="I1501">
        <f t="shared" si="24"/>
        <v>3.9944681609332066E-4</v>
      </c>
    </row>
    <row r="1502" spans="1:9" x14ac:dyDescent="0.3">
      <c r="A1502" s="5">
        <v>43816</v>
      </c>
      <c r="B1502">
        <v>20.82</v>
      </c>
      <c r="C1502">
        <v>20.945</v>
      </c>
      <c r="D1502">
        <v>20.52</v>
      </c>
      <c r="E1502">
        <v>20.709999</v>
      </c>
      <c r="F1502">
        <v>20.198191000000001</v>
      </c>
      <c r="G1502">
        <v>3504000</v>
      </c>
      <c r="I1502">
        <f t="shared" si="24"/>
        <v>2.0131099621294125E-4</v>
      </c>
    </row>
    <row r="1503" spans="1:9" x14ac:dyDescent="0.3">
      <c r="A1503" s="5">
        <v>43817</v>
      </c>
      <c r="B1503">
        <v>20.6</v>
      </c>
      <c r="C1503">
        <v>21.035</v>
      </c>
      <c r="D1503">
        <v>20.5</v>
      </c>
      <c r="E1503">
        <v>20.950001</v>
      </c>
      <c r="F1503">
        <v>20.432261</v>
      </c>
      <c r="G1503">
        <v>5129800</v>
      </c>
      <c r="I1503">
        <f t="shared" si="24"/>
        <v>1.9027448737753513E-4</v>
      </c>
    </row>
    <row r="1504" spans="1:9" x14ac:dyDescent="0.3">
      <c r="A1504" s="5">
        <v>43818</v>
      </c>
      <c r="B1504">
        <v>21.1</v>
      </c>
      <c r="C1504">
        <v>21.665001</v>
      </c>
      <c r="D1504">
        <v>21</v>
      </c>
      <c r="E1504">
        <v>21.469999000000001</v>
      </c>
      <c r="F1504">
        <v>20.939409000000001</v>
      </c>
      <c r="G1504">
        <v>4766900</v>
      </c>
      <c r="I1504">
        <f t="shared" si="24"/>
        <v>3.4407358765480944E-4</v>
      </c>
    </row>
    <row r="1505" spans="1:9" x14ac:dyDescent="0.3">
      <c r="A1505" s="5">
        <v>43819</v>
      </c>
      <c r="B1505">
        <v>21.58</v>
      </c>
      <c r="C1505">
        <v>21.65</v>
      </c>
      <c r="D1505">
        <v>20.98</v>
      </c>
      <c r="E1505">
        <v>21.23</v>
      </c>
      <c r="F1505">
        <v>20.705338999999999</v>
      </c>
      <c r="G1505">
        <v>5139800</v>
      </c>
      <c r="I1505">
        <f t="shared" si="24"/>
        <v>3.9745935011963914E-4</v>
      </c>
    </row>
    <row r="1506" spans="1:9" x14ac:dyDescent="0.3">
      <c r="A1506" s="5">
        <v>43822</v>
      </c>
      <c r="B1506">
        <v>21.299999</v>
      </c>
      <c r="C1506">
        <v>21.549999</v>
      </c>
      <c r="D1506">
        <v>21.26</v>
      </c>
      <c r="E1506">
        <v>21.48</v>
      </c>
      <c r="F1506">
        <v>20.949159999999999</v>
      </c>
      <c r="G1506">
        <v>2262200</v>
      </c>
      <c r="I1506">
        <f t="shared" si="24"/>
        <v>5.731509774053656E-5</v>
      </c>
    </row>
    <row r="1507" spans="1:9" x14ac:dyDescent="0.3">
      <c r="A1507" s="5">
        <v>43823</v>
      </c>
      <c r="B1507">
        <v>21.610001</v>
      </c>
      <c r="C1507">
        <v>21.92</v>
      </c>
      <c r="D1507">
        <v>21.469999000000001</v>
      </c>
      <c r="E1507">
        <v>21.58</v>
      </c>
      <c r="F1507">
        <v>21.046690000000002</v>
      </c>
      <c r="G1507">
        <v>1092200</v>
      </c>
      <c r="I1507">
        <f t="shared" si="24"/>
        <v>2.5587334725725246E-4</v>
      </c>
    </row>
    <row r="1508" spans="1:9" x14ac:dyDescent="0.3">
      <c r="A1508" s="5">
        <v>43825</v>
      </c>
      <c r="B1508">
        <v>21.5</v>
      </c>
      <c r="C1508">
        <v>21.700001</v>
      </c>
      <c r="D1508">
        <v>21.245000999999998</v>
      </c>
      <c r="E1508">
        <v>21.450001</v>
      </c>
      <c r="F1508">
        <v>20.919903000000001</v>
      </c>
      <c r="G1508">
        <v>4729200</v>
      </c>
      <c r="I1508">
        <f t="shared" si="24"/>
        <v>2.2187129315941512E-4</v>
      </c>
    </row>
    <row r="1509" spans="1:9" x14ac:dyDescent="0.3">
      <c r="A1509" s="5">
        <v>43826</v>
      </c>
      <c r="B1509">
        <v>21.41</v>
      </c>
      <c r="C1509">
        <v>21.780000999999999</v>
      </c>
      <c r="D1509">
        <v>21.33</v>
      </c>
      <c r="E1509">
        <v>21.58</v>
      </c>
      <c r="F1509">
        <v>21.046690000000002</v>
      </c>
      <c r="G1509">
        <v>2455000</v>
      </c>
      <c r="I1509">
        <f t="shared" si="24"/>
        <v>2.0168687815505591E-4</v>
      </c>
    </row>
    <row r="1510" spans="1:9" x14ac:dyDescent="0.3">
      <c r="A1510" s="5">
        <v>43829</v>
      </c>
      <c r="B1510">
        <v>21.700001</v>
      </c>
      <c r="C1510">
        <v>21.700001</v>
      </c>
      <c r="D1510">
        <v>21.299999</v>
      </c>
      <c r="E1510">
        <v>21.34</v>
      </c>
      <c r="F1510">
        <v>20.812618000000001</v>
      </c>
      <c r="G1510">
        <v>2299200</v>
      </c>
      <c r="I1510">
        <f t="shared" si="24"/>
        <v>3.4907602042599269E-5</v>
      </c>
    </row>
    <row r="1511" spans="1:9" x14ac:dyDescent="0.3">
      <c r="A1511" s="5">
        <v>43830</v>
      </c>
      <c r="B1511">
        <v>21.370000999999998</v>
      </c>
      <c r="C1511">
        <v>21.67</v>
      </c>
      <c r="D1511">
        <v>21.26</v>
      </c>
      <c r="E1511">
        <v>21.51</v>
      </c>
      <c r="F1511">
        <v>20.978424</v>
      </c>
      <c r="G1511">
        <v>2288500</v>
      </c>
      <c r="I1511">
        <f t="shared" si="24"/>
        <v>1.6364477441439828E-4</v>
      </c>
    </row>
    <row r="1512" spans="1:9" x14ac:dyDescent="0.3">
      <c r="A1512" s="5">
        <v>43832</v>
      </c>
      <c r="B1512">
        <v>21.860001</v>
      </c>
      <c r="C1512">
        <v>21.860001</v>
      </c>
      <c r="D1512">
        <v>21.315000999999999</v>
      </c>
      <c r="E1512">
        <v>21.42</v>
      </c>
      <c r="F1512">
        <v>20.890647999999999</v>
      </c>
      <c r="G1512">
        <v>3062500</v>
      </c>
      <c r="I1512">
        <f t="shared" si="24"/>
        <v>1.2406506694275947E-4</v>
      </c>
    </row>
    <row r="1513" spans="1:9" x14ac:dyDescent="0.3">
      <c r="A1513" s="5">
        <v>43833</v>
      </c>
      <c r="B1513">
        <v>21.17</v>
      </c>
      <c r="C1513">
        <v>21.610001</v>
      </c>
      <c r="D1513">
        <v>21.15</v>
      </c>
      <c r="E1513">
        <v>21.5</v>
      </c>
      <c r="F1513">
        <v>20.968664</v>
      </c>
      <c r="G1513">
        <v>3011800</v>
      </c>
      <c r="I1513">
        <f t="shared" si="24"/>
        <v>1.2049354054551768E-4</v>
      </c>
    </row>
    <row r="1514" spans="1:9" x14ac:dyDescent="0.3">
      <c r="A1514" s="5">
        <v>43836</v>
      </c>
      <c r="B1514">
        <v>21.34</v>
      </c>
      <c r="C1514">
        <v>21.450001</v>
      </c>
      <c r="D1514">
        <v>20.9</v>
      </c>
      <c r="E1514">
        <v>21</v>
      </c>
      <c r="F1514">
        <v>20.481021999999999</v>
      </c>
      <c r="G1514">
        <v>3060400</v>
      </c>
      <c r="I1514">
        <f t="shared" si="24"/>
        <v>2.0845715230928446E-4</v>
      </c>
    </row>
    <row r="1515" spans="1:9" x14ac:dyDescent="0.3">
      <c r="A1515" s="5">
        <v>43837</v>
      </c>
      <c r="B1515">
        <v>21.059999000000001</v>
      </c>
      <c r="C1515">
        <v>21.545000000000002</v>
      </c>
      <c r="D1515">
        <v>20.99</v>
      </c>
      <c r="E1515">
        <v>21.32</v>
      </c>
      <c r="F1515">
        <v>20.793118</v>
      </c>
      <c r="G1515">
        <v>4986900</v>
      </c>
      <c r="I1515">
        <f t="shared" si="24"/>
        <v>2.9096134511096222E-4</v>
      </c>
    </row>
    <row r="1516" spans="1:9" x14ac:dyDescent="0.3">
      <c r="A1516" s="5">
        <v>43838</v>
      </c>
      <c r="B1516">
        <v>21.299999</v>
      </c>
      <c r="C1516">
        <v>21.389999</v>
      </c>
      <c r="D1516">
        <v>20.399999999999999</v>
      </c>
      <c r="E1516">
        <v>20.459999</v>
      </c>
      <c r="F1516">
        <v>19.954367000000001</v>
      </c>
      <c r="G1516">
        <v>3706300</v>
      </c>
      <c r="I1516">
        <f t="shared" si="24"/>
        <v>3.1421703148197489E-4</v>
      </c>
    </row>
    <row r="1517" spans="1:9" x14ac:dyDescent="0.3">
      <c r="A1517" s="5">
        <v>43839</v>
      </c>
      <c r="B1517">
        <v>20.459999</v>
      </c>
      <c r="C1517">
        <v>20.52</v>
      </c>
      <c r="D1517">
        <v>19.73</v>
      </c>
      <c r="E1517">
        <v>19.809999000000001</v>
      </c>
      <c r="F1517">
        <v>19.320433000000001</v>
      </c>
      <c r="G1517">
        <v>5700700</v>
      </c>
      <c r="I1517">
        <f t="shared" si="24"/>
        <v>2.5012976780445497E-4</v>
      </c>
    </row>
    <row r="1518" spans="1:9" x14ac:dyDescent="0.3">
      <c r="A1518" s="5">
        <v>43840</v>
      </c>
      <c r="B1518">
        <v>19.899999999999999</v>
      </c>
      <c r="C1518">
        <v>19.940000999999999</v>
      </c>
      <c r="D1518">
        <v>19.34</v>
      </c>
      <c r="E1518">
        <v>19.450001</v>
      </c>
      <c r="F1518">
        <v>18.969329999999999</v>
      </c>
      <c r="G1518">
        <v>5059200</v>
      </c>
      <c r="I1518">
        <f t="shared" si="24"/>
        <v>2.1185491496586892E-4</v>
      </c>
    </row>
    <row r="1519" spans="1:9" x14ac:dyDescent="0.3">
      <c r="A1519" s="5">
        <v>43843</v>
      </c>
      <c r="B1519">
        <v>19.389999</v>
      </c>
      <c r="C1519">
        <v>19.860001</v>
      </c>
      <c r="D1519">
        <v>19.149999999999999</v>
      </c>
      <c r="E1519">
        <v>19.610001</v>
      </c>
      <c r="F1519">
        <v>19.125375999999999</v>
      </c>
      <c r="G1519">
        <v>6202700</v>
      </c>
      <c r="I1519">
        <f t="shared" si="24"/>
        <v>5.9903967404048163E-4</v>
      </c>
    </row>
    <row r="1520" spans="1:9" x14ac:dyDescent="0.3">
      <c r="A1520" s="5">
        <v>43844</v>
      </c>
      <c r="B1520">
        <v>19.73</v>
      </c>
      <c r="C1520">
        <v>20.540001</v>
      </c>
      <c r="D1520">
        <v>19.68</v>
      </c>
      <c r="E1520">
        <v>20.370000999999998</v>
      </c>
      <c r="F1520">
        <v>19.866593999999999</v>
      </c>
      <c r="G1520">
        <v>4218800</v>
      </c>
      <c r="I1520">
        <f t="shared" si="24"/>
        <v>4.2182393332074132E-4</v>
      </c>
    </row>
    <row r="1521" spans="1:9" x14ac:dyDescent="0.3">
      <c r="A1521" s="5">
        <v>43845</v>
      </c>
      <c r="B1521">
        <v>20.329999999999998</v>
      </c>
      <c r="C1521">
        <v>20.48</v>
      </c>
      <c r="D1521">
        <v>20.045000000000002</v>
      </c>
      <c r="E1521">
        <v>20.18</v>
      </c>
      <c r="F1521">
        <v>19.681291999999999</v>
      </c>
      <c r="G1521">
        <v>5699400</v>
      </c>
      <c r="I1521">
        <f t="shared" si="24"/>
        <v>2.0324269060529852E-4</v>
      </c>
    </row>
    <row r="1522" spans="1:9" x14ac:dyDescent="0.3">
      <c r="A1522" s="5">
        <v>43846</v>
      </c>
      <c r="B1522">
        <v>19.420000000000002</v>
      </c>
      <c r="C1522">
        <v>19.610001</v>
      </c>
      <c r="D1522">
        <v>17.73</v>
      </c>
      <c r="E1522">
        <v>17.780000999999999</v>
      </c>
      <c r="F1522">
        <v>17.340600999999999</v>
      </c>
      <c r="G1522">
        <v>21993400</v>
      </c>
      <c r="I1522">
        <f t="shared" si="24"/>
        <v>1.2102123720962514E-3</v>
      </c>
    </row>
    <row r="1523" spans="1:9" x14ac:dyDescent="0.3">
      <c r="A1523" s="5">
        <v>43847</v>
      </c>
      <c r="B1523">
        <v>18.059999000000001</v>
      </c>
      <c r="C1523">
        <v>18.25</v>
      </c>
      <c r="D1523">
        <v>17.510000000000002</v>
      </c>
      <c r="E1523">
        <v>17.690000999999999</v>
      </c>
      <c r="F1523">
        <v>17.252825000000001</v>
      </c>
      <c r="G1523">
        <v>9067000</v>
      </c>
      <c r="I1523">
        <f t="shared" si="24"/>
        <v>6.4247233577132096E-4</v>
      </c>
    </row>
    <row r="1524" spans="1:9" x14ac:dyDescent="0.3">
      <c r="A1524" s="5">
        <v>43851</v>
      </c>
      <c r="B1524">
        <v>17.579999999999998</v>
      </c>
      <c r="C1524">
        <v>17.620000999999998</v>
      </c>
      <c r="D1524">
        <v>17.100000000000001</v>
      </c>
      <c r="E1524">
        <v>17.120000999999998</v>
      </c>
      <c r="F1524">
        <v>16.696915000000001</v>
      </c>
      <c r="G1524">
        <v>6603300</v>
      </c>
      <c r="I1524">
        <f t="shared" si="24"/>
        <v>9.778820223714529E-5</v>
      </c>
    </row>
    <row r="1525" spans="1:9" x14ac:dyDescent="0.3">
      <c r="A1525" s="5">
        <v>43852</v>
      </c>
      <c r="B1525">
        <v>17.07</v>
      </c>
      <c r="C1525">
        <v>17.120000999999998</v>
      </c>
      <c r="D1525">
        <v>16.5</v>
      </c>
      <c r="E1525">
        <v>16.59</v>
      </c>
      <c r="F1525">
        <v>16.180008000000001</v>
      </c>
      <c r="G1525">
        <v>12843100</v>
      </c>
      <c r="I1525">
        <f t="shared" si="24"/>
        <v>2.7672476972623176E-4</v>
      </c>
    </row>
    <row r="1526" spans="1:9" x14ac:dyDescent="0.3">
      <c r="A1526" s="5">
        <v>43853</v>
      </c>
      <c r="B1526">
        <v>16.370000999999998</v>
      </c>
      <c r="C1526">
        <v>16.41</v>
      </c>
      <c r="D1526">
        <v>15.94</v>
      </c>
      <c r="E1526">
        <v>16.290001</v>
      </c>
      <c r="F1526">
        <v>15.887423999999999</v>
      </c>
      <c r="G1526">
        <v>7362900</v>
      </c>
      <c r="I1526">
        <f t="shared" si="24"/>
        <v>5.960663512201836E-4</v>
      </c>
    </row>
    <row r="1527" spans="1:9" x14ac:dyDescent="0.3">
      <c r="A1527" s="5">
        <v>43854</v>
      </c>
      <c r="B1527">
        <v>16.299999</v>
      </c>
      <c r="C1527">
        <v>16.32</v>
      </c>
      <c r="D1527">
        <v>15.355</v>
      </c>
      <c r="E1527">
        <v>15.51</v>
      </c>
      <c r="F1527">
        <v>15.126697999999999</v>
      </c>
      <c r="G1527">
        <v>7815100</v>
      </c>
      <c r="I1527">
        <f t="shared" si="24"/>
        <v>6.6228286434648928E-4</v>
      </c>
    </row>
    <row r="1528" spans="1:9" x14ac:dyDescent="0.3">
      <c r="A1528" s="5">
        <v>43857</v>
      </c>
      <c r="B1528">
        <v>15.01</v>
      </c>
      <c r="C1528">
        <v>15.324999999999999</v>
      </c>
      <c r="D1528">
        <v>14.8</v>
      </c>
      <c r="E1528">
        <v>14.87</v>
      </c>
      <c r="F1528">
        <v>14.502514</v>
      </c>
      <c r="G1528">
        <v>6596100</v>
      </c>
      <c r="I1528">
        <f t="shared" si="24"/>
        <v>6.9244919811264796E-4</v>
      </c>
    </row>
    <row r="1529" spans="1:9" x14ac:dyDescent="0.3">
      <c r="A1529" s="5">
        <v>43858</v>
      </c>
      <c r="B1529">
        <v>15.1</v>
      </c>
      <c r="C1529">
        <v>15.25</v>
      </c>
      <c r="D1529">
        <v>14.65</v>
      </c>
      <c r="E1529">
        <v>14.71</v>
      </c>
      <c r="F1529">
        <v>14.34647</v>
      </c>
      <c r="G1529">
        <v>7371900</v>
      </c>
      <c r="I1529">
        <f t="shared" si="24"/>
        <v>4.8002082002126194E-4</v>
      </c>
    </row>
    <row r="1530" spans="1:9" x14ac:dyDescent="0.3">
      <c r="A1530" s="5">
        <v>43859</v>
      </c>
      <c r="B1530">
        <v>14.83</v>
      </c>
      <c r="C1530">
        <v>14.874000000000001</v>
      </c>
      <c r="D1530">
        <v>14.35</v>
      </c>
      <c r="E1530">
        <v>14.5</v>
      </c>
      <c r="F1530">
        <v>14.141659000000001</v>
      </c>
      <c r="G1530">
        <v>5280600</v>
      </c>
      <c r="I1530">
        <f t="shared" si="24"/>
        <v>4.1758541466059026E-4</v>
      </c>
    </row>
    <row r="1531" spans="1:9" x14ac:dyDescent="0.3">
      <c r="A1531" s="5">
        <v>43860</v>
      </c>
      <c r="B1531">
        <v>14.28</v>
      </c>
      <c r="C1531">
        <v>14.41</v>
      </c>
      <c r="D1531">
        <v>13.81</v>
      </c>
      <c r="E1531">
        <v>14.29</v>
      </c>
      <c r="F1531">
        <v>13.936849</v>
      </c>
      <c r="G1531">
        <v>10570700</v>
      </c>
      <c r="I1531">
        <f t="shared" si="24"/>
        <v>1.2192514721015486E-3</v>
      </c>
    </row>
    <row r="1532" spans="1:9" x14ac:dyDescent="0.3">
      <c r="A1532" s="5">
        <v>43861</v>
      </c>
      <c r="B1532">
        <v>14.01</v>
      </c>
      <c r="C1532">
        <v>14.24</v>
      </c>
      <c r="D1532">
        <v>13.62</v>
      </c>
      <c r="E1532">
        <v>13.95</v>
      </c>
      <c r="F1532">
        <v>13.605251000000001</v>
      </c>
      <c r="G1532">
        <v>9964100</v>
      </c>
      <c r="I1532">
        <f t="shared" si="24"/>
        <v>1.0109217946072146E-3</v>
      </c>
    </row>
    <row r="1533" spans="1:9" x14ac:dyDescent="0.3">
      <c r="A1533" s="5">
        <v>43864</v>
      </c>
      <c r="B1533">
        <v>14.01</v>
      </c>
      <c r="C1533">
        <v>14.42</v>
      </c>
      <c r="D1533">
        <v>13.91</v>
      </c>
      <c r="E1533">
        <v>14.24</v>
      </c>
      <c r="F1533">
        <v>13.888085</v>
      </c>
      <c r="G1533">
        <v>7226500</v>
      </c>
      <c r="I1533">
        <f t="shared" si="24"/>
        <v>5.3028414511154334E-4</v>
      </c>
    </row>
    <row r="1534" spans="1:9" x14ac:dyDescent="0.3">
      <c r="A1534" s="5">
        <v>43865</v>
      </c>
      <c r="B1534">
        <v>14.46</v>
      </c>
      <c r="C1534">
        <v>14.945</v>
      </c>
      <c r="D1534">
        <v>14.24</v>
      </c>
      <c r="E1534">
        <v>14.7</v>
      </c>
      <c r="F1534">
        <v>14.336717</v>
      </c>
      <c r="G1534">
        <v>7443200</v>
      </c>
      <c r="I1534">
        <f t="shared" si="24"/>
        <v>1.0327332849431505E-3</v>
      </c>
    </row>
    <row r="1535" spans="1:9" x14ac:dyDescent="0.3">
      <c r="A1535" s="5">
        <v>43866</v>
      </c>
      <c r="B1535">
        <v>15.31</v>
      </c>
      <c r="C1535">
        <v>15.89</v>
      </c>
      <c r="D1535">
        <v>15.175000000000001</v>
      </c>
      <c r="E1535">
        <v>15.81</v>
      </c>
      <c r="F1535">
        <v>15.419286</v>
      </c>
      <c r="G1535">
        <v>8183000</v>
      </c>
      <c r="I1535">
        <f t="shared" si="24"/>
        <v>5.5075130433236599E-4</v>
      </c>
    </row>
    <row r="1536" spans="1:9" x14ac:dyDescent="0.3">
      <c r="A1536" s="5">
        <v>43867</v>
      </c>
      <c r="B1536">
        <v>16.100000000000001</v>
      </c>
      <c r="C1536">
        <v>16.100000000000001</v>
      </c>
      <c r="D1536">
        <v>15.64</v>
      </c>
      <c r="E1536">
        <v>15.92</v>
      </c>
      <c r="F1536">
        <v>15.526567</v>
      </c>
      <c r="G1536">
        <v>6281600</v>
      </c>
      <c r="I1536">
        <f t="shared" si="24"/>
        <v>5.1436776240225315E-4</v>
      </c>
    </row>
    <row r="1537" spans="1:9" x14ac:dyDescent="0.3">
      <c r="A1537" s="5">
        <v>43868</v>
      </c>
      <c r="B1537">
        <v>15.63</v>
      </c>
      <c r="C1537">
        <v>15.7</v>
      </c>
      <c r="D1537">
        <v>15.36</v>
      </c>
      <c r="E1537">
        <v>15.55</v>
      </c>
      <c r="F1537">
        <v>15.165710000000001</v>
      </c>
      <c r="G1537">
        <v>5058700</v>
      </c>
      <c r="I1537">
        <f t="shared" si="24"/>
        <v>2.5712510207872663E-4</v>
      </c>
    </row>
    <row r="1538" spans="1:9" x14ac:dyDescent="0.3">
      <c r="A1538" s="5">
        <v>43871</v>
      </c>
      <c r="B1538">
        <v>15.31</v>
      </c>
      <c r="C1538">
        <v>15.59</v>
      </c>
      <c r="D1538">
        <v>15.15</v>
      </c>
      <c r="E1538">
        <v>15.42</v>
      </c>
      <c r="F1538">
        <v>15.038923</v>
      </c>
      <c r="G1538">
        <v>4009100</v>
      </c>
      <c r="I1538">
        <f t="shared" si="24"/>
        <v>3.8429254584511059E-4</v>
      </c>
    </row>
    <row r="1539" spans="1:9" x14ac:dyDescent="0.3">
      <c r="A1539" s="5">
        <v>43872</v>
      </c>
      <c r="B1539">
        <v>15.57</v>
      </c>
      <c r="C1539">
        <v>16.209999</v>
      </c>
      <c r="D1539">
        <v>15.54</v>
      </c>
      <c r="E1539">
        <v>15.74</v>
      </c>
      <c r="F1539">
        <v>15.351013</v>
      </c>
      <c r="G1539">
        <v>4580400</v>
      </c>
      <c r="I1539">
        <f t="shared" si="24"/>
        <v>1.2098902808191593E-3</v>
      </c>
    </row>
    <row r="1540" spans="1:9" x14ac:dyDescent="0.3">
      <c r="A1540" s="5">
        <v>43873</v>
      </c>
      <c r="B1540">
        <v>15.96</v>
      </c>
      <c r="C1540">
        <v>16.204999999999998</v>
      </c>
      <c r="D1540">
        <v>15.61</v>
      </c>
      <c r="E1540">
        <v>15.76</v>
      </c>
      <c r="F1540">
        <v>15.370521</v>
      </c>
      <c r="G1540">
        <v>3894700</v>
      </c>
      <c r="I1540">
        <f t="shared" si="24"/>
        <v>6.3625012240946092E-4</v>
      </c>
    </row>
    <row r="1541" spans="1:9" x14ac:dyDescent="0.3">
      <c r="A1541" s="5">
        <v>43874</v>
      </c>
      <c r="B1541">
        <v>15.56</v>
      </c>
      <c r="C1541">
        <v>15.775</v>
      </c>
      <c r="D1541">
        <v>15.45</v>
      </c>
      <c r="E1541">
        <v>15.75</v>
      </c>
      <c r="F1541">
        <v>15.360768</v>
      </c>
      <c r="G1541">
        <v>2810300</v>
      </c>
      <c r="I1541">
        <f t="shared" si="24"/>
        <v>1.582022887329949E-4</v>
      </c>
    </row>
    <row r="1542" spans="1:9" x14ac:dyDescent="0.3">
      <c r="A1542" s="5">
        <v>43875</v>
      </c>
      <c r="B1542">
        <v>15.8</v>
      </c>
      <c r="C1542">
        <v>15.93</v>
      </c>
      <c r="D1542">
        <v>15.42</v>
      </c>
      <c r="E1542">
        <v>15.67</v>
      </c>
      <c r="F1542">
        <v>15.282745999999999</v>
      </c>
      <c r="G1542">
        <v>4292100</v>
      </c>
      <c r="I1542">
        <f t="shared" si="24"/>
        <v>5.26370203619089E-4</v>
      </c>
    </row>
    <row r="1543" spans="1:9" x14ac:dyDescent="0.3">
      <c r="A1543" s="5">
        <v>43879</v>
      </c>
      <c r="B1543">
        <v>15.54</v>
      </c>
      <c r="C1543">
        <v>15.98</v>
      </c>
      <c r="D1543">
        <v>15.46</v>
      </c>
      <c r="E1543">
        <v>15.98</v>
      </c>
      <c r="F1543">
        <v>15.585084999999999</v>
      </c>
      <c r="G1543">
        <v>3164800</v>
      </c>
      <c r="I1543">
        <f t="shared" si="24"/>
        <v>1.7074565480244597E-4</v>
      </c>
    </row>
    <row r="1544" spans="1:9" x14ac:dyDescent="0.3">
      <c r="A1544" s="5">
        <v>43880</v>
      </c>
      <c r="B1544">
        <v>16.040001</v>
      </c>
      <c r="C1544">
        <v>16.799999</v>
      </c>
      <c r="D1544">
        <v>16.040001</v>
      </c>
      <c r="E1544">
        <v>16.700001</v>
      </c>
      <c r="F1544">
        <v>16.287292000000001</v>
      </c>
      <c r="G1544">
        <v>8725500</v>
      </c>
      <c r="I1544">
        <f t="shared" si="24"/>
        <v>2.7637238049657993E-4</v>
      </c>
    </row>
    <row r="1545" spans="1:9" x14ac:dyDescent="0.3">
      <c r="A1545" s="5">
        <v>43881</v>
      </c>
      <c r="B1545">
        <v>16.649999999999999</v>
      </c>
      <c r="C1545">
        <v>16.719999000000001</v>
      </c>
      <c r="D1545">
        <v>16.07</v>
      </c>
      <c r="E1545">
        <v>16.100000000000001</v>
      </c>
      <c r="F1545">
        <v>15.702118</v>
      </c>
      <c r="G1545">
        <v>7682000</v>
      </c>
      <c r="I1545">
        <f t="shared" si="24"/>
        <v>2.2465472930891542E-4</v>
      </c>
    </row>
    <row r="1546" spans="1:9" x14ac:dyDescent="0.3">
      <c r="A1546" s="5">
        <v>43882</v>
      </c>
      <c r="B1546">
        <v>16.010000000000002</v>
      </c>
      <c r="C1546">
        <v>16.298999999999999</v>
      </c>
      <c r="D1546">
        <v>15.92</v>
      </c>
      <c r="E1546">
        <v>16.100000000000001</v>
      </c>
      <c r="F1546">
        <v>15.702118</v>
      </c>
      <c r="G1546">
        <v>5528200</v>
      </c>
      <c r="I1546">
        <f t="shared" si="24"/>
        <v>2.8315344311229519E-4</v>
      </c>
    </row>
    <row r="1547" spans="1:9" x14ac:dyDescent="0.3">
      <c r="A1547" s="5">
        <v>43885</v>
      </c>
      <c r="B1547">
        <v>15.21</v>
      </c>
      <c r="C1547">
        <v>15.42</v>
      </c>
      <c r="D1547">
        <v>14.978</v>
      </c>
      <c r="E1547">
        <v>15.36</v>
      </c>
      <c r="F1547">
        <v>14.980404999999999</v>
      </c>
      <c r="G1547">
        <v>5465700</v>
      </c>
      <c r="I1547">
        <f t="shared" si="24"/>
        <v>4.4055773712779137E-4</v>
      </c>
    </row>
    <row r="1548" spans="1:9" x14ac:dyDescent="0.3">
      <c r="A1548" s="5">
        <v>43886</v>
      </c>
      <c r="B1548">
        <v>15.48</v>
      </c>
      <c r="C1548">
        <v>15.52</v>
      </c>
      <c r="D1548">
        <v>14.3</v>
      </c>
      <c r="E1548">
        <v>14.5</v>
      </c>
      <c r="F1548">
        <v>14.141659000000001</v>
      </c>
      <c r="G1548">
        <v>6280500</v>
      </c>
      <c r="I1548">
        <f t="shared" ref="I1548:I1611" si="25">LN(C1548/B1548)*(LN(C1548/B1548)-LN(E1548/B1548))+LN(D1548/B1548)*(LN(D1548/B1548)-LN(E1548/B1548))</f>
        <v>1.276692998487603E-3</v>
      </c>
    </row>
    <row r="1549" spans="1:9" x14ac:dyDescent="0.3">
      <c r="A1549" s="5">
        <v>43887</v>
      </c>
      <c r="B1549">
        <v>14.64</v>
      </c>
      <c r="C1549">
        <v>14.84</v>
      </c>
      <c r="D1549">
        <v>14.11</v>
      </c>
      <c r="E1549">
        <v>14.12</v>
      </c>
      <c r="F1549">
        <v>13.771051</v>
      </c>
      <c r="G1549">
        <v>4796200</v>
      </c>
      <c r="I1549">
        <f t="shared" si="25"/>
        <v>7.0095105568733051E-4</v>
      </c>
    </row>
    <row r="1550" spans="1:9" x14ac:dyDescent="0.3">
      <c r="A1550" s="5">
        <v>43888</v>
      </c>
      <c r="B1550">
        <v>13.76</v>
      </c>
      <c r="C1550">
        <v>14.11</v>
      </c>
      <c r="D1550">
        <v>13.1</v>
      </c>
      <c r="E1550">
        <v>13.46</v>
      </c>
      <c r="F1550">
        <v>13.127361000000001</v>
      </c>
      <c r="G1550">
        <v>7007400</v>
      </c>
      <c r="I1550">
        <f t="shared" si="25"/>
        <v>2.5171567276627872E-3</v>
      </c>
    </row>
    <row r="1551" spans="1:9" x14ac:dyDescent="0.3">
      <c r="A1551" s="5">
        <v>43889</v>
      </c>
      <c r="B1551">
        <v>12.84</v>
      </c>
      <c r="C1551">
        <v>13.91</v>
      </c>
      <c r="D1551">
        <v>12.83</v>
      </c>
      <c r="E1551">
        <v>13.87</v>
      </c>
      <c r="F1551">
        <v>13.527227</v>
      </c>
      <c r="G1551">
        <v>6812900</v>
      </c>
      <c r="I1551">
        <f t="shared" si="25"/>
        <v>2.9123090296522854E-4</v>
      </c>
    </row>
    <row r="1552" spans="1:9" x14ac:dyDescent="0.3">
      <c r="A1552" s="5">
        <v>43892</v>
      </c>
      <c r="B1552">
        <v>14.02</v>
      </c>
      <c r="C1552">
        <v>14.03</v>
      </c>
      <c r="D1552">
        <v>13.11</v>
      </c>
      <c r="E1552">
        <v>13.73</v>
      </c>
      <c r="F1552">
        <v>13.390688000000001</v>
      </c>
      <c r="G1552">
        <v>6784800</v>
      </c>
      <c r="I1552">
        <f t="shared" si="25"/>
        <v>3.1164059485495853E-3</v>
      </c>
    </row>
    <row r="1553" spans="1:9" x14ac:dyDescent="0.3">
      <c r="A1553" s="5">
        <v>43893</v>
      </c>
      <c r="B1553">
        <v>13.67</v>
      </c>
      <c r="C1553">
        <v>14.04</v>
      </c>
      <c r="D1553">
        <v>12.705</v>
      </c>
      <c r="E1553">
        <v>12.94</v>
      </c>
      <c r="F1553">
        <v>12.620210999999999</v>
      </c>
      <c r="G1553">
        <v>10024700</v>
      </c>
      <c r="I1553">
        <f t="shared" si="25"/>
        <v>3.5206592191158311E-3</v>
      </c>
    </row>
    <row r="1554" spans="1:9" x14ac:dyDescent="0.3">
      <c r="A1554" s="5">
        <v>43894</v>
      </c>
      <c r="B1554">
        <v>13.17</v>
      </c>
      <c r="C1554">
        <v>13.19</v>
      </c>
      <c r="D1554">
        <v>12.58</v>
      </c>
      <c r="E1554">
        <v>12.88</v>
      </c>
      <c r="F1554">
        <v>12.561693999999999</v>
      </c>
      <c r="G1554">
        <v>7371300</v>
      </c>
      <c r="I1554">
        <f t="shared" si="25"/>
        <v>1.1162639682709241E-3</v>
      </c>
    </row>
    <row r="1555" spans="1:9" x14ac:dyDescent="0.3">
      <c r="A1555" s="5">
        <v>43895</v>
      </c>
      <c r="B1555">
        <v>12.47</v>
      </c>
      <c r="C1555">
        <v>12.61</v>
      </c>
      <c r="D1555">
        <v>11.675000000000001</v>
      </c>
      <c r="E1555">
        <v>11.89</v>
      </c>
      <c r="F1555">
        <v>11.596162</v>
      </c>
      <c r="G1555">
        <v>12865900</v>
      </c>
      <c r="I1555">
        <f t="shared" si="25"/>
        <v>1.8584800687123355E-3</v>
      </c>
    </row>
    <row r="1556" spans="1:9" x14ac:dyDescent="0.3">
      <c r="A1556" s="5">
        <v>43896</v>
      </c>
      <c r="B1556">
        <v>11.36</v>
      </c>
      <c r="C1556">
        <v>11.77</v>
      </c>
      <c r="D1556">
        <v>10.8</v>
      </c>
      <c r="E1556">
        <v>11.01</v>
      </c>
      <c r="F1556">
        <v>10.737907999999999</v>
      </c>
      <c r="G1556">
        <v>10566400</v>
      </c>
      <c r="I1556">
        <f t="shared" si="25"/>
        <v>3.3401806340587737E-3</v>
      </c>
    </row>
    <row r="1557" spans="1:9" x14ac:dyDescent="0.3">
      <c r="A1557" s="5">
        <v>43899</v>
      </c>
      <c r="B1557">
        <v>9.6199999999999992</v>
      </c>
      <c r="C1557">
        <v>10.11</v>
      </c>
      <c r="D1557">
        <v>8.61</v>
      </c>
      <c r="E1557">
        <v>8.69</v>
      </c>
      <c r="F1557">
        <v>8.4752430000000007</v>
      </c>
      <c r="G1557">
        <v>10034000</v>
      </c>
      <c r="I1557">
        <f t="shared" si="25"/>
        <v>8.5451448359435619E-3</v>
      </c>
    </row>
    <row r="1558" spans="1:9" x14ac:dyDescent="0.3">
      <c r="A1558" s="5">
        <v>43900</v>
      </c>
      <c r="B1558">
        <v>9.33</v>
      </c>
      <c r="C1558">
        <v>9.42</v>
      </c>
      <c r="D1558">
        <v>8.5500000000000007</v>
      </c>
      <c r="E1558">
        <v>9.26</v>
      </c>
      <c r="F1558">
        <v>9.0311570000000003</v>
      </c>
      <c r="G1558">
        <v>10358300</v>
      </c>
      <c r="I1558">
        <f t="shared" si="25"/>
        <v>7.1289193976454505E-3</v>
      </c>
    </row>
    <row r="1559" spans="1:9" x14ac:dyDescent="0.3">
      <c r="A1559" s="5">
        <v>43901</v>
      </c>
      <c r="B1559">
        <v>8.85</v>
      </c>
      <c r="C1559">
        <v>9.23</v>
      </c>
      <c r="D1559">
        <v>8.3000000000000007</v>
      </c>
      <c r="E1559">
        <v>9.1999999999999993</v>
      </c>
      <c r="F1559">
        <v>8.9726389999999991</v>
      </c>
      <c r="G1559">
        <v>9442000</v>
      </c>
      <c r="I1559">
        <f t="shared" si="25"/>
        <v>6.7422109650498042E-3</v>
      </c>
    </row>
    <row r="1560" spans="1:9" x14ac:dyDescent="0.3">
      <c r="A1560" s="5">
        <v>43902</v>
      </c>
      <c r="B1560">
        <v>8.35</v>
      </c>
      <c r="C1560">
        <v>8.35</v>
      </c>
      <c r="D1560">
        <v>7.24</v>
      </c>
      <c r="E1560">
        <v>7.51</v>
      </c>
      <c r="F1560">
        <v>7.3244040000000004</v>
      </c>
      <c r="G1560">
        <v>12676900</v>
      </c>
      <c r="I1560">
        <f t="shared" si="25"/>
        <v>5.2226701307024294E-3</v>
      </c>
    </row>
    <row r="1561" spans="1:9" x14ac:dyDescent="0.3">
      <c r="A1561" s="5">
        <v>43903</v>
      </c>
      <c r="B1561">
        <v>8.08</v>
      </c>
      <c r="C1561">
        <v>8.35</v>
      </c>
      <c r="D1561">
        <v>7.16</v>
      </c>
      <c r="E1561">
        <v>8</v>
      </c>
      <c r="F1561">
        <v>7.8022939999999998</v>
      </c>
      <c r="G1561">
        <v>7316200</v>
      </c>
      <c r="I1561">
        <f t="shared" si="25"/>
        <v>1.481709591169318E-2</v>
      </c>
    </row>
    <row r="1562" spans="1:9" x14ac:dyDescent="0.3">
      <c r="A1562" s="5">
        <v>43906</v>
      </c>
      <c r="B1562">
        <v>6.94</v>
      </c>
      <c r="C1562">
        <v>7.67</v>
      </c>
      <c r="D1562">
        <v>6.73</v>
      </c>
      <c r="E1562">
        <v>6.82</v>
      </c>
      <c r="F1562">
        <v>6.6514559999999996</v>
      </c>
      <c r="G1562">
        <v>7319000</v>
      </c>
      <c r="I1562">
        <f t="shared" si="25"/>
        <v>1.2155640166268673E-2</v>
      </c>
    </row>
    <row r="1563" spans="1:9" x14ac:dyDescent="0.3">
      <c r="A1563" s="5">
        <v>43907</v>
      </c>
      <c r="B1563">
        <v>7.12</v>
      </c>
      <c r="C1563">
        <v>7.25</v>
      </c>
      <c r="D1563">
        <v>6.61</v>
      </c>
      <c r="E1563">
        <v>7</v>
      </c>
      <c r="F1563">
        <v>6.8270080000000002</v>
      </c>
      <c r="G1563">
        <v>8065700</v>
      </c>
      <c r="I1563">
        <f t="shared" si="25"/>
        <v>4.8956718686606815E-3</v>
      </c>
    </row>
    <row r="1564" spans="1:9" x14ac:dyDescent="0.3">
      <c r="A1564" s="5">
        <v>43908</v>
      </c>
      <c r="B1564">
        <v>6.53</v>
      </c>
      <c r="C1564">
        <v>6.68</v>
      </c>
      <c r="D1564">
        <v>5.27</v>
      </c>
      <c r="E1564">
        <v>5.75</v>
      </c>
      <c r="F1564">
        <v>5.6078989999999997</v>
      </c>
      <c r="G1564">
        <v>9287100</v>
      </c>
      <c r="I1564">
        <f t="shared" si="25"/>
        <v>2.2091895042301676E-2</v>
      </c>
    </row>
    <row r="1565" spans="1:9" x14ac:dyDescent="0.3">
      <c r="A1565" s="5">
        <v>43909</v>
      </c>
      <c r="B1565">
        <v>5.76</v>
      </c>
      <c r="C1565">
        <v>6.15</v>
      </c>
      <c r="D1565">
        <v>5.2</v>
      </c>
      <c r="E1565">
        <v>5.83</v>
      </c>
      <c r="F1565">
        <v>5.6859219999999997</v>
      </c>
      <c r="G1565">
        <v>6174500</v>
      </c>
      <c r="I1565">
        <f t="shared" si="25"/>
        <v>1.51972213267863E-2</v>
      </c>
    </row>
    <row r="1566" spans="1:9" x14ac:dyDescent="0.3">
      <c r="A1566" s="5">
        <v>43910</v>
      </c>
      <c r="B1566">
        <v>6.07</v>
      </c>
      <c r="C1566">
        <v>6.17</v>
      </c>
      <c r="D1566">
        <v>5.43</v>
      </c>
      <c r="E1566">
        <v>5.48</v>
      </c>
      <c r="F1566">
        <v>5.3445720000000003</v>
      </c>
      <c r="G1566">
        <v>9957200</v>
      </c>
      <c r="I1566">
        <f t="shared" si="25"/>
        <v>2.959116473010801E-3</v>
      </c>
    </row>
    <row r="1567" spans="1:9" x14ac:dyDescent="0.3">
      <c r="A1567" s="5">
        <v>43913</v>
      </c>
      <c r="B1567">
        <v>5.5</v>
      </c>
      <c r="C1567">
        <v>5.9450000000000003</v>
      </c>
      <c r="D1567">
        <v>5.16</v>
      </c>
      <c r="E1567">
        <v>5.67</v>
      </c>
      <c r="F1567">
        <v>5.5298759999999998</v>
      </c>
      <c r="G1567">
        <v>7018500</v>
      </c>
      <c r="I1567">
        <f t="shared" si="25"/>
        <v>9.699230393092834E-3</v>
      </c>
    </row>
    <row r="1568" spans="1:9" x14ac:dyDescent="0.3">
      <c r="A1568" s="5">
        <v>43914</v>
      </c>
      <c r="B1568">
        <v>6.24</v>
      </c>
      <c r="C1568">
        <v>7.48</v>
      </c>
      <c r="D1568">
        <v>6.2</v>
      </c>
      <c r="E1568">
        <v>7.27</v>
      </c>
      <c r="F1568">
        <v>7.0903349999999996</v>
      </c>
      <c r="G1568">
        <v>15143000</v>
      </c>
      <c r="I1568">
        <f t="shared" si="25"/>
        <v>6.1852827709059487E-3</v>
      </c>
    </row>
    <row r="1569" spans="1:9" x14ac:dyDescent="0.3">
      <c r="A1569" s="5">
        <v>43915</v>
      </c>
      <c r="B1569">
        <v>7.93</v>
      </c>
      <c r="C1569">
        <v>7.99</v>
      </c>
      <c r="D1569">
        <v>7.01</v>
      </c>
      <c r="E1569">
        <v>7.09</v>
      </c>
      <c r="F1569">
        <v>6.9147829999999999</v>
      </c>
      <c r="G1569">
        <v>12619300</v>
      </c>
      <c r="I1569">
        <f t="shared" si="25"/>
        <v>2.3001368439594123E-3</v>
      </c>
    </row>
    <row r="1570" spans="1:9" x14ac:dyDescent="0.3">
      <c r="A1570" s="5">
        <v>43916</v>
      </c>
      <c r="B1570">
        <v>7.27</v>
      </c>
      <c r="C1570">
        <v>7.3860000000000001</v>
      </c>
      <c r="D1570">
        <v>6.73</v>
      </c>
      <c r="E1570">
        <v>6.84</v>
      </c>
      <c r="F1570">
        <v>6.6709620000000003</v>
      </c>
      <c r="G1570">
        <v>11916400</v>
      </c>
      <c r="I1570">
        <f t="shared" si="25"/>
        <v>2.4670296588241197E-3</v>
      </c>
    </row>
    <row r="1571" spans="1:9" x14ac:dyDescent="0.3">
      <c r="A1571" s="5">
        <v>43917</v>
      </c>
      <c r="B1571">
        <v>6.51</v>
      </c>
      <c r="C1571">
        <v>6.79</v>
      </c>
      <c r="D1571">
        <v>6.05</v>
      </c>
      <c r="E1571">
        <v>6.55</v>
      </c>
      <c r="F1571">
        <v>6.3881290000000002</v>
      </c>
      <c r="G1571">
        <v>10075400</v>
      </c>
      <c r="I1571">
        <f t="shared" si="25"/>
        <v>7.3344420551340293E-3</v>
      </c>
    </row>
    <row r="1572" spans="1:9" x14ac:dyDescent="0.3">
      <c r="A1572" s="5">
        <v>43920</v>
      </c>
      <c r="B1572">
        <v>6.55</v>
      </c>
      <c r="C1572">
        <v>6.6</v>
      </c>
      <c r="D1572">
        <v>6</v>
      </c>
      <c r="E1572">
        <v>6.07</v>
      </c>
      <c r="F1572">
        <v>5.9199909999999996</v>
      </c>
      <c r="G1572">
        <v>9615600</v>
      </c>
      <c r="I1572">
        <f t="shared" si="25"/>
        <v>1.653897894942915E-3</v>
      </c>
    </row>
    <row r="1573" spans="1:9" x14ac:dyDescent="0.3">
      <c r="A1573" s="5">
        <v>43921</v>
      </c>
      <c r="B1573">
        <v>6.16</v>
      </c>
      <c r="C1573">
        <v>6.62</v>
      </c>
      <c r="D1573">
        <v>6.06</v>
      </c>
      <c r="E1573">
        <v>6.16</v>
      </c>
      <c r="F1573">
        <v>6.0077670000000003</v>
      </c>
      <c r="G1573">
        <v>12502000</v>
      </c>
      <c r="I1573">
        <f t="shared" si="25"/>
        <v>5.454555603093607E-3</v>
      </c>
    </row>
    <row r="1574" spans="1:9" x14ac:dyDescent="0.3">
      <c r="A1574" s="5">
        <v>43922</v>
      </c>
      <c r="B1574">
        <v>5.96</v>
      </c>
      <c r="C1574">
        <v>6.61</v>
      </c>
      <c r="D1574">
        <v>5.71</v>
      </c>
      <c r="E1574">
        <v>6.25</v>
      </c>
      <c r="F1574">
        <v>6.0955430000000002</v>
      </c>
      <c r="G1574">
        <v>10452200</v>
      </c>
      <c r="I1574">
        <f t="shared" si="25"/>
        <v>9.6691266343256303E-3</v>
      </c>
    </row>
    <row r="1575" spans="1:9" x14ac:dyDescent="0.3">
      <c r="A1575" s="5">
        <v>43923</v>
      </c>
      <c r="B1575">
        <v>6.29</v>
      </c>
      <c r="C1575">
        <v>6.6849999999999996</v>
      </c>
      <c r="D1575">
        <v>5.92</v>
      </c>
      <c r="E1575">
        <v>6.08</v>
      </c>
      <c r="F1575">
        <v>5.9297440000000003</v>
      </c>
      <c r="G1575">
        <v>10277700</v>
      </c>
      <c r="I1575">
        <f t="shared" si="25"/>
        <v>7.394306204686161E-3</v>
      </c>
    </row>
    <row r="1576" spans="1:9" x14ac:dyDescent="0.3">
      <c r="A1576" s="5">
        <v>43924</v>
      </c>
      <c r="B1576">
        <v>6.05</v>
      </c>
      <c r="C1576">
        <v>6.28</v>
      </c>
      <c r="D1576">
        <v>5.78</v>
      </c>
      <c r="E1576">
        <v>5.97</v>
      </c>
      <c r="F1576">
        <v>5.8224629999999999</v>
      </c>
      <c r="G1576">
        <v>7951900</v>
      </c>
      <c r="I1576">
        <f t="shared" si="25"/>
        <v>3.3654501527876782E-3</v>
      </c>
    </row>
    <row r="1577" spans="1:9" x14ac:dyDescent="0.3">
      <c r="A1577" s="5">
        <v>43927</v>
      </c>
      <c r="B1577">
        <v>6.37</v>
      </c>
      <c r="C1577">
        <v>6.84</v>
      </c>
      <c r="D1577">
        <v>6.25</v>
      </c>
      <c r="E1577">
        <v>6.55</v>
      </c>
      <c r="F1577">
        <v>6.3881290000000002</v>
      </c>
      <c r="G1577">
        <v>9900300</v>
      </c>
      <c r="I1577">
        <f t="shared" si="25"/>
        <v>3.9756987482631682E-3</v>
      </c>
    </row>
    <row r="1578" spans="1:9" x14ac:dyDescent="0.3">
      <c r="A1578" s="5">
        <v>43928</v>
      </c>
      <c r="B1578">
        <v>7.14</v>
      </c>
      <c r="C1578">
        <v>7.75</v>
      </c>
      <c r="D1578">
        <v>6.96</v>
      </c>
      <c r="E1578">
        <v>7.03</v>
      </c>
      <c r="F1578">
        <v>6.8562659999999997</v>
      </c>
      <c r="G1578">
        <v>16046000</v>
      </c>
      <c r="I1578">
        <f t="shared" si="25"/>
        <v>8.2490773535208103E-3</v>
      </c>
    </row>
    <row r="1579" spans="1:9" x14ac:dyDescent="0.3">
      <c r="A1579" s="5">
        <v>43929</v>
      </c>
      <c r="B1579">
        <v>7.17</v>
      </c>
      <c r="C1579">
        <v>7.46</v>
      </c>
      <c r="D1579">
        <v>7.02</v>
      </c>
      <c r="E1579">
        <v>7.26</v>
      </c>
      <c r="F1579">
        <v>7.0805829999999998</v>
      </c>
      <c r="G1579">
        <v>7510400</v>
      </c>
      <c r="I1579">
        <f t="shared" si="25"/>
        <v>1.7882424890217127E-3</v>
      </c>
    </row>
    <row r="1580" spans="1:9" x14ac:dyDescent="0.3">
      <c r="A1580" s="5">
        <v>43930</v>
      </c>
      <c r="B1580">
        <v>7.65</v>
      </c>
      <c r="C1580">
        <v>8.02</v>
      </c>
      <c r="D1580">
        <v>7.22</v>
      </c>
      <c r="E1580">
        <v>7.41</v>
      </c>
      <c r="F1580">
        <v>7.2268759999999999</v>
      </c>
      <c r="G1580">
        <v>13298800</v>
      </c>
      <c r="I1580">
        <f t="shared" si="25"/>
        <v>5.2391894051773127E-3</v>
      </c>
    </row>
    <row r="1581" spans="1:9" x14ac:dyDescent="0.3">
      <c r="A1581" s="5">
        <v>43934</v>
      </c>
      <c r="B1581">
        <v>7.48</v>
      </c>
      <c r="C1581">
        <v>7.75</v>
      </c>
      <c r="D1581">
        <v>7.12</v>
      </c>
      <c r="E1581">
        <v>7.55</v>
      </c>
      <c r="F1581">
        <v>7.363416</v>
      </c>
      <c r="G1581">
        <v>9563900</v>
      </c>
      <c r="I1581">
        <f t="shared" si="25"/>
        <v>3.8195268803409509E-3</v>
      </c>
    </row>
    <row r="1582" spans="1:9" x14ac:dyDescent="0.3">
      <c r="A1582" s="5">
        <v>43935</v>
      </c>
      <c r="B1582">
        <v>7.87</v>
      </c>
      <c r="C1582">
        <v>8.3800000000000008</v>
      </c>
      <c r="D1582">
        <v>7.62</v>
      </c>
      <c r="E1582">
        <v>7.72</v>
      </c>
      <c r="F1582">
        <v>7.5292139999999996</v>
      </c>
      <c r="G1582">
        <v>10641700</v>
      </c>
      <c r="I1582">
        <f t="shared" si="25"/>
        <v>5.5717630246036286E-3</v>
      </c>
    </row>
    <row r="1583" spans="1:9" x14ac:dyDescent="0.3">
      <c r="A1583" s="5">
        <v>43936</v>
      </c>
      <c r="B1583">
        <v>7.23</v>
      </c>
      <c r="C1583">
        <v>7.42</v>
      </c>
      <c r="D1583">
        <v>7.01</v>
      </c>
      <c r="E1583">
        <v>7.26</v>
      </c>
      <c r="F1583">
        <v>7.0805829999999998</v>
      </c>
      <c r="G1583">
        <v>8642600</v>
      </c>
      <c r="I1583">
        <f t="shared" si="25"/>
        <v>1.6483209754875612E-3</v>
      </c>
    </row>
    <row r="1584" spans="1:9" x14ac:dyDescent="0.3">
      <c r="A1584" s="5">
        <v>43937</v>
      </c>
      <c r="B1584">
        <v>7.21</v>
      </c>
      <c r="C1584">
        <v>7.4</v>
      </c>
      <c r="D1584">
        <v>6.79</v>
      </c>
      <c r="E1584">
        <v>6.96</v>
      </c>
      <c r="F1584">
        <v>6.7879959999999997</v>
      </c>
      <c r="G1584">
        <v>7963300</v>
      </c>
      <c r="I1584">
        <f t="shared" si="25"/>
        <v>3.0786482973014784E-3</v>
      </c>
    </row>
    <row r="1585" spans="1:9" x14ac:dyDescent="0.3">
      <c r="A1585" s="5">
        <v>43938</v>
      </c>
      <c r="B1585">
        <v>7.25</v>
      </c>
      <c r="C1585">
        <v>7.62</v>
      </c>
      <c r="D1585">
        <v>7.23</v>
      </c>
      <c r="E1585">
        <v>7.59</v>
      </c>
      <c r="F1585">
        <v>7.4024270000000003</v>
      </c>
      <c r="G1585">
        <v>10114400</v>
      </c>
      <c r="I1585">
        <f t="shared" si="25"/>
        <v>3.3058461160358156E-4</v>
      </c>
    </row>
    <row r="1586" spans="1:9" x14ac:dyDescent="0.3">
      <c r="A1586" s="5">
        <v>43941</v>
      </c>
      <c r="B1586">
        <v>7.27</v>
      </c>
      <c r="C1586">
        <v>7.8689999999999998</v>
      </c>
      <c r="D1586">
        <v>7.26</v>
      </c>
      <c r="E1586">
        <v>7.45</v>
      </c>
      <c r="F1586">
        <v>7.2658870000000002</v>
      </c>
      <c r="G1586">
        <v>7393600</v>
      </c>
      <c r="I1586">
        <f t="shared" si="25"/>
        <v>4.3677583769396551E-3</v>
      </c>
    </row>
    <row r="1587" spans="1:9" x14ac:dyDescent="0.3">
      <c r="A1587" s="5">
        <v>43942</v>
      </c>
      <c r="B1587">
        <v>7.1</v>
      </c>
      <c r="C1587">
        <v>7.39</v>
      </c>
      <c r="D1587">
        <v>7.06</v>
      </c>
      <c r="E1587">
        <v>7.32</v>
      </c>
      <c r="F1587">
        <v>7.1390989999999999</v>
      </c>
      <c r="G1587">
        <v>6156400</v>
      </c>
      <c r="I1587">
        <f t="shared" si="25"/>
        <v>5.8533402608007741E-4</v>
      </c>
    </row>
    <row r="1588" spans="1:9" x14ac:dyDescent="0.3">
      <c r="A1588" s="5">
        <v>43943</v>
      </c>
      <c r="B1588">
        <v>7.63</v>
      </c>
      <c r="C1588">
        <v>7.8</v>
      </c>
      <c r="D1588">
        <v>7.33</v>
      </c>
      <c r="E1588">
        <v>7.55</v>
      </c>
      <c r="F1588">
        <v>7.363416</v>
      </c>
      <c r="G1588">
        <v>8429500</v>
      </c>
      <c r="I1588">
        <f t="shared" si="25"/>
        <v>1.9040485609368202E-3</v>
      </c>
    </row>
    <row r="1589" spans="1:9" x14ac:dyDescent="0.3">
      <c r="A1589" s="5">
        <v>43944</v>
      </c>
      <c r="B1589">
        <v>7.91</v>
      </c>
      <c r="C1589">
        <v>8.08</v>
      </c>
      <c r="D1589">
        <v>7.2350000000000003</v>
      </c>
      <c r="E1589">
        <v>7.29</v>
      </c>
      <c r="F1589">
        <v>7.1098410000000003</v>
      </c>
      <c r="G1589">
        <v>20737000</v>
      </c>
      <c r="I1589">
        <f t="shared" si="25"/>
        <v>2.8633353720465401E-3</v>
      </c>
    </row>
    <row r="1590" spans="1:9" x14ac:dyDescent="0.3">
      <c r="A1590" s="5">
        <v>43945</v>
      </c>
      <c r="B1590">
        <v>7.29</v>
      </c>
      <c r="C1590">
        <v>7.45</v>
      </c>
      <c r="D1590">
        <v>7.0149999999999997</v>
      </c>
      <c r="E1590">
        <v>7.15</v>
      </c>
      <c r="F1590">
        <v>6.9733010000000002</v>
      </c>
      <c r="G1590">
        <v>11292100</v>
      </c>
      <c r="I1590">
        <f t="shared" si="25"/>
        <v>1.6253115404260988E-3</v>
      </c>
    </row>
    <row r="1591" spans="1:9" x14ac:dyDescent="0.3">
      <c r="A1591" s="5">
        <v>43948</v>
      </c>
      <c r="B1591">
        <v>7.21</v>
      </c>
      <c r="C1591">
        <v>7.49</v>
      </c>
      <c r="D1591">
        <v>6.99</v>
      </c>
      <c r="E1591">
        <v>7.37</v>
      </c>
      <c r="F1591">
        <v>7.1878640000000003</v>
      </c>
      <c r="G1591">
        <v>9549400</v>
      </c>
      <c r="I1591">
        <f t="shared" si="25"/>
        <v>2.2557914117789179E-3</v>
      </c>
    </row>
    <row r="1592" spans="1:9" x14ac:dyDescent="0.3">
      <c r="A1592" s="5">
        <v>43949</v>
      </c>
      <c r="B1592">
        <v>7.55</v>
      </c>
      <c r="C1592">
        <v>8.11</v>
      </c>
      <c r="D1592">
        <v>7.38</v>
      </c>
      <c r="E1592">
        <v>7.84</v>
      </c>
      <c r="F1592">
        <v>7.6462490000000001</v>
      </c>
      <c r="G1592">
        <v>12227900</v>
      </c>
      <c r="I1592">
        <f t="shared" si="25"/>
        <v>3.7996540002364319E-3</v>
      </c>
    </row>
    <row r="1593" spans="1:9" x14ac:dyDescent="0.3">
      <c r="A1593" s="5">
        <v>43950</v>
      </c>
      <c r="B1593">
        <v>8.15</v>
      </c>
      <c r="C1593">
        <v>8.8949999999999996</v>
      </c>
      <c r="D1593">
        <v>8.15</v>
      </c>
      <c r="E1593">
        <v>8.67</v>
      </c>
      <c r="F1593">
        <v>8.4557380000000002</v>
      </c>
      <c r="G1593">
        <v>12389200</v>
      </c>
      <c r="I1593">
        <f t="shared" si="25"/>
        <v>2.2410634991193875E-3</v>
      </c>
    </row>
    <row r="1594" spans="1:9" x14ac:dyDescent="0.3">
      <c r="A1594" s="5">
        <v>43951</v>
      </c>
      <c r="B1594">
        <v>8.61</v>
      </c>
      <c r="C1594">
        <v>8.6300000000000008</v>
      </c>
      <c r="D1594">
        <v>8.06</v>
      </c>
      <c r="E1594">
        <v>8.15</v>
      </c>
      <c r="F1594">
        <v>7.9485869999999998</v>
      </c>
      <c r="G1594">
        <v>10728600</v>
      </c>
      <c r="I1594">
        <f t="shared" si="25"/>
        <v>8.6578431508275251E-4</v>
      </c>
    </row>
    <row r="1595" spans="1:9" x14ac:dyDescent="0.3">
      <c r="A1595" s="5">
        <v>43952</v>
      </c>
      <c r="B1595">
        <v>7.86</v>
      </c>
      <c r="C1595">
        <v>8.17</v>
      </c>
      <c r="D1595">
        <v>7.5750000000000002</v>
      </c>
      <c r="E1595">
        <v>7.69</v>
      </c>
      <c r="F1595">
        <v>7.4999560000000001</v>
      </c>
      <c r="G1595">
        <v>9065300</v>
      </c>
      <c r="I1595">
        <f t="shared" si="25"/>
        <v>2.8986302100248275E-3</v>
      </c>
    </row>
    <row r="1596" spans="1:9" x14ac:dyDescent="0.3">
      <c r="A1596" s="5">
        <v>43955</v>
      </c>
      <c r="B1596">
        <v>7.52</v>
      </c>
      <c r="C1596">
        <v>7.9</v>
      </c>
      <c r="D1596">
        <v>7.34</v>
      </c>
      <c r="E1596">
        <v>7.8</v>
      </c>
      <c r="F1596">
        <v>7.6072379999999997</v>
      </c>
      <c r="G1596">
        <v>6870700</v>
      </c>
      <c r="I1596">
        <f t="shared" si="25"/>
        <v>2.1006444400288576E-3</v>
      </c>
    </row>
    <row r="1597" spans="1:9" x14ac:dyDescent="0.3">
      <c r="A1597" s="5">
        <v>43956</v>
      </c>
      <c r="B1597">
        <v>8.02</v>
      </c>
      <c r="C1597">
        <v>8.27</v>
      </c>
      <c r="D1597">
        <v>7.72</v>
      </c>
      <c r="E1597">
        <v>7.81</v>
      </c>
      <c r="F1597">
        <v>7.6169909999999996</v>
      </c>
      <c r="G1597">
        <v>8138900</v>
      </c>
      <c r="I1597">
        <f t="shared" si="25"/>
        <v>2.1986038046978894E-3</v>
      </c>
    </row>
    <row r="1598" spans="1:9" x14ac:dyDescent="0.3">
      <c r="A1598" s="5">
        <v>43957</v>
      </c>
      <c r="B1598">
        <v>7.89</v>
      </c>
      <c r="C1598">
        <v>7.94</v>
      </c>
      <c r="D1598">
        <v>7.585</v>
      </c>
      <c r="E1598">
        <v>7.71</v>
      </c>
      <c r="F1598">
        <v>7.5194619999999999</v>
      </c>
      <c r="G1598">
        <v>6236800</v>
      </c>
      <c r="I1598">
        <f t="shared" si="25"/>
        <v>8.300930236771006E-4</v>
      </c>
    </row>
    <row r="1599" spans="1:9" x14ac:dyDescent="0.3">
      <c r="A1599" s="5">
        <v>43958</v>
      </c>
      <c r="B1599">
        <v>7.84</v>
      </c>
      <c r="C1599">
        <v>8.01</v>
      </c>
      <c r="D1599">
        <v>7.36</v>
      </c>
      <c r="E1599">
        <v>7.49</v>
      </c>
      <c r="F1599">
        <v>7.3048979999999997</v>
      </c>
      <c r="G1599">
        <v>10984200</v>
      </c>
      <c r="I1599">
        <f t="shared" si="25"/>
        <v>2.5460862892314837E-3</v>
      </c>
    </row>
    <row r="1600" spans="1:9" x14ac:dyDescent="0.3">
      <c r="A1600" s="5">
        <v>43959</v>
      </c>
      <c r="B1600">
        <v>7.64</v>
      </c>
      <c r="C1600">
        <v>8.08</v>
      </c>
      <c r="D1600">
        <v>7.48</v>
      </c>
      <c r="E1600">
        <v>8.07</v>
      </c>
      <c r="F1600">
        <v>7.870565</v>
      </c>
      <c r="G1600">
        <v>11306400</v>
      </c>
      <c r="I1600">
        <f t="shared" si="25"/>
        <v>1.6761898329620221E-3</v>
      </c>
    </row>
    <row r="1601" spans="1:9" x14ac:dyDescent="0.3">
      <c r="A1601" s="5">
        <v>43962</v>
      </c>
      <c r="B1601">
        <v>7.78</v>
      </c>
      <c r="C1601">
        <v>7.91</v>
      </c>
      <c r="D1601">
        <v>7.66</v>
      </c>
      <c r="E1601">
        <v>7.77</v>
      </c>
      <c r="F1601">
        <v>7.5779800000000002</v>
      </c>
      <c r="G1601">
        <v>8314500</v>
      </c>
      <c r="I1601">
        <f t="shared" si="25"/>
        <v>5.1756071268797095E-4</v>
      </c>
    </row>
    <row r="1602" spans="1:9" x14ac:dyDescent="0.3">
      <c r="A1602" s="5">
        <v>43963</v>
      </c>
      <c r="B1602">
        <v>7.81</v>
      </c>
      <c r="C1602">
        <v>7.96</v>
      </c>
      <c r="D1602">
        <v>7.27</v>
      </c>
      <c r="E1602">
        <v>7.29</v>
      </c>
      <c r="F1602">
        <v>7.1098410000000003</v>
      </c>
      <c r="G1602">
        <v>8639700</v>
      </c>
      <c r="I1602">
        <f t="shared" si="25"/>
        <v>1.8695341351310398E-3</v>
      </c>
    </row>
    <row r="1603" spans="1:9" x14ac:dyDescent="0.3">
      <c r="A1603" s="5">
        <v>43964</v>
      </c>
      <c r="B1603">
        <v>7.31</v>
      </c>
      <c r="C1603">
        <v>7.34</v>
      </c>
      <c r="D1603">
        <v>6.87</v>
      </c>
      <c r="E1603">
        <v>6.98</v>
      </c>
      <c r="F1603">
        <v>6.8075020000000004</v>
      </c>
      <c r="G1603">
        <v>8751300</v>
      </c>
      <c r="I1603">
        <f t="shared" si="25"/>
        <v>1.1920816691855488E-3</v>
      </c>
    </row>
    <row r="1604" spans="1:9" x14ac:dyDescent="0.3">
      <c r="A1604" s="5">
        <v>43965</v>
      </c>
      <c r="B1604">
        <v>6.74</v>
      </c>
      <c r="C1604">
        <v>7.0449999999999999</v>
      </c>
      <c r="D1604">
        <v>6.38</v>
      </c>
      <c r="E1604">
        <v>6.81</v>
      </c>
      <c r="F1604">
        <v>6.6417029999999997</v>
      </c>
      <c r="G1604">
        <v>8896400</v>
      </c>
      <c r="I1604">
        <f t="shared" si="25"/>
        <v>5.0817713140737901E-3</v>
      </c>
    </row>
    <row r="1605" spans="1:9" x14ac:dyDescent="0.3">
      <c r="A1605" s="5">
        <v>43966</v>
      </c>
      <c r="B1605">
        <v>6.7</v>
      </c>
      <c r="C1605">
        <v>6.93</v>
      </c>
      <c r="D1605">
        <v>6.62</v>
      </c>
      <c r="E1605">
        <v>6.66</v>
      </c>
      <c r="F1605">
        <v>6.4954099999999997</v>
      </c>
      <c r="G1605">
        <v>6718500</v>
      </c>
      <c r="I1605">
        <f t="shared" si="25"/>
        <v>1.4136895773755489E-3</v>
      </c>
    </row>
    <row r="1606" spans="1:9" x14ac:dyDescent="0.3">
      <c r="A1606" s="5">
        <v>43969</v>
      </c>
      <c r="B1606">
        <v>7.07</v>
      </c>
      <c r="C1606">
        <v>7.875</v>
      </c>
      <c r="D1606">
        <v>7.01</v>
      </c>
      <c r="E1606">
        <v>7.8</v>
      </c>
      <c r="F1606">
        <v>7.6072379999999997</v>
      </c>
      <c r="G1606">
        <v>12915400</v>
      </c>
      <c r="I1606">
        <f t="shared" si="25"/>
        <v>1.9420135283697039E-3</v>
      </c>
    </row>
    <row r="1607" spans="1:9" x14ac:dyDescent="0.3">
      <c r="A1607" s="5">
        <v>43970</v>
      </c>
      <c r="B1607">
        <v>7.8</v>
      </c>
      <c r="C1607">
        <v>8.1950000000000003</v>
      </c>
      <c r="D1607">
        <v>7.66</v>
      </c>
      <c r="E1607">
        <v>7.74</v>
      </c>
      <c r="F1607">
        <v>7.5487200000000003</v>
      </c>
      <c r="G1607">
        <v>10589600</v>
      </c>
      <c r="I1607">
        <f t="shared" si="25"/>
        <v>3.0100557661913467E-3</v>
      </c>
    </row>
    <row r="1608" spans="1:9" x14ac:dyDescent="0.3">
      <c r="A1608" s="5">
        <v>43971</v>
      </c>
      <c r="B1608">
        <v>8.06</v>
      </c>
      <c r="C1608">
        <v>8.44</v>
      </c>
      <c r="D1608">
        <v>8.0549999999999997</v>
      </c>
      <c r="E1608">
        <v>8.35</v>
      </c>
      <c r="F1608">
        <v>8.1436460000000004</v>
      </c>
      <c r="G1608">
        <v>10545700</v>
      </c>
      <c r="I1608">
        <f t="shared" si="25"/>
        <v>5.1621238640989133E-4</v>
      </c>
    </row>
    <row r="1609" spans="1:9" x14ac:dyDescent="0.3">
      <c r="A1609" s="5">
        <v>43972</v>
      </c>
      <c r="B1609">
        <v>8.26</v>
      </c>
      <c r="C1609">
        <v>8.4</v>
      </c>
      <c r="D1609">
        <v>8.0299999999999994</v>
      </c>
      <c r="E1609">
        <v>8.2799999999999994</v>
      </c>
      <c r="F1609">
        <v>8.0753740000000001</v>
      </c>
      <c r="G1609">
        <v>9117500</v>
      </c>
      <c r="I1609">
        <f t="shared" si="25"/>
        <v>1.1076293972165428E-3</v>
      </c>
    </row>
    <row r="1610" spans="1:9" x14ac:dyDescent="0.3">
      <c r="A1610" s="5">
        <v>43973</v>
      </c>
      <c r="B1610">
        <v>8.3000000000000007</v>
      </c>
      <c r="C1610">
        <v>8.3680000000000003</v>
      </c>
      <c r="D1610">
        <v>8.02</v>
      </c>
      <c r="E1610">
        <v>8.2100000000000009</v>
      </c>
      <c r="F1610">
        <v>8.0071049999999993</v>
      </c>
      <c r="G1610">
        <v>4414800</v>
      </c>
      <c r="I1610">
        <f t="shared" si="25"/>
        <v>9.5905183520546375E-4</v>
      </c>
    </row>
    <row r="1611" spans="1:9" x14ac:dyDescent="0.3">
      <c r="A1611" s="5">
        <v>43977</v>
      </c>
      <c r="B1611">
        <v>8.6999999999999993</v>
      </c>
      <c r="C1611">
        <v>8.99</v>
      </c>
      <c r="D1611">
        <v>8.6150000000000002</v>
      </c>
      <c r="E1611">
        <v>8.76</v>
      </c>
      <c r="F1611">
        <v>8.5435119999999998</v>
      </c>
      <c r="G1611">
        <v>8563700</v>
      </c>
      <c r="I1611">
        <f t="shared" si="25"/>
        <v>1.0136871664245281E-3</v>
      </c>
    </row>
    <row r="1612" spans="1:9" x14ac:dyDescent="0.3">
      <c r="A1612" s="5">
        <v>43978</v>
      </c>
      <c r="B1612">
        <v>9.1199999999999992</v>
      </c>
      <c r="C1612">
        <v>9.7899999999999991</v>
      </c>
      <c r="D1612">
        <v>8.9250000000000007</v>
      </c>
      <c r="E1612">
        <v>9.76</v>
      </c>
      <c r="F1612">
        <v>9.5188000000000006</v>
      </c>
      <c r="G1612">
        <v>11370400</v>
      </c>
      <c r="I1612">
        <f t="shared" ref="I1612:I1675" si="26">LN(C1612/B1612)*(LN(C1612/B1612)-LN(E1612/B1612))+LN(D1612/B1612)*(LN(D1612/B1612)-LN(E1612/B1612))</f>
        <v>2.1505949093730352E-3</v>
      </c>
    </row>
    <row r="1613" spans="1:9" x14ac:dyDescent="0.3">
      <c r="A1613" s="5">
        <v>43979</v>
      </c>
      <c r="B1613">
        <v>9.9600000000000009</v>
      </c>
      <c r="C1613">
        <v>10.67</v>
      </c>
      <c r="D1613">
        <v>9.41</v>
      </c>
      <c r="E1613">
        <v>9.48</v>
      </c>
      <c r="F1613">
        <v>9.2457189999999994</v>
      </c>
      <c r="G1613">
        <v>15641300</v>
      </c>
      <c r="I1613">
        <f t="shared" si="26"/>
        <v>8.5636923642728544E-3</v>
      </c>
    </row>
    <row r="1614" spans="1:9" x14ac:dyDescent="0.3">
      <c r="A1614" s="5">
        <v>43980</v>
      </c>
      <c r="B1614">
        <v>9.2799999999999994</v>
      </c>
      <c r="C1614">
        <v>9.4700000000000006</v>
      </c>
      <c r="D1614">
        <v>8.9700000000000006</v>
      </c>
      <c r="E1614">
        <v>9.2100000000000009</v>
      </c>
      <c r="F1614">
        <v>8.9823930000000001</v>
      </c>
      <c r="G1614">
        <v>7932500</v>
      </c>
      <c r="I1614">
        <f t="shared" si="26"/>
        <v>1.4613290091731745E-3</v>
      </c>
    </row>
    <row r="1615" spans="1:9" x14ac:dyDescent="0.3">
      <c r="A1615" s="5">
        <v>43983</v>
      </c>
      <c r="B1615">
        <v>9.2100000000000009</v>
      </c>
      <c r="C1615">
        <v>9.6449999999999996</v>
      </c>
      <c r="D1615">
        <v>9.15</v>
      </c>
      <c r="E1615">
        <v>9.49</v>
      </c>
      <c r="F1615">
        <v>9.255471</v>
      </c>
      <c r="G1615">
        <v>5525200</v>
      </c>
      <c r="I1615">
        <f t="shared" si="26"/>
        <v>9.8613756164356997E-4</v>
      </c>
    </row>
    <row r="1616" spans="1:9" x14ac:dyDescent="0.3">
      <c r="A1616" s="5">
        <v>43984</v>
      </c>
      <c r="B1616">
        <v>9.6199999999999992</v>
      </c>
      <c r="C1616">
        <v>10.039999999999999</v>
      </c>
      <c r="D1616">
        <v>9.6199999999999992</v>
      </c>
      <c r="E1616">
        <v>9.92</v>
      </c>
      <c r="F1616">
        <v>9.6748469999999998</v>
      </c>
      <c r="G1616">
        <v>6267100</v>
      </c>
      <c r="I1616">
        <f t="shared" si="26"/>
        <v>5.1382802944298692E-4</v>
      </c>
    </row>
    <row r="1617" spans="1:9" x14ac:dyDescent="0.3">
      <c r="A1617" s="5">
        <v>43985</v>
      </c>
      <c r="B1617">
        <v>10.199999999999999</v>
      </c>
      <c r="C1617">
        <v>10.89</v>
      </c>
      <c r="D1617">
        <v>10.085000000000001</v>
      </c>
      <c r="E1617">
        <v>10.77</v>
      </c>
      <c r="F1617">
        <v>10.503838999999999</v>
      </c>
      <c r="G1617">
        <v>8568700</v>
      </c>
      <c r="I1617">
        <f t="shared" si="26"/>
        <v>1.4704115053809188E-3</v>
      </c>
    </row>
    <row r="1618" spans="1:9" x14ac:dyDescent="0.3">
      <c r="A1618" s="5">
        <v>43986</v>
      </c>
      <c r="B1618">
        <v>10.85</v>
      </c>
      <c r="C1618">
        <v>11.65</v>
      </c>
      <c r="D1618">
        <v>10.574999999999999</v>
      </c>
      <c r="E1618">
        <v>11.64</v>
      </c>
      <c r="F1618">
        <v>11.352339000000001</v>
      </c>
      <c r="G1618">
        <v>11430600</v>
      </c>
      <c r="I1618">
        <f t="shared" si="26"/>
        <v>2.5244751186754366E-3</v>
      </c>
    </row>
    <row r="1619" spans="1:9" x14ac:dyDescent="0.3">
      <c r="A1619" s="5">
        <v>43987</v>
      </c>
      <c r="B1619">
        <v>12.69</v>
      </c>
      <c r="C1619">
        <v>13.86</v>
      </c>
      <c r="D1619">
        <v>11.57</v>
      </c>
      <c r="E1619">
        <v>12.07</v>
      </c>
      <c r="F1619">
        <v>11.771710000000001</v>
      </c>
      <c r="G1619">
        <v>18677600</v>
      </c>
      <c r="I1619">
        <f t="shared" si="26"/>
        <v>1.6104796495851226E-2</v>
      </c>
    </row>
    <row r="1620" spans="1:9" x14ac:dyDescent="0.3">
      <c r="A1620" s="5">
        <v>43990</v>
      </c>
      <c r="B1620">
        <v>12.7</v>
      </c>
      <c r="C1620">
        <v>13.04</v>
      </c>
      <c r="D1620">
        <v>12.3</v>
      </c>
      <c r="E1620">
        <v>12.98</v>
      </c>
      <c r="F1620">
        <v>12.659223000000001</v>
      </c>
      <c r="G1620">
        <v>11247200</v>
      </c>
      <c r="I1620">
        <f t="shared" si="26"/>
        <v>1.8439242612556695E-3</v>
      </c>
    </row>
    <row r="1621" spans="1:9" x14ac:dyDescent="0.3">
      <c r="A1621" s="5">
        <v>43991</v>
      </c>
      <c r="B1621">
        <v>12.38</v>
      </c>
      <c r="C1621">
        <v>12.69</v>
      </c>
      <c r="D1621">
        <v>12.07</v>
      </c>
      <c r="E1621">
        <v>12.59</v>
      </c>
      <c r="F1621">
        <v>12.278862999999999</v>
      </c>
      <c r="G1621">
        <v>7781500</v>
      </c>
      <c r="I1621">
        <f t="shared" si="26"/>
        <v>1.2653133604404185E-3</v>
      </c>
    </row>
    <row r="1622" spans="1:9" x14ac:dyDescent="0.3">
      <c r="A1622" s="5">
        <v>43992</v>
      </c>
      <c r="B1622">
        <v>12.51</v>
      </c>
      <c r="C1622">
        <v>12.61</v>
      </c>
      <c r="D1622">
        <v>11.93</v>
      </c>
      <c r="E1622">
        <v>12.17</v>
      </c>
      <c r="F1622">
        <v>11.869242</v>
      </c>
      <c r="G1622">
        <v>8252100</v>
      </c>
      <c r="I1622">
        <f t="shared" si="26"/>
        <v>1.2283075615070423E-3</v>
      </c>
    </row>
    <row r="1623" spans="1:9" x14ac:dyDescent="0.3">
      <c r="A1623" s="5">
        <v>43993</v>
      </c>
      <c r="B1623">
        <v>10.89</v>
      </c>
      <c r="C1623">
        <v>11.44</v>
      </c>
      <c r="D1623">
        <v>10.27</v>
      </c>
      <c r="E1623">
        <v>10.42</v>
      </c>
      <c r="F1623">
        <v>10.162488</v>
      </c>
      <c r="G1623">
        <v>11959400</v>
      </c>
      <c r="I1623">
        <f t="shared" si="26"/>
        <v>5.4513319782681004E-3</v>
      </c>
    </row>
    <row r="1624" spans="1:9" x14ac:dyDescent="0.3">
      <c r="A1624" s="5">
        <v>43994</v>
      </c>
      <c r="B1624">
        <v>11.2</v>
      </c>
      <c r="C1624">
        <v>11.62</v>
      </c>
      <c r="D1624">
        <v>11.045</v>
      </c>
      <c r="E1624">
        <v>11.53</v>
      </c>
      <c r="F1624">
        <v>11.245056</v>
      </c>
      <c r="G1624">
        <v>10185600</v>
      </c>
      <c r="I1624">
        <f t="shared" si="26"/>
        <v>8.8513407654245715E-4</v>
      </c>
    </row>
    <row r="1625" spans="1:9" x14ac:dyDescent="0.3">
      <c r="A1625" s="5">
        <v>43997</v>
      </c>
      <c r="B1625">
        <v>10.9</v>
      </c>
      <c r="C1625">
        <v>11.53</v>
      </c>
      <c r="D1625">
        <v>10.68</v>
      </c>
      <c r="E1625">
        <v>11.41</v>
      </c>
      <c r="F1625">
        <v>11.128022</v>
      </c>
      <c r="G1625">
        <v>6956200</v>
      </c>
      <c r="I1625">
        <f t="shared" si="26"/>
        <v>1.9359940322366911E-3</v>
      </c>
    </row>
    <row r="1626" spans="1:9" x14ac:dyDescent="0.3">
      <c r="A1626" s="5">
        <v>43998</v>
      </c>
      <c r="B1626">
        <v>12.02</v>
      </c>
      <c r="C1626">
        <v>12.14</v>
      </c>
      <c r="D1626">
        <v>11.38</v>
      </c>
      <c r="E1626">
        <v>11.55</v>
      </c>
      <c r="F1626">
        <v>11.264562</v>
      </c>
      <c r="G1626">
        <v>9383200</v>
      </c>
      <c r="I1626">
        <f t="shared" si="26"/>
        <v>1.3062152601446653E-3</v>
      </c>
    </row>
    <row r="1627" spans="1:9" x14ac:dyDescent="0.3">
      <c r="A1627" s="5">
        <v>43999</v>
      </c>
      <c r="B1627">
        <v>11.55</v>
      </c>
      <c r="C1627">
        <v>11.81</v>
      </c>
      <c r="D1627">
        <v>11.38</v>
      </c>
      <c r="E1627">
        <v>11.55</v>
      </c>
      <c r="F1627">
        <v>11.264562</v>
      </c>
      <c r="G1627">
        <v>6532200</v>
      </c>
      <c r="I1627">
        <f t="shared" si="26"/>
        <v>7.1543055377785091E-4</v>
      </c>
    </row>
    <row r="1628" spans="1:9" x14ac:dyDescent="0.3">
      <c r="A1628" s="5">
        <v>44000</v>
      </c>
      <c r="B1628">
        <v>11.26</v>
      </c>
      <c r="C1628">
        <v>11.935</v>
      </c>
      <c r="D1628">
        <v>11.13</v>
      </c>
      <c r="E1628">
        <v>11.65</v>
      </c>
      <c r="F1628">
        <v>11.362092000000001</v>
      </c>
      <c r="G1628">
        <v>6059700</v>
      </c>
      <c r="I1628">
        <f t="shared" si="26"/>
        <v>1.9373390860815305E-3</v>
      </c>
    </row>
    <row r="1629" spans="1:9" x14ac:dyDescent="0.3">
      <c r="A1629" s="5">
        <v>44001</v>
      </c>
      <c r="B1629">
        <v>11.98</v>
      </c>
      <c r="C1629">
        <v>12</v>
      </c>
      <c r="D1629">
        <v>11.34</v>
      </c>
      <c r="E1629">
        <v>11.48</v>
      </c>
      <c r="F1629">
        <v>11.196294</v>
      </c>
      <c r="G1629">
        <v>8894300</v>
      </c>
      <c r="I1629">
        <f t="shared" si="26"/>
        <v>7.4755159705525457E-4</v>
      </c>
    </row>
    <row r="1630" spans="1:9" x14ac:dyDescent="0.3">
      <c r="A1630" s="5">
        <v>44004</v>
      </c>
      <c r="B1630">
        <v>11.42</v>
      </c>
      <c r="C1630">
        <v>11.91</v>
      </c>
      <c r="D1630">
        <v>11.33</v>
      </c>
      <c r="E1630">
        <v>11.83</v>
      </c>
      <c r="F1630">
        <v>11.537644</v>
      </c>
      <c r="G1630">
        <v>7827400</v>
      </c>
      <c r="I1630">
        <f t="shared" si="26"/>
        <v>6.2483186711498437E-4</v>
      </c>
    </row>
    <row r="1631" spans="1:9" x14ac:dyDescent="0.3">
      <c r="A1631" s="5">
        <v>44005</v>
      </c>
      <c r="B1631">
        <v>12.12</v>
      </c>
      <c r="C1631">
        <v>12.31</v>
      </c>
      <c r="D1631">
        <v>11.93</v>
      </c>
      <c r="E1631">
        <v>12.2</v>
      </c>
      <c r="F1631">
        <v>11.898498999999999</v>
      </c>
      <c r="G1631">
        <v>7237300</v>
      </c>
      <c r="I1631">
        <f t="shared" si="26"/>
        <v>4.932373067629243E-4</v>
      </c>
    </row>
    <row r="1632" spans="1:9" x14ac:dyDescent="0.3">
      <c r="A1632" s="5">
        <v>44006</v>
      </c>
      <c r="B1632">
        <v>11.96</v>
      </c>
      <c r="C1632">
        <v>12.04</v>
      </c>
      <c r="D1632">
        <v>10.9</v>
      </c>
      <c r="E1632">
        <v>11.14</v>
      </c>
      <c r="F1632">
        <v>10.864697</v>
      </c>
      <c r="G1632">
        <v>7562700</v>
      </c>
      <c r="I1632">
        <f t="shared" si="26"/>
        <v>2.5391904852468581E-3</v>
      </c>
    </row>
    <row r="1633" spans="1:9" x14ac:dyDescent="0.3">
      <c r="A1633" s="5">
        <v>44007</v>
      </c>
      <c r="B1633">
        <v>11.01</v>
      </c>
      <c r="C1633">
        <v>11.84</v>
      </c>
      <c r="D1633">
        <v>10.86</v>
      </c>
      <c r="E1633">
        <v>11.83</v>
      </c>
      <c r="F1633">
        <v>11.537644</v>
      </c>
      <c r="G1633">
        <v>6728600</v>
      </c>
      <c r="I1633">
        <f t="shared" si="26"/>
        <v>1.2349870018467397E-3</v>
      </c>
    </row>
    <row r="1634" spans="1:9" x14ac:dyDescent="0.3">
      <c r="A1634" s="5">
        <v>44008</v>
      </c>
      <c r="B1634">
        <v>11.61</v>
      </c>
      <c r="C1634">
        <v>11.7</v>
      </c>
      <c r="D1634">
        <v>10.87</v>
      </c>
      <c r="E1634">
        <v>10.93</v>
      </c>
      <c r="F1634">
        <v>10.659884999999999</v>
      </c>
      <c r="G1634">
        <v>25817600</v>
      </c>
      <c r="I1634">
        <f t="shared" si="26"/>
        <v>8.8823144497995139E-4</v>
      </c>
    </row>
    <row r="1635" spans="1:9" x14ac:dyDescent="0.3">
      <c r="A1635" s="5">
        <v>44011</v>
      </c>
      <c r="B1635">
        <v>11.04</v>
      </c>
      <c r="C1635">
        <v>11.19</v>
      </c>
      <c r="D1635">
        <v>10.7</v>
      </c>
      <c r="E1635">
        <v>10.99</v>
      </c>
      <c r="F1635">
        <v>10.718403</v>
      </c>
      <c r="G1635">
        <v>7397600</v>
      </c>
      <c r="I1635">
        <f t="shared" si="26"/>
        <v>1.0799130382808187E-3</v>
      </c>
    </row>
    <row r="1636" spans="1:9" x14ac:dyDescent="0.3">
      <c r="A1636" s="5">
        <v>44012</v>
      </c>
      <c r="B1636">
        <v>10.84</v>
      </c>
      <c r="C1636">
        <v>11.36</v>
      </c>
      <c r="D1636">
        <v>10.744999999999999</v>
      </c>
      <c r="E1636">
        <v>11.24</v>
      </c>
      <c r="F1636">
        <v>10.962223</v>
      </c>
      <c r="G1636">
        <v>5798100</v>
      </c>
      <c r="I1636">
        <f t="shared" si="26"/>
        <v>8.9403255597199295E-4</v>
      </c>
    </row>
    <row r="1637" spans="1:9" x14ac:dyDescent="0.3">
      <c r="A1637" s="5">
        <v>44013</v>
      </c>
      <c r="B1637">
        <v>11.18</v>
      </c>
      <c r="C1637">
        <v>11.66</v>
      </c>
      <c r="D1637">
        <v>10.9</v>
      </c>
      <c r="E1637">
        <v>10.95</v>
      </c>
      <c r="F1637">
        <v>10.679391000000001</v>
      </c>
      <c r="G1637">
        <v>7706500</v>
      </c>
      <c r="I1637">
        <f t="shared" si="26"/>
        <v>2.7570888678773073E-3</v>
      </c>
    </row>
    <row r="1638" spans="1:9" x14ac:dyDescent="0.3">
      <c r="A1638" s="5">
        <v>44014</v>
      </c>
      <c r="B1638">
        <v>11.26</v>
      </c>
      <c r="C1638">
        <v>11.68</v>
      </c>
      <c r="D1638">
        <v>10.86</v>
      </c>
      <c r="E1638">
        <v>10.97</v>
      </c>
      <c r="F1638">
        <v>10.698897000000001</v>
      </c>
      <c r="G1638">
        <v>7515400</v>
      </c>
      <c r="I1638">
        <f t="shared" si="26"/>
        <v>2.6611836769072496E-3</v>
      </c>
    </row>
    <row r="1639" spans="1:9" x14ac:dyDescent="0.3">
      <c r="A1639" s="5">
        <v>44018</v>
      </c>
      <c r="B1639">
        <v>11.35</v>
      </c>
      <c r="C1639">
        <v>11.574999999999999</v>
      </c>
      <c r="D1639">
        <v>11.02</v>
      </c>
      <c r="E1639">
        <v>11.47</v>
      </c>
      <c r="F1639">
        <v>11.186541999999999</v>
      </c>
      <c r="G1639">
        <v>7084300</v>
      </c>
      <c r="I1639">
        <f t="shared" si="26"/>
        <v>1.3598003816119597E-3</v>
      </c>
    </row>
    <row r="1640" spans="1:9" x14ac:dyDescent="0.3">
      <c r="A1640" s="5">
        <v>44019</v>
      </c>
      <c r="B1640">
        <v>11.23</v>
      </c>
      <c r="C1640">
        <v>11.64</v>
      </c>
      <c r="D1640">
        <v>11.11</v>
      </c>
      <c r="E1640">
        <v>11.23</v>
      </c>
      <c r="F1640">
        <v>10.95247</v>
      </c>
      <c r="G1640">
        <v>4613900</v>
      </c>
      <c r="I1640">
        <f t="shared" si="26"/>
        <v>1.4012600653166816E-3</v>
      </c>
    </row>
    <row r="1641" spans="1:9" x14ac:dyDescent="0.3">
      <c r="A1641" s="5">
        <v>44020</v>
      </c>
      <c r="B1641">
        <v>12.07</v>
      </c>
      <c r="C1641">
        <v>12.12</v>
      </c>
      <c r="D1641">
        <v>10.89</v>
      </c>
      <c r="E1641">
        <v>11.09</v>
      </c>
      <c r="F1641">
        <v>10.815931000000001</v>
      </c>
      <c r="G1641">
        <v>12284000</v>
      </c>
      <c r="I1641">
        <f t="shared" si="26"/>
        <v>2.2394134056562109E-3</v>
      </c>
    </row>
    <row r="1642" spans="1:9" x14ac:dyDescent="0.3">
      <c r="A1642" s="5">
        <v>44021</v>
      </c>
      <c r="B1642">
        <v>11.03</v>
      </c>
      <c r="C1642">
        <v>11.061</v>
      </c>
      <c r="D1642">
        <v>10.46</v>
      </c>
      <c r="E1642">
        <v>10.52</v>
      </c>
      <c r="F1642">
        <v>10.260016999999999</v>
      </c>
      <c r="G1642">
        <v>8074300</v>
      </c>
      <c r="I1642">
        <f t="shared" si="26"/>
        <v>4.4423386959774119E-4</v>
      </c>
    </row>
    <row r="1643" spans="1:9" x14ac:dyDescent="0.3">
      <c r="A1643" s="5">
        <v>44022</v>
      </c>
      <c r="B1643">
        <v>10.49</v>
      </c>
      <c r="C1643">
        <v>11.42</v>
      </c>
      <c r="D1643">
        <v>10.430999999999999</v>
      </c>
      <c r="E1643">
        <v>11.41</v>
      </c>
      <c r="F1643">
        <v>11.128022</v>
      </c>
      <c r="G1643">
        <v>7890300</v>
      </c>
      <c r="I1643">
        <f t="shared" si="26"/>
        <v>5.8039260811233793E-4</v>
      </c>
    </row>
    <row r="1644" spans="1:9" x14ac:dyDescent="0.3">
      <c r="A1644" s="5">
        <v>44025</v>
      </c>
      <c r="B1644">
        <v>11.53</v>
      </c>
      <c r="C1644">
        <v>11.975</v>
      </c>
      <c r="D1644">
        <v>11.465</v>
      </c>
      <c r="E1644">
        <v>11.51</v>
      </c>
      <c r="F1644">
        <v>11.225552</v>
      </c>
      <c r="G1644">
        <v>7871900</v>
      </c>
      <c r="I1644">
        <f t="shared" si="26"/>
        <v>1.5219373434369641E-3</v>
      </c>
    </row>
    <row r="1645" spans="1:9" x14ac:dyDescent="0.3">
      <c r="A1645" s="5">
        <v>44026</v>
      </c>
      <c r="B1645">
        <v>11.38</v>
      </c>
      <c r="C1645">
        <v>12.7</v>
      </c>
      <c r="D1645">
        <v>11.24</v>
      </c>
      <c r="E1645">
        <v>12.61</v>
      </c>
      <c r="F1645">
        <v>12.298367000000001</v>
      </c>
      <c r="G1645">
        <v>11441100</v>
      </c>
      <c r="I1645">
        <f t="shared" si="26"/>
        <v>2.204163301223317E-3</v>
      </c>
    </row>
    <row r="1646" spans="1:9" x14ac:dyDescent="0.3">
      <c r="A1646" s="5">
        <v>44027</v>
      </c>
      <c r="B1646">
        <v>12.85</v>
      </c>
      <c r="C1646">
        <v>12.97</v>
      </c>
      <c r="D1646">
        <v>12.125</v>
      </c>
      <c r="E1646">
        <v>12.69</v>
      </c>
      <c r="F1646">
        <v>12.376389</v>
      </c>
      <c r="G1646">
        <v>11807600</v>
      </c>
      <c r="I1646">
        <f t="shared" si="26"/>
        <v>2.8478532019890982E-3</v>
      </c>
    </row>
    <row r="1647" spans="1:9" x14ac:dyDescent="0.3">
      <c r="A1647" s="5">
        <v>44028</v>
      </c>
      <c r="B1647">
        <v>12.81</v>
      </c>
      <c r="C1647">
        <v>13.7</v>
      </c>
      <c r="D1647">
        <v>12.75</v>
      </c>
      <c r="E1647">
        <v>13.49</v>
      </c>
      <c r="F1647">
        <v>13.156618</v>
      </c>
      <c r="G1647">
        <v>16696900</v>
      </c>
      <c r="I1647">
        <f t="shared" si="26"/>
        <v>1.3024524426583318E-3</v>
      </c>
    </row>
    <row r="1648" spans="1:9" x14ac:dyDescent="0.3">
      <c r="A1648" s="5">
        <v>44029</v>
      </c>
      <c r="B1648">
        <v>13.54</v>
      </c>
      <c r="C1648">
        <v>13.86</v>
      </c>
      <c r="D1648">
        <v>12.78</v>
      </c>
      <c r="E1648">
        <v>13.06</v>
      </c>
      <c r="F1648">
        <v>12.737247</v>
      </c>
      <c r="G1648">
        <v>9756100</v>
      </c>
      <c r="I1648">
        <f t="shared" si="26"/>
        <v>2.6407047927752086E-3</v>
      </c>
    </row>
    <row r="1649" spans="1:9" x14ac:dyDescent="0.3">
      <c r="A1649" s="5">
        <v>44032</v>
      </c>
      <c r="B1649">
        <v>12.9</v>
      </c>
      <c r="C1649">
        <v>13.092000000000001</v>
      </c>
      <c r="D1649">
        <v>12.71</v>
      </c>
      <c r="E1649">
        <v>12.72</v>
      </c>
      <c r="F1649">
        <v>12.405649</v>
      </c>
      <c r="G1649">
        <v>4678600</v>
      </c>
      <c r="I1649">
        <f t="shared" si="26"/>
        <v>4.3754351532735678E-4</v>
      </c>
    </row>
    <row r="1650" spans="1:9" x14ac:dyDescent="0.3">
      <c r="A1650" s="5">
        <v>44033</v>
      </c>
      <c r="B1650">
        <v>12.83</v>
      </c>
      <c r="C1650">
        <v>13.27</v>
      </c>
      <c r="D1650">
        <v>12.81</v>
      </c>
      <c r="E1650">
        <v>13.16</v>
      </c>
      <c r="F1650">
        <v>12.834773999999999</v>
      </c>
      <c r="G1650">
        <v>5730800</v>
      </c>
      <c r="I1650">
        <f t="shared" si="26"/>
        <v>3.2273266987824407E-4</v>
      </c>
    </row>
    <row r="1651" spans="1:9" x14ac:dyDescent="0.3">
      <c r="A1651" s="5">
        <v>44034</v>
      </c>
      <c r="B1651">
        <v>13.05</v>
      </c>
      <c r="C1651">
        <v>13.385</v>
      </c>
      <c r="D1651">
        <v>13</v>
      </c>
      <c r="E1651">
        <v>13.07</v>
      </c>
      <c r="F1651">
        <v>12.746999000000001</v>
      </c>
      <c r="G1651">
        <v>4860900</v>
      </c>
      <c r="I1651">
        <f t="shared" si="26"/>
        <v>6.2424659358179761E-4</v>
      </c>
    </row>
    <row r="1652" spans="1:9" x14ac:dyDescent="0.3">
      <c r="A1652" s="5">
        <v>44035</v>
      </c>
      <c r="B1652">
        <v>13.02</v>
      </c>
      <c r="C1652">
        <v>13.17</v>
      </c>
      <c r="D1652">
        <v>12.62</v>
      </c>
      <c r="E1652">
        <v>12.71</v>
      </c>
      <c r="F1652">
        <v>12.395896</v>
      </c>
      <c r="G1652">
        <v>5685000</v>
      </c>
      <c r="I1652">
        <f t="shared" si="26"/>
        <v>6.2898996478604017E-4</v>
      </c>
    </row>
    <row r="1653" spans="1:9" x14ac:dyDescent="0.3">
      <c r="A1653" s="5">
        <v>44036</v>
      </c>
      <c r="B1653">
        <v>12.59</v>
      </c>
      <c r="C1653">
        <v>12.86</v>
      </c>
      <c r="D1653">
        <v>12.3</v>
      </c>
      <c r="E1653">
        <v>12.75</v>
      </c>
      <c r="F1653">
        <v>12.434908999999999</v>
      </c>
      <c r="G1653">
        <v>4173700</v>
      </c>
      <c r="I1653">
        <f t="shared" si="26"/>
        <v>1.0196242445341252E-3</v>
      </c>
    </row>
    <row r="1654" spans="1:9" x14ac:dyDescent="0.3">
      <c r="A1654" s="5">
        <v>44039</v>
      </c>
      <c r="B1654">
        <v>12.81</v>
      </c>
      <c r="C1654">
        <v>13.31</v>
      </c>
      <c r="D1654">
        <v>12.532999999999999</v>
      </c>
      <c r="E1654">
        <v>13.24</v>
      </c>
      <c r="F1654">
        <v>12.912796999999999</v>
      </c>
      <c r="G1654">
        <v>4692300</v>
      </c>
      <c r="I1654">
        <f t="shared" si="26"/>
        <v>1.401575538642761E-3</v>
      </c>
    </row>
    <row r="1655" spans="1:9" x14ac:dyDescent="0.3">
      <c r="A1655" s="5">
        <v>44040</v>
      </c>
      <c r="B1655">
        <v>12.97</v>
      </c>
      <c r="C1655">
        <v>13.12</v>
      </c>
      <c r="D1655">
        <v>12.8</v>
      </c>
      <c r="E1655">
        <v>12.91</v>
      </c>
      <c r="F1655">
        <v>12.590954</v>
      </c>
      <c r="G1655">
        <v>3546400</v>
      </c>
      <c r="I1655">
        <f t="shared" si="26"/>
        <v>2.9843958165029082E-4</v>
      </c>
    </row>
    <row r="1656" spans="1:9" x14ac:dyDescent="0.3">
      <c r="A1656" s="5">
        <v>44041</v>
      </c>
      <c r="B1656">
        <v>13</v>
      </c>
      <c r="C1656">
        <v>13.36</v>
      </c>
      <c r="D1656">
        <v>12.81</v>
      </c>
      <c r="E1656">
        <v>13.18</v>
      </c>
      <c r="F1656">
        <v>12.854279999999999</v>
      </c>
      <c r="G1656">
        <v>4758500</v>
      </c>
      <c r="I1656">
        <f t="shared" si="26"/>
        <v>7.8976477446669941E-4</v>
      </c>
    </row>
    <row r="1657" spans="1:9" x14ac:dyDescent="0.3">
      <c r="A1657" s="5">
        <v>44042</v>
      </c>
      <c r="B1657">
        <v>12.83</v>
      </c>
      <c r="C1657">
        <v>13.25</v>
      </c>
      <c r="D1657">
        <v>12.47</v>
      </c>
      <c r="E1657">
        <v>13.18</v>
      </c>
      <c r="F1657">
        <v>12.854279999999999</v>
      </c>
      <c r="G1657">
        <v>6615900</v>
      </c>
      <c r="I1657">
        <f t="shared" si="26"/>
        <v>1.7466135345182937E-3</v>
      </c>
    </row>
    <row r="1658" spans="1:9" x14ac:dyDescent="0.3">
      <c r="A1658" s="5">
        <v>44043</v>
      </c>
      <c r="B1658">
        <v>12.92</v>
      </c>
      <c r="C1658">
        <v>13.13</v>
      </c>
      <c r="D1658">
        <v>12.48</v>
      </c>
      <c r="E1658">
        <v>13</v>
      </c>
      <c r="F1658">
        <v>12.678729000000001</v>
      </c>
      <c r="G1658">
        <v>10357300</v>
      </c>
      <c r="I1658">
        <f t="shared" si="26"/>
        <v>1.5748778904811265E-3</v>
      </c>
    </row>
    <row r="1659" spans="1:9" x14ac:dyDescent="0.3">
      <c r="A1659" s="5">
        <v>44046</v>
      </c>
      <c r="B1659">
        <v>13.08</v>
      </c>
      <c r="C1659">
        <v>13.78</v>
      </c>
      <c r="D1659">
        <v>12.92</v>
      </c>
      <c r="E1659">
        <v>13.68</v>
      </c>
      <c r="F1659">
        <v>13.341925</v>
      </c>
      <c r="G1659">
        <v>5887100</v>
      </c>
      <c r="I1659">
        <f t="shared" si="26"/>
        <v>1.083206810656951E-3</v>
      </c>
    </row>
    <row r="1660" spans="1:9" x14ac:dyDescent="0.3">
      <c r="A1660" s="5">
        <v>44047</v>
      </c>
      <c r="B1660">
        <v>13.61</v>
      </c>
      <c r="C1660">
        <v>13.85</v>
      </c>
      <c r="D1660">
        <v>13.3</v>
      </c>
      <c r="E1660">
        <v>13.67</v>
      </c>
      <c r="F1660">
        <v>13.332171000000001</v>
      </c>
      <c r="G1660">
        <v>4871600</v>
      </c>
      <c r="I1660">
        <f t="shared" si="26"/>
        <v>8.6090167671539018E-4</v>
      </c>
    </row>
    <row r="1661" spans="1:9" x14ac:dyDescent="0.3">
      <c r="A1661" s="5">
        <v>44048</v>
      </c>
      <c r="B1661">
        <v>14</v>
      </c>
      <c r="C1661">
        <v>14.845000000000001</v>
      </c>
      <c r="D1661">
        <v>14</v>
      </c>
      <c r="E1661">
        <v>14.68</v>
      </c>
      <c r="F1661">
        <v>14.317213000000001</v>
      </c>
      <c r="G1661">
        <v>9431700</v>
      </c>
      <c r="I1661">
        <f t="shared" si="26"/>
        <v>6.5504177062887742E-4</v>
      </c>
    </row>
    <row r="1662" spans="1:9" x14ac:dyDescent="0.3">
      <c r="A1662" s="5">
        <v>44049</v>
      </c>
      <c r="B1662">
        <v>14.73</v>
      </c>
      <c r="C1662">
        <v>15.5</v>
      </c>
      <c r="D1662">
        <v>14.32</v>
      </c>
      <c r="E1662">
        <v>14.9</v>
      </c>
      <c r="F1662">
        <v>14.531775</v>
      </c>
      <c r="G1662">
        <v>10031600</v>
      </c>
      <c r="I1662">
        <f t="shared" si="26"/>
        <v>3.1324035848188832E-3</v>
      </c>
    </row>
    <row r="1663" spans="1:9" x14ac:dyDescent="0.3">
      <c r="A1663" s="5">
        <v>44050</v>
      </c>
      <c r="B1663">
        <v>14.64</v>
      </c>
      <c r="C1663">
        <v>14.84</v>
      </c>
      <c r="D1663">
        <v>14.23</v>
      </c>
      <c r="E1663">
        <v>14.67</v>
      </c>
      <c r="F1663">
        <v>14.307456999999999</v>
      </c>
      <c r="G1663">
        <v>6573600</v>
      </c>
      <c r="I1663">
        <f t="shared" si="26"/>
        <v>1.0213311998978961E-3</v>
      </c>
    </row>
    <row r="1664" spans="1:9" x14ac:dyDescent="0.3">
      <c r="A1664" s="5">
        <v>44053</v>
      </c>
      <c r="B1664">
        <v>14.86</v>
      </c>
      <c r="C1664">
        <v>16.07</v>
      </c>
      <c r="D1664">
        <v>14.84</v>
      </c>
      <c r="E1664">
        <v>15.57</v>
      </c>
      <c r="F1664">
        <v>15.185216</v>
      </c>
      <c r="G1664">
        <v>8087800</v>
      </c>
      <c r="I1664">
        <f t="shared" si="26"/>
        <v>2.5389985378407136E-3</v>
      </c>
    </row>
    <row r="1665" spans="1:9" x14ac:dyDescent="0.3">
      <c r="A1665" s="5">
        <v>44054</v>
      </c>
      <c r="B1665">
        <v>16.02</v>
      </c>
      <c r="C1665">
        <v>16.07</v>
      </c>
      <c r="D1665">
        <v>14.83</v>
      </c>
      <c r="E1665">
        <v>14.89</v>
      </c>
      <c r="F1665">
        <v>14.522019</v>
      </c>
      <c r="G1665">
        <v>7744500</v>
      </c>
      <c r="I1665">
        <f t="shared" si="26"/>
        <v>5.4931013740066909E-4</v>
      </c>
    </row>
    <row r="1666" spans="1:9" x14ac:dyDescent="0.3">
      <c r="A1666" s="5">
        <v>44055</v>
      </c>
      <c r="B1666">
        <v>15.27</v>
      </c>
      <c r="C1666">
        <v>15.414999999999999</v>
      </c>
      <c r="D1666">
        <v>14.82</v>
      </c>
      <c r="E1666">
        <v>14.96</v>
      </c>
      <c r="F1666">
        <v>14.590292</v>
      </c>
      <c r="G1666">
        <v>3986500</v>
      </c>
      <c r="I1666">
        <f t="shared" si="26"/>
        <v>5.6440838415027482E-4</v>
      </c>
    </row>
    <row r="1667" spans="1:9" x14ac:dyDescent="0.3">
      <c r="A1667" s="5">
        <v>44056</v>
      </c>
      <c r="B1667">
        <v>14.75</v>
      </c>
      <c r="C1667">
        <v>15.12</v>
      </c>
      <c r="D1667">
        <v>14.42</v>
      </c>
      <c r="E1667">
        <v>14.48</v>
      </c>
      <c r="F1667">
        <v>14.122153000000001</v>
      </c>
      <c r="G1667">
        <v>4135700</v>
      </c>
      <c r="I1667">
        <f t="shared" si="26"/>
        <v>1.1654836754073897E-3</v>
      </c>
    </row>
    <row r="1668" spans="1:9" x14ac:dyDescent="0.3">
      <c r="A1668" s="5">
        <v>44057</v>
      </c>
      <c r="B1668">
        <v>14.33</v>
      </c>
      <c r="C1668">
        <v>14.78</v>
      </c>
      <c r="D1668">
        <v>14.18</v>
      </c>
      <c r="E1668">
        <v>14.64</v>
      </c>
      <c r="F1668">
        <v>14.278198</v>
      </c>
      <c r="G1668">
        <v>2991500</v>
      </c>
      <c r="I1668">
        <f t="shared" si="26"/>
        <v>6.3021284553493623E-4</v>
      </c>
    </row>
    <row r="1669" spans="1:9" x14ac:dyDescent="0.3">
      <c r="A1669" s="5">
        <v>44060</v>
      </c>
      <c r="B1669">
        <v>14.75</v>
      </c>
      <c r="C1669">
        <v>14.9</v>
      </c>
      <c r="D1669">
        <v>14.36</v>
      </c>
      <c r="E1669">
        <v>14.5</v>
      </c>
      <c r="F1669">
        <v>14.141659000000001</v>
      </c>
      <c r="G1669">
        <v>2527700</v>
      </c>
      <c r="I1669">
        <f t="shared" si="26"/>
        <v>5.3532238814433955E-4</v>
      </c>
    </row>
    <row r="1670" spans="1:9" x14ac:dyDescent="0.3">
      <c r="A1670" s="5">
        <v>44061</v>
      </c>
      <c r="B1670">
        <v>14.62</v>
      </c>
      <c r="C1670">
        <v>14.977</v>
      </c>
      <c r="D1670">
        <v>14.57</v>
      </c>
      <c r="E1670">
        <v>14.76</v>
      </c>
      <c r="F1670">
        <v>14.395235</v>
      </c>
      <c r="G1670">
        <v>4570800</v>
      </c>
      <c r="I1670">
        <f t="shared" si="26"/>
        <v>3.9649052593980066E-4</v>
      </c>
    </row>
    <row r="1671" spans="1:9" x14ac:dyDescent="0.3">
      <c r="A1671" s="5">
        <v>44062</v>
      </c>
      <c r="B1671">
        <v>14.8</v>
      </c>
      <c r="C1671">
        <v>15.945</v>
      </c>
      <c r="D1671">
        <v>14.77</v>
      </c>
      <c r="E1671">
        <v>15.31</v>
      </c>
      <c r="F1671">
        <v>14.931642999999999</v>
      </c>
      <c r="G1671">
        <v>7297300</v>
      </c>
      <c r="I1671">
        <f t="shared" si="26"/>
        <v>3.10120921780033E-3</v>
      </c>
    </row>
    <row r="1672" spans="1:9" x14ac:dyDescent="0.3">
      <c r="A1672" s="5">
        <v>44063</v>
      </c>
      <c r="B1672">
        <v>15.04</v>
      </c>
      <c r="C1672">
        <v>15.244999999999999</v>
      </c>
      <c r="D1672">
        <v>14.73</v>
      </c>
      <c r="E1672">
        <v>15.19</v>
      </c>
      <c r="F1672">
        <v>14.814607000000001</v>
      </c>
      <c r="G1672">
        <v>3140900</v>
      </c>
      <c r="I1672">
        <f t="shared" si="26"/>
        <v>6.8938642884813111E-4</v>
      </c>
    </row>
    <row r="1673" spans="1:9" x14ac:dyDescent="0.3">
      <c r="A1673" s="5">
        <v>44064</v>
      </c>
      <c r="B1673">
        <v>14.91</v>
      </c>
      <c r="C1673">
        <v>15.04</v>
      </c>
      <c r="D1673">
        <v>14.515000000000001</v>
      </c>
      <c r="E1673">
        <v>14.6</v>
      </c>
      <c r="F1673">
        <v>14.239188</v>
      </c>
      <c r="G1673">
        <v>4326700</v>
      </c>
      <c r="I1673">
        <f t="shared" si="26"/>
        <v>4.1453262821352472E-4</v>
      </c>
    </row>
    <row r="1674" spans="1:9" x14ac:dyDescent="0.3">
      <c r="A1674" s="5">
        <v>44067</v>
      </c>
      <c r="B1674">
        <v>14.85</v>
      </c>
      <c r="C1674">
        <v>15.13</v>
      </c>
      <c r="D1674">
        <v>14.7</v>
      </c>
      <c r="E1674">
        <v>15.12</v>
      </c>
      <c r="F1674">
        <v>14.746339000000001</v>
      </c>
      <c r="G1674">
        <v>3171200</v>
      </c>
      <c r="I1674">
        <f t="shared" si="26"/>
        <v>2.9835139799967047E-4</v>
      </c>
    </row>
    <row r="1675" spans="1:9" x14ac:dyDescent="0.3">
      <c r="A1675" s="5">
        <v>44068</v>
      </c>
      <c r="B1675">
        <v>15.12</v>
      </c>
      <c r="C1675">
        <v>15.25</v>
      </c>
      <c r="D1675">
        <v>14.82</v>
      </c>
      <c r="E1675">
        <v>15.05</v>
      </c>
      <c r="F1675">
        <v>14.678065999999999</v>
      </c>
      <c r="G1675">
        <v>2363300</v>
      </c>
      <c r="I1675">
        <f t="shared" si="26"/>
        <v>4.216548948836427E-4</v>
      </c>
    </row>
    <row r="1676" spans="1:9" x14ac:dyDescent="0.3">
      <c r="A1676" s="5">
        <v>44069</v>
      </c>
      <c r="B1676">
        <v>15.09</v>
      </c>
      <c r="C1676">
        <v>15.44</v>
      </c>
      <c r="D1676">
        <v>15.02</v>
      </c>
      <c r="E1676">
        <v>15.07</v>
      </c>
      <c r="F1676">
        <v>14.697573</v>
      </c>
      <c r="G1676">
        <v>3158500</v>
      </c>
      <c r="I1676">
        <f t="shared" ref="I1676:I1739" si="27">LN(C1676/B1676)*(LN(C1676/B1676)-LN(E1676/B1676))+LN(D1676/B1676)*(LN(D1676/B1676)-LN(E1676/B1676))</f>
        <v>5.7161409717504418E-4</v>
      </c>
    </row>
    <row r="1677" spans="1:9" x14ac:dyDescent="0.3">
      <c r="A1677" s="5">
        <v>44070</v>
      </c>
      <c r="B1677">
        <v>15.22</v>
      </c>
      <c r="C1677">
        <v>15.33</v>
      </c>
      <c r="D1677">
        <v>14.672000000000001</v>
      </c>
      <c r="E1677">
        <v>14.84</v>
      </c>
      <c r="F1677">
        <v>14.473259000000001</v>
      </c>
      <c r="G1677">
        <v>3246900</v>
      </c>
      <c r="I1677">
        <f t="shared" si="27"/>
        <v>6.5143217731622731E-4</v>
      </c>
    </row>
    <row r="1678" spans="1:9" x14ac:dyDescent="0.3">
      <c r="A1678" s="5">
        <v>44071</v>
      </c>
      <c r="B1678">
        <v>15.01</v>
      </c>
      <c r="C1678">
        <v>15.18</v>
      </c>
      <c r="D1678">
        <v>14.861000000000001</v>
      </c>
      <c r="E1678">
        <v>15.12</v>
      </c>
      <c r="F1678">
        <v>14.746339000000001</v>
      </c>
      <c r="G1678">
        <v>3143900</v>
      </c>
      <c r="I1678">
        <f t="shared" si="27"/>
        <v>2.1697367863582817E-4</v>
      </c>
    </row>
    <row r="1679" spans="1:9" x14ac:dyDescent="0.3">
      <c r="A1679" s="5">
        <v>44074</v>
      </c>
      <c r="B1679">
        <v>15.23</v>
      </c>
      <c r="C1679">
        <v>15.23</v>
      </c>
      <c r="D1679">
        <v>14.62</v>
      </c>
      <c r="E1679">
        <v>14.62</v>
      </c>
      <c r="F1679">
        <v>14.258692</v>
      </c>
      <c r="G1679">
        <v>4033200</v>
      </c>
      <c r="I1679">
        <f t="shared" si="27"/>
        <v>0</v>
      </c>
    </row>
    <row r="1680" spans="1:9" x14ac:dyDescent="0.3">
      <c r="A1680" s="5">
        <v>44075</v>
      </c>
      <c r="B1680">
        <v>14.64</v>
      </c>
      <c r="C1680">
        <v>15.18</v>
      </c>
      <c r="D1680">
        <v>14.24</v>
      </c>
      <c r="E1680">
        <v>15.09</v>
      </c>
      <c r="F1680">
        <v>14.717079</v>
      </c>
      <c r="G1680">
        <v>4085200</v>
      </c>
      <c r="I1680">
        <f t="shared" si="27"/>
        <v>1.8215136627952459E-3</v>
      </c>
    </row>
    <row r="1681" spans="1:9" x14ac:dyDescent="0.3">
      <c r="A1681" s="5">
        <v>44076</v>
      </c>
      <c r="B1681">
        <v>14.73</v>
      </c>
      <c r="C1681">
        <v>14.87</v>
      </c>
      <c r="D1681">
        <v>14.41</v>
      </c>
      <c r="E1681">
        <v>14.67</v>
      </c>
      <c r="F1681">
        <v>14.307456999999999</v>
      </c>
      <c r="G1681">
        <v>5691200</v>
      </c>
      <c r="I1681">
        <f t="shared" si="27"/>
        <v>5.2085412598537823E-4</v>
      </c>
    </row>
    <row r="1682" spans="1:9" x14ac:dyDescent="0.3">
      <c r="A1682" s="5">
        <v>44077</v>
      </c>
      <c r="B1682">
        <v>14.53</v>
      </c>
      <c r="C1682">
        <v>14.78</v>
      </c>
      <c r="D1682">
        <v>14.01</v>
      </c>
      <c r="E1682">
        <v>14.23</v>
      </c>
      <c r="F1682">
        <v>13.87833</v>
      </c>
      <c r="G1682">
        <v>3930800</v>
      </c>
      <c r="I1682">
        <f t="shared" si="27"/>
        <v>1.2147742702112811E-3</v>
      </c>
    </row>
    <row r="1683" spans="1:9" x14ac:dyDescent="0.3">
      <c r="A1683" s="5">
        <v>44078</v>
      </c>
      <c r="B1683">
        <v>14.52</v>
      </c>
      <c r="C1683">
        <v>14.67</v>
      </c>
      <c r="D1683">
        <v>13.9</v>
      </c>
      <c r="E1683">
        <v>14.4</v>
      </c>
      <c r="F1683">
        <v>14.044129</v>
      </c>
      <c r="G1683">
        <v>3929600</v>
      </c>
      <c r="I1683">
        <f t="shared" si="27"/>
        <v>1.7330655945565166E-3</v>
      </c>
    </row>
    <row r="1684" spans="1:9" x14ac:dyDescent="0.3">
      <c r="A1684" s="5">
        <v>44082</v>
      </c>
      <c r="B1684">
        <v>14.26</v>
      </c>
      <c r="C1684">
        <v>14.555</v>
      </c>
      <c r="D1684">
        <v>13.69</v>
      </c>
      <c r="E1684">
        <v>14.23</v>
      </c>
      <c r="F1684">
        <v>13.87833</v>
      </c>
      <c r="G1684">
        <v>4901900</v>
      </c>
      <c r="I1684">
        <f t="shared" si="27"/>
        <v>2.0405369204824354E-3</v>
      </c>
    </row>
    <row r="1685" spans="1:9" x14ac:dyDescent="0.3">
      <c r="A1685" s="5">
        <v>44083</v>
      </c>
      <c r="B1685">
        <v>14.32</v>
      </c>
      <c r="C1685">
        <v>14.4</v>
      </c>
      <c r="D1685">
        <v>14.05</v>
      </c>
      <c r="E1685">
        <v>14.1</v>
      </c>
      <c r="F1685">
        <v>13.751545999999999</v>
      </c>
      <c r="G1685">
        <v>3084100</v>
      </c>
      <c r="I1685">
        <f t="shared" si="27"/>
        <v>1.8490862348455821E-4</v>
      </c>
    </row>
    <row r="1686" spans="1:9" x14ac:dyDescent="0.3">
      <c r="A1686" s="5">
        <v>44084</v>
      </c>
      <c r="B1686">
        <v>14.15</v>
      </c>
      <c r="C1686">
        <v>14.34</v>
      </c>
      <c r="D1686">
        <v>13.73</v>
      </c>
      <c r="E1686">
        <v>13.78</v>
      </c>
      <c r="F1686">
        <v>13.439453</v>
      </c>
      <c r="G1686">
        <v>4206100</v>
      </c>
      <c r="I1686">
        <f t="shared" si="27"/>
        <v>6.408509323598305E-4</v>
      </c>
    </row>
    <row r="1687" spans="1:9" x14ac:dyDescent="0.3">
      <c r="A1687" s="5">
        <v>44085</v>
      </c>
      <c r="B1687">
        <v>13.89</v>
      </c>
      <c r="C1687">
        <v>14.28</v>
      </c>
      <c r="D1687">
        <v>13.675000000000001</v>
      </c>
      <c r="E1687">
        <v>13.98</v>
      </c>
      <c r="F1687">
        <v>13.634510000000001</v>
      </c>
      <c r="G1687">
        <v>4217300</v>
      </c>
      <c r="I1687">
        <f t="shared" si="27"/>
        <v>9.320437990471696E-4</v>
      </c>
    </row>
    <row r="1688" spans="1:9" x14ac:dyDescent="0.3">
      <c r="A1688" s="5">
        <v>44088</v>
      </c>
      <c r="B1688">
        <v>14.19</v>
      </c>
      <c r="C1688">
        <v>14.22</v>
      </c>
      <c r="D1688">
        <v>13.87</v>
      </c>
      <c r="E1688">
        <v>14.05</v>
      </c>
      <c r="F1688">
        <v>13.702781</v>
      </c>
      <c r="G1688">
        <v>2691600</v>
      </c>
      <c r="I1688">
        <f t="shared" si="27"/>
        <v>3.1950652141108857E-4</v>
      </c>
    </row>
    <row r="1689" spans="1:9" x14ac:dyDescent="0.3">
      <c r="A1689" s="5">
        <v>44089</v>
      </c>
      <c r="B1689">
        <v>14.2</v>
      </c>
      <c r="C1689">
        <v>14.39</v>
      </c>
      <c r="D1689">
        <v>13.78</v>
      </c>
      <c r="E1689">
        <v>13.78</v>
      </c>
      <c r="F1689">
        <v>13.439453</v>
      </c>
      <c r="G1689">
        <v>5345900</v>
      </c>
      <c r="I1689">
        <f t="shared" si="27"/>
        <v>5.7572715430790982E-4</v>
      </c>
    </row>
    <row r="1690" spans="1:9" x14ac:dyDescent="0.3">
      <c r="A1690" s="5">
        <v>44090</v>
      </c>
      <c r="B1690">
        <v>13.92</v>
      </c>
      <c r="C1690">
        <v>14.08</v>
      </c>
      <c r="D1690">
        <v>13.705</v>
      </c>
      <c r="E1690">
        <v>13.9</v>
      </c>
      <c r="F1690">
        <v>13.556485</v>
      </c>
      <c r="G1690">
        <v>5583300</v>
      </c>
      <c r="I1690">
        <f t="shared" si="27"/>
        <v>3.669645446187647E-4</v>
      </c>
    </row>
    <row r="1691" spans="1:9" x14ac:dyDescent="0.3">
      <c r="A1691" s="5">
        <v>44091</v>
      </c>
      <c r="B1691">
        <v>13.61</v>
      </c>
      <c r="C1691">
        <v>13.64</v>
      </c>
      <c r="D1691">
        <v>13.21</v>
      </c>
      <c r="E1691">
        <v>13.45</v>
      </c>
      <c r="F1691">
        <v>13.117607</v>
      </c>
      <c r="G1691">
        <v>7479500</v>
      </c>
      <c r="I1691">
        <f t="shared" si="27"/>
        <v>5.6798770044147267E-4</v>
      </c>
    </row>
    <row r="1692" spans="1:9" x14ac:dyDescent="0.3">
      <c r="A1692" s="5">
        <v>44092</v>
      </c>
      <c r="B1692">
        <v>13.49</v>
      </c>
      <c r="C1692">
        <v>13.805</v>
      </c>
      <c r="D1692">
        <v>13.3</v>
      </c>
      <c r="E1692">
        <v>13.32</v>
      </c>
      <c r="F1692">
        <v>12.990821</v>
      </c>
      <c r="G1692">
        <v>7734500</v>
      </c>
      <c r="I1692">
        <f t="shared" si="27"/>
        <v>8.4682932997093838E-4</v>
      </c>
    </row>
    <row r="1693" spans="1:9" x14ac:dyDescent="0.3">
      <c r="A1693" s="5">
        <v>44095</v>
      </c>
      <c r="B1693">
        <v>12.96</v>
      </c>
      <c r="C1693">
        <v>13.09</v>
      </c>
      <c r="D1693">
        <v>11.984999999999999</v>
      </c>
      <c r="E1693">
        <v>12.3</v>
      </c>
      <c r="F1693">
        <v>11.996029</v>
      </c>
      <c r="G1693">
        <v>7070400</v>
      </c>
      <c r="I1693">
        <f t="shared" si="27"/>
        <v>2.6503837075919196E-3</v>
      </c>
    </row>
    <row r="1694" spans="1:9" x14ac:dyDescent="0.3">
      <c r="A1694" s="5">
        <v>44096</v>
      </c>
      <c r="B1694">
        <v>12.36</v>
      </c>
      <c r="C1694">
        <v>12.42</v>
      </c>
      <c r="D1694">
        <v>11.89</v>
      </c>
      <c r="E1694">
        <v>12.21</v>
      </c>
      <c r="F1694">
        <v>11.908253</v>
      </c>
      <c r="G1694">
        <v>4915000</v>
      </c>
      <c r="I1694">
        <f t="shared" si="27"/>
        <v>1.1121575420860621E-3</v>
      </c>
    </row>
    <row r="1695" spans="1:9" x14ac:dyDescent="0.3">
      <c r="A1695" s="5">
        <v>44097</v>
      </c>
      <c r="B1695">
        <v>12.01</v>
      </c>
      <c r="C1695">
        <v>12.39</v>
      </c>
      <c r="D1695">
        <v>11.57</v>
      </c>
      <c r="E1695">
        <v>11.64</v>
      </c>
      <c r="F1695">
        <v>11.352339000000001</v>
      </c>
      <c r="G1695">
        <v>5418900</v>
      </c>
      <c r="I1695">
        <f t="shared" si="27"/>
        <v>2.1702151587705012E-3</v>
      </c>
    </row>
    <row r="1696" spans="1:9" x14ac:dyDescent="0.3">
      <c r="A1696" s="5">
        <v>44098</v>
      </c>
      <c r="B1696">
        <v>11.66</v>
      </c>
      <c r="C1696">
        <v>11.914999999999999</v>
      </c>
      <c r="D1696">
        <v>11.39</v>
      </c>
      <c r="E1696">
        <v>11.7</v>
      </c>
      <c r="F1696">
        <v>11.410855</v>
      </c>
      <c r="G1696">
        <v>3919600</v>
      </c>
      <c r="I1696">
        <f t="shared" si="27"/>
        <v>1.0230624643468775E-3</v>
      </c>
    </row>
    <row r="1697" spans="1:9" x14ac:dyDescent="0.3">
      <c r="A1697" s="5">
        <v>44099</v>
      </c>
      <c r="B1697">
        <v>11.5</v>
      </c>
      <c r="C1697">
        <v>11.757</v>
      </c>
      <c r="D1697">
        <v>11.3</v>
      </c>
      <c r="E1697">
        <v>11.55</v>
      </c>
      <c r="F1697">
        <v>11.264562</v>
      </c>
      <c r="G1697">
        <v>6190400</v>
      </c>
      <c r="I1697">
        <f t="shared" si="27"/>
        <v>7.7651904531247928E-4</v>
      </c>
    </row>
    <row r="1698" spans="1:9" x14ac:dyDescent="0.3">
      <c r="A1698" s="5">
        <v>44102</v>
      </c>
      <c r="B1698">
        <v>11.83</v>
      </c>
      <c r="C1698">
        <v>12.33</v>
      </c>
      <c r="D1698">
        <v>11.82</v>
      </c>
      <c r="E1698">
        <v>12.24</v>
      </c>
      <c r="F1698">
        <v>11.93751</v>
      </c>
      <c r="G1698">
        <v>5121100</v>
      </c>
      <c r="I1698">
        <f t="shared" si="27"/>
        <v>3.3280093703170609E-4</v>
      </c>
    </row>
    <row r="1699" spans="1:9" x14ac:dyDescent="0.3">
      <c r="A1699" s="5">
        <v>44103</v>
      </c>
      <c r="B1699">
        <v>12.18</v>
      </c>
      <c r="C1699">
        <v>12.18</v>
      </c>
      <c r="D1699">
        <v>11.55</v>
      </c>
      <c r="E1699">
        <v>11.67</v>
      </c>
      <c r="F1699">
        <v>11.381598</v>
      </c>
      <c r="G1699">
        <v>5169800</v>
      </c>
      <c r="I1699">
        <f t="shared" si="27"/>
        <v>5.4894364999479495E-4</v>
      </c>
    </row>
    <row r="1700" spans="1:9" x14ac:dyDescent="0.3">
      <c r="A1700" s="5">
        <v>44104</v>
      </c>
      <c r="B1700">
        <v>11.68</v>
      </c>
      <c r="C1700">
        <v>12.1</v>
      </c>
      <c r="D1700">
        <v>11.56</v>
      </c>
      <c r="E1700">
        <v>11.63</v>
      </c>
      <c r="F1700">
        <v>11.342587</v>
      </c>
      <c r="G1700">
        <v>5513100</v>
      </c>
      <c r="I1700">
        <f t="shared" si="27"/>
        <v>1.4619316116115308E-3</v>
      </c>
    </row>
    <row r="1701" spans="1:9" x14ac:dyDescent="0.3">
      <c r="A1701" s="5">
        <v>44105</v>
      </c>
      <c r="B1701">
        <v>11.69</v>
      </c>
      <c r="C1701">
        <v>11.88</v>
      </c>
      <c r="D1701">
        <v>11.29</v>
      </c>
      <c r="E1701">
        <v>11.39</v>
      </c>
      <c r="F1701">
        <v>11.108517000000001</v>
      </c>
      <c r="G1701">
        <v>6112000</v>
      </c>
      <c r="I1701">
        <f t="shared" si="27"/>
        <v>9.8611486257147015E-4</v>
      </c>
    </row>
    <row r="1702" spans="1:9" x14ac:dyDescent="0.3">
      <c r="A1702" s="5">
        <v>44106</v>
      </c>
      <c r="B1702">
        <v>11.02</v>
      </c>
      <c r="C1702">
        <v>11.95</v>
      </c>
      <c r="D1702">
        <v>10.98</v>
      </c>
      <c r="E1702">
        <v>11.82</v>
      </c>
      <c r="F1702">
        <v>11.527889</v>
      </c>
      <c r="G1702">
        <v>5600900</v>
      </c>
      <c r="I1702">
        <f t="shared" si="27"/>
        <v>1.1542768050437514E-3</v>
      </c>
    </row>
    <row r="1703" spans="1:9" x14ac:dyDescent="0.3">
      <c r="A1703" s="5">
        <v>44109</v>
      </c>
      <c r="B1703">
        <v>11.95</v>
      </c>
      <c r="C1703">
        <v>12.17</v>
      </c>
      <c r="D1703">
        <v>11.835000000000001</v>
      </c>
      <c r="E1703">
        <v>11.93</v>
      </c>
      <c r="F1703">
        <v>11.635173</v>
      </c>
      <c r="G1703">
        <v>5387500</v>
      </c>
      <c r="I1703">
        <f t="shared" si="27"/>
        <v>4.4066253986929811E-4</v>
      </c>
    </row>
    <row r="1704" spans="1:9" x14ac:dyDescent="0.3">
      <c r="A1704" s="5">
        <v>44110</v>
      </c>
      <c r="B1704">
        <v>12.11</v>
      </c>
      <c r="C1704">
        <v>12.47</v>
      </c>
      <c r="D1704">
        <v>11.66</v>
      </c>
      <c r="E1704">
        <v>11.67</v>
      </c>
      <c r="F1704">
        <v>11.381598</v>
      </c>
      <c r="G1704">
        <v>7031300</v>
      </c>
      <c r="I1704">
        <f t="shared" si="27"/>
        <v>1.9747943493170638E-3</v>
      </c>
    </row>
    <row r="1705" spans="1:9" x14ac:dyDescent="0.3">
      <c r="A1705" s="5">
        <v>44111</v>
      </c>
      <c r="B1705">
        <v>11.96</v>
      </c>
      <c r="C1705">
        <v>12.3</v>
      </c>
      <c r="D1705">
        <v>11.96</v>
      </c>
      <c r="E1705">
        <v>12.24</v>
      </c>
      <c r="F1705">
        <v>11.93751</v>
      </c>
      <c r="G1705">
        <v>3928900</v>
      </c>
      <c r="I1705">
        <f t="shared" si="27"/>
        <v>1.3707369052921991E-4</v>
      </c>
    </row>
    <row r="1706" spans="1:9" x14ac:dyDescent="0.3">
      <c r="A1706" s="5">
        <v>44112</v>
      </c>
      <c r="B1706">
        <v>12.45</v>
      </c>
      <c r="C1706">
        <v>12.74</v>
      </c>
      <c r="D1706">
        <v>12.38</v>
      </c>
      <c r="E1706">
        <v>12.73</v>
      </c>
      <c r="F1706">
        <v>12.4154</v>
      </c>
      <c r="G1706">
        <v>4872900</v>
      </c>
      <c r="I1706">
        <f t="shared" si="27"/>
        <v>1.752734383906098E-4</v>
      </c>
    </row>
    <row r="1707" spans="1:9" x14ac:dyDescent="0.3">
      <c r="A1707" s="5">
        <v>44113</v>
      </c>
      <c r="B1707">
        <v>12.94</v>
      </c>
      <c r="C1707">
        <v>12.97</v>
      </c>
      <c r="D1707">
        <v>12.25</v>
      </c>
      <c r="E1707">
        <v>12.52</v>
      </c>
      <c r="F1707">
        <v>12.210591000000001</v>
      </c>
      <c r="G1707">
        <v>8440000</v>
      </c>
      <c r="I1707">
        <f t="shared" si="27"/>
        <v>1.276432037908338E-3</v>
      </c>
    </row>
    <row r="1708" spans="1:9" x14ac:dyDescent="0.3">
      <c r="A1708" s="5">
        <v>44116</v>
      </c>
      <c r="B1708">
        <v>12.59</v>
      </c>
      <c r="C1708">
        <v>12.65</v>
      </c>
      <c r="D1708">
        <v>12.349</v>
      </c>
      <c r="E1708">
        <v>12.59</v>
      </c>
      <c r="F1708">
        <v>12.278862999999999</v>
      </c>
      <c r="G1708">
        <v>5099500</v>
      </c>
      <c r="I1708">
        <f t="shared" si="27"/>
        <v>3.9616631023301922E-4</v>
      </c>
    </row>
    <row r="1709" spans="1:9" x14ac:dyDescent="0.3">
      <c r="A1709" s="5">
        <v>44117</v>
      </c>
      <c r="B1709">
        <v>12.44</v>
      </c>
      <c r="C1709">
        <v>12.83</v>
      </c>
      <c r="D1709">
        <v>12.36</v>
      </c>
      <c r="E1709">
        <v>12.72</v>
      </c>
      <c r="F1709">
        <v>12.405649</v>
      </c>
      <c r="G1709">
        <v>5930800</v>
      </c>
      <c r="I1709">
        <f t="shared" si="27"/>
        <v>4.5102916920711586E-4</v>
      </c>
    </row>
    <row r="1710" spans="1:9" x14ac:dyDescent="0.3">
      <c r="A1710" s="5">
        <v>44118</v>
      </c>
      <c r="B1710">
        <v>12.79</v>
      </c>
      <c r="C1710">
        <v>13.14</v>
      </c>
      <c r="D1710">
        <v>12.706</v>
      </c>
      <c r="E1710">
        <v>13</v>
      </c>
      <c r="F1710">
        <v>12.678729000000001</v>
      </c>
      <c r="G1710">
        <v>7412300</v>
      </c>
      <c r="I1710">
        <f t="shared" si="27"/>
        <v>4.3991712328905514E-4</v>
      </c>
    </row>
    <row r="1711" spans="1:9" x14ac:dyDescent="0.3">
      <c r="A1711" s="5">
        <v>44119</v>
      </c>
      <c r="B1711">
        <v>11.45</v>
      </c>
      <c r="C1711">
        <v>12.44</v>
      </c>
      <c r="D1711">
        <v>11.41</v>
      </c>
      <c r="E1711">
        <v>12.3</v>
      </c>
      <c r="F1711">
        <v>11.996029</v>
      </c>
      <c r="G1711">
        <v>13471700</v>
      </c>
      <c r="I1711">
        <f t="shared" si="27"/>
        <v>1.2014065690719459E-3</v>
      </c>
    </row>
    <row r="1712" spans="1:9" x14ac:dyDescent="0.3">
      <c r="A1712" s="5">
        <v>44120</v>
      </c>
      <c r="B1712">
        <v>12.31</v>
      </c>
      <c r="C1712">
        <v>12.66</v>
      </c>
      <c r="D1712">
        <v>12.03</v>
      </c>
      <c r="E1712">
        <v>12.62</v>
      </c>
      <c r="F1712">
        <v>12.308121</v>
      </c>
      <c r="G1712">
        <v>5378000</v>
      </c>
      <c r="I1712">
        <f t="shared" si="27"/>
        <v>1.1903471355379999E-3</v>
      </c>
    </row>
    <row r="1713" spans="1:9" x14ac:dyDescent="0.3">
      <c r="A1713" s="5">
        <v>44123</v>
      </c>
      <c r="B1713">
        <v>12.67</v>
      </c>
      <c r="C1713">
        <v>13.22</v>
      </c>
      <c r="D1713">
        <v>12.61</v>
      </c>
      <c r="E1713">
        <v>12.63</v>
      </c>
      <c r="F1713">
        <v>12.317873000000001</v>
      </c>
      <c r="G1713">
        <v>6672200</v>
      </c>
      <c r="I1713">
        <f t="shared" si="27"/>
        <v>1.9476171657080903E-3</v>
      </c>
    </row>
    <row r="1714" spans="1:9" x14ac:dyDescent="0.3">
      <c r="A1714" s="5">
        <v>44124</v>
      </c>
      <c r="B1714">
        <v>12.9</v>
      </c>
      <c r="C1714">
        <v>13.1</v>
      </c>
      <c r="D1714">
        <v>12.74</v>
      </c>
      <c r="E1714">
        <v>12.8</v>
      </c>
      <c r="F1714">
        <v>12.483673</v>
      </c>
      <c r="G1714">
        <v>4542600</v>
      </c>
      <c r="I1714">
        <f t="shared" si="27"/>
        <v>4.1506397292248121E-4</v>
      </c>
    </row>
    <row r="1715" spans="1:9" x14ac:dyDescent="0.3">
      <c r="A1715" s="5">
        <v>44125</v>
      </c>
      <c r="B1715">
        <v>12.83</v>
      </c>
      <c r="C1715">
        <v>13.6</v>
      </c>
      <c r="D1715">
        <v>12.8</v>
      </c>
      <c r="E1715">
        <v>13.32</v>
      </c>
      <c r="F1715">
        <v>12.990821</v>
      </c>
      <c r="G1715">
        <v>7320900</v>
      </c>
      <c r="I1715">
        <f t="shared" si="27"/>
        <v>1.3057038877420941E-3</v>
      </c>
    </row>
    <row r="1716" spans="1:9" x14ac:dyDescent="0.3">
      <c r="A1716" s="5">
        <v>44126</v>
      </c>
      <c r="B1716">
        <v>13.28</v>
      </c>
      <c r="C1716">
        <v>13.67</v>
      </c>
      <c r="D1716">
        <v>13.02</v>
      </c>
      <c r="E1716">
        <v>13.66</v>
      </c>
      <c r="F1716">
        <v>13.322419</v>
      </c>
      <c r="G1716">
        <v>5368300</v>
      </c>
      <c r="I1716">
        <f t="shared" si="27"/>
        <v>9.6996955043080466E-4</v>
      </c>
    </row>
    <row r="1717" spans="1:9" x14ac:dyDescent="0.3">
      <c r="A1717" s="5">
        <v>44127</v>
      </c>
      <c r="B1717">
        <v>13.8</v>
      </c>
      <c r="C1717">
        <v>14.14</v>
      </c>
      <c r="D1717">
        <v>13.47</v>
      </c>
      <c r="E1717">
        <v>13.47</v>
      </c>
      <c r="F1717">
        <v>13.137114</v>
      </c>
      <c r="G1717">
        <v>5307300</v>
      </c>
      <c r="I1717">
        <f t="shared" si="27"/>
        <v>1.1814833619734105E-3</v>
      </c>
    </row>
    <row r="1718" spans="1:9" x14ac:dyDescent="0.3">
      <c r="A1718" s="5">
        <v>44130</v>
      </c>
      <c r="B1718">
        <v>13.26</v>
      </c>
      <c r="C1718">
        <v>13.37</v>
      </c>
      <c r="D1718">
        <v>12.865</v>
      </c>
      <c r="E1718">
        <v>13</v>
      </c>
      <c r="F1718">
        <v>12.678729000000001</v>
      </c>
      <c r="G1718">
        <v>3640600</v>
      </c>
      <c r="I1718">
        <f t="shared" si="27"/>
        <v>5.4753714237936596E-4</v>
      </c>
    </row>
    <row r="1719" spans="1:9" x14ac:dyDescent="0.3">
      <c r="A1719" s="5">
        <v>44131</v>
      </c>
      <c r="B1719">
        <v>12.93</v>
      </c>
      <c r="C1719">
        <v>13.215</v>
      </c>
      <c r="D1719">
        <v>12.77</v>
      </c>
      <c r="E1719">
        <v>13.03</v>
      </c>
      <c r="F1719">
        <v>12.707989</v>
      </c>
      <c r="G1719">
        <v>3815500</v>
      </c>
      <c r="I1719">
        <f t="shared" si="27"/>
        <v>5.5834244535437315E-4</v>
      </c>
    </row>
    <row r="1720" spans="1:9" x14ac:dyDescent="0.3">
      <c r="A1720" s="5">
        <v>44132</v>
      </c>
      <c r="B1720">
        <v>12.5</v>
      </c>
      <c r="C1720">
        <v>12.63</v>
      </c>
      <c r="D1720">
        <v>12.35</v>
      </c>
      <c r="E1720">
        <v>12.36</v>
      </c>
      <c r="F1720">
        <v>12.054544999999999</v>
      </c>
      <c r="G1720">
        <v>4349800</v>
      </c>
      <c r="I1720">
        <f t="shared" si="27"/>
        <v>2.3334944996327309E-4</v>
      </c>
    </row>
    <row r="1721" spans="1:9" x14ac:dyDescent="0.3">
      <c r="A1721" s="5">
        <v>44133</v>
      </c>
      <c r="B1721">
        <v>12.21</v>
      </c>
      <c r="C1721">
        <v>12.79</v>
      </c>
      <c r="D1721">
        <v>12.15</v>
      </c>
      <c r="E1721">
        <v>12.75</v>
      </c>
      <c r="F1721">
        <v>12.434908999999999</v>
      </c>
      <c r="G1721">
        <v>5620900</v>
      </c>
      <c r="I1721">
        <f t="shared" si="27"/>
        <v>3.82816103061285E-4</v>
      </c>
    </row>
    <row r="1722" spans="1:9" x14ac:dyDescent="0.3">
      <c r="A1722" s="5">
        <v>44134</v>
      </c>
      <c r="B1722">
        <v>12.7</v>
      </c>
      <c r="C1722">
        <v>13.032</v>
      </c>
      <c r="D1722">
        <v>12.61</v>
      </c>
      <c r="E1722">
        <v>12.92</v>
      </c>
      <c r="F1722">
        <v>12.600706000000001</v>
      </c>
      <c r="G1722">
        <v>3996300</v>
      </c>
      <c r="I1722">
        <f t="shared" si="27"/>
        <v>3.9546086432601526E-4</v>
      </c>
    </row>
    <row r="1723" spans="1:9" x14ac:dyDescent="0.3">
      <c r="A1723" s="5">
        <v>44137</v>
      </c>
      <c r="B1723">
        <v>13.1</v>
      </c>
      <c r="C1723">
        <v>13.7</v>
      </c>
      <c r="D1723">
        <v>13.03</v>
      </c>
      <c r="E1723">
        <v>13.61</v>
      </c>
      <c r="F1723">
        <v>13.273654000000001</v>
      </c>
      <c r="G1723">
        <v>4940800</v>
      </c>
      <c r="I1723">
        <f t="shared" si="27"/>
        <v>5.2850562051378225E-4</v>
      </c>
    </row>
    <row r="1724" spans="1:9" x14ac:dyDescent="0.3">
      <c r="A1724" s="5">
        <v>44138</v>
      </c>
      <c r="B1724">
        <v>13.94</v>
      </c>
      <c r="C1724">
        <v>14.13</v>
      </c>
      <c r="D1724">
        <v>13.69</v>
      </c>
      <c r="E1724">
        <v>13.83</v>
      </c>
      <c r="F1724">
        <v>13.488217000000001</v>
      </c>
      <c r="G1724">
        <v>4717100</v>
      </c>
      <c r="I1724">
        <f t="shared" si="27"/>
        <v>4.7464735475105158E-4</v>
      </c>
    </row>
    <row r="1725" spans="1:9" x14ac:dyDescent="0.3">
      <c r="A1725" s="5">
        <v>44139</v>
      </c>
      <c r="B1725">
        <v>13.65</v>
      </c>
      <c r="C1725">
        <v>13.65</v>
      </c>
      <c r="D1725">
        <v>12.86</v>
      </c>
      <c r="E1725">
        <v>13.19</v>
      </c>
      <c r="F1725">
        <v>12.864034999999999</v>
      </c>
      <c r="G1725">
        <v>6122700</v>
      </c>
      <c r="I1725">
        <f t="shared" si="27"/>
        <v>1.5105510505189893E-3</v>
      </c>
    </row>
    <row r="1726" spans="1:9" x14ac:dyDescent="0.3">
      <c r="A1726" s="5">
        <v>44140</v>
      </c>
      <c r="B1726">
        <v>13.31</v>
      </c>
      <c r="C1726">
        <v>14.3</v>
      </c>
      <c r="D1726">
        <v>13.31</v>
      </c>
      <c r="E1726">
        <v>14.05</v>
      </c>
      <c r="F1726">
        <v>13.702781</v>
      </c>
      <c r="G1726">
        <v>5732700</v>
      </c>
      <c r="I1726">
        <f t="shared" si="27"/>
        <v>1.2653574007611701E-3</v>
      </c>
    </row>
    <row r="1727" spans="1:9" x14ac:dyDescent="0.3">
      <c r="A1727" s="5">
        <v>44141</v>
      </c>
      <c r="B1727">
        <v>14.3</v>
      </c>
      <c r="C1727">
        <v>14.54</v>
      </c>
      <c r="D1727">
        <v>14</v>
      </c>
      <c r="E1727">
        <v>14.44</v>
      </c>
      <c r="F1727">
        <v>14.083140999999999</v>
      </c>
      <c r="G1727">
        <v>4255800</v>
      </c>
      <c r="I1727">
        <f t="shared" si="27"/>
        <v>7.7096358756371616E-4</v>
      </c>
    </row>
    <row r="1728" spans="1:9" x14ac:dyDescent="0.3">
      <c r="A1728" s="5">
        <v>44144</v>
      </c>
      <c r="B1728">
        <v>15.5</v>
      </c>
      <c r="C1728">
        <v>16.184999000000001</v>
      </c>
      <c r="D1728">
        <v>15.11</v>
      </c>
      <c r="E1728">
        <v>15.73</v>
      </c>
      <c r="F1728">
        <v>15.341263</v>
      </c>
      <c r="G1728">
        <v>8373200</v>
      </c>
      <c r="I1728">
        <f t="shared" si="27"/>
        <v>2.2578865409690276E-3</v>
      </c>
    </row>
    <row r="1729" spans="1:9" x14ac:dyDescent="0.3">
      <c r="A1729" s="5">
        <v>44145</v>
      </c>
      <c r="B1729">
        <v>15.89</v>
      </c>
      <c r="C1729">
        <v>16.16</v>
      </c>
      <c r="D1729">
        <v>15.51</v>
      </c>
      <c r="E1729">
        <v>15.99</v>
      </c>
      <c r="F1729">
        <v>15.594836000000001</v>
      </c>
      <c r="G1729">
        <v>4843500</v>
      </c>
      <c r="I1729">
        <f t="shared" si="27"/>
        <v>9.1592120580263675E-4</v>
      </c>
    </row>
    <row r="1730" spans="1:9" x14ac:dyDescent="0.3">
      <c r="A1730" s="5">
        <v>44146</v>
      </c>
      <c r="B1730">
        <v>16.209999</v>
      </c>
      <c r="C1730">
        <v>16.34</v>
      </c>
      <c r="D1730">
        <v>15.685</v>
      </c>
      <c r="E1730">
        <v>15.89</v>
      </c>
      <c r="F1730">
        <v>15.497309</v>
      </c>
      <c r="G1730">
        <v>5780600</v>
      </c>
      <c r="I1730">
        <f t="shared" si="27"/>
        <v>6.5058394505559751E-4</v>
      </c>
    </row>
    <row r="1731" spans="1:9" x14ac:dyDescent="0.3">
      <c r="A1731" s="5">
        <v>44147</v>
      </c>
      <c r="B1731">
        <v>15.49</v>
      </c>
      <c r="C1731">
        <v>16.100000000000001</v>
      </c>
      <c r="D1731">
        <v>15.16</v>
      </c>
      <c r="E1731">
        <v>15.62</v>
      </c>
      <c r="F1731">
        <v>15.233981</v>
      </c>
      <c r="G1731">
        <v>5087500</v>
      </c>
      <c r="I1731">
        <f t="shared" si="27"/>
        <v>1.8127536744051969E-3</v>
      </c>
    </row>
    <row r="1732" spans="1:9" x14ac:dyDescent="0.3">
      <c r="A1732" s="5">
        <v>44148</v>
      </c>
      <c r="B1732">
        <v>15.92</v>
      </c>
      <c r="C1732">
        <v>16.629999000000002</v>
      </c>
      <c r="D1732">
        <v>15.86</v>
      </c>
      <c r="E1732">
        <v>16.57</v>
      </c>
      <c r="F1732">
        <v>16.160501</v>
      </c>
      <c r="G1732">
        <v>5056300</v>
      </c>
      <c r="I1732">
        <f t="shared" si="27"/>
        <v>3.2306688614018358E-4</v>
      </c>
    </row>
    <row r="1733" spans="1:9" x14ac:dyDescent="0.3">
      <c r="A1733" s="5">
        <v>44151</v>
      </c>
      <c r="B1733">
        <v>17.209999</v>
      </c>
      <c r="C1733">
        <v>17.66</v>
      </c>
      <c r="D1733">
        <v>16.760000000000002</v>
      </c>
      <c r="E1733">
        <v>17.66</v>
      </c>
      <c r="F1733">
        <v>17.223562000000001</v>
      </c>
      <c r="G1733">
        <v>6564800</v>
      </c>
      <c r="I1733">
        <f t="shared" si="27"/>
        <v>1.3859005254088211E-3</v>
      </c>
    </row>
    <row r="1734" spans="1:9" x14ac:dyDescent="0.3">
      <c r="A1734" s="5">
        <v>44152</v>
      </c>
      <c r="B1734">
        <v>17.370000999999998</v>
      </c>
      <c r="C1734">
        <v>18.299999</v>
      </c>
      <c r="D1734">
        <v>17.110001</v>
      </c>
      <c r="E1734">
        <v>18.27</v>
      </c>
      <c r="F1734">
        <v>17.818489</v>
      </c>
      <c r="G1734">
        <v>5443300</v>
      </c>
      <c r="I1734">
        <f t="shared" si="27"/>
        <v>1.0748735271130239E-3</v>
      </c>
    </row>
    <row r="1735" spans="1:9" x14ac:dyDescent="0.3">
      <c r="A1735" s="5">
        <v>44153</v>
      </c>
      <c r="B1735">
        <v>18.299999</v>
      </c>
      <c r="C1735">
        <v>18.850000000000001</v>
      </c>
      <c r="D1735">
        <v>18.299999</v>
      </c>
      <c r="E1735">
        <v>18.329999999999998</v>
      </c>
      <c r="F1735">
        <v>17.877009999999999</v>
      </c>
      <c r="G1735">
        <v>6255300</v>
      </c>
      <c r="I1735">
        <f t="shared" si="27"/>
        <v>8.2835915242800368E-4</v>
      </c>
    </row>
    <row r="1736" spans="1:9" x14ac:dyDescent="0.3">
      <c r="A1736" s="5">
        <v>44154</v>
      </c>
      <c r="B1736">
        <v>18.299999</v>
      </c>
      <c r="C1736">
        <v>18.989999999999998</v>
      </c>
      <c r="D1736">
        <v>18.190000999999999</v>
      </c>
      <c r="E1736">
        <v>18.93</v>
      </c>
      <c r="F1736">
        <v>18.462181000000001</v>
      </c>
      <c r="G1736">
        <v>5024600</v>
      </c>
      <c r="I1736">
        <f t="shared" si="27"/>
        <v>3.5753538088829017E-4</v>
      </c>
    </row>
    <row r="1737" spans="1:9" x14ac:dyDescent="0.3">
      <c r="A1737" s="5">
        <v>44155</v>
      </c>
      <c r="B1737">
        <v>18.889999</v>
      </c>
      <c r="C1737">
        <v>19.23</v>
      </c>
      <c r="D1737">
        <v>18.605</v>
      </c>
      <c r="E1737">
        <v>18.82</v>
      </c>
      <c r="F1737">
        <v>18.354897999999999</v>
      </c>
      <c r="G1737">
        <v>4749800</v>
      </c>
      <c r="I1737">
        <f t="shared" si="27"/>
        <v>5.591249765839213E-4</v>
      </c>
    </row>
    <row r="1738" spans="1:9" x14ac:dyDescent="0.3">
      <c r="A1738" s="5">
        <v>44158</v>
      </c>
      <c r="B1738">
        <v>19.299999</v>
      </c>
      <c r="C1738">
        <v>20.079999999999998</v>
      </c>
      <c r="D1738">
        <v>19.239999999999998</v>
      </c>
      <c r="E1738">
        <v>19.809999000000001</v>
      </c>
      <c r="F1738">
        <v>19.320433000000001</v>
      </c>
      <c r="G1738">
        <v>7392400</v>
      </c>
      <c r="I1738">
        <f t="shared" si="27"/>
        <v>6.2724765143169683E-4</v>
      </c>
    </row>
    <row r="1739" spans="1:9" x14ac:dyDescent="0.3">
      <c r="A1739" s="5">
        <v>44159</v>
      </c>
      <c r="B1739">
        <v>20.239999999999998</v>
      </c>
      <c r="C1739">
        <v>21</v>
      </c>
      <c r="D1739">
        <v>20.024999999999999</v>
      </c>
      <c r="E1739">
        <v>20.82</v>
      </c>
      <c r="F1739">
        <v>20.30547</v>
      </c>
      <c r="G1739">
        <v>7384100</v>
      </c>
      <c r="I1739">
        <f t="shared" si="27"/>
        <v>7.3309300211946301E-4</v>
      </c>
    </row>
    <row r="1740" spans="1:9" x14ac:dyDescent="0.3">
      <c r="A1740" s="5">
        <v>44160</v>
      </c>
      <c r="B1740">
        <v>20.68</v>
      </c>
      <c r="C1740">
        <v>20.84</v>
      </c>
      <c r="D1740">
        <v>20.260000000000002</v>
      </c>
      <c r="E1740">
        <v>20.370000999999998</v>
      </c>
      <c r="F1740">
        <v>19.866593999999999</v>
      </c>
      <c r="G1740">
        <v>5405700</v>
      </c>
      <c r="I1740">
        <f t="shared" ref="I1740:I1803" si="28">LN(C1740/B1740)*(LN(C1740/B1740)-LN(E1740/B1740))+LN(D1740/B1740)*(LN(D1740/B1740)-LN(E1740/B1740))</f>
        <v>2.8691115981897391E-4</v>
      </c>
    </row>
    <row r="1741" spans="1:9" x14ac:dyDescent="0.3">
      <c r="A1741" s="5">
        <v>44162</v>
      </c>
      <c r="B1741">
        <v>20.6</v>
      </c>
      <c r="C1741">
        <v>21.190000999999999</v>
      </c>
      <c r="D1741">
        <v>20.264999</v>
      </c>
      <c r="E1741">
        <v>20.48</v>
      </c>
      <c r="F1741">
        <v>19.973877000000002</v>
      </c>
      <c r="G1741">
        <v>3739500</v>
      </c>
      <c r="I1741">
        <f t="shared" si="28"/>
        <v>1.1354154688631025E-3</v>
      </c>
    </row>
    <row r="1742" spans="1:9" x14ac:dyDescent="0.3">
      <c r="A1742" s="5">
        <v>44165</v>
      </c>
      <c r="B1742">
        <v>20.32</v>
      </c>
      <c r="C1742">
        <v>20.450001</v>
      </c>
      <c r="D1742">
        <v>19.649999999999999</v>
      </c>
      <c r="E1742">
        <v>19.899999999999999</v>
      </c>
      <c r="F1742">
        <v>19.408204999999999</v>
      </c>
      <c r="G1742">
        <v>4427600</v>
      </c>
      <c r="I1742">
        <f t="shared" si="28"/>
        <v>5.9774360163515183E-4</v>
      </c>
    </row>
    <row r="1743" spans="1:9" x14ac:dyDescent="0.3">
      <c r="A1743" s="5">
        <v>44166</v>
      </c>
      <c r="B1743">
        <v>20.48</v>
      </c>
      <c r="C1743">
        <v>22.120000999999998</v>
      </c>
      <c r="D1743">
        <v>20.459999</v>
      </c>
      <c r="E1743">
        <v>21.83</v>
      </c>
      <c r="F1743">
        <v>21.290514000000002</v>
      </c>
      <c r="G1743">
        <v>8330400</v>
      </c>
      <c r="I1743">
        <f t="shared" si="28"/>
        <v>1.0799425047713456E-3</v>
      </c>
    </row>
    <row r="1744" spans="1:9" x14ac:dyDescent="0.3">
      <c r="A1744" s="5">
        <v>44167</v>
      </c>
      <c r="B1744">
        <v>21.58</v>
      </c>
      <c r="C1744">
        <v>22.459999</v>
      </c>
      <c r="D1744">
        <v>21.299999</v>
      </c>
      <c r="E1744">
        <v>22.370000999999998</v>
      </c>
      <c r="F1744">
        <v>21.817164999999999</v>
      </c>
      <c r="G1744">
        <v>5866300</v>
      </c>
      <c r="I1744">
        <f t="shared" si="28"/>
        <v>8.0059561818461415E-4</v>
      </c>
    </row>
    <row r="1745" spans="1:9" x14ac:dyDescent="0.3">
      <c r="A1745" s="5">
        <v>44168</v>
      </c>
      <c r="B1745">
        <v>22.74</v>
      </c>
      <c r="C1745">
        <v>22.889999</v>
      </c>
      <c r="D1745">
        <v>21.959999</v>
      </c>
      <c r="E1745">
        <v>22.040001</v>
      </c>
      <c r="F1745">
        <v>21.495321000000001</v>
      </c>
      <c r="G1745">
        <v>5909500</v>
      </c>
      <c r="I1745">
        <f t="shared" si="28"/>
        <v>3.7571292296619257E-4</v>
      </c>
    </row>
    <row r="1746" spans="1:9" x14ac:dyDescent="0.3">
      <c r="A1746" s="5">
        <v>44169</v>
      </c>
      <c r="B1746">
        <v>22.33</v>
      </c>
      <c r="C1746">
        <v>24.17</v>
      </c>
      <c r="D1746">
        <v>22.33</v>
      </c>
      <c r="E1746">
        <v>23.73</v>
      </c>
      <c r="F1746">
        <v>23.143554999999999</v>
      </c>
      <c r="G1746">
        <v>7697800</v>
      </c>
      <c r="I1746">
        <f t="shared" si="28"/>
        <v>1.4547255391353156E-3</v>
      </c>
    </row>
    <row r="1747" spans="1:9" x14ac:dyDescent="0.3">
      <c r="A1747" s="5">
        <v>44172</v>
      </c>
      <c r="B1747">
        <v>23.51</v>
      </c>
      <c r="C1747">
        <v>23.540001</v>
      </c>
      <c r="D1747">
        <v>23.030000999999999</v>
      </c>
      <c r="E1747">
        <v>23.389999</v>
      </c>
      <c r="F1747">
        <v>22.811959999999999</v>
      </c>
      <c r="G1747">
        <v>6582500</v>
      </c>
      <c r="I1747">
        <f t="shared" si="28"/>
        <v>3.2811038966818959E-4</v>
      </c>
    </row>
    <row r="1748" spans="1:9" x14ac:dyDescent="0.3">
      <c r="A1748" s="5">
        <v>44173</v>
      </c>
      <c r="B1748">
        <v>23.07</v>
      </c>
      <c r="C1748">
        <v>23.68</v>
      </c>
      <c r="D1748">
        <v>22.9</v>
      </c>
      <c r="E1748">
        <v>23.290001</v>
      </c>
      <c r="F1748">
        <v>22.714431999999999</v>
      </c>
      <c r="G1748">
        <v>5735000</v>
      </c>
      <c r="I1748">
        <f t="shared" si="28"/>
        <v>5.5829744488853901E-4</v>
      </c>
    </row>
    <row r="1749" spans="1:9" x14ac:dyDescent="0.3">
      <c r="A1749" s="5">
        <v>44174</v>
      </c>
      <c r="B1749">
        <v>23.665001</v>
      </c>
      <c r="C1749">
        <v>24</v>
      </c>
      <c r="D1749">
        <v>22</v>
      </c>
      <c r="E1749">
        <v>22.709999</v>
      </c>
      <c r="F1749">
        <v>22.148762000000001</v>
      </c>
      <c r="G1749">
        <v>7021400</v>
      </c>
      <c r="I1749">
        <f t="shared" si="28"/>
        <v>3.0938591775908301E-3</v>
      </c>
    </row>
    <row r="1750" spans="1:9" x14ac:dyDescent="0.3">
      <c r="A1750" s="5">
        <v>44175</v>
      </c>
      <c r="B1750">
        <v>22.625</v>
      </c>
      <c r="C1750">
        <v>24.097999999999999</v>
      </c>
      <c r="D1750">
        <v>22.530000999999999</v>
      </c>
      <c r="E1750">
        <v>24.01</v>
      </c>
      <c r="F1750">
        <v>23.416637000000001</v>
      </c>
      <c r="G1750">
        <v>4988100</v>
      </c>
      <c r="I1750">
        <f t="shared" si="28"/>
        <v>4.9845433058583123E-4</v>
      </c>
    </row>
    <row r="1751" spans="1:9" x14ac:dyDescent="0.3">
      <c r="A1751" s="5">
        <v>44176</v>
      </c>
      <c r="B1751">
        <v>23.5</v>
      </c>
      <c r="C1751">
        <v>23.59</v>
      </c>
      <c r="D1751">
        <v>22.16</v>
      </c>
      <c r="E1751">
        <v>22.84</v>
      </c>
      <c r="F1751">
        <v>22.275555000000001</v>
      </c>
      <c r="G1751">
        <v>6157400</v>
      </c>
      <c r="I1751">
        <f t="shared" si="28"/>
        <v>1.898031068979467E-3</v>
      </c>
    </row>
    <row r="1752" spans="1:9" x14ac:dyDescent="0.3">
      <c r="A1752" s="5">
        <v>44179</v>
      </c>
      <c r="B1752">
        <v>23.25</v>
      </c>
      <c r="C1752">
        <v>23.375</v>
      </c>
      <c r="D1752">
        <v>21.681999000000001</v>
      </c>
      <c r="E1752">
        <v>21.76</v>
      </c>
      <c r="F1752">
        <v>21.222242000000001</v>
      </c>
      <c r="G1752">
        <v>6286200</v>
      </c>
      <c r="I1752">
        <f t="shared" si="28"/>
        <v>6.3461774351077603E-4</v>
      </c>
    </row>
    <row r="1753" spans="1:9" x14ac:dyDescent="0.3">
      <c r="A1753" s="5">
        <v>44180</v>
      </c>
      <c r="B1753">
        <v>22.114999999999998</v>
      </c>
      <c r="C1753">
        <v>22.6</v>
      </c>
      <c r="D1753">
        <v>21.757999000000002</v>
      </c>
      <c r="E1753">
        <v>22.17</v>
      </c>
      <c r="F1753">
        <v>21.622112000000001</v>
      </c>
      <c r="G1753">
        <v>4226500</v>
      </c>
      <c r="I1753">
        <f t="shared" si="28"/>
        <v>7.220243363358752E-4</v>
      </c>
    </row>
    <row r="1754" spans="1:9" x14ac:dyDescent="0.3">
      <c r="A1754" s="5">
        <v>44181</v>
      </c>
      <c r="B1754">
        <v>22.059999000000001</v>
      </c>
      <c r="C1754">
        <v>22.129999000000002</v>
      </c>
      <c r="D1754">
        <v>21.304001</v>
      </c>
      <c r="E1754">
        <v>21.58</v>
      </c>
      <c r="F1754">
        <v>21.046690000000002</v>
      </c>
      <c r="G1754">
        <v>5423800</v>
      </c>
      <c r="I1754">
        <f t="shared" si="28"/>
        <v>5.2859575833660041E-4</v>
      </c>
    </row>
    <row r="1755" spans="1:9" x14ac:dyDescent="0.3">
      <c r="A1755" s="5">
        <v>44182</v>
      </c>
      <c r="B1755">
        <v>22.280000999999999</v>
      </c>
      <c r="C1755">
        <v>23.209999</v>
      </c>
      <c r="D1755">
        <v>21.74</v>
      </c>
      <c r="E1755">
        <v>22.18</v>
      </c>
      <c r="F1755">
        <v>21.631862999999999</v>
      </c>
      <c r="G1755">
        <v>7318400</v>
      </c>
      <c r="I1755">
        <f t="shared" si="28"/>
        <v>2.3478774400805644E-3</v>
      </c>
    </row>
    <row r="1756" spans="1:9" x14ac:dyDescent="0.3">
      <c r="A1756" s="5">
        <v>44183</v>
      </c>
      <c r="B1756">
        <v>22.209999</v>
      </c>
      <c r="C1756">
        <v>22.610001</v>
      </c>
      <c r="D1756">
        <v>21.860001</v>
      </c>
      <c r="E1756">
        <v>22.01</v>
      </c>
      <c r="F1756">
        <v>21.466063999999999</v>
      </c>
      <c r="G1756">
        <v>5137200</v>
      </c>
      <c r="I1756">
        <f t="shared" si="28"/>
        <v>5.8869752044585775E-4</v>
      </c>
    </row>
    <row r="1757" spans="1:9" x14ac:dyDescent="0.3">
      <c r="A1757" s="5">
        <v>44186</v>
      </c>
      <c r="B1757">
        <v>21.25</v>
      </c>
      <c r="C1757">
        <v>22.24</v>
      </c>
      <c r="D1757">
        <v>21.129999000000002</v>
      </c>
      <c r="E1757">
        <v>22.110001</v>
      </c>
      <c r="F1757">
        <v>21.563593000000001</v>
      </c>
      <c r="G1757">
        <v>3869400</v>
      </c>
      <c r="I1757">
        <f t="shared" si="28"/>
        <v>5.2369333458352786E-4</v>
      </c>
    </row>
    <row r="1758" spans="1:9" x14ac:dyDescent="0.3">
      <c r="A1758" s="5">
        <v>44187</v>
      </c>
      <c r="B1758">
        <v>22.17</v>
      </c>
      <c r="C1758">
        <v>22.219999000000001</v>
      </c>
      <c r="D1758">
        <v>21.5</v>
      </c>
      <c r="E1758">
        <v>21.610001</v>
      </c>
      <c r="F1758">
        <v>21.075949000000001</v>
      </c>
      <c r="G1758">
        <v>4196900</v>
      </c>
      <c r="I1758">
        <f t="shared" si="28"/>
        <v>2.1931262361386009E-4</v>
      </c>
    </row>
    <row r="1759" spans="1:9" x14ac:dyDescent="0.3">
      <c r="A1759" s="5">
        <v>44188</v>
      </c>
      <c r="B1759">
        <v>21.799999</v>
      </c>
      <c r="C1759">
        <v>22.66</v>
      </c>
      <c r="D1759">
        <v>21.799999</v>
      </c>
      <c r="E1759">
        <v>22.219999000000001</v>
      </c>
      <c r="F1759">
        <v>21.670871999999999</v>
      </c>
      <c r="G1759">
        <v>3480700</v>
      </c>
      <c r="I1759">
        <f t="shared" si="28"/>
        <v>7.5867961143852227E-4</v>
      </c>
    </row>
    <row r="1760" spans="1:9" x14ac:dyDescent="0.3">
      <c r="A1760" s="5">
        <v>44189</v>
      </c>
      <c r="B1760">
        <v>22.34</v>
      </c>
      <c r="C1760">
        <v>22.34</v>
      </c>
      <c r="D1760">
        <v>21.809999000000001</v>
      </c>
      <c r="E1760">
        <v>21.959999</v>
      </c>
      <c r="F1760">
        <v>21.417299</v>
      </c>
      <c r="G1760">
        <v>1075300</v>
      </c>
      <c r="I1760">
        <f t="shared" si="28"/>
        <v>1.6456719925215201E-4</v>
      </c>
    </row>
    <row r="1761" spans="1:9" x14ac:dyDescent="0.3">
      <c r="A1761" s="5">
        <v>44193</v>
      </c>
      <c r="B1761">
        <v>22.1</v>
      </c>
      <c r="C1761">
        <v>23.02</v>
      </c>
      <c r="D1761">
        <v>22.09</v>
      </c>
      <c r="E1761">
        <v>22.24</v>
      </c>
      <c r="F1761">
        <v>21.690377999999999</v>
      </c>
      <c r="G1761">
        <v>4336100</v>
      </c>
      <c r="I1761">
        <f t="shared" si="28"/>
        <v>1.4089873245058844E-3</v>
      </c>
    </row>
    <row r="1762" spans="1:9" x14ac:dyDescent="0.3">
      <c r="A1762" s="5">
        <v>44194</v>
      </c>
      <c r="B1762">
        <v>22.139999</v>
      </c>
      <c r="C1762">
        <v>22.34</v>
      </c>
      <c r="D1762">
        <v>21.15</v>
      </c>
      <c r="E1762">
        <v>22.040001</v>
      </c>
      <c r="F1762">
        <v>21.495321000000001</v>
      </c>
      <c r="G1762">
        <v>3493000</v>
      </c>
      <c r="I1762">
        <f t="shared" si="28"/>
        <v>2.0071911317556201E-3</v>
      </c>
    </row>
    <row r="1763" spans="1:9" x14ac:dyDescent="0.3">
      <c r="A1763" s="5">
        <v>44195</v>
      </c>
      <c r="B1763">
        <v>22.07</v>
      </c>
      <c r="C1763">
        <v>23.18</v>
      </c>
      <c r="D1763">
        <v>21.98</v>
      </c>
      <c r="E1763">
        <v>22.950001</v>
      </c>
      <c r="F1763">
        <v>22.382836999999999</v>
      </c>
      <c r="G1763">
        <v>3435000</v>
      </c>
      <c r="I1763">
        <f t="shared" si="28"/>
        <v>6.6579097576253293E-4</v>
      </c>
    </row>
    <row r="1764" spans="1:9" x14ac:dyDescent="0.3">
      <c r="A1764" s="5">
        <v>44196</v>
      </c>
      <c r="B1764">
        <v>23</v>
      </c>
      <c r="C1764">
        <v>23.43</v>
      </c>
      <c r="D1764">
        <v>22.4</v>
      </c>
      <c r="E1764">
        <v>23.049999</v>
      </c>
      <c r="F1764">
        <v>22.480364000000002</v>
      </c>
      <c r="G1764">
        <v>3443600</v>
      </c>
      <c r="I1764">
        <f t="shared" si="28"/>
        <v>1.058997087660376E-3</v>
      </c>
    </row>
    <row r="1765" spans="1:9" x14ac:dyDescent="0.3">
      <c r="A1765" s="5">
        <v>44200</v>
      </c>
      <c r="B1765">
        <v>23.620000999999998</v>
      </c>
      <c r="C1765">
        <v>24.450001</v>
      </c>
      <c r="D1765">
        <v>23.125</v>
      </c>
      <c r="E1765">
        <v>23.25</v>
      </c>
      <c r="F1765">
        <v>22.675419000000002</v>
      </c>
      <c r="G1765">
        <v>5400000</v>
      </c>
      <c r="I1765">
        <f t="shared" si="28"/>
        <v>1.8522246810812029E-3</v>
      </c>
    </row>
    <row r="1766" spans="1:9" x14ac:dyDescent="0.3">
      <c r="A1766" s="5">
        <v>44201</v>
      </c>
      <c r="B1766">
        <v>23.299999</v>
      </c>
      <c r="C1766">
        <v>24.120000999999998</v>
      </c>
      <c r="D1766">
        <v>23.219999000000001</v>
      </c>
      <c r="E1766">
        <v>23.67</v>
      </c>
      <c r="F1766">
        <v>23.085041</v>
      </c>
      <c r="G1766">
        <v>4297900</v>
      </c>
      <c r="I1766">
        <f t="shared" si="28"/>
        <v>7.1741448413901749E-4</v>
      </c>
    </row>
    <row r="1767" spans="1:9" x14ac:dyDescent="0.3">
      <c r="A1767" s="5">
        <v>44202</v>
      </c>
      <c r="B1767">
        <v>24.5</v>
      </c>
      <c r="C1767">
        <v>25.66</v>
      </c>
      <c r="D1767">
        <v>24.4</v>
      </c>
      <c r="E1767">
        <v>25.209999</v>
      </c>
      <c r="F1767">
        <v>24.586983</v>
      </c>
      <c r="G1767">
        <v>5656900</v>
      </c>
      <c r="I1767">
        <f t="shared" si="28"/>
        <v>9.5203559480993205E-4</v>
      </c>
    </row>
    <row r="1768" spans="1:9" x14ac:dyDescent="0.3">
      <c r="A1768" s="5">
        <v>44203</v>
      </c>
      <c r="B1768">
        <v>25.629999000000002</v>
      </c>
      <c r="C1768">
        <v>26.200001</v>
      </c>
      <c r="D1768">
        <v>24.959999</v>
      </c>
      <c r="E1768">
        <v>25.23</v>
      </c>
      <c r="F1768">
        <v>24.606484999999999</v>
      </c>
      <c r="G1768">
        <v>4445500</v>
      </c>
      <c r="I1768">
        <f t="shared" si="28"/>
        <v>1.1148142127315507E-3</v>
      </c>
    </row>
    <row r="1769" spans="1:9" x14ac:dyDescent="0.3">
      <c r="A1769" s="5">
        <v>44204</v>
      </c>
      <c r="B1769">
        <v>25.299999</v>
      </c>
      <c r="C1769">
        <v>25.469999000000001</v>
      </c>
      <c r="D1769">
        <v>24.52</v>
      </c>
      <c r="E1769">
        <v>24.99</v>
      </c>
      <c r="F1769">
        <v>24.372420999999999</v>
      </c>
      <c r="G1769">
        <v>2967700</v>
      </c>
      <c r="I1769">
        <f t="shared" si="28"/>
        <v>7.2198287155941906E-4</v>
      </c>
    </row>
    <row r="1770" spans="1:9" x14ac:dyDescent="0.3">
      <c r="A1770" s="5">
        <v>44207</v>
      </c>
      <c r="B1770">
        <v>23.860001</v>
      </c>
      <c r="C1770">
        <v>24.9</v>
      </c>
      <c r="D1770">
        <v>23.530000999999999</v>
      </c>
      <c r="E1770">
        <v>24.559999000000001</v>
      </c>
      <c r="F1770">
        <v>23.953044999999999</v>
      </c>
      <c r="G1770">
        <v>3041900</v>
      </c>
      <c r="I1770">
        <f t="shared" si="28"/>
        <v>1.1832620809886464E-3</v>
      </c>
    </row>
    <row r="1771" spans="1:9" x14ac:dyDescent="0.3">
      <c r="A1771" s="5">
        <v>44208</v>
      </c>
      <c r="B1771">
        <v>24.780000999999999</v>
      </c>
      <c r="C1771">
        <v>25.450001</v>
      </c>
      <c r="D1771">
        <v>24.540001</v>
      </c>
      <c r="E1771">
        <v>25.08</v>
      </c>
      <c r="F1771">
        <v>24.460194000000001</v>
      </c>
      <c r="G1771">
        <v>2843600</v>
      </c>
      <c r="I1771">
        <f t="shared" si="28"/>
        <v>6.0255227108125674E-4</v>
      </c>
    </row>
    <row r="1772" spans="1:9" x14ac:dyDescent="0.3">
      <c r="A1772" s="5">
        <v>44209</v>
      </c>
      <c r="B1772">
        <v>25.139999</v>
      </c>
      <c r="C1772">
        <v>25.15</v>
      </c>
      <c r="D1772">
        <v>24.309999000000001</v>
      </c>
      <c r="E1772">
        <v>24.440000999999999</v>
      </c>
      <c r="F1772">
        <v>23.836010000000002</v>
      </c>
      <c r="G1772">
        <v>2599900</v>
      </c>
      <c r="I1772">
        <f t="shared" si="28"/>
        <v>1.9044583915160736E-4</v>
      </c>
    </row>
    <row r="1773" spans="1:9" x14ac:dyDescent="0.3">
      <c r="A1773" s="5">
        <v>44210</v>
      </c>
      <c r="B1773">
        <v>25</v>
      </c>
      <c r="C1773">
        <v>25.379999000000002</v>
      </c>
      <c r="D1773">
        <v>24.85</v>
      </c>
      <c r="E1773">
        <v>25.09</v>
      </c>
      <c r="F1773">
        <v>24.469947999999999</v>
      </c>
      <c r="G1773">
        <v>3991400</v>
      </c>
      <c r="I1773">
        <f t="shared" si="28"/>
        <v>2.3120798648334804E-4</v>
      </c>
    </row>
    <row r="1774" spans="1:9" x14ac:dyDescent="0.3">
      <c r="A1774" s="5">
        <v>44211</v>
      </c>
      <c r="B1774">
        <v>24.514999</v>
      </c>
      <c r="C1774">
        <v>24.514999</v>
      </c>
      <c r="D1774">
        <v>22.959999</v>
      </c>
      <c r="E1774">
        <v>23.280000999999999</v>
      </c>
      <c r="F1774">
        <v>22.704678000000001</v>
      </c>
      <c r="G1774">
        <v>5866800</v>
      </c>
      <c r="I1774">
        <f t="shared" si="28"/>
        <v>9.0703200258100854E-4</v>
      </c>
    </row>
    <row r="1775" spans="1:9" x14ac:dyDescent="0.3">
      <c r="A1775" s="5">
        <v>44215</v>
      </c>
      <c r="B1775">
        <v>23.889999</v>
      </c>
      <c r="C1775">
        <v>24.219999000000001</v>
      </c>
      <c r="D1775">
        <v>22.860001</v>
      </c>
      <c r="E1775">
        <v>23.09</v>
      </c>
      <c r="F1775">
        <v>22.519373000000002</v>
      </c>
      <c r="G1775">
        <v>5737700</v>
      </c>
      <c r="I1775">
        <f t="shared" si="28"/>
        <v>1.0966639579822425E-3</v>
      </c>
    </row>
    <row r="1776" spans="1:9" x14ac:dyDescent="0.3">
      <c r="A1776" s="5">
        <v>44216</v>
      </c>
      <c r="B1776">
        <v>23.5</v>
      </c>
      <c r="C1776">
        <v>23.74</v>
      </c>
      <c r="D1776">
        <v>22.639999</v>
      </c>
      <c r="E1776">
        <v>22.84</v>
      </c>
      <c r="F1776">
        <v>22.275555000000001</v>
      </c>
      <c r="G1776">
        <v>5578300</v>
      </c>
      <c r="I1776">
        <f t="shared" si="28"/>
        <v>7.2060473912109041E-4</v>
      </c>
    </row>
    <row r="1777" spans="1:9" x14ac:dyDescent="0.3">
      <c r="A1777" s="5">
        <v>44217</v>
      </c>
      <c r="B1777">
        <v>20.93</v>
      </c>
      <c r="C1777">
        <v>21.700001</v>
      </c>
      <c r="D1777">
        <v>20</v>
      </c>
      <c r="E1777">
        <v>20.010000000000002</v>
      </c>
      <c r="F1777">
        <v>19.515484000000001</v>
      </c>
      <c r="G1777">
        <v>22833800</v>
      </c>
      <c r="I1777">
        <f t="shared" si="28"/>
        <v>2.9520463470026044E-3</v>
      </c>
    </row>
    <row r="1778" spans="1:9" x14ac:dyDescent="0.3">
      <c r="A1778" s="5">
        <v>44218</v>
      </c>
      <c r="B1778">
        <v>19.399999999999999</v>
      </c>
      <c r="C1778">
        <v>20.040001</v>
      </c>
      <c r="D1778">
        <v>19.170000000000002</v>
      </c>
      <c r="E1778">
        <v>19.399999999999999</v>
      </c>
      <c r="F1778">
        <v>18.920563000000001</v>
      </c>
      <c r="G1778">
        <v>11183400</v>
      </c>
      <c r="I1778">
        <f t="shared" si="28"/>
        <v>1.1957153470030983E-3</v>
      </c>
    </row>
    <row r="1779" spans="1:9" x14ac:dyDescent="0.3">
      <c r="A1779" s="5">
        <v>44221</v>
      </c>
      <c r="B1779">
        <v>19.260000000000002</v>
      </c>
      <c r="C1779">
        <v>19.440000999999999</v>
      </c>
      <c r="D1779">
        <v>18.579999999999998</v>
      </c>
      <c r="E1779">
        <v>19.34</v>
      </c>
      <c r="F1779">
        <v>18.862047</v>
      </c>
      <c r="G1779">
        <v>7926900</v>
      </c>
      <c r="I1779">
        <f t="shared" si="28"/>
        <v>1.4889892497046853E-3</v>
      </c>
    </row>
    <row r="1780" spans="1:9" x14ac:dyDescent="0.3">
      <c r="A1780" s="5">
        <v>44222</v>
      </c>
      <c r="B1780">
        <v>19.600000000000001</v>
      </c>
      <c r="C1780">
        <v>19.66</v>
      </c>
      <c r="D1780">
        <v>18.549999</v>
      </c>
      <c r="E1780">
        <v>18.559999000000001</v>
      </c>
      <c r="F1780">
        <v>18.101326</v>
      </c>
      <c r="G1780">
        <v>5928800</v>
      </c>
      <c r="I1780">
        <f t="shared" si="28"/>
        <v>2.0566209427178321E-4</v>
      </c>
    </row>
    <row r="1781" spans="1:9" x14ac:dyDescent="0.3">
      <c r="A1781" s="5">
        <v>44223</v>
      </c>
      <c r="B1781">
        <v>18.690000999999999</v>
      </c>
      <c r="C1781">
        <v>18.969999000000001</v>
      </c>
      <c r="D1781">
        <v>17.299999</v>
      </c>
      <c r="E1781">
        <v>18.66</v>
      </c>
      <c r="F1781">
        <v>18.198853</v>
      </c>
      <c r="G1781">
        <v>9215300</v>
      </c>
      <c r="I1781">
        <f t="shared" si="28"/>
        <v>6.0933979605159571E-3</v>
      </c>
    </row>
    <row r="1782" spans="1:9" x14ac:dyDescent="0.3">
      <c r="A1782" s="5">
        <v>44224</v>
      </c>
      <c r="B1782">
        <v>19.100000000000001</v>
      </c>
      <c r="C1782">
        <v>19.299999</v>
      </c>
      <c r="D1782">
        <v>18.475000000000001</v>
      </c>
      <c r="E1782">
        <v>18.5</v>
      </c>
      <c r="F1782">
        <v>18.042807</v>
      </c>
      <c r="G1782">
        <v>7028600</v>
      </c>
      <c r="I1782">
        <f t="shared" si="28"/>
        <v>4.8597389751555521E-4</v>
      </c>
    </row>
    <row r="1783" spans="1:9" x14ac:dyDescent="0.3">
      <c r="A1783" s="5">
        <v>44225</v>
      </c>
      <c r="B1783">
        <v>18.649999999999999</v>
      </c>
      <c r="C1783">
        <v>18.84</v>
      </c>
      <c r="D1783">
        <v>17.774999999999999</v>
      </c>
      <c r="E1783">
        <v>18</v>
      </c>
      <c r="F1783">
        <v>17.555164000000001</v>
      </c>
      <c r="G1783">
        <v>7772500</v>
      </c>
      <c r="I1783">
        <f t="shared" si="28"/>
        <v>1.0667641196242868E-3</v>
      </c>
    </row>
    <row r="1784" spans="1:9" x14ac:dyDescent="0.3">
      <c r="A1784" s="5">
        <v>44228</v>
      </c>
      <c r="B1784">
        <v>18.489999999999998</v>
      </c>
      <c r="C1784">
        <v>18.889999</v>
      </c>
      <c r="D1784">
        <v>17.780000999999999</v>
      </c>
      <c r="E1784">
        <v>18.82</v>
      </c>
      <c r="F1784">
        <v>18.354897999999999</v>
      </c>
      <c r="G1784">
        <v>9127400</v>
      </c>
      <c r="I1784">
        <f t="shared" si="28"/>
        <v>2.3052992922958063E-3</v>
      </c>
    </row>
    <row r="1785" spans="1:9" x14ac:dyDescent="0.3">
      <c r="A1785" s="5">
        <v>44229</v>
      </c>
      <c r="B1785">
        <v>19.16</v>
      </c>
      <c r="C1785">
        <v>19.375</v>
      </c>
      <c r="D1785">
        <v>18.805</v>
      </c>
      <c r="E1785">
        <v>19.110001</v>
      </c>
      <c r="F1785">
        <v>18.637730000000001</v>
      </c>
      <c r="G1785">
        <v>7218500</v>
      </c>
      <c r="I1785">
        <f t="shared" si="28"/>
        <v>4.5457291976356824E-4</v>
      </c>
    </row>
    <row r="1786" spans="1:9" x14ac:dyDescent="0.3">
      <c r="A1786" s="5">
        <v>44230</v>
      </c>
      <c r="B1786">
        <v>19.110001</v>
      </c>
      <c r="C1786">
        <v>20.18</v>
      </c>
      <c r="D1786">
        <v>18.850000000000001</v>
      </c>
      <c r="E1786">
        <v>19.899999999999999</v>
      </c>
      <c r="F1786">
        <v>19.408204999999999</v>
      </c>
      <c r="G1786">
        <v>10453700</v>
      </c>
      <c r="I1786">
        <f t="shared" si="28"/>
        <v>1.5037864408864721E-3</v>
      </c>
    </row>
    <row r="1787" spans="1:9" x14ac:dyDescent="0.3">
      <c r="A1787" s="5">
        <v>44231</v>
      </c>
      <c r="B1787">
        <v>20.02</v>
      </c>
      <c r="C1787">
        <v>20.445999</v>
      </c>
      <c r="D1787">
        <v>19.850000000000001</v>
      </c>
      <c r="E1787">
        <v>20.360001</v>
      </c>
      <c r="F1787">
        <v>19.856839999999998</v>
      </c>
      <c r="G1787">
        <v>5516700</v>
      </c>
      <c r="I1787">
        <f t="shared" si="28"/>
        <v>3.05082531503531E-4</v>
      </c>
    </row>
    <row r="1788" spans="1:9" x14ac:dyDescent="0.3">
      <c r="A1788" s="5">
        <v>44232</v>
      </c>
      <c r="B1788">
        <v>20.58</v>
      </c>
      <c r="C1788">
        <v>20.98</v>
      </c>
      <c r="D1788">
        <v>20.219999000000001</v>
      </c>
      <c r="E1788">
        <v>20.950001</v>
      </c>
      <c r="F1788">
        <v>20.432261</v>
      </c>
      <c r="G1788">
        <v>5242700</v>
      </c>
      <c r="I1788">
        <f t="shared" si="28"/>
        <v>6.5344275124390059E-4</v>
      </c>
    </row>
    <row r="1789" spans="1:9" x14ac:dyDescent="0.3">
      <c r="A1789" s="5">
        <v>44235</v>
      </c>
      <c r="B1789">
        <v>21.33</v>
      </c>
      <c r="C1789">
        <v>21.969999000000001</v>
      </c>
      <c r="D1789">
        <v>21.290001</v>
      </c>
      <c r="E1789">
        <v>21.799999</v>
      </c>
      <c r="F1789">
        <v>21.261251000000001</v>
      </c>
      <c r="G1789">
        <v>8282900</v>
      </c>
      <c r="I1789">
        <f t="shared" si="28"/>
        <v>2.7407857213223615E-4</v>
      </c>
    </row>
    <row r="1790" spans="1:9" x14ac:dyDescent="0.3">
      <c r="A1790" s="5">
        <v>44236</v>
      </c>
      <c r="B1790">
        <v>21.77</v>
      </c>
      <c r="C1790">
        <v>22.344999000000001</v>
      </c>
      <c r="D1790">
        <v>21.66</v>
      </c>
      <c r="E1790">
        <v>21.76</v>
      </c>
      <c r="F1790">
        <v>21.222242000000001</v>
      </c>
      <c r="G1790">
        <v>5591000</v>
      </c>
      <c r="I1790">
        <f t="shared" si="28"/>
        <v>7.1493831088468641E-4</v>
      </c>
    </row>
    <row r="1791" spans="1:9" x14ac:dyDescent="0.3">
      <c r="A1791" s="5">
        <v>44237</v>
      </c>
      <c r="B1791">
        <v>21.58</v>
      </c>
      <c r="C1791">
        <v>22.120000999999998</v>
      </c>
      <c r="D1791">
        <v>21.052</v>
      </c>
      <c r="E1791">
        <v>21.559999000000001</v>
      </c>
      <c r="F1791">
        <v>21.027184999999999</v>
      </c>
      <c r="G1791">
        <v>5196600</v>
      </c>
      <c r="I1791">
        <f t="shared" si="28"/>
        <v>1.2244140083036404E-3</v>
      </c>
    </row>
    <row r="1792" spans="1:9" x14ac:dyDescent="0.3">
      <c r="A1792" s="5">
        <v>44238</v>
      </c>
      <c r="B1792">
        <v>21.51</v>
      </c>
      <c r="C1792">
        <v>21.67</v>
      </c>
      <c r="D1792">
        <v>20.969999000000001</v>
      </c>
      <c r="E1792">
        <v>21.389999</v>
      </c>
      <c r="F1792">
        <v>20.861383</v>
      </c>
      <c r="G1792">
        <v>3865100</v>
      </c>
      <c r="I1792">
        <f t="shared" si="28"/>
        <v>6.0057882053226306E-4</v>
      </c>
    </row>
    <row r="1793" spans="1:9" x14ac:dyDescent="0.3">
      <c r="A1793" s="5">
        <v>44239</v>
      </c>
      <c r="B1793">
        <v>21.09</v>
      </c>
      <c r="C1793">
        <v>21.754999000000002</v>
      </c>
      <c r="D1793">
        <v>20.959999</v>
      </c>
      <c r="E1793">
        <v>21.66</v>
      </c>
      <c r="F1793">
        <v>21.124711999999999</v>
      </c>
      <c r="G1793">
        <v>3306000</v>
      </c>
      <c r="I1793">
        <f t="shared" si="28"/>
        <v>3.3898765977799018E-4</v>
      </c>
    </row>
    <row r="1794" spans="1:9" x14ac:dyDescent="0.3">
      <c r="A1794" s="5">
        <v>44243</v>
      </c>
      <c r="B1794">
        <v>22.09</v>
      </c>
      <c r="C1794">
        <v>22.620000999999998</v>
      </c>
      <c r="D1794">
        <v>22.055</v>
      </c>
      <c r="E1794">
        <v>22.43</v>
      </c>
      <c r="F1794">
        <v>21.875682999999999</v>
      </c>
      <c r="G1794">
        <v>4264300</v>
      </c>
      <c r="I1794">
        <f t="shared" si="28"/>
        <v>2.2672820941372504E-4</v>
      </c>
    </row>
    <row r="1795" spans="1:9" x14ac:dyDescent="0.3">
      <c r="A1795" s="5">
        <v>44244</v>
      </c>
      <c r="B1795">
        <v>22.41</v>
      </c>
      <c r="C1795">
        <v>22.674999</v>
      </c>
      <c r="D1795">
        <v>21.709999</v>
      </c>
      <c r="E1795">
        <v>21.93</v>
      </c>
      <c r="F1795">
        <v>21.388041000000001</v>
      </c>
      <c r="G1795">
        <v>4239500</v>
      </c>
      <c r="I1795">
        <f t="shared" si="28"/>
        <v>7.1269158648941378E-4</v>
      </c>
    </row>
    <row r="1796" spans="1:9" x14ac:dyDescent="0.3">
      <c r="A1796" s="5">
        <v>44245</v>
      </c>
      <c r="B1796">
        <v>22.030000999999999</v>
      </c>
      <c r="C1796">
        <v>22.26</v>
      </c>
      <c r="D1796">
        <v>21.07</v>
      </c>
      <c r="E1796">
        <v>21.120000999999998</v>
      </c>
      <c r="F1796">
        <v>20.598061000000001</v>
      </c>
      <c r="G1796">
        <v>3545600</v>
      </c>
      <c r="I1796">
        <f t="shared" si="28"/>
        <v>6.5161578331150011E-4</v>
      </c>
    </row>
    <row r="1797" spans="1:9" x14ac:dyDescent="0.3">
      <c r="A1797" s="5">
        <v>44246</v>
      </c>
      <c r="B1797">
        <v>21.559999000000001</v>
      </c>
      <c r="C1797">
        <v>23.34</v>
      </c>
      <c r="D1797">
        <v>21.549999</v>
      </c>
      <c r="E1797">
        <v>23.129999000000002</v>
      </c>
      <c r="F1797">
        <v>22.558384</v>
      </c>
      <c r="G1797">
        <v>7262300</v>
      </c>
      <c r="I1797">
        <f t="shared" si="28"/>
        <v>7.4981539811549459E-4</v>
      </c>
    </row>
    <row r="1798" spans="1:9" x14ac:dyDescent="0.3">
      <c r="A1798" s="5">
        <v>44249</v>
      </c>
      <c r="B1798">
        <v>23.459999</v>
      </c>
      <c r="C1798">
        <v>25.475000000000001</v>
      </c>
      <c r="D1798">
        <v>23.049999</v>
      </c>
      <c r="E1798">
        <v>24.799999</v>
      </c>
      <c r="F1798">
        <v>24.187113</v>
      </c>
      <c r="G1798">
        <v>9399500</v>
      </c>
      <c r="I1798">
        <f t="shared" si="28"/>
        <v>3.50299250265158E-3</v>
      </c>
    </row>
    <row r="1799" spans="1:9" x14ac:dyDescent="0.3">
      <c r="A1799" s="5">
        <v>44250</v>
      </c>
      <c r="B1799">
        <v>23.860001</v>
      </c>
      <c r="C1799">
        <v>25.09</v>
      </c>
      <c r="D1799">
        <v>22.950001</v>
      </c>
      <c r="E1799">
        <v>24.9</v>
      </c>
      <c r="F1799">
        <v>24.284642999999999</v>
      </c>
      <c r="G1799">
        <v>6009800</v>
      </c>
      <c r="I1799">
        <f t="shared" si="28"/>
        <v>3.5532030172951965E-3</v>
      </c>
    </row>
    <row r="1800" spans="1:9" x14ac:dyDescent="0.3">
      <c r="A1800" s="5">
        <v>44251</v>
      </c>
      <c r="B1800">
        <v>25.1</v>
      </c>
      <c r="C1800">
        <v>27.290001</v>
      </c>
      <c r="D1800">
        <v>25.1</v>
      </c>
      <c r="E1800">
        <v>27.200001</v>
      </c>
      <c r="F1800">
        <v>26.527802000000001</v>
      </c>
      <c r="G1800">
        <v>8974300</v>
      </c>
      <c r="I1800">
        <f t="shared" si="28"/>
        <v>2.7633451423185722E-4</v>
      </c>
    </row>
    <row r="1801" spans="1:9" x14ac:dyDescent="0.3">
      <c r="A1801" s="5">
        <v>44252</v>
      </c>
      <c r="B1801">
        <v>27.48</v>
      </c>
      <c r="C1801">
        <v>27.799999</v>
      </c>
      <c r="D1801">
        <v>25.105</v>
      </c>
      <c r="E1801">
        <v>25.559999000000001</v>
      </c>
      <c r="F1801">
        <v>24.928331</v>
      </c>
      <c r="G1801">
        <v>8444400</v>
      </c>
      <c r="I1801">
        <f t="shared" si="28"/>
        <v>2.5961683832862971E-3</v>
      </c>
    </row>
    <row r="1802" spans="1:9" x14ac:dyDescent="0.3">
      <c r="A1802" s="5">
        <v>44253</v>
      </c>
      <c r="B1802">
        <v>24.200001</v>
      </c>
      <c r="C1802">
        <v>24.98</v>
      </c>
      <c r="D1802">
        <v>23.639999</v>
      </c>
      <c r="E1802">
        <v>24.549999</v>
      </c>
      <c r="F1802">
        <v>23.943293000000001</v>
      </c>
      <c r="G1802">
        <v>6412700</v>
      </c>
      <c r="I1802">
        <f t="shared" si="28"/>
        <v>1.4351554097052467E-3</v>
      </c>
    </row>
    <row r="1803" spans="1:9" x14ac:dyDescent="0.3">
      <c r="A1803" s="5">
        <v>44256</v>
      </c>
      <c r="B1803">
        <v>25.67</v>
      </c>
      <c r="C1803">
        <v>26.379999000000002</v>
      </c>
      <c r="D1803">
        <v>25.4</v>
      </c>
      <c r="E1803">
        <v>25.99</v>
      </c>
      <c r="F1803">
        <v>25.347705999999999</v>
      </c>
      <c r="G1803">
        <v>5550800</v>
      </c>
      <c r="I1803">
        <f t="shared" si="28"/>
        <v>6.4916502878084657E-4</v>
      </c>
    </row>
    <row r="1804" spans="1:9" x14ac:dyDescent="0.3">
      <c r="A1804" s="5">
        <v>44257</v>
      </c>
      <c r="B1804">
        <v>26.200001</v>
      </c>
      <c r="C1804">
        <v>27.860001</v>
      </c>
      <c r="D1804">
        <v>26.200001</v>
      </c>
      <c r="E1804">
        <v>27.5</v>
      </c>
      <c r="F1804">
        <v>26.820385000000002</v>
      </c>
      <c r="G1804">
        <v>8530300</v>
      </c>
      <c r="I1804">
        <f t="shared" ref="I1804:I1867" si="29">LN(C1804/B1804)*(LN(C1804/B1804)-LN(E1804/B1804))+LN(D1804/B1804)*(LN(D1804/B1804)-LN(E1804/B1804))</f>
        <v>7.9899178812879875E-4</v>
      </c>
    </row>
    <row r="1805" spans="1:9" x14ac:dyDescent="0.3">
      <c r="A1805" s="5">
        <v>44258</v>
      </c>
      <c r="B1805">
        <v>28.9</v>
      </c>
      <c r="C1805">
        <v>31.370000999999998</v>
      </c>
      <c r="D1805">
        <v>28.52</v>
      </c>
      <c r="E1805">
        <v>30.83</v>
      </c>
      <c r="F1805">
        <v>30.068092</v>
      </c>
      <c r="G1805">
        <v>17570200</v>
      </c>
      <c r="I1805">
        <f t="shared" si="29"/>
        <v>2.4548688801852691E-3</v>
      </c>
    </row>
    <row r="1806" spans="1:9" x14ac:dyDescent="0.3">
      <c r="A1806" s="5">
        <v>44259</v>
      </c>
      <c r="B1806">
        <v>29.715</v>
      </c>
      <c r="C1806">
        <v>30.389999</v>
      </c>
      <c r="D1806">
        <v>27.360001</v>
      </c>
      <c r="E1806">
        <v>28.59</v>
      </c>
      <c r="F1806">
        <v>27.883452999999999</v>
      </c>
      <c r="G1806">
        <v>10364300</v>
      </c>
      <c r="I1806">
        <f t="shared" si="29"/>
        <v>5.0024270576247811E-3</v>
      </c>
    </row>
    <row r="1807" spans="1:9" x14ac:dyDescent="0.3">
      <c r="A1807" s="5">
        <v>44260</v>
      </c>
      <c r="B1807">
        <v>29.23</v>
      </c>
      <c r="C1807">
        <v>30.504999000000002</v>
      </c>
      <c r="D1807">
        <v>27.41</v>
      </c>
      <c r="E1807">
        <v>28.99</v>
      </c>
      <c r="F1807">
        <v>28.273565000000001</v>
      </c>
      <c r="G1807">
        <v>7777600</v>
      </c>
      <c r="I1807">
        <f t="shared" si="29"/>
        <v>5.7777430035257579E-3</v>
      </c>
    </row>
    <row r="1808" spans="1:9" x14ac:dyDescent="0.3">
      <c r="A1808" s="5">
        <v>44263</v>
      </c>
      <c r="B1808">
        <v>29.65</v>
      </c>
      <c r="C1808">
        <v>30.17</v>
      </c>
      <c r="D1808">
        <v>28.4</v>
      </c>
      <c r="E1808">
        <v>28.469999000000001</v>
      </c>
      <c r="F1808">
        <v>27.766417000000001</v>
      </c>
      <c r="G1808">
        <v>4985700</v>
      </c>
      <c r="I1808">
        <f t="shared" si="29"/>
        <v>1.1143685616616127E-3</v>
      </c>
    </row>
    <row r="1809" spans="1:9" x14ac:dyDescent="0.3">
      <c r="A1809" s="5">
        <v>44264</v>
      </c>
      <c r="B1809">
        <v>28.99</v>
      </c>
      <c r="C1809">
        <v>30.049999</v>
      </c>
      <c r="D1809">
        <v>28.200001</v>
      </c>
      <c r="E1809">
        <v>29.940000999999999</v>
      </c>
      <c r="F1809">
        <v>29.200087</v>
      </c>
      <c r="G1809">
        <v>7555200</v>
      </c>
      <c r="I1809">
        <f t="shared" si="29"/>
        <v>1.7859338014893065E-3</v>
      </c>
    </row>
    <row r="1810" spans="1:9" x14ac:dyDescent="0.3">
      <c r="A1810" s="5">
        <v>44265</v>
      </c>
      <c r="B1810">
        <v>30.34</v>
      </c>
      <c r="C1810">
        <v>32.419998</v>
      </c>
      <c r="D1810">
        <v>30.34</v>
      </c>
      <c r="E1810">
        <v>31.98</v>
      </c>
      <c r="F1810">
        <v>31.189672000000002</v>
      </c>
      <c r="G1810">
        <v>7927700</v>
      </c>
      <c r="I1810">
        <f t="shared" si="29"/>
        <v>9.060886266944821E-4</v>
      </c>
    </row>
    <row r="1811" spans="1:9" x14ac:dyDescent="0.3">
      <c r="A1811" s="5">
        <v>44266</v>
      </c>
      <c r="B1811">
        <v>32.299999</v>
      </c>
      <c r="C1811">
        <v>32.872002000000002</v>
      </c>
      <c r="D1811">
        <v>31.690000999999999</v>
      </c>
      <c r="E1811">
        <v>32.159999999999997</v>
      </c>
      <c r="F1811">
        <v>31.365224999999999</v>
      </c>
      <c r="G1811">
        <v>6259200</v>
      </c>
      <c r="I1811">
        <f t="shared" si="29"/>
        <v>6.6509098723248404E-4</v>
      </c>
    </row>
    <row r="1812" spans="1:9" x14ac:dyDescent="0.3">
      <c r="A1812" s="5">
        <v>44267</v>
      </c>
      <c r="B1812">
        <v>31.889999</v>
      </c>
      <c r="C1812">
        <v>32.479999999999997</v>
      </c>
      <c r="D1812">
        <v>31.280000999999999</v>
      </c>
      <c r="E1812">
        <v>31.51</v>
      </c>
      <c r="F1812">
        <v>30.731293000000001</v>
      </c>
      <c r="G1812">
        <v>4733000</v>
      </c>
      <c r="I1812">
        <f t="shared" si="29"/>
        <v>6.9731102771202619E-4</v>
      </c>
    </row>
    <row r="1813" spans="1:9" x14ac:dyDescent="0.3">
      <c r="A1813" s="5">
        <v>44270</v>
      </c>
      <c r="B1813">
        <v>31.450001</v>
      </c>
      <c r="C1813">
        <v>31.68</v>
      </c>
      <c r="D1813">
        <v>30.34</v>
      </c>
      <c r="E1813">
        <v>31.040001</v>
      </c>
      <c r="F1813">
        <v>30.272905000000002</v>
      </c>
      <c r="G1813">
        <v>4532200</v>
      </c>
      <c r="I1813">
        <f t="shared" si="29"/>
        <v>9.6831107219135502E-4</v>
      </c>
    </row>
    <row r="1814" spans="1:9" x14ac:dyDescent="0.3">
      <c r="A1814" s="5">
        <v>44271</v>
      </c>
      <c r="B1814">
        <v>30.75</v>
      </c>
      <c r="C1814">
        <v>30.785</v>
      </c>
      <c r="D1814">
        <v>29.290001</v>
      </c>
      <c r="E1814">
        <v>29.52</v>
      </c>
      <c r="F1814">
        <v>28.790469999999999</v>
      </c>
      <c r="G1814">
        <v>5035700</v>
      </c>
      <c r="I1814">
        <f t="shared" si="29"/>
        <v>4.2821398825977543E-4</v>
      </c>
    </row>
    <row r="1815" spans="1:9" x14ac:dyDescent="0.3">
      <c r="A1815" s="5">
        <v>44272</v>
      </c>
      <c r="B1815">
        <v>30.17</v>
      </c>
      <c r="C1815">
        <v>31.809999000000001</v>
      </c>
      <c r="D1815">
        <v>30.040001</v>
      </c>
      <c r="E1815">
        <v>31.809999000000001</v>
      </c>
      <c r="F1815">
        <v>31.023873999999999</v>
      </c>
      <c r="G1815">
        <v>6861300</v>
      </c>
      <c r="I1815">
        <f t="shared" si="29"/>
        <v>2.4722006406509772E-4</v>
      </c>
    </row>
    <row r="1816" spans="1:9" x14ac:dyDescent="0.3">
      <c r="A1816" s="5">
        <v>44273</v>
      </c>
      <c r="B1816">
        <v>31.66</v>
      </c>
      <c r="C1816">
        <v>33.450001</v>
      </c>
      <c r="D1816">
        <v>30.93</v>
      </c>
      <c r="E1816">
        <v>31.190000999999999</v>
      </c>
      <c r="F1816">
        <v>30.419198999999999</v>
      </c>
      <c r="G1816">
        <v>6723700</v>
      </c>
      <c r="I1816">
        <f t="shared" si="29"/>
        <v>4.0426010742680664E-3</v>
      </c>
    </row>
    <row r="1817" spans="1:9" x14ac:dyDescent="0.3">
      <c r="A1817" s="5">
        <v>44274</v>
      </c>
      <c r="B1817">
        <v>31.129999000000002</v>
      </c>
      <c r="C1817">
        <v>31.620000999999998</v>
      </c>
      <c r="D1817">
        <v>30.07</v>
      </c>
      <c r="E1817">
        <v>31.139999</v>
      </c>
      <c r="F1817">
        <v>30.370432000000001</v>
      </c>
      <c r="G1817">
        <v>6934800</v>
      </c>
      <c r="I1817">
        <f t="shared" si="29"/>
        <v>1.4502336095228636E-3</v>
      </c>
    </row>
    <row r="1818" spans="1:9" x14ac:dyDescent="0.3">
      <c r="A1818" s="5">
        <v>44277</v>
      </c>
      <c r="B1818">
        <v>31.23</v>
      </c>
      <c r="C1818">
        <v>31.42</v>
      </c>
      <c r="D1818">
        <v>30.08</v>
      </c>
      <c r="E1818">
        <v>30.43</v>
      </c>
      <c r="F1818">
        <v>29.677983999999999</v>
      </c>
      <c r="G1818">
        <v>3552300</v>
      </c>
      <c r="I1818">
        <f t="shared" si="29"/>
        <v>6.2822324812750044E-4</v>
      </c>
    </row>
    <row r="1819" spans="1:9" x14ac:dyDescent="0.3">
      <c r="A1819" s="5">
        <v>44278</v>
      </c>
      <c r="B1819">
        <v>28.389999</v>
      </c>
      <c r="C1819">
        <v>29.25</v>
      </c>
      <c r="D1819">
        <v>27.110001</v>
      </c>
      <c r="E1819">
        <v>27.42</v>
      </c>
      <c r="F1819">
        <v>26.742364999999999</v>
      </c>
      <c r="G1819">
        <v>8474600</v>
      </c>
      <c r="I1819">
        <f t="shared" si="29"/>
        <v>2.4525853810751868E-3</v>
      </c>
    </row>
    <row r="1820" spans="1:9" x14ac:dyDescent="0.3">
      <c r="A1820" s="5">
        <v>44279</v>
      </c>
      <c r="B1820">
        <v>29.719999000000001</v>
      </c>
      <c r="C1820">
        <v>30.48</v>
      </c>
      <c r="D1820">
        <v>28.59</v>
      </c>
      <c r="E1820">
        <v>28.76</v>
      </c>
      <c r="F1820">
        <v>28.049251999999999</v>
      </c>
      <c r="G1820">
        <v>9127500</v>
      </c>
      <c r="I1820">
        <f t="shared" si="29"/>
        <v>1.6964914225683189E-3</v>
      </c>
    </row>
    <row r="1821" spans="1:9" x14ac:dyDescent="0.3">
      <c r="A1821" s="5">
        <v>44280</v>
      </c>
      <c r="B1821">
        <v>28.030000999999999</v>
      </c>
      <c r="C1821">
        <v>29.764999</v>
      </c>
      <c r="D1821">
        <v>27.549999</v>
      </c>
      <c r="E1821">
        <v>29.66</v>
      </c>
      <c r="F1821">
        <v>28.927005999999999</v>
      </c>
      <c r="G1821">
        <v>6403000</v>
      </c>
      <c r="I1821">
        <f t="shared" si="29"/>
        <v>1.4869198426532371E-3</v>
      </c>
    </row>
    <row r="1822" spans="1:9" x14ac:dyDescent="0.3">
      <c r="A1822" s="5">
        <v>44281</v>
      </c>
      <c r="B1822">
        <v>30.41</v>
      </c>
      <c r="C1822">
        <v>32.799999</v>
      </c>
      <c r="D1822">
        <v>30.15</v>
      </c>
      <c r="E1822">
        <v>32.779998999999997</v>
      </c>
      <c r="F1822">
        <v>31.969904</v>
      </c>
      <c r="G1822">
        <v>9604300</v>
      </c>
      <c r="I1822">
        <f t="shared" si="29"/>
        <v>7.6427302028131525E-4</v>
      </c>
    </row>
    <row r="1823" spans="1:9" x14ac:dyDescent="0.3">
      <c r="A1823" s="5">
        <v>44284</v>
      </c>
      <c r="B1823">
        <v>32.450001</v>
      </c>
      <c r="C1823">
        <v>33.990001999999997</v>
      </c>
      <c r="D1823">
        <v>31.855</v>
      </c>
      <c r="E1823">
        <v>32.040000999999997</v>
      </c>
      <c r="F1823">
        <v>31.248192</v>
      </c>
      <c r="G1823">
        <v>8276200</v>
      </c>
      <c r="I1823">
        <f t="shared" si="29"/>
        <v>2.8465242775029937E-3</v>
      </c>
    </row>
    <row r="1824" spans="1:9" x14ac:dyDescent="0.3">
      <c r="A1824" s="5">
        <v>44285</v>
      </c>
      <c r="B1824">
        <v>32.150002000000001</v>
      </c>
      <c r="C1824">
        <v>33.049999</v>
      </c>
      <c r="D1824">
        <v>31.34</v>
      </c>
      <c r="E1824">
        <v>32.970001000000003</v>
      </c>
      <c r="F1824">
        <v>32.155208999999999</v>
      </c>
      <c r="G1824">
        <v>6286700</v>
      </c>
      <c r="I1824">
        <f t="shared" si="29"/>
        <v>1.360707677251421E-3</v>
      </c>
    </row>
    <row r="1825" spans="1:9" x14ac:dyDescent="0.3">
      <c r="A1825" s="5">
        <v>44286</v>
      </c>
      <c r="B1825">
        <v>33.659999999999997</v>
      </c>
      <c r="C1825">
        <v>34.290000999999997</v>
      </c>
      <c r="D1825">
        <v>32.110000999999997</v>
      </c>
      <c r="E1825">
        <v>32.490001999999997</v>
      </c>
      <c r="F1825">
        <v>31.687075</v>
      </c>
      <c r="G1825">
        <v>7236600</v>
      </c>
      <c r="I1825">
        <f t="shared" si="29"/>
        <v>1.5545241915118702E-3</v>
      </c>
    </row>
    <row r="1826" spans="1:9" x14ac:dyDescent="0.3">
      <c r="A1826" s="5">
        <v>44287</v>
      </c>
      <c r="B1826">
        <v>32.200001</v>
      </c>
      <c r="C1826">
        <v>32.580002</v>
      </c>
      <c r="D1826">
        <v>31.49</v>
      </c>
      <c r="E1826">
        <v>32.229999999999997</v>
      </c>
      <c r="F1826">
        <v>31.433495000000001</v>
      </c>
      <c r="G1826">
        <v>5482100</v>
      </c>
      <c r="I1826">
        <f t="shared" si="29"/>
        <v>6.4461326041479383E-4</v>
      </c>
    </row>
    <row r="1827" spans="1:9" x14ac:dyDescent="0.3">
      <c r="A1827" s="5">
        <v>44291</v>
      </c>
      <c r="B1827">
        <v>32.68</v>
      </c>
      <c r="C1827">
        <v>32.799999</v>
      </c>
      <c r="D1827">
        <v>31.51</v>
      </c>
      <c r="E1827">
        <v>31.549999</v>
      </c>
      <c r="F1827">
        <v>30.770299999999999</v>
      </c>
      <c r="G1827">
        <v>3933800</v>
      </c>
      <c r="I1827">
        <f t="shared" si="29"/>
        <v>1.8866273294904391E-4</v>
      </c>
    </row>
    <row r="1828" spans="1:9" x14ac:dyDescent="0.3">
      <c r="A1828" s="5">
        <v>44292</v>
      </c>
      <c r="B1828">
        <v>31.66</v>
      </c>
      <c r="C1828">
        <v>33.07</v>
      </c>
      <c r="D1828">
        <v>31.1</v>
      </c>
      <c r="E1828">
        <v>31.309999000000001</v>
      </c>
      <c r="F1828">
        <v>30.536231999999998</v>
      </c>
      <c r="G1828">
        <v>6204500</v>
      </c>
      <c r="I1828">
        <f t="shared" si="29"/>
        <v>2.503035506605716E-3</v>
      </c>
    </row>
    <row r="1829" spans="1:9" x14ac:dyDescent="0.3">
      <c r="A1829" s="5">
        <v>44293</v>
      </c>
      <c r="B1829">
        <v>31.370000999999998</v>
      </c>
      <c r="C1829">
        <v>31.969999000000001</v>
      </c>
      <c r="D1829">
        <v>31.110001</v>
      </c>
      <c r="E1829">
        <v>31.52</v>
      </c>
      <c r="F1829">
        <v>30.741040999999999</v>
      </c>
      <c r="G1829">
        <v>4193400</v>
      </c>
      <c r="I1829">
        <f t="shared" si="29"/>
        <v>3.7753905550299275E-4</v>
      </c>
    </row>
    <row r="1830" spans="1:9" x14ac:dyDescent="0.3">
      <c r="A1830" s="5">
        <v>44294</v>
      </c>
      <c r="B1830">
        <v>31.799999</v>
      </c>
      <c r="C1830">
        <v>31.92</v>
      </c>
      <c r="D1830">
        <v>30.024999999999999</v>
      </c>
      <c r="E1830">
        <v>31.450001</v>
      </c>
      <c r="F1830">
        <v>30.672772999999999</v>
      </c>
      <c r="G1830">
        <v>5776100</v>
      </c>
      <c r="I1830">
        <f t="shared" si="29"/>
        <v>2.7190960839436201E-3</v>
      </c>
    </row>
    <row r="1831" spans="1:9" x14ac:dyDescent="0.3">
      <c r="A1831" s="5">
        <v>44295</v>
      </c>
      <c r="B1831">
        <v>31.16</v>
      </c>
      <c r="C1831">
        <v>31.549999</v>
      </c>
      <c r="D1831">
        <v>30.51</v>
      </c>
      <c r="E1831">
        <v>31.360001</v>
      </c>
      <c r="F1831">
        <v>30.584994999999999</v>
      </c>
      <c r="G1831">
        <v>4317300</v>
      </c>
      <c r="I1831">
        <f t="shared" si="29"/>
        <v>6.5440310179109033E-4</v>
      </c>
    </row>
    <row r="1832" spans="1:9" x14ac:dyDescent="0.3">
      <c r="A1832" s="5">
        <v>44298</v>
      </c>
      <c r="B1832">
        <v>31.5</v>
      </c>
      <c r="C1832">
        <v>31.879999000000002</v>
      </c>
      <c r="D1832">
        <v>31.1</v>
      </c>
      <c r="E1832">
        <v>31.77</v>
      </c>
      <c r="F1832">
        <v>30.984863000000001</v>
      </c>
      <c r="G1832">
        <v>4418500</v>
      </c>
      <c r="I1832">
        <f t="shared" si="29"/>
        <v>3.1384147378390689E-4</v>
      </c>
    </row>
    <row r="1833" spans="1:9" x14ac:dyDescent="0.3">
      <c r="A1833" s="5">
        <v>44299</v>
      </c>
      <c r="B1833">
        <v>31.98</v>
      </c>
      <c r="C1833">
        <v>32.18</v>
      </c>
      <c r="D1833">
        <v>30.83</v>
      </c>
      <c r="E1833">
        <v>31.24</v>
      </c>
      <c r="F1833">
        <v>30.467962</v>
      </c>
      <c r="G1833">
        <v>3412600</v>
      </c>
      <c r="I1833">
        <f t="shared" si="29"/>
        <v>6.6864732579693378E-4</v>
      </c>
    </row>
    <row r="1834" spans="1:9" x14ac:dyDescent="0.3">
      <c r="A1834" s="5">
        <v>44300</v>
      </c>
      <c r="B1834">
        <v>31.950001</v>
      </c>
      <c r="C1834">
        <v>34.240001999999997</v>
      </c>
      <c r="D1834">
        <v>31.799999</v>
      </c>
      <c r="E1834">
        <v>33.389999000000003</v>
      </c>
      <c r="F1834">
        <v>32.564827000000001</v>
      </c>
      <c r="G1834">
        <v>8200500</v>
      </c>
      <c r="I1834">
        <f t="shared" si="29"/>
        <v>1.9697297477032252E-3</v>
      </c>
    </row>
    <row r="1835" spans="1:9" x14ac:dyDescent="0.3">
      <c r="A1835" s="5">
        <v>44301</v>
      </c>
      <c r="B1835">
        <v>33.459999000000003</v>
      </c>
      <c r="C1835">
        <v>33.619999</v>
      </c>
      <c r="D1835">
        <v>32.150002000000001</v>
      </c>
      <c r="E1835">
        <v>32.840000000000003</v>
      </c>
      <c r="F1835">
        <v>32.028419</v>
      </c>
      <c r="G1835">
        <v>6132600</v>
      </c>
      <c r="I1835">
        <f t="shared" si="29"/>
        <v>9.600578011438372E-4</v>
      </c>
    </row>
    <row r="1836" spans="1:9" x14ac:dyDescent="0.3">
      <c r="A1836" s="5">
        <v>44302</v>
      </c>
      <c r="B1836">
        <v>34.029998999999997</v>
      </c>
      <c r="C1836">
        <v>36.029998999999997</v>
      </c>
      <c r="D1836">
        <v>33.865001999999997</v>
      </c>
      <c r="E1836">
        <v>35.630001</v>
      </c>
      <c r="F1836">
        <v>34.749470000000002</v>
      </c>
      <c r="G1836">
        <v>17790300</v>
      </c>
      <c r="I1836">
        <f t="shared" si="29"/>
        <v>8.8449886144074572E-4</v>
      </c>
    </row>
    <row r="1837" spans="1:9" x14ac:dyDescent="0.3">
      <c r="A1837" s="5">
        <v>44305</v>
      </c>
      <c r="B1837">
        <v>35.400002000000001</v>
      </c>
      <c r="C1837">
        <v>36.540000999999997</v>
      </c>
      <c r="D1837">
        <v>34.810001</v>
      </c>
      <c r="E1837">
        <v>36.029998999999997</v>
      </c>
      <c r="F1837">
        <v>35.139580000000002</v>
      </c>
      <c r="G1837">
        <v>10102400</v>
      </c>
      <c r="I1837">
        <f t="shared" si="29"/>
        <v>1.0244632406282332E-3</v>
      </c>
    </row>
    <row r="1838" spans="1:9" x14ac:dyDescent="0.3">
      <c r="A1838" s="5">
        <v>44306</v>
      </c>
      <c r="B1838">
        <v>35.909999999999997</v>
      </c>
      <c r="C1838">
        <v>35.950001</v>
      </c>
      <c r="D1838">
        <v>32.381000999999998</v>
      </c>
      <c r="E1838">
        <v>32.979999999999997</v>
      </c>
      <c r="F1838">
        <v>32.164963</v>
      </c>
      <c r="G1838">
        <v>10494800</v>
      </c>
      <c r="I1838">
        <f t="shared" si="29"/>
        <v>1.9920689083683099E-3</v>
      </c>
    </row>
    <row r="1839" spans="1:9" x14ac:dyDescent="0.3">
      <c r="A1839" s="5">
        <v>44307</v>
      </c>
      <c r="B1839">
        <v>32.57</v>
      </c>
      <c r="C1839">
        <v>34.68</v>
      </c>
      <c r="D1839">
        <v>32.5</v>
      </c>
      <c r="E1839">
        <v>34.259998000000003</v>
      </c>
      <c r="F1839">
        <v>33.413330000000002</v>
      </c>
      <c r="G1839">
        <v>7890200</v>
      </c>
      <c r="I1839">
        <f t="shared" si="29"/>
        <v>8.7832151468604297E-4</v>
      </c>
    </row>
    <row r="1840" spans="1:9" x14ac:dyDescent="0.3">
      <c r="A1840" s="5">
        <v>44308</v>
      </c>
      <c r="B1840">
        <v>34.200001</v>
      </c>
      <c r="C1840">
        <v>34.330002</v>
      </c>
      <c r="D1840">
        <v>33.159999999999997</v>
      </c>
      <c r="E1840">
        <v>33.209999000000003</v>
      </c>
      <c r="F1840">
        <v>32.389274999999998</v>
      </c>
      <c r="G1840">
        <v>5436600</v>
      </c>
      <c r="I1840">
        <f t="shared" si="29"/>
        <v>1.7236979414924592E-4</v>
      </c>
    </row>
    <row r="1841" spans="1:9" x14ac:dyDescent="0.3">
      <c r="A1841" s="5">
        <v>44309</v>
      </c>
      <c r="B1841">
        <v>33.979999999999997</v>
      </c>
      <c r="C1841">
        <v>34.860000999999997</v>
      </c>
      <c r="D1841">
        <v>33.759998000000003</v>
      </c>
      <c r="E1841">
        <v>34.709999000000003</v>
      </c>
      <c r="F1841">
        <v>33.852203000000003</v>
      </c>
      <c r="G1841">
        <v>4817500</v>
      </c>
      <c r="I1841">
        <f t="shared" si="29"/>
        <v>2.9051387441946528E-4</v>
      </c>
    </row>
    <row r="1842" spans="1:9" x14ac:dyDescent="0.3">
      <c r="A1842" s="5">
        <v>44312</v>
      </c>
      <c r="B1842">
        <v>35.159999999999997</v>
      </c>
      <c r="C1842">
        <v>37.060001</v>
      </c>
      <c r="D1842">
        <v>34.994999</v>
      </c>
      <c r="E1842">
        <v>36.799999</v>
      </c>
      <c r="F1842">
        <v>35.890555999999997</v>
      </c>
      <c r="G1842">
        <v>7747600</v>
      </c>
      <c r="I1842">
        <f t="shared" si="29"/>
        <v>6.0710398672453704E-4</v>
      </c>
    </row>
    <row r="1843" spans="1:9" x14ac:dyDescent="0.3">
      <c r="A1843" s="5">
        <v>44313</v>
      </c>
      <c r="B1843">
        <v>36.040000999999997</v>
      </c>
      <c r="C1843">
        <v>37.700001</v>
      </c>
      <c r="D1843">
        <v>35.82</v>
      </c>
      <c r="E1843">
        <v>36.75</v>
      </c>
      <c r="F1843">
        <v>35.841793000000003</v>
      </c>
      <c r="G1843">
        <v>5855200</v>
      </c>
      <c r="I1843">
        <f t="shared" si="29"/>
        <v>1.3062131291196393E-3</v>
      </c>
    </row>
    <row r="1844" spans="1:9" x14ac:dyDescent="0.3">
      <c r="A1844" s="5">
        <v>44314</v>
      </c>
      <c r="B1844">
        <v>36.529998999999997</v>
      </c>
      <c r="C1844">
        <v>36.970001000000003</v>
      </c>
      <c r="D1844">
        <v>36.290000999999997</v>
      </c>
      <c r="E1844">
        <v>36.490001999999997</v>
      </c>
      <c r="F1844">
        <v>35.588219000000002</v>
      </c>
      <c r="G1844">
        <v>3468300</v>
      </c>
      <c r="I1844">
        <f t="shared" si="29"/>
        <v>1.9269652354100481E-4</v>
      </c>
    </row>
    <row r="1845" spans="1:9" x14ac:dyDescent="0.3">
      <c r="A1845" s="5">
        <v>44315</v>
      </c>
      <c r="B1845">
        <v>36.990001999999997</v>
      </c>
      <c r="C1845">
        <v>37.5</v>
      </c>
      <c r="D1845">
        <v>36.360000999999997</v>
      </c>
      <c r="E1845">
        <v>37.169998</v>
      </c>
      <c r="F1845">
        <v>36.251410999999997</v>
      </c>
      <c r="G1845">
        <v>4895400</v>
      </c>
      <c r="I1845">
        <f t="shared" si="29"/>
        <v>4.9951945608780145E-4</v>
      </c>
    </row>
    <row r="1846" spans="1:9" x14ac:dyDescent="0.3">
      <c r="A1846" s="5">
        <v>44316</v>
      </c>
      <c r="B1846">
        <v>36.520000000000003</v>
      </c>
      <c r="C1846">
        <v>38.07</v>
      </c>
      <c r="D1846">
        <v>36.349997999999999</v>
      </c>
      <c r="E1846">
        <v>36.639999000000003</v>
      </c>
      <c r="F1846">
        <v>35.734504999999999</v>
      </c>
      <c r="G1846">
        <v>6284700</v>
      </c>
      <c r="I1846">
        <f t="shared" si="29"/>
        <v>1.6284949779675779E-3</v>
      </c>
    </row>
    <row r="1847" spans="1:9" x14ac:dyDescent="0.3">
      <c r="A1847" s="5">
        <v>44319</v>
      </c>
      <c r="B1847">
        <v>37.18</v>
      </c>
      <c r="C1847">
        <v>38.055</v>
      </c>
      <c r="D1847">
        <v>36.049999</v>
      </c>
      <c r="E1847">
        <v>37.610000999999997</v>
      </c>
      <c r="F1847">
        <v>36.680534000000002</v>
      </c>
      <c r="G1847">
        <v>4657700</v>
      </c>
      <c r="I1847">
        <f t="shared" si="29"/>
        <v>1.581115846450568E-3</v>
      </c>
    </row>
    <row r="1848" spans="1:9" x14ac:dyDescent="0.3">
      <c r="A1848" s="5">
        <v>44320</v>
      </c>
      <c r="B1848">
        <v>38.020000000000003</v>
      </c>
      <c r="C1848">
        <v>39.270000000000003</v>
      </c>
      <c r="D1848">
        <v>37.650002000000001</v>
      </c>
      <c r="E1848">
        <v>39.07</v>
      </c>
      <c r="F1848">
        <v>38.104461999999998</v>
      </c>
      <c r="G1848">
        <v>6704900</v>
      </c>
      <c r="I1848">
        <f t="shared" si="29"/>
        <v>5.2721967522489964E-4</v>
      </c>
    </row>
    <row r="1849" spans="1:9" x14ac:dyDescent="0.3">
      <c r="A1849" s="5">
        <v>44321</v>
      </c>
      <c r="B1849">
        <v>39.369999</v>
      </c>
      <c r="C1849">
        <v>40.880001</v>
      </c>
      <c r="D1849">
        <v>38.639999000000003</v>
      </c>
      <c r="E1849">
        <v>40.599997999999999</v>
      </c>
      <c r="F1849">
        <v>39.596645000000002</v>
      </c>
      <c r="G1849">
        <v>7658800</v>
      </c>
      <c r="I1849">
        <f t="shared" si="29"/>
        <v>1.1847496506832574E-3</v>
      </c>
    </row>
    <row r="1850" spans="1:9" x14ac:dyDescent="0.3">
      <c r="A1850" s="5">
        <v>44322</v>
      </c>
      <c r="B1850">
        <v>40.889999000000003</v>
      </c>
      <c r="C1850">
        <v>41.439999</v>
      </c>
      <c r="D1850">
        <v>39.279998999999997</v>
      </c>
      <c r="E1850">
        <v>39.889999000000003</v>
      </c>
      <c r="F1850">
        <v>38.90419</v>
      </c>
      <c r="G1850">
        <v>7164000</v>
      </c>
      <c r="I1850">
        <f t="shared" si="29"/>
        <v>1.1283640649021223E-3</v>
      </c>
    </row>
    <row r="1851" spans="1:9" x14ac:dyDescent="0.3">
      <c r="A1851" s="5">
        <v>44323</v>
      </c>
      <c r="B1851">
        <v>39.759998000000003</v>
      </c>
      <c r="C1851">
        <v>41.380001</v>
      </c>
      <c r="D1851">
        <v>39.25</v>
      </c>
      <c r="E1851">
        <v>41.200001</v>
      </c>
      <c r="F1851">
        <v>40.181823999999999</v>
      </c>
      <c r="G1851">
        <v>4828300</v>
      </c>
      <c r="I1851">
        <f t="shared" si="29"/>
        <v>8.0005881422671652E-4</v>
      </c>
    </row>
    <row r="1852" spans="1:9" x14ac:dyDescent="0.3">
      <c r="A1852" s="5">
        <v>44326</v>
      </c>
      <c r="B1852">
        <v>42.75</v>
      </c>
      <c r="C1852">
        <v>44.419998</v>
      </c>
      <c r="D1852">
        <v>41.02</v>
      </c>
      <c r="E1852">
        <v>41.040000999999997</v>
      </c>
      <c r="F1852">
        <v>40.025772000000003</v>
      </c>
      <c r="G1852">
        <v>11649700</v>
      </c>
      <c r="I1852">
        <f t="shared" si="29"/>
        <v>3.0529254173728522E-3</v>
      </c>
    </row>
    <row r="1853" spans="1:9" x14ac:dyDescent="0.3">
      <c r="A1853" s="5">
        <v>44327</v>
      </c>
      <c r="B1853">
        <v>39.07</v>
      </c>
      <c r="C1853">
        <v>42.150002000000001</v>
      </c>
      <c r="D1853">
        <v>38.959999000000003</v>
      </c>
      <c r="E1853">
        <v>41.32</v>
      </c>
      <c r="F1853">
        <v>40.298859</v>
      </c>
      <c r="G1853">
        <v>9042100</v>
      </c>
      <c r="I1853">
        <f t="shared" si="29"/>
        <v>1.6749201304028225E-3</v>
      </c>
    </row>
    <row r="1854" spans="1:9" x14ac:dyDescent="0.3">
      <c r="A1854" s="5">
        <v>44328</v>
      </c>
      <c r="B1854">
        <v>41.130001</v>
      </c>
      <c r="C1854">
        <v>42.240001999999997</v>
      </c>
      <c r="D1854">
        <v>39.150002000000001</v>
      </c>
      <c r="E1854">
        <v>39.509998000000003</v>
      </c>
      <c r="F1854">
        <v>38.533577000000001</v>
      </c>
      <c r="G1854">
        <v>8252200</v>
      </c>
      <c r="I1854">
        <f t="shared" si="29"/>
        <v>2.230845466929845E-3</v>
      </c>
    </row>
    <row r="1855" spans="1:9" x14ac:dyDescent="0.3">
      <c r="A1855" s="5">
        <v>44329</v>
      </c>
      <c r="B1855">
        <v>39.146000000000001</v>
      </c>
      <c r="C1855">
        <v>40.970001000000003</v>
      </c>
      <c r="D1855">
        <v>38.189999</v>
      </c>
      <c r="E1855">
        <v>39.130001</v>
      </c>
      <c r="F1855">
        <v>38.162975000000003</v>
      </c>
      <c r="G1855">
        <v>6493500</v>
      </c>
      <c r="I1855">
        <f t="shared" si="29"/>
        <v>2.6938761102580063E-3</v>
      </c>
    </row>
    <row r="1856" spans="1:9" x14ac:dyDescent="0.3">
      <c r="A1856" s="5">
        <v>44330</v>
      </c>
      <c r="B1856">
        <v>39.099997999999999</v>
      </c>
      <c r="C1856">
        <v>39.979999999999997</v>
      </c>
      <c r="D1856">
        <v>38.651001000000001</v>
      </c>
      <c r="E1856">
        <v>39.700001</v>
      </c>
      <c r="F1856">
        <v>38.718890999999999</v>
      </c>
      <c r="G1856">
        <v>4718200</v>
      </c>
      <c r="I1856">
        <f t="shared" si="29"/>
        <v>4.6570939113330052E-4</v>
      </c>
    </row>
    <row r="1857" spans="1:9" x14ac:dyDescent="0.3">
      <c r="A1857" s="5">
        <v>44333</v>
      </c>
      <c r="B1857">
        <v>39.549999</v>
      </c>
      <c r="C1857">
        <v>40.700001</v>
      </c>
      <c r="D1857">
        <v>38.57</v>
      </c>
      <c r="E1857">
        <v>40.68</v>
      </c>
      <c r="F1857">
        <v>39.674670999999996</v>
      </c>
      <c r="G1857">
        <v>4774500</v>
      </c>
      <c r="I1857">
        <f t="shared" si="29"/>
        <v>1.3504752033218844E-3</v>
      </c>
    </row>
    <row r="1858" spans="1:9" x14ac:dyDescent="0.3">
      <c r="A1858" s="5">
        <v>44334</v>
      </c>
      <c r="B1858">
        <v>41.110000999999997</v>
      </c>
      <c r="C1858">
        <v>41.689999</v>
      </c>
      <c r="D1858">
        <v>39.580002</v>
      </c>
      <c r="E1858">
        <v>39.840000000000003</v>
      </c>
      <c r="F1858">
        <v>38.855431000000003</v>
      </c>
      <c r="G1858">
        <v>5665200</v>
      </c>
      <c r="I1858">
        <f t="shared" si="29"/>
        <v>8.8423212811284302E-4</v>
      </c>
    </row>
    <row r="1859" spans="1:9" x14ac:dyDescent="0.3">
      <c r="A1859" s="5">
        <v>44335</v>
      </c>
      <c r="B1859">
        <v>38.340000000000003</v>
      </c>
      <c r="C1859">
        <v>38.369999</v>
      </c>
      <c r="D1859">
        <v>35.389999000000003</v>
      </c>
      <c r="E1859">
        <v>36.169998</v>
      </c>
      <c r="F1859">
        <v>35.276122999999998</v>
      </c>
      <c r="G1859">
        <v>15755900</v>
      </c>
      <c r="I1859">
        <f t="shared" si="29"/>
        <v>1.7916456759567315E-3</v>
      </c>
    </row>
    <row r="1860" spans="1:9" x14ac:dyDescent="0.3">
      <c r="A1860" s="5">
        <v>44336</v>
      </c>
      <c r="B1860">
        <v>36.360000999999997</v>
      </c>
      <c r="C1860">
        <v>36.360000999999997</v>
      </c>
      <c r="D1860">
        <v>35.279998999999997</v>
      </c>
      <c r="E1860">
        <v>35.82</v>
      </c>
      <c r="F1860">
        <v>34.934772000000002</v>
      </c>
      <c r="G1860">
        <v>7124300</v>
      </c>
      <c r="I1860">
        <f t="shared" si="29"/>
        <v>4.5803134297001878E-4</v>
      </c>
    </row>
    <row r="1861" spans="1:9" x14ac:dyDescent="0.3">
      <c r="A1861" s="5">
        <v>44337</v>
      </c>
      <c r="B1861">
        <v>36.169998</v>
      </c>
      <c r="C1861">
        <v>37.068001000000002</v>
      </c>
      <c r="D1861">
        <v>35.650002000000001</v>
      </c>
      <c r="E1861">
        <v>36.139999000000003</v>
      </c>
      <c r="F1861">
        <v>35.246861000000003</v>
      </c>
      <c r="G1861">
        <v>6902600</v>
      </c>
      <c r="I1861">
        <f t="shared" si="29"/>
        <v>8.1945796447657543E-4</v>
      </c>
    </row>
    <row r="1862" spans="1:9" x14ac:dyDescent="0.3">
      <c r="A1862" s="5">
        <v>44340</v>
      </c>
      <c r="B1862">
        <v>36.110000999999997</v>
      </c>
      <c r="C1862">
        <v>36.790000999999997</v>
      </c>
      <c r="D1862">
        <v>35.400002000000001</v>
      </c>
      <c r="E1862">
        <v>36.5</v>
      </c>
      <c r="F1862">
        <v>35.597977</v>
      </c>
      <c r="G1862">
        <v>5462000</v>
      </c>
      <c r="I1862">
        <f t="shared" si="29"/>
        <v>7.5530437209787263E-4</v>
      </c>
    </row>
    <row r="1863" spans="1:9" x14ac:dyDescent="0.3">
      <c r="A1863" s="5">
        <v>44341</v>
      </c>
      <c r="B1863">
        <v>36.459999000000003</v>
      </c>
      <c r="C1863">
        <v>36.93</v>
      </c>
      <c r="D1863">
        <v>34.939999</v>
      </c>
      <c r="E1863">
        <v>35.150002000000001</v>
      </c>
      <c r="F1863">
        <v>34.281342000000002</v>
      </c>
      <c r="G1863">
        <v>5868500</v>
      </c>
      <c r="I1863">
        <f t="shared" si="29"/>
        <v>8.8791066401923587E-4</v>
      </c>
    </row>
    <row r="1864" spans="1:9" x14ac:dyDescent="0.3">
      <c r="A1864" s="5">
        <v>44342</v>
      </c>
      <c r="B1864">
        <v>35.380001</v>
      </c>
      <c r="C1864">
        <v>36.584999000000003</v>
      </c>
      <c r="D1864">
        <v>35.380001</v>
      </c>
      <c r="E1864">
        <v>36.549999</v>
      </c>
      <c r="F1864">
        <v>35.646735999999997</v>
      </c>
      <c r="G1864">
        <v>5991000</v>
      </c>
      <c r="I1864">
        <f t="shared" si="29"/>
        <v>3.2055931681451522E-5</v>
      </c>
    </row>
    <row r="1865" spans="1:9" x14ac:dyDescent="0.3">
      <c r="A1865" s="5">
        <v>44343</v>
      </c>
      <c r="B1865">
        <v>37.509998000000003</v>
      </c>
      <c r="C1865">
        <v>39.055</v>
      </c>
      <c r="D1865">
        <v>37.299999</v>
      </c>
      <c r="E1865">
        <v>39.009998000000003</v>
      </c>
      <c r="F1865">
        <v>38.045937000000002</v>
      </c>
      <c r="G1865">
        <v>6946100</v>
      </c>
      <c r="I1865">
        <f t="shared" si="29"/>
        <v>2.981916137472633E-4</v>
      </c>
    </row>
    <row r="1866" spans="1:9" x14ac:dyDescent="0.3">
      <c r="A1866" s="5">
        <v>44344</v>
      </c>
      <c r="B1866">
        <v>38.639999000000003</v>
      </c>
      <c r="C1866">
        <v>39.700001</v>
      </c>
      <c r="D1866">
        <v>38.220001000000003</v>
      </c>
      <c r="E1866">
        <v>39.669998</v>
      </c>
      <c r="F1866">
        <v>38.689632000000003</v>
      </c>
      <c r="G1866">
        <v>4536800</v>
      </c>
      <c r="I1866">
        <f t="shared" si="29"/>
        <v>4.2741590743217785E-4</v>
      </c>
    </row>
    <row r="1867" spans="1:9" x14ac:dyDescent="0.3">
      <c r="A1867" s="5">
        <v>44348</v>
      </c>
      <c r="B1867">
        <v>40.200001</v>
      </c>
      <c r="C1867">
        <v>41.154998999999997</v>
      </c>
      <c r="D1867">
        <v>40.139999000000003</v>
      </c>
      <c r="E1867">
        <v>40.98</v>
      </c>
      <c r="F1867">
        <v>39.967255000000002</v>
      </c>
      <c r="G1867">
        <v>7332400</v>
      </c>
      <c r="I1867">
        <f t="shared" si="29"/>
        <v>1.3098327311194055E-4</v>
      </c>
    </row>
    <row r="1868" spans="1:9" x14ac:dyDescent="0.3">
      <c r="A1868" s="5">
        <v>44349</v>
      </c>
      <c r="B1868">
        <v>40.700001</v>
      </c>
      <c r="C1868">
        <v>40.700001</v>
      </c>
      <c r="D1868">
        <v>39.459999000000003</v>
      </c>
      <c r="E1868">
        <v>40</v>
      </c>
      <c r="F1868">
        <v>39.011474999999997</v>
      </c>
      <c r="G1868">
        <v>5504600</v>
      </c>
      <c r="I1868">
        <f t="shared" ref="I1868:I1931" si="30">LN(C1868/B1868)*(LN(C1868/B1868)-LN(E1868/B1868))+LN(D1868/B1868)*(LN(D1868/B1868)-LN(E1868/B1868))</f>
        <v>4.2054454885040573E-4</v>
      </c>
    </row>
    <row r="1869" spans="1:9" x14ac:dyDescent="0.3">
      <c r="A1869" s="5">
        <v>44350</v>
      </c>
      <c r="B1869">
        <v>39.020000000000003</v>
      </c>
      <c r="C1869">
        <v>39.540000999999997</v>
      </c>
      <c r="D1869">
        <v>38.268002000000003</v>
      </c>
      <c r="E1869">
        <v>38.720001000000003</v>
      </c>
      <c r="F1869">
        <v>37.763106999999998</v>
      </c>
      <c r="G1869">
        <v>5030100</v>
      </c>
      <c r="I1869">
        <f t="shared" si="30"/>
        <v>5.0593956928009578E-4</v>
      </c>
    </row>
    <row r="1870" spans="1:9" x14ac:dyDescent="0.3">
      <c r="A1870" s="5">
        <v>44351</v>
      </c>
      <c r="B1870">
        <v>39.32</v>
      </c>
      <c r="C1870">
        <v>39.580002</v>
      </c>
      <c r="D1870">
        <v>38.32</v>
      </c>
      <c r="E1870">
        <v>38.840000000000003</v>
      </c>
      <c r="F1870">
        <v>37.880138000000002</v>
      </c>
      <c r="G1870">
        <v>3361200</v>
      </c>
      <c r="I1870">
        <f t="shared" si="30"/>
        <v>4.7161763703829432E-4</v>
      </c>
    </row>
    <row r="1871" spans="1:9" x14ac:dyDescent="0.3">
      <c r="A1871" s="5">
        <v>44354</v>
      </c>
      <c r="B1871">
        <v>38.740001999999997</v>
      </c>
      <c r="C1871">
        <v>38.740001999999997</v>
      </c>
      <c r="D1871">
        <v>37.384998000000003</v>
      </c>
      <c r="E1871">
        <v>37.740001999999997</v>
      </c>
      <c r="F1871">
        <v>36.807335000000002</v>
      </c>
      <c r="G1871">
        <v>5016400</v>
      </c>
      <c r="I1871">
        <f t="shared" si="30"/>
        <v>3.3648919974297675E-4</v>
      </c>
    </row>
    <row r="1872" spans="1:9" x14ac:dyDescent="0.3">
      <c r="A1872" s="5">
        <v>44355</v>
      </c>
      <c r="B1872">
        <v>37.630001</v>
      </c>
      <c r="C1872">
        <v>38.919998</v>
      </c>
      <c r="D1872">
        <v>36.700001</v>
      </c>
      <c r="E1872">
        <v>38.619999</v>
      </c>
      <c r="F1872">
        <v>37.665576999999999</v>
      </c>
      <c r="G1872">
        <v>5046300</v>
      </c>
      <c r="I1872">
        <f t="shared" si="30"/>
        <v>1.5369238027799089E-3</v>
      </c>
    </row>
    <row r="1873" spans="1:9" x14ac:dyDescent="0.3">
      <c r="A1873" s="5">
        <v>44356</v>
      </c>
      <c r="B1873">
        <v>38.470001000000003</v>
      </c>
      <c r="C1873">
        <v>38.68</v>
      </c>
      <c r="D1873">
        <v>37.490001999999997</v>
      </c>
      <c r="E1873">
        <v>37.979999999999997</v>
      </c>
      <c r="F1873">
        <v>37.041392999999999</v>
      </c>
      <c r="G1873">
        <v>4926800</v>
      </c>
      <c r="I1873">
        <f t="shared" si="30"/>
        <v>4.3450403132271477E-4</v>
      </c>
    </row>
    <row r="1874" spans="1:9" x14ac:dyDescent="0.3">
      <c r="A1874" s="5">
        <v>44357</v>
      </c>
      <c r="B1874">
        <v>38.259998000000003</v>
      </c>
      <c r="C1874">
        <v>38.799999</v>
      </c>
      <c r="D1874">
        <v>37.240001999999997</v>
      </c>
      <c r="E1874">
        <v>37.419998</v>
      </c>
      <c r="F1874">
        <v>36.495232000000001</v>
      </c>
      <c r="G1874">
        <v>3736100</v>
      </c>
      <c r="I1874">
        <f t="shared" si="30"/>
        <v>6.3785453487042246E-4</v>
      </c>
    </row>
    <row r="1875" spans="1:9" x14ac:dyDescent="0.3">
      <c r="A1875" s="5">
        <v>44358</v>
      </c>
      <c r="B1875">
        <v>38.229999999999997</v>
      </c>
      <c r="C1875">
        <v>38.560001</v>
      </c>
      <c r="D1875">
        <v>37.110000999999997</v>
      </c>
      <c r="E1875">
        <v>37.380001</v>
      </c>
      <c r="F1875">
        <v>36.456226000000001</v>
      </c>
      <c r="G1875">
        <v>4649400</v>
      </c>
      <c r="I1875">
        <f t="shared" si="30"/>
        <v>4.8267993292840441E-4</v>
      </c>
    </row>
    <row r="1876" spans="1:9" x14ac:dyDescent="0.3">
      <c r="A1876" s="5">
        <v>44361</v>
      </c>
      <c r="B1876">
        <v>37.299999</v>
      </c>
      <c r="C1876">
        <v>37.784999999999997</v>
      </c>
      <c r="D1876">
        <v>36.459999000000003</v>
      </c>
      <c r="E1876">
        <v>36.950001</v>
      </c>
      <c r="F1876">
        <v>36.036850000000001</v>
      </c>
      <c r="G1876">
        <v>5887300</v>
      </c>
      <c r="I1876">
        <f t="shared" si="30"/>
        <v>5.9277134364513792E-4</v>
      </c>
    </row>
    <row r="1877" spans="1:9" x14ac:dyDescent="0.3">
      <c r="A1877" s="5">
        <v>44362</v>
      </c>
      <c r="B1877">
        <v>36.220001000000003</v>
      </c>
      <c r="C1877">
        <v>36.360000999999997</v>
      </c>
      <c r="D1877">
        <v>34.75</v>
      </c>
      <c r="E1877">
        <v>36.290000999999997</v>
      </c>
      <c r="F1877">
        <v>35.393154000000003</v>
      </c>
      <c r="G1877">
        <v>8600600</v>
      </c>
      <c r="I1877">
        <f t="shared" si="30"/>
        <v>1.804032635056887E-3</v>
      </c>
    </row>
    <row r="1878" spans="1:9" x14ac:dyDescent="0.3">
      <c r="A1878" s="5">
        <v>44363</v>
      </c>
      <c r="B1878">
        <v>35.540000999999997</v>
      </c>
      <c r="C1878">
        <v>35.849997999999999</v>
      </c>
      <c r="D1878">
        <v>34.689999</v>
      </c>
      <c r="E1878">
        <v>35.360000999999997</v>
      </c>
      <c r="F1878">
        <v>34.486145</v>
      </c>
      <c r="G1878">
        <v>7645700</v>
      </c>
      <c r="I1878">
        <f t="shared" si="30"/>
        <v>5.8260432481465805E-4</v>
      </c>
    </row>
    <row r="1879" spans="1:9" x14ac:dyDescent="0.3">
      <c r="A1879" s="5">
        <v>44364</v>
      </c>
      <c r="B1879">
        <v>35.259998000000003</v>
      </c>
      <c r="C1879">
        <v>35.349997999999999</v>
      </c>
      <c r="D1879">
        <v>32.630001</v>
      </c>
      <c r="E1879">
        <v>33.580002</v>
      </c>
      <c r="F1879">
        <v>32.750137000000002</v>
      </c>
      <c r="G1879">
        <v>12414500</v>
      </c>
      <c r="I1879">
        <f t="shared" si="30"/>
        <v>2.3555735901706946E-3</v>
      </c>
    </row>
    <row r="1880" spans="1:9" x14ac:dyDescent="0.3">
      <c r="A1880" s="5">
        <v>44365</v>
      </c>
      <c r="B1880">
        <v>33.049999</v>
      </c>
      <c r="C1880">
        <v>33.450001</v>
      </c>
      <c r="D1880">
        <v>31.9</v>
      </c>
      <c r="E1880">
        <v>32.080002</v>
      </c>
      <c r="F1880">
        <v>31.287203000000002</v>
      </c>
      <c r="G1880">
        <v>9979900</v>
      </c>
      <c r="I1880">
        <f t="shared" si="30"/>
        <v>7.0237129209819343E-4</v>
      </c>
    </row>
    <row r="1881" spans="1:9" x14ac:dyDescent="0.3">
      <c r="A1881" s="5">
        <v>44368</v>
      </c>
      <c r="B1881">
        <v>32.439999</v>
      </c>
      <c r="C1881">
        <v>33.330002</v>
      </c>
      <c r="D1881">
        <v>32.349997999999999</v>
      </c>
      <c r="E1881">
        <v>33.090000000000003</v>
      </c>
      <c r="F1881">
        <v>32.272239999999996</v>
      </c>
      <c r="G1881">
        <v>6758600</v>
      </c>
      <c r="I1881">
        <f t="shared" si="30"/>
        <v>2.5843550343178498E-4</v>
      </c>
    </row>
    <row r="1882" spans="1:9" x14ac:dyDescent="0.3">
      <c r="A1882" s="5">
        <v>44369</v>
      </c>
      <c r="B1882">
        <v>33.380001</v>
      </c>
      <c r="C1882">
        <v>34.080002</v>
      </c>
      <c r="D1882">
        <v>32.779998999999997</v>
      </c>
      <c r="E1882">
        <v>33.909999999999997</v>
      </c>
      <c r="F1882">
        <v>33.071975999999999</v>
      </c>
      <c r="G1882">
        <v>6153300</v>
      </c>
      <c r="I1882">
        <f t="shared" si="30"/>
        <v>7.1852195283624953E-4</v>
      </c>
    </row>
    <row r="1883" spans="1:9" x14ac:dyDescent="0.3">
      <c r="A1883" s="5">
        <v>44370</v>
      </c>
      <c r="B1883">
        <v>35.080002</v>
      </c>
      <c r="C1883">
        <v>35.959999000000003</v>
      </c>
      <c r="D1883">
        <v>34.82</v>
      </c>
      <c r="E1883">
        <v>35.040000999999997</v>
      </c>
      <c r="F1883">
        <v>34.174048999999997</v>
      </c>
      <c r="G1883">
        <v>9462600</v>
      </c>
      <c r="I1883">
        <f t="shared" si="30"/>
        <v>6.8897101940980907E-4</v>
      </c>
    </row>
    <row r="1884" spans="1:9" x14ac:dyDescent="0.3">
      <c r="A1884" s="5">
        <v>44371</v>
      </c>
      <c r="B1884">
        <v>35.93</v>
      </c>
      <c r="C1884">
        <v>36.669998</v>
      </c>
      <c r="D1884">
        <v>35.269001000000003</v>
      </c>
      <c r="E1884">
        <v>36.349997999999999</v>
      </c>
      <c r="F1884">
        <v>35.451675000000002</v>
      </c>
      <c r="G1884">
        <v>6733800</v>
      </c>
      <c r="I1884">
        <f t="shared" si="30"/>
        <v>7.3925001739865185E-4</v>
      </c>
    </row>
    <row r="1885" spans="1:9" x14ac:dyDescent="0.3">
      <c r="A1885" s="5">
        <v>44372</v>
      </c>
      <c r="B1885">
        <v>36.950001</v>
      </c>
      <c r="C1885">
        <v>37.110000999999997</v>
      </c>
      <c r="D1885">
        <v>35.779998999999997</v>
      </c>
      <c r="E1885">
        <v>35.799999</v>
      </c>
      <c r="F1885">
        <v>34.915272000000002</v>
      </c>
      <c r="G1885">
        <v>32496800</v>
      </c>
      <c r="I1885">
        <f t="shared" si="30"/>
        <v>1.732654426307058E-4</v>
      </c>
    </row>
    <row r="1886" spans="1:9" x14ac:dyDescent="0.3">
      <c r="A1886" s="5">
        <v>44375</v>
      </c>
      <c r="B1886">
        <v>36.169998</v>
      </c>
      <c r="C1886">
        <v>36.610000999999997</v>
      </c>
      <c r="D1886">
        <v>35.669998</v>
      </c>
      <c r="E1886">
        <v>36.090000000000003</v>
      </c>
      <c r="F1886">
        <v>35.198101000000001</v>
      </c>
      <c r="G1886">
        <v>8758200</v>
      </c>
      <c r="I1886">
        <f t="shared" si="30"/>
        <v>3.3592241640507557E-4</v>
      </c>
    </row>
    <row r="1887" spans="1:9" x14ac:dyDescent="0.3">
      <c r="A1887" s="5">
        <v>44376</v>
      </c>
      <c r="B1887">
        <v>36.549999</v>
      </c>
      <c r="C1887">
        <v>38</v>
      </c>
      <c r="D1887">
        <v>36.540000999999997</v>
      </c>
      <c r="E1887">
        <v>37.529998999999997</v>
      </c>
      <c r="F1887">
        <v>36.602508999999998</v>
      </c>
      <c r="G1887">
        <v>8493500</v>
      </c>
      <c r="I1887">
        <f t="shared" si="30"/>
        <v>4.9150866764265382E-4</v>
      </c>
    </row>
    <row r="1888" spans="1:9" x14ac:dyDescent="0.3">
      <c r="A1888" s="5">
        <v>44377</v>
      </c>
      <c r="B1888">
        <v>37.200001</v>
      </c>
      <c r="C1888">
        <v>37.804001</v>
      </c>
      <c r="D1888">
        <v>36.68</v>
      </c>
      <c r="E1888">
        <v>36.840000000000003</v>
      </c>
      <c r="F1888">
        <v>35.929572999999998</v>
      </c>
      <c r="G1888">
        <v>6047800</v>
      </c>
      <c r="I1888">
        <f t="shared" si="30"/>
        <v>4.7730544363441639E-4</v>
      </c>
    </row>
    <row r="1889" spans="1:9" x14ac:dyDescent="0.3">
      <c r="A1889" s="5">
        <v>44378</v>
      </c>
      <c r="B1889">
        <v>37.400002000000001</v>
      </c>
      <c r="C1889">
        <v>37.689999</v>
      </c>
      <c r="D1889">
        <v>36.470001000000003</v>
      </c>
      <c r="E1889">
        <v>36.959999000000003</v>
      </c>
      <c r="F1889">
        <v>36.046599999999998</v>
      </c>
      <c r="G1889">
        <v>6118600</v>
      </c>
      <c r="I1889">
        <f t="shared" si="30"/>
        <v>4.8713745772113726E-4</v>
      </c>
    </row>
    <row r="1890" spans="1:9" x14ac:dyDescent="0.3">
      <c r="A1890" s="5">
        <v>44379</v>
      </c>
      <c r="B1890">
        <v>37.439999</v>
      </c>
      <c r="C1890">
        <v>38.5</v>
      </c>
      <c r="D1890">
        <v>37.130001</v>
      </c>
      <c r="E1890">
        <v>37.919998</v>
      </c>
      <c r="F1890">
        <v>36.982875999999997</v>
      </c>
      <c r="G1890">
        <v>7334500</v>
      </c>
      <c r="I1890">
        <f t="shared" si="30"/>
        <v>5.9883821883278542E-4</v>
      </c>
    </row>
    <row r="1891" spans="1:9" x14ac:dyDescent="0.3">
      <c r="A1891" s="5">
        <v>44383</v>
      </c>
      <c r="B1891">
        <v>37.610000999999997</v>
      </c>
      <c r="C1891">
        <v>37.948002000000002</v>
      </c>
      <c r="D1891">
        <v>36.240001999999997</v>
      </c>
      <c r="E1891">
        <v>36.470001000000003</v>
      </c>
      <c r="F1891">
        <v>35.568710000000003</v>
      </c>
      <c r="G1891">
        <v>8577500</v>
      </c>
      <c r="I1891">
        <f t="shared" si="30"/>
        <v>5.9018400585384226E-4</v>
      </c>
    </row>
    <row r="1892" spans="1:9" x14ac:dyDescent="0.3">
      <c r="A1892" s="5">
        <v>44384</v>
      </c>
      <c r="B1892">
        <v>36.659999999999997</v>
      </c>
      <c r="C1892">
        <v>37.279998999999997</v>
      </c>
      <c r="D1892">
        <v>35.830002</v>
      </c>
      <c r="E1892">
        <v>36.229999999999997</v>
      </c>
      <c r="F1892">
        <v>35.334640999999998</v>
      </c>
      <c r="G1892">
        <v>4987900</v>
      </c>
      <c r="I1892">
        <f t="shared" si="30"/>
        <v>7.3337159051057731E-4</v>
      </c>
    </row>
    <row r="1893" spans="1:9" x14ac:dyDescent="0.3">
      <c r="A1893" s="5">
        <v>44385</v>
      </c>
      <c r="B1893">
        <v>35</v>
      </c>
      <c r="C1893">
        <v>36.090000000000003</v>
      </c>
      <c r="D1893">
        <v>34.080002</v>
      </c>
      <c r="E1893">
        <v>35.360000999999997</v>
      </c>
      <c r="F1893">
        <v>34.486145</v>
      </c>
      <c r="G1893">
        <v>6245400</v>
      </c>
      <c r="I1893">
        <f t="shared" si="30"/>
        <v>1.6088126417216641E-3</v>
      </c>
    </row>
    <row r="1894" spans="1:9" x14ac:dyDescent="0.3">
      <c r="A1894" s="5">
        <v>44386</v>
      </c>
      <c r="B1894">
        <v>36.5</v>
      </c>
      <c r="C1894">
        <v>37.779998999999997</v>
      </c>
      <c r="D1894">
        <v>36.279998999999997</v>
      </c>
      <c r="E1894">
        <v>37.439999</v>
      </c>
      <c r="F1894">
        <v>36.514740000000003</v>
      </c>
      <c r="G1894">
        <v>6624400</v>
      </c>
      <c r="I1894">
        <f t="shared" si="30"/>
        <v>5.0186945375894172E-4</v>
      </c>
    </row>
    <row r="1895" spans="1:9" x14ac:dyDescent="0.3">
      <c r="A1895" s="5">
        <v>44389</v>
      </c>
      <c r="B1895">
        <v>36.880001</v>
      </c>
      <c r="C1895">
        <v>37.939999</v>
      </c>
      <c r="D1895">
        <v>36.580002</v>
      </c>
      <c r="E1895">
        <v>37.290000999999997</v>
      </c>
      <c r="F1895">
        <v>36.368442999999999</v>
      </c>
      <c r="G1895">
        <v>5139500</v>
      </c>
      <c r="I1895">
        <f t="shared" si="30"/>
        <v>6.4668776792011797E-4</v>
      </c>
    </row>
    <row r="1896" spans="1:9" x14ac:dyDescent="0.3">
      <c r="A1896" s="5">
        <v>44390</v>
      </c>
      <c r="B1896">
        <v>37.150002000000001</v>
      </c>
      <c r="C1896">
        <v>37.18</v>
      </c>
      <c r="D1896">
        <v>35.220001000000003</v>
      </c>
      <c r="E1896">
        <v>35.619999</v>
      </c>
      <c r="F1896">
        <v>34.739719000000001</v>
      </c>
      <c r="G1896">
        <v>8073400</v>
      </c>
      <c r="I1896">
        <f t="shared" si="30"/>
        <v>6.370821761356541E-4</v>
      </c>
    </row>
    <row r="1897" spans="1:9" x14ac:dyDescent="0.3">
      <c r="A1897" s="5">
        <v>44391</v>
      </c>
      <c r="B1897">
        <v>36.25</v>
      </c>
      <c r="C1897">
        <v>36.900002000000001</v>
      </c>
      <c r="D1897">
        <v>34.939999</v>
      </c>
      <c r="E1897">
        <v>35.139999000000003</v>
      </c>
      <c r="F1897">
        <v>34.271576000000003</v>
      </c>
      <c r="G1897">
        <v>6964600</v>
      </c>
      <c r="I1897">
        <f t="shared" si="30"/>
        <v>1.0786429413506405E-3</v>
      </c>
    </row>
    <row r="1898" spans="1:9" x14ac:dyDescent="0.3">
      <c r="A1898" s="5">
        <v>44392</v>
      </c>
      <c r="B1898">
        <v>35.270000000000003</v>
      </c>
      <c r="C1898">
        <v>35.93</v>
      </c>
      <c r="D1898">
        <v>34.235000999999997</v>
      </c>
      <c r="E1898">
        <v>34.540000999999997</v>
      </c>
      <c r="F1898">
        <v>33.686408999999998</v>
      </c>
      <c r="G1898">
        <v>8560200</v>
      </c>
      <c r="I1898">
        <f t="shared" si="30"/>
        <v>9.9565354053443101E-4</v>
      </c>
    </row>
    <row r="1899" spans="1:9" x14ac:dyDescent="0.3">
      <c r="A1899" s="5">
        <v>44393</v>
      </c>
      <c r="B1899">
        <v>35.349997999999999</v>
      </c>
      <c r="C1899">
        <v>35.700001</v>
      </c>
      <c r="D1899">
        <v>32.731997999999997</v>
      </c>
      <c r="E1899">
        <v>32.950001</v>
      </c>
      <c r="F1899">
        <v>32.1357</v>
      </c>
      <c r="G1899">
        <v>14579700</v>
      </c>
      <c r="I1899">
        <f t="shared" si="30"/>
        <v>1.3005357595840287E-3</v>
      </c>
    </row>
    <row r="1900" spans="1:9" x14ac:dyDescent="0.3">
      <c r="A1900" s="5">
        <v>44396</v>
      </c>
      <c r="B1900">
        <v>31.99</v>
      </c>
      <c r="C1900">
        <v>32.450001</v>
      </c>
      <c r="D1900">
        <v>30.995000999999998</v>
      </c>
      <c r="E1900">
        <v>31.620000999999998</v>
      </c>
      <c r="F1900">
        <v>30.838571999999999</v>
      </c>
      <c r="G1900">
        <v>12140800</v>
      </c>
      <c r="I1900">
        <f t="shared" si="30"/>
        <v>1.0007375879759954E-3</v>
      </c>
    </row>
    <row r="1901" spans="1:9" x14ac:dyDescent="0.3">
      <c r="A1901" s="5">
        <v>44397</v>
      </c>
      <c r="B1901">
        <v>31.549999</v>
      </c>
      <c r="C1901">
        <v>35.259998000000003</v>
      </c>
      <c r="D1901">
        <v>31.26</v>
      </c>
      <c r="E1901">
        <v>34.950001</v>
      </c>
      <c r="F1901">
        <v>34.086277000000003</v>
      </c>
      <c r="G1901">
        <v>15651300</v>
      </c>
      <c r="I1901">
        <f t="shared" si="30"/>
        <v>2.0120974750479099E-3</v>
      </c>
    </row>
    <row r="1902" spans="1:9" x14ac:dyDescent="0.3">
      <c r="A1902" s="5">
        <v>44398</v>
      </c>
      <c r="B1902">
        <v>35.25</v>
      </c>
      <c r="C1902">
        <v>37.409999999999997</v>
      </c>
      <c r="D1902">
        <v>35.25</v>
      </c>
      <c r="E1902">
        <v>37.090000000000003</v>
      </c>
      <c r="F1902">
        <v>36.173389</v>
      </c>
      <c r="G1902">
        <v>11877700</v>
      </c>
      <c r="I1902">
        <f t="shared" si="30"/>
        <v>5.1090800411724303E-4</v>
      </c>
    </row>
    <row r="1903" spans="1:9" x14ac:dyDescent="0.3">
      <c r="A1903" s="5">
        <v>44399</v>
      </c>
      <c r="B1903">
        <v>36.950001</v>
      </c>
      <c r="C1903">
        <v>37.490001999999997</v>
      </c>
      <c r="D1903">
        <v>36.099997999999999</v>
      </c>
      <c r="E1903">
        <v>37.229999999999997</v>
      </c>
      <c r="F1903">
        <v>36.309928999999997</v>
      </c>
      <c r="G1903">
        <v>7230100</v>
      </c>
      <c r="I1903">
        <f t="shared" si="30"/>
        <v>8.1828920725063336E-4</v>
      </c>
    </row>
    <row r="1904" spans="1:9" x14ac:dyDescent="0.3">
      <c r="A1904" s="5">
        <v>44400</v>
      </c>
      <c r="B1904">
        <v>37.520000000000003</v>
      </c>
      <c r="C1904">
        <v>37.869999</v>
      </c>
      <c r="D1904">
        <v>36.490001999999997</v>
      </c>
      <c r="E1904">
        <v>37.060001</v>
      </c>
      <c r="F1904">
        <v>36.144134999999999</v>
      </c>
      <c r="G1904">
        <v>5840600</v>
      </c>
      <c r="I1904">
        <f t="shared" si="30"/>
        <v>6.3220625466859682E-4</v>
      </c>
    </row>
    <row r="1905" spans="1:9" x14ac:dyDescent="0.3">
      <c r="A1905" s="5">
        <v>44403</v>
      </c>
      <c r="B1905">
        <v>37.590000000000003</v>
      </c>
      <c r="C1905">
        <v>39.020000000000003</v>
      </c>
      <c r="D1905">
        <v>37.020000000000003</v>
      </c>
      <c r="E1905">
        <v>38.959999000000003</v>
      </c>
      <c r="F1905">
        <v>37.997177000000001</v>
      </c>
      <c r="G1905">
        <v>8950300</v>
      </c>
      <c r="I1905">
        <f t="shared" si="30"/>
        <v>8.3790217186758924E-4</v>
      </c>
    </row>
    <row r="1906" spans="1:9" x14ac:dyDescent="0.3">
      <c r="A1906" s="5">
        <v>44404</v>
      </c>
      <c r="B1906">
        <v>38.040000999999997</v>
      </c>
      <c r="C1906">
        <v>38.5</v>
      </c>
      <c r="D1906">
        <v>37.369999</v>
      </c>
      <c r="E1906">
        <v>38.270000000000003</v>
      </c>
      <c r="F1906">
        <v>37.32423</v>
      </c>
      <c r="G1906">
        <v>5782400</v>
      </c>
      <c r="I1906">
        <f t="shared" si="30"/>
        <v>4.9491605875705779E-4</v>
      </c>
    </row>
    <row r="1907" spans="1:9" x14ac:dyDescent="0.3">
      <c r="A1907" s="5">
        <v>44405</v>
      </c>
      <c r="B1907">
        <v>38.560001</v>
      </c>
      <c r="C1907">
        <v>38.919998</v>
      </c>
      <c r="D1907">
        <v>37.806998999999998</v>
      </c>
      <c r="E1907">
        <v>38.229999999999997</v>
      </c>
      <c r="F1907">
        <v>37.285212999999999</v>
      </c>
      <c r="G1907">
        <v>6217500</v>
      </c>
      <c r="I1907">
        <f t="shared" si="30"/>
        <v>3.8564945398046862E-4</v>
      </c>
    </row>
    <row r="1908" spans="1:9" x14ac:dyDescent="0.3">
      <c r="A1908" s="5">
        <v>44406</v>
      </c>
      <c r="B1908">
        <v>38.939999</v>
      </c>
      <c r="C1908">
        <v>40</v>
      </c>
      <c r="D1908">
        <v>38.779998999999997</v>
      </c>
      <c r="E1908">
        <v>39.369999</v>
      </c>
      <c r="F1908">
        <v>38.397038000000002</v>
      </c>
      <c r="G1908">
        <v>6648500</v>
      </c>
      <c r="I1908">
        <f t="shared" si="30"/>
        <v>4.8854229909089096E-4</v>
      </c>
    </row>
    <row r="1909" spans="1:9" x14ac:dyDescent="0.3">
      <c r="A1909" s="5">
        <v>44407</v>
      </c>
      <c r="B1909">
        <v>39.159999999999997</v>
      </c>
      <c r="C1909">
        <v>40.659999999999997</v>
      </c>
      <c r="D1909">
        <v>38.959999000000003</v>
      </c>
      <c r="E1909">
        <v>40.150002000000001</v>
      </c>
      <c r="F1909">
        <v>39.157767999999997</v>
      </c>
      <c r="G1909">
        <v>8142600</v>
      </c>
      <c r="I1909">
        <f t="shared" si="30"/>
        <v>6.2851678998783488E-4</v>
      </c>
    </row>
    <row r="1910" spans="1:9" x14ac:dyDescent="0.3">
      <c r="A1910" s="5">
        <v>44410</v>
      </c>
      <c r="B1910">
        <v>40.220001000000003</v>
      </c>
      <c r="C1910">
        <v>41.650002000000001</v>
      </c>
      <c r="D1910">
        <v>39.380001</v>
      </c>
      <c r="E1910">
        <v>39.400002000000001</v>
      </c>
      <c r="F1910">
        <v>38.426299999999998</v>
      </c>
      <c r="G1910">
        <v>7601700</v>
      </c>
      <c r="I1910">
        <f t="shared" si="30"/>
        <v>1.9509630263727774E-3</v>
      </c>
    </row>
    <row r="1911" spans="1:9" x14ac:dyDescent="0.3">
      <c r="A1911" s="5">
        <v>44411</v>
      </c>
      <c r="B1911">
        <v>39.520000000000003</v>
      </c>
      <c r="C1911">
        <v>40.450001</v>
      </c>
      <c r="D1911">
        <v>38</v>
      </c>
      <c r="E1911">
        <v>40.380001</v>
      </c>
      <c r="F1911">
        <v>39.382088000000003</v>
      </c>
      <c r="G1911">
        <v>6269200</v>
      </c>
      <c r="I1911">
        <f t="shared" si="30"/>
        <v>2.4228853038721888E-3</v>
      </c>
    </row>
    <row r="1912" spans="1:9" x14ac:dyDescent="0.3">
      <c r="A1912" s="5">
        <v>44412</v>
      </c>
      <c r="B1912">
        <v>39.970001000000003</v>
      </c>
      <c r="C1912">
        <v>40.019001000000003</v>
      </c>
      <c r="D1912">
        <v>38.529998999999997</v>
      </c>
      <c r="E1912">
        <v>38.75</v>
      </c>
      <c r="F1912">
        <v>37.792358</v>
      </c>
      <c r="G1912">
        <v>5087600</v>
      </c>
      <c r="I1912">
        <f t="shared" si="30"/>
        <v>2.4839014500945201E-4</v>
      </c>
    </row>
    <row r="1913" spans="1:9" x14ac:dyDescent="0.3">
      <c r="A1913" s="5">
        <v>44413</v>
      </c>
      <c r="B1913">
        <v>38.490001999999997</v>
      </c>
      <c r="C1913">
        <v>39.349997999999999</v>
      </c>
      <c r="D1913">
        <v>38.290000999999997</v>
      </c>
      <c r="E1913">
        <v>38.75</v>
      </c>
      <c r="F1913">
        <v>37.792358</v>
      </c>
      <c r="G1913">
        <v>4021700</v>
      </c>
      <c r="I1913">
        <f t="shared" si="30"/>
        <v>4.0174472314850293E-4</v>
      </c>
    </row>
    <row r="1914" spans="1:9" x14ac:dyDescent="0.3">
      <c r="A1914" s="5">
        <v>44414</v>
      </c>
      <c r="B1914">
        <v>39.619999</v>
      </c>
      <c r="C1914">
        <v>40.950001</v>
      </c>
      <c r="D1914">
        <v>39.229999999999997</v>
      </c>
      <c r="E1914">
        <v>40.709999000000003</v>
      </c>
      <c r="F1914">
        <v>39.703926000000003</v>
      </c>
      <c r="G1914">
        <v>6146700</v>
      </c>
      <c r="I1914">
        <f t="shared" si="30"/>
        <v>5.6041173014480402E-4</v>
      </c>
    </row>
    <row r="1915" spans="1:9" x14ac:dyDescent="0.3">
      <c r="A1915" s="5">
        <v>44417</v>
      </c>
      <c r="B1915">
        <v>40.450001</v>
      </c>
      <c r="C1915">
        <v>41.490001999999997</v>
      </c>
      <c r="D1915">
        <v>39.900002000000001</v>
      </c>
      <c r="E1915">
        <v>40.529998999999997</v>
      </c>
      <c r="F1915">
        <v>39.528377999999996</v>
      </c>
      <c r="G1915">
        <v>5634400</v>
      </c>
      <c r="I1915">
        <f t="shared" si="30"/>
        <v>8.0875632680789617E-4</v>
      </c>
    </row>
    <row r="1916" spans="1:9" x14ac:dyDescent="0.3">
      <c r="A1916" s="5">
        <v>44418</v>
      </c>
      <c r="B1916">
        <v>40.689999</v>
      </c>
      <c r="C1916">
        <v>44.150002000000001</v>
      </c>
      <c r="D1916">
        <v>40.650002000000001</v>
      </c>
      <c r="E1916">
        <v>43.869999</v>
      </c>
      <c r="F1916">
        <v>42.785839000000003</v>
      </c>
      <c r="G1916">
        <v>11404000</v>
      </c>
      <c r="I1916">
        <f t="shared" si="30"/>
        <v>5.9420004934920096E-4</v>
      </c>
    </row>
    <row r="1917" spans="1:9" x14ac:dyDescent="0.3">
      <c r="A1917" s="5">
        <v>44419</v>
      </c>
      <c r="B1917">
        <v>43.48</v>
      </c>
      <c r="C1917">
        <v>44.740001999999997</v>
      </c>
      <c r="D1917">
        <v>43.150002000000001</v>
      </c>
      <c r="E1917">
        <v>44.66</v>
      </c>
      <c r="F1917">
        <v>43.556313000000003</v>
      </c>
      <c r="G1917">
        <v>7674500</v>
      </c>
      <c r="I1917">
        <f t="shared" si="30"/>
        <v>3.1317545540744213E-4</v>
      </c>
    </row>
    <row r="1918" spans="1:9" x14ac:dyDescent="0.3">
      <c r="A1918" s="5">
        <v>44420</v>
      </c>
      <c r="B1918">
        <v>44.290000999999997</v>
      </c>
      <c r="C1918">
        <v>45.400002000000001</v>
      </c>
      <c r="D1918">
        <v>43.77</v>
      </c>
      <c r="E1918">
        <v>45.150002000000001</v>
      </c>
      <c r="F1918">
        <v>44.034199000000001</v>
      </c>
      <c r="G1918">
        <v>6666600</v>
      </c>
      <c r="I1918">
        <f t="shared" si="30"/>
        <v>5.0329402283996348E-4</v>
      </c>
    </row>
    <row r="1919" spans="1:9" x14ac:dyDescent="0.3">
      <c r="A1919" s="5">
        <v>44421</v>
      </c>
      <c r="B1919">
        <v>45.389999000000003</v>
      </c>
      <c r="C1919">
        <v>45.790999999999997</v>
      </c>
      <c r="D1919">
        <v>44.889999000000003</v>
      </c>
      <c r="E1919">
        <v>45.25</v>
      </c>
      <c r="F1919">
        <v>44.131729</v>
      </c>
      <c r="G1919">
        <v>5839400</v>
      </c>
      <c r="I1919">
        <f t="shared" si="30"/>
        <v>1.9301401212254158E-4</v>
      </c>
    </row>
    <row r="1920" spans="1:9" x14ac:dyDescent="0.3">
      <c r="A1920" s="5">
        <v>44424</v>
      </c>
      <c r="B1920">
        <v>44.099997999999999</v>
      </c>
      <c r="C1920">
        <v>44.189999</v>
      </c>
      <c r="D1920">
        <v>42.82</v>
      </c>
      <c r="E1920">
        <v>43.419998</v>
      </c>
      <c r="F1920">
        <v>42.346950999999997</v>
      </c>
      <c r="G1920">
        <v>4963300</v>
      </c>
      <c r="I1920">
        <f t="shared" si="30"/>
        <v>4.4569195711534744E-4</v>
      </c>
    </row>
    <row r="1921" spans="1:9" x14ac:dyDescent="0.3">
      <c r="A1921" s="5">
        <v>44425</v>
      </c>
      <c r="B1921">
        <v>42.779998999999997</v>
      </c>
      <c r="C1921">
        <v>42.939999</v>
      </c>
      <c r="D1921">
        <v>40.340000000000003</v>
      </c>
      <c r="E1921">
        <v>41.610000999999997</v>
      </c>
      <c r="F1921">
        <v>40.581684000000003</v>
      </c>
      <c r="G1921">
        <v>8015500</v>
      </c>
      <c r="I1921">
        <f t="shared" si="30"/>
        <v>1.9378212553126275E-3</v>
      </c>
    </row>
    <row r="1922" spans="1:9" x14ac:dyDescent="0.3">
      <c r="A1922" s="5">
        <v>44426</v>
      </c>
      <c r="B1922">
        <v>41.029998999999997</v>
      </c>
      <c r="C1922">
        <v>42.349997999999999</v>
      </c>
      <c r="D1922">
        <v>40.799999</v>
      </c>
      <c r="E1922">
        <v>41.490001999999997</v>
      </c>
      <c r="F1922">
        <v>40.464652999999998</v>
      </c>
      <c r="G1922">
        <v>6107400</v>
      </c>
      <c r="I1922">
        <f t="shared" si="30"/>
        <v>7.4390717179357289E-4</v>
      </c>
    </row>
    <row r="1923" spans="1:9" x14ac:dyDescent="0.3">
      <c r="A1923" s="5">
        <v>44427</v>
      </c>
      <c r="B1923">
        <v>39.900002000000001</v>
      </c>
      <c r="C1923">
        <v>40.090000000000003</v>
      </c>
      <c r="D1923">
        <v>36.609000999999999</v>
      </c>
      <c r="E1923">
        <v>36.919998</v>
      </c>
      <c r="F1923">
        <v>36.007590999999998</v>
      </c>
      <c r="G1923">
        <v>16177800</v>
      </c>
      <c r="I1923">
        <f t="shared" si="30"/>
        <v>1.1195082326160501E-3</v>
      </c>
    </row>
    <row r="1924" spans="1:9" x14ac:dyDescent="0.3">
      <c r="A1924" s="5">
        <v>44428</v>
      </c>
      <c r="B1924">
        <v>37.5</v>
      </c>
      <c r="C1924">
        <v>38.200001</v>
      </c>
      <c r="D1924">
        <v>37.189999</v>
      </c>
      <c r="E1924">
        <v>37.709999000000003</v>
      </c>
      <c r="F1924">
        <v>36.778064999999998</v>
      </c>
      <c r="G1924">
        <v>7819100</v>
      </c>
      <c r="I1924">
        <f t="shared" si="30"/>
        <v>3.5403361080976487E-4</v>
      </c>
    </row>
    <row r="1925" spans="1:9" x14ac:dyDescent="0.3">
      <c r="A1925" s="5">
        <v>44431</v>
      </c>
      <c r="B1925">
        <v>38.599997999999999</v>
      </c>
      <c r="C1925">
        <v>41.439999</v>
      </c>
      <c r="D1925">
        <v>38.57</v>
      </c>
      <c r="E1925">
        <v>41.110000999999997</v>
      </c>
      <c r="F1925">
        <v>40.094043999999997</v>
      </c>
      <c r="G1925">
        <v>9678600</v>
      </c>
      <c r="I1925">
        <f t="shared" si="30"/>
        <v>6.1719368458495842E-4</v>
      </c>
    </row>
    <row r="1926" spans="1:9" x14ac:dyDescent="0.3">
      <c r="A1926" s="5">
        <v>44432</v>
      </c>
      <c r="B1926">
        <v>41.830002</v>
      </c>
      <c r="C1926">
        <v>43.029998999999997</v>
      </c>
      <c r="D1926">
        <v>41.740001999999997</v>
      </c>
      <c r="E1926">
        <v>42.130001</v>
      </c>
      <c r="F1926">
        <v>41.088836999999998</v>
      </c>
      <c r="G1926">
        <v>5672800</v>
      </c>
      <c r="I1926">
        <f t="shared" si="30"/>
        <v>6.1787579366793719E-4</v>
      </c>
    </row>
    <row r="1927" spans="1:9" x14ac:dyDescent="0.3">
      <c r="A1927" s="5">
        <v>44433</v>
      </c>
      <c r="B1927">
        <v>42.049999</v>
      </c>
      <c r="C1927">
        <v>42.695</v>
      </c>
      <c r="D1927">
        <v>41.639999000000003</v>
      </c>
      <c r="E1927">
        <v>42.060001</v>
      </c>
      <c r="F1927">
        <v>41.020561000000001</v>
      </c>
      <c r="G1927">
        <v>4728800</v>
      </c>
      <c r="I1927">
        <f t="shared" si="30"/>
        <v>3.264366604310023E-4</v>
      </c>
    </row>
    <row r="1928" spans="1:9" x14ac:dyDescent="0.3">
      <c r="A1928" s="5">
        <v>44434</v>
      </c>
      <c r="B1928">
        <v>41.720001000000003</v>
      </c>
      <c r="C1928">
        <v>42.580002</v>
      </c>
      <c r="D1928">
        <v>41.349997999999999</v>
      </c>
      <c r="E1928">
        <v>41.419998</v>
      </c>
      <c r="F1928">
        <v>40.396380999999998</v>
      </c>
      <c r="G1928">
        <v>3972000</v>
      </c>
      <c r="I1928">
        <f t="shared" si="30"/>
        <v>5.7864603821453629E-4</v>
      </c>
    </row>
    <row r="1929" spans="1:9" x14ac:dyDescent="0.3">
      <c r="A1929" s="5">
        <v>44435</v>
      </c>
      <c r="B1929">
        <v>42.189999</v>
      </c>
      <c r="C1929">
        <v>44.299999</v>
      </c>
      <c r="D1929">
        <v>42.080002</v>
      </c>
      <c r="E1929">
        <v>44.130001</v>
      </c>
      <c r="F1929">
        <v>43.039409999999997</v>
      </c>
      <c r="G1929">
        <v>7106700</v>
      </c>
      <c r="I1929">
        <f t="shared" si="30"/>
        <v>3.1181060668004901E-4</v>
      </c>
    </row>
    <row r="1930" spans="1:9" x14ac:dyDescent="0.3">
      <c r="A1930" s="5">
        <v>44438</v>
      </c>
      <c r="B1930">
        <v>44.5</v>
      </c>
      <c r="C1930">
        <v>44.880001</v>
      </c>
      <c r="D1930">
        <v>43.330002</v>
      </c>
      <c r="E1930">
        <v>44.049999</v>
      </c>
      <c r="F1930">
        <v>42.961384000000002</v>
      </c>
      <c r="G1930">
        <v>5552300</v>
      </c>
      <c r="I1930">
        <f t="shared" si="30"/>
        <v>5.9781973354501019E-4</v>
      </c>
    </row>
    <row r="1931" spans="1:9" x14ac:dyDescent="0.3">
      <c r="A1931" s="5">
        <v>44439</v>
      </c>
      <c r="B1931">
        <v>44.259998000000003</v>
      </c>
      <c r="C1931">
        <v>44.950001</v>
      </c>
      <c r="D1931">
        <v>42.959999000000003</v>
      </c>
      <c r="E1931">
        <v>44.369999</v>
      </c>
      <c r="F1931">
        <v>43.273476000000002</v>
      </c>
      <c r="G1931">
        <v>6152600</v>
      </c>
      <c r="I1931">
        <f t="shared" si="30"/>
        <v>1.1636537766153961E-3</v>
      </c>
    </row>
    <row r="1932" spans="1:9" x14ac:dyDescent="0.3">
      <c r="A1932" s="5">
        <v>44440</v>
      </c>
      <c r="B1932">
        <v>43.709999000000003</v>
      </c>
      <c r="C1932">
        <v>46.220001000000003</v>
      </c>
      <c r="D1932">
        <v>42.450001</v>
      </c>
      <c r="E1932">
        <v>45.599997999999999</v>
      </c>
      <c r="F1932">
        <v>44.473080000000003</v>
      </c>
      <c r="G1932">
        <v>11739100</v>
      </c>
      <c r="I1932">
        <f t="shared" ref="I1932:I1995" si="31">LN(C1932/B1932)*(LN(C1932/B1932)-LN(E1932/B1932))+LN(D1932/B1932)*(LN(D1932/B1932)-LN(E1932/B1932))</f>
        <v>2.8477920331945825E-3</v>
      </c>
    </row>
    <row r="1933" spans="1:9" x14ac:dyDescent="0.3">
      <c r="A1933" s="5">
        <v>44441</v>
      </c>
      <c r="B1933">
        <v>46.029998999999997</v>
      </c>
      <c r="C1933">
        <v>48.240001999999997</v>
      </c>
      <c r="D1933">
        <v>45.900002000000001</v>
      </c>
      <c r="E1933">
        <v>46.91</v>
      </c>
      <c r="F1933">
        <v>45.750701999999997</v>
      </c>
      <c r="G1933">
        <v>8457000</v>
      </c>
      <c r="I1933">
        <f t="shared" si="31"/>
        <v>1.3726418101024194E-3</v>
      </c>
    </row>
    <row r="1934" spans="1:9" x14ac:dyDescent="0.3">
      <c r="A1934" s="5">
        <v>44442</v>
      </c>
      <c r="B1934">
        <v>46.955002</v>
      </c>
      <c r="C1934">
        <v>47.720001000000003</v>
      </c>
      <c r="D1934">
        <v>46.040000999999997</v>
      </c>
      <c r="E1934">
        <v>47.209999000000003</v>
      </c>
      <c r="F1934">
        <v>46.043289000000001</v>
      </c>
      <c r="G1934">
        <v>5201900</v>
      </c>
      <c r="I1934">
        <f t="shared" si="31"/>
        <v>6.6749708111533816E-4</v>
      </c>
    </row>
    <row r="1935" spans="1:9" x14ac:dyDescent="0.3">
      <c r="A1935" s="5">
        <v>44446</v>
      </c>
      <c r="B1935">
        <v>47.610000999999997</v>
      </c>
      <c r="C1935">
        <v>48.389999000000003</v>
      </c>
      <c r="D1935">
        <v>46.48</v>
      </c>
      <c r="E1935">
        <v>46.77</v>
      </c>
      <c r="F1935">
        <v>45.614162</v>
      </c>
      <c r="G1935">
        <v>6167000</v>
      </c>
      <c r="I1935">
        <f t="shared" si="31"/>
        <v>7.0274813801096691E-4</v>
      </c>
    </row>
    <row r="1936" spans="1:9" x14ac:dyDescent="0.3">
      <c r="A1936" s="5">
        <v>44447</v>
      </c>
      <c r="B1936">
        <v>46.52</v>
      </c>
      <c r="C1936">
        <v>47.77</v>
      </c>
      <c r="D1936">
        <v>45.404998999999997</v>
      </c>
      <c r="E1936">
        <v>45.73</v>
      </c>
      <c r="F1936">
        <v>44.599868999999998</v>
      </c>
      <c r="G1936">
        <v>5689800</v>
      </c>
      <c r="I1936">
        <f t="shared" si="31"/>
        <v>1.3302547741268064E-3</v>
      </c>
    </row>
    <row r="1937" spans="1:9" x14ac:dyDescent="0.3">
      <c r="A1937" s="5">
        <v>44448</v>
      </c>
      <c r="B1937">
        <v>46.185001</v>
      </c>
      <c r="C1937">
        <v>47.889999000000003</v>
      </c>
      <c r="D1937">
        <v>46.040000999999997</v>
      </c>
      <c r="E1937">
        <v>47.509998000000003</v>
      </c>
      <c r="F1937">
        <v>46.335875999999999</v>
      </c>
      <c r="G1937">
        <v>7477600</v>
      </c>
      <c r="I1937">
        <f t="shared" si="31"/>
        <v>3.8762896296785432E-4</v>
      </c>
    </row>
    <row r="1938" spans="1:9" x14ac:dyDescent="0.3">
      <c r="A1938" s="5">
        <v>44449</v>
      </c>
      <c r="B1938">
        <v>48.25</v>
      </c>
      <c r="C1938">
        <v>50.345001000000003</v>
      </c>
      <c r="D1938">
        <v>48.25</v>
      </c>
      <c r="E1938">
        <v>49.5</v>
      </c>
      <c r="F1938">
        <v>48.276694999999997</v>
      </c>
      <c r="G1938">
        <v>10397400</v>
      </c>
      <c r="I1938">
        <f t="shared" si="31"/>
        <v>7.1944230315163068E-4</v>
      </c>
    </row>
    <row r="1939" spans="1:9" x14ac:dyDescent="0.3">
      <c r="A1939" s="5">
        <v>44452</v>
      </c>
      <c r="B1939">
        <v>50.25</v>
      </c>
      <c r="C1939">
        <v>51.168998999999999</v>
      </c>
      <c r="D1939">
        <v>49.060001</v>
      </c>
      <c r="E1939">
        <v>49.220001000000003</v>
      </c>
      <c r="F1939">
        <v>48.003616000000001</v>
      </c>
      <c r="G1939">
        <v>8579100</v>
      </c>
      <c r="I1939">
        <f t="shared" si="31"/>
        <v>7.8183207024181583E-4</v>
      </c>
    </row>
    <row r="1940" spans="1:9" x14ac:dyDescent="0.3">
      <c r="A1940" s="5">
        <v>44453</v>
      </c>
      <c r="B1940">
        <v>48.98</v>
      </c>
      <c r="C1940">
        <v>49.243999000000002</v>
      </c>
      <c r="D1940">
        <v>47.619999</v>
      </c>
      <c r="E1940">
        <v>48</v>
      </c>
      <c r="F1940">
        <v>46.813769999999998</v>
      </c>
      <c r="G1940">
        <v>6902600</v>
      </c>
      <c r="I1940">
        <f t="shared" si="31"/>
        <v>3.6135418598628002E-4</v>
      </c>
    </row>
    <row r="1941" spans="1:9" x14ac:dyDescent="0.3">
      <c r="A1941" s="5">
        <v>44454</v>
      </c>
      <c r="B1941">
        <v>49.720001000000003</v>
      </c>
      <c r="C1941">
        <v>51.889999000000003</v>
      </c>
      <c r="D1941">
        <v>49.509998000000003</v>
      </c>
      <c r="E1941">
        <v>51.68</v>
      </c>
      <c r="F1941">
        <v>50.402824000000003</v>
      </c>
      <c r="G1941">
        <v>9413900</v>
      </c>
      <c r="I1941">
        <f t="shared" si="31"/>
        <v>3.5479891525675171E-4</v>
      </c>
    </row>
    <row r="1942" spans="1:9" x14ac:dyDescent="0.3">
      <c r="A1942" s="5">
        <v>44455</v>
      </c>
      <c r="B1942">
        <v>50.950001</v>
      </c>
      <c r="C1942">
        <v>50.959999000000003</v>
      </c>
      <c r="D1942">
        <v>48.66</v>
      </c>
      <c r="E1942">
        <v>49.41</v>
      </c>
      <c r="F1942">
        <v>48.188923000000003</v>
      </c>
      <c r="G1942">
        <v>8054400</v>
      </c>
      <c r="I1942">
        <f t="shared" si="31"/>
        <v>7.094613494245585E-4</v>
      </c>
    </row>
    <row r="1943" spans="1:9" x14ac:dyDescent="0.3">
      <c r="A1943" s="5">
        <v>44456</v>
      </c>
      <c r="B1943">
        <v>49.189999</v>
      </c>
      <c r="C1943">
        <v>49.77</v>
      </c>
      <c r="D1943">
        <v>47.470001000000003</v>
      </c>
      <c r="E1943">
        <v>48.830002</v>
      </c>
      <c r="F1943">
        <v>47.623263999999999</v>
      </c>
      <c r="G1943">
        <v>10500000</v>
      </c>
      <c r="I1943">
        <f t="shared" si="31"/>
        <v>1.2288867554540429E-3</v>
      </c>
    </row>
    <row r="1944" spans="1:9" x14ac:dyDescent="0.3">
      <c r="A1944" s="5">
        <v>44459</v>
      </c>
      <c r="B1944">
        <v>45.709999000000003</v>
      </c>
      <c r="C1944">
        <v>48.48</v>
      </c>
      <c r="D1944">
        <v>45.240001999999997</v>
      </c>
      <c r="E1944">
        <v>48.459999000000003</v>
      </c>
      <c r="F1944">
        <v>47.262402000000002</v>
      </c>
      <c r="G1944">
        <v>9338100</v>
      </c>
      <c r="I1944">
        <f t="shared" si="31"/>
        <v>7.3490715832252558E-4</v>
      </c>
    </row>
    <row r="1945" spans="1:9" x14ac:dyDescent="0.3">
      <c r="A1945" s="5">
        <v>44460</v>
      </c>
      <c r="B1945">
        <v>48.75</v>
      </c>
      <c r="C1945">
        <v>49.139999000000003</v>
      </c>
      <c r="D1945">
        <v>44.48</v>
      </c>
      <c r="E1945">
        <v>45.599997999999999</v>
      </c>
      <c r="F1945">
        <v>44.473080000000003</v>
      </c>
      <c r="G1945">
        <v>14587100</v>
      </c>
      <c r="I1945">
        <f t="shared" si="31"/>
        <v>2.8752849712992629E-3</v>
      </c>
    </row>
    <row r="1946" spans="1:9" x14ac:dyDescent="0.3">
      <c r="A1946" s="5">
        <v>44461</v>
      </c>
      <c r="B1946">
        <v>47.299999</v>
      </c>
      <c r="C1946">
        <v>49.369999</v>
      </c>
      <c r="D1946">
        <v>47.099997999999999</v>
      </c>
      <c r="E1946">
        <v>47.950001</v>
      </c>
      <c r="F1946">
        <v>46.765006999999997</v>
      </c>
      <c r="G1946">
        <v>10983800</v>
      </c>
      <c r="I1946">
        <f t="shared" si="31"/>
        <v>1.3258210379612952E-3</v>
      </c>
    </row>
    <row r="1947" spans="1:9" x14ac:dyDescent="0.3">
      <c r="A1947" s="5">
        <v>44462</v>
      </c>
      <c r="B1947">
        <v>48.110000999999997</v>
      </c>
      <c r="C1947">
        <v>49.459999000000003</v>
      </c>
      <c r="D1947">
        <v>47.799999</v>
      </c>
      <c r="E1947">
        <v>48.560001</v>
      </c>
      <c r="F1947">
        <v>47.359932000000001</v>
      </c>
      <c r="G1947">
        <v>5723400</v>
      </c>
      <c r="I1947">
        <f t="shared" si="31"/>
        <v>6.1018434228704067E-4</v>
      </c>
    </row>
    <row r="1948" spans="1:9" x14ac:dyDescent="0.3">
      <c r="A1948" s="5">
        <v>44463</v>
      </c>
      <c r="B1948">
        <v>47.869999</v>
      </c>
      <c r="C1948">
        <v>49.080002</v>
      </c>
      <c r="D1948">
        <v>47.75</v>
      </c>
      <c r="E1948">
        <v>48.490001999999997</v>
      </c>
      <c r="F1948">
        <v>47.29166</v>
      </c>
      <c r="G1948">
        <v>5168100</v>
      </c>
      <c r="I1948">
        <f t="shared" si="31"/>
        <v>3.4049823446811469E-4</v>
      </c>
    </row>
    <row r="1949" spans="1:9" x14ac:dyDescent="0.3">
      <c r="A1949" s="5">
        <v>44466</v>
      </c>
      <c r="B1949">
        <v>48.560001</v>
      </c>
      <c r="C1949">
        <v>51.709999000000003</v>
      </c>
      <c r="D1949">
        <v>48.48</v>
      </c>
      <c r="E1949">
        <v>51.560001</v>
      </c>
      <c r="F1949">
        <v>50.285792999999998</v>
      </c>
      <c r="G1949">
        <v>8264600</v>
      </c>
      <c r="I1949">
        <f t="shared" si="31"/>
        <v>2.8413941764390897E-4</v>
      </c>
    </row>
    <row r="1950" spans="1:9" x14ac:dyDescent="0.3">
      <c r="A1950" s="5">
        <v>44467</v>
      </c>
      <c r="B1950">
        <v>51.599997999999999</v>
      </c>
      <c r="C1950">
        <v>52.450001</v>
      </c>
      <c r="D1950">
        <v>50.16</v>
      </c>
      <c r="E1950">
        <v>50.98</v>
      </c>
      <c r="F1950">
        <v>49.720126999999998</v>
      </c>
      <c r="G1950">
        <v>7122300</v>
      </c>
      <c r="I1950">
        <f t="shared" si="31"/>
        <v>9.2341939078032583E-4</v>
      </c>
    </row>
    <row r="1951" spans="1:9" x14ac:dyDescent="0.3">
      <c r="A1951" s="5">
        <v>44468</v>
      </c>
      <c r="B1951">
        <v>52.075001</v>
      </c>
      <c r="C1951">
        <v>52.080002</v>
      </c>
      <c r="D1951">
        <v>50.160998999999997</v>
      </c>
      <c r="E1951">
        <v>50.580002</v>
      </c>
      <c r="F1951">
        <v>49.330013000000001</v>
      </c>
      <c r="G1951">
        <v>4609100</v>
      </c>
      <c r="I1951">
        <f t="shared" si="31"/>
        <v>3.1430975106208761E-4</v>
      </c>
    </row>
    <row r="1952" spans="1:9" x14ac:dyDescent="0.3">
      <c r="A1952" s="5">
        <v>44469</v>
      </c>
      <c r="B1952">
        <v>50.060001</v>
      </c>
      <c r="C1952">
        <v>50.470001000000003</v>
      </c>
      <c r="D1952">
        <v>48.93</v>
      </c>
      <c r="E1952">
        <v>48.939999</v>
      </c>
      <c r="F1952">
        <v>47.730541000000002</v>
      </c>
      <c r="G1952">
        <v>6043900</v>
      </c>
      <c r="I1952">
        <f t="shared" si="31"/>
        <v>2.5576527456683582E-4</v>
      </c>
    </row>
    <row r="1953" spans="1:9" x14ac:dyDescent="0.3">
      <c r="A1953" s="5">
        <v>44470</v>
      </c>
      <c r="B1953">
        <v>49.459999000000003</v>
      </c>
      <c r="C1953">
        <v>49.889999000000003</v>
      </c>
      <c r="D1953">
        <v>47.939999</v>
      </c>
      <c r="E1953">
        <v>49.77</v>
      </c>
      <c r="F1953">
        <v>48.540024000000003</v>
      </c>
      <c r="G1953">
        <v>6561200</v>
      </c>
      <c r="I1953">
        <f t="shared" si="31"/>
        <v>1.1901917784979974E-3</v>
      </c>
    </row>
    <row r="1954" spans="1:9" x14ac:dyDescent="0.3">
      <c r="A1954" s="5">
        <v>44473</v>
      </c>
      <c r="B1954">
        <v>50.529998999999997</v>
      </c>
      <c r="C1954">
        <v>51.23</v>
      </c>
      <c r="D1954">
        <v>49.060001</v>
      </c>
      <c r="E1954">
        <v>49.18</v>
      </c>
      <c r="F1954">
        <v>47.964607000000001</v>
      </c>
      <c r="G1954">
        <v>4681700</v>
      </c>
      <c r="I1954">
        <f t="shared" si="31"/>
        <v>6.3398118678029852E-4</v>
      </c>
    </row>
    <row r="1955" spans="1:9" x14ac:dyDescent="0.3">
      <c r="A1955" s="5">
        <v>44474</v>
      </c>
      <c r="B1955">
        <v>49.59</v>
      </c>
      <c r="C1955">
        <v>49.82</v>
      </c>
      <c r="D1955">
        <v>48.389999000000003</v>
      </c>
      <c r="E1955">
        <v>49.049999</v>
      </c>
      <c r="F1955">
        <v>47.837817999999999</v>
      </c>
      <c r="G1955">
        <v>4226400</v>
      </c>
      <c r="I1955">
        <f t="shared" si="31"/>
        <v>4.0392455605214726E-4</v>
      </c>
    </row>
    <row r="1956" spans="1:9" x14ac:dyDescent="0.3">
      <c r="A1956" s="5">
        <v>44475</v>
      </c>
      <c r="B1956">
        <v>47.790000999999997</v>
      </c>
      <c r="C1956">
        <v>48.23</v>
      </c>
      <c r="D1956">
        <v>45.799999</v>
      </c>
      <c r="E1956">
        <v>47.049999</v>
      </c>
      <c r="F1956">
        <v>45.887253000000001</v>
      </c>
      <c r="G1956">
        <v>7321800</v>
      </c>
      <c r="I1956">
        <f t="shared" si="31"/>
        <v>1.3722751006129377E-3</v>
      </c>
    </row>
    <row r="1957" spans="1:9" x14ac:dyDescent="0.3">
      <c r="A1957" s="5">
        <v>44476</v>
      </c>
      <c r="B1957">
        <v>48.169998</v>
      </c>
      <c r="C1957">
        <v>48.259998000000003</v>
      </c>
      <c r="D1957">
        <v>46.939999</v>
      </c>
      <c r="E1957">
        <v>47.049999</v>
      </c>
      <c r="F1957">
        <v>45.887253000000001</v>
      </c>
      <c r="G1957">
        <v>5916600</v>
      </c>
      <c r="I1957">
        <f t="shared" si="31"/>
        <v>1.0794244642134426E-4</v>
      </c>
    </row>
    <row r="1958" spans="1:9" x14ac:dyDescent="0.3">
      <c r="A1958" s="5">
        <v>44477</v>
      </c>
      <c r="B1958">
        <v>47.07</v>
      </c>
      <c r="C1958">
        <v>47.330002</v>
      </c>
      <c r="D1958">
        <v>45.630001</v>
      </c>
      <c r="E1958">
        <v>46.029998999999997</v>
      </c>
      <c r="F1958">
        <v>44.892456000000003</v>
      </c>
      <c r="G1958">
        <v>5548600</v>
      </c>
      <c r="I1958">
        <f t="shared" si="31"/>
        <v>4.2459864483883195E-4</v>
      </c>
    </row>
    <row r="1959" spans="1:9" x14ac:dyDescent="0.3">
      <c r="A1959" s="5">
        <v>44480</v>
      </c>
      <c r="B1959">
        <v>47.91</v>
      </c>
      <c r="C1959">
        <v>49.380001</v>
      </c>
      <c r="D1959">
        <v>47.150002000000001</v>
      </c>
      <c r="E1959">
        <v>47.290000999999997</v>
      </c>
      <c r="F1959">
        <v>46.121315000000003</v>
      </c>
      <c r="G1959">
        <v>6078800</v>
      </c>
      <c r="I1959">
        <f t="shared" si="31"/>
        <v>1.3543754124126838E-3</v>
      </c>
    </row>
    <row r="1960" spans="1:9" x14ac:dyDescent="0.3">
      <c r="A1960" s="5">
        <v>44481</v>
      </c>
      <c r="B1960">
        <v>47.880001</v>
      </c>
      <c r="C1960">
        <v>49.439999</v>
      </c>
      <c r="D1960">
        <v>47.345001000000003</v>
      </c>
      <c r="E1960">
        <v>47.779998999999997</v>
      </c>
      <c r="F1960">
        <v>46.599204999999998</v>
      </c>
      <c r="G1960">
        <v>6872300</v>
      </c>
      <c r="I1960">
        <f t="shared" si="31"/>
        <v>1.1977684560962338E-3</v>
      </c>
    </row>
    <row r="1961" spans="1:9" x14ac:dyDescent="0.3">
      <c r="A1961" s="5">
        <v>44482</v>
      </c>
      <c r="B1961">
        <v>48.134998000000003</v>
      </c>
      <c r="C1961">
        <v>48.900002000000001</v>
      </c>
      <c r="D1961">
        <v>47.23</v>
      </c>
      <c r="E1961">
        <v>48.400002000000001</v>
      </c>
      <c r="F1961">
        <v>47.203879999999998</v>
      </c>
      <c r="G1961">
        <v>5829900</v>
      </c>
      <c r="I1961">
        <f t="shared" si="31"/>
        <v>6.2651331047144433E-4</v>
      </c>
    </row>
    <row r="1962" spans="1:9" x14ac:dyDescent="0.3">
      <c r="A1962" s="5">
        <v>44483</v>
      </c>
      <c r="B1962">
        <v>49.290000999999997</v>
      </c>
      <c r="C1962">
        <v>50.040000999999997</v>
      </c>
      <c r="D1962">
        <v>48.060001</v>
      </c>
      <c r="E1962">
        <v>48.599997999999999</v>
      </c>
      <c r="F1962">
        <v>47.398936999999997</v>
      </c>
      <c r="G1962">
        <v>9971300</v>
      </c>
      <c r="I1962">
        <f t="shared" si="31"/>
        <v>7.2330972419097812E-4</v>
      </c>
    </row>
    <row r="1963" spans="1:9" x14ac:dyDescent="0.3">
      <c r="A1963" s="5">
        <v>44484</v>
      </c>
      <c r="B1963">
        <v>51.919998</v>
      </c>
      <c r="C1963">
        <v>56.93</v>
      </c>
      <c r="D1963">
        <v>51</v>
      </c>
      <c r="E1963">
        <v>56</v>
      </c>
      <c r="F1963">
        <v>54.616061999999999</v>
      </c>
      <c r="G1963">
        <v>33374900</v>
      </c>
      <c r="I1963">
        <f t="shared" si="31"/>
        <v>3.1893558748724658E-3</v>
      </c>
    </row>
    <row r="1964" spans="1:9" x14ac:dyDescent="0.3">
      <c r="A1964" s="5">
        <v>44487</v>
      </c>
      <c r="B1964">
        <v>54.990001999999997</v>
      </c>
      <c r="C1964">
        <v>57.57</v>
      </c>
      <c r="D1964">
        <v>54.959999000000003</v>
      </c>
      <c r="E1964">
        <v>57.240001999999997</v>
      </c>
      <c r="F1964">
        <v>55.825420000000001</v>
      </c>
      <c r="G1964">
        <v>9883800</v>
      </c>
      <c r="I1964">
        <f t="shared" si="31"/>
        <v>2.8575853104163129E-4</v>
      </c>
    </row>
    <row r="1965" spans="1:9" x14ac:dyDescent="0.3">
      <c r="A1965" s="5">
        <v>44488</v>
      </c>
      <c r="B1965">
        <v>57.240001999999997</v>
      </c>
      <c r="C1965">
        <v>57.240001999999997</v>
      </c>
      <c r="D1965">
        <v>53.610000999999997</v>
      </c>
      <c r="E1965">
        <v>53.68</v>
      </c>
      <c r="F1965">
        <v>52.353400999999998</v>
      </c>
      <c r="G1965">
        <v>10860800</v>
      </c>
      <c r="I1965">
        <f t="shared" si="31"/>
        <v>8.5490722530534124E-5</v>
      </c>
    </row>
    <row r="1966" spans="1:9" x14ac:dyDescent="0.3">
      <c r="A1966" s="5">
        <v>44489</v>
      </c>
      <c r="B1966">
        <v>52.799999</v>
      </c>
      <c r="C1966">
        <v>53.900002000000001</v>
      </c>
      <c r="D1966">
        <v>52.02</v>
      </c>
      <c r="E1966">
        <v>52.509998000000003</v>
      </c>
      <c r="F1966">
        <v>51.212307000000003</v>
      </c>
      <c r="G1966">
        <v>7330400</v>
      </c>
      <c r="I1966">
        <f t="shared" si="31"/>
        <v>6.782522462609492E-4</v>
      </c>
    </row>
    <row r="1967" spans="1:9" x14ac:dyDescent="0.3">
      <c r="A1967" s="5">
        <v>44490</v>
      </c>
      <c r="B1967">
        <v>51.700001</v>
      </c>
      <c r="C1967">
        <v>51.700001</v>
      </c>
      <c r="D1967">
        <v>49.799999</v>
      </c>
      <c r="E1967">
        <v>49.990001999999997</v>
      </c>
      <c r="F1967">
        <v>48.754589000000003</v>
      </c>
      <c r="G1967">
        <v>9066900</v>
      </c>
      <c r="I1967">
        <f t="shared" si="31"/>
        <v>1.4258462504499614E-4</v>
      </c>
    </row>
    <row r="1968" spans="1:9" x14ac:dyDescent="0.3">
      <c r="A1968" s="5">
        <v>44491</v>
      </c>
      <c r="B1968">
        <v>50.490001999999997</v>
      </c>
      <c r="C1968">
        <v>50.990001999999997</v>
      </c>
      <c r="D1968">
        <v>48.869999</v>
      </c>
      <c r="E1968">
        <v>49.25</v>
      </c>
      <c r="F1968">
        <v>48.032874999999997</v>
      </c>
      <c r="G1968">
        <v>7469300</v>
      </c>
      <c r="I1968">
        <f t="shared" si="31"/>
        <v>5.9474044045814941E-4</v>
      </c>
    </row>
    <row r="1969" spans="1:9" x14ac:dyDescent="0.3">
      <c r="A1969" s="5">
        <v>44494</v>
      </c>
      <c r="B1969">
        <v>50.110000999999997</v>
      </c>
      <c r="C1969">
        <v>52.125</v>
      </c>
      <c r="D1969">
        <v>49.349997999999999</v>
      </c>
      <c r="E1969">
        <v>51.169998</v>
      </c>
      <c r="F1969">
        <v>49.905422000000002</v>
      </c>
      <c r="G1969">
        <v>11070100</v>
      </c>
      <c r="I1969">
        <f t="shared" si="31"/>
        <v>1.2824818757946061E-3</v>
      </c>
    </row>
    <row r="1970" spans="1:9" x14ac:dyDescent="0.3">
      <c r="A1970" s="5">
        <v>44495</v>
      </c>
      <c r="B1970">
        <v>50.799999</v>
      </c>
      <c r="C1970">
        <v>51.265999000000001</v>
      </c>
      <c r="D1970">
        <v>49.259998000000003</v>
      </c>
      <c r="E1970">
        <v>49.549999</v>
      </c>
      <c r="F1970">
        <v>48.325454999999998</v>
      </c>
      <c r="G1970">
        <v>6153100</v>
      </c>
      <c r="I1970">
        <f t="shared" si="31"/>
        <v>4.9158200574967435E-4</v>
      </c>
    </row>
    <row r="1971" spans="1:9" x14ac:dyDescent="0.3">
      <c r="A1971" s="5">
        <v>44496</v>
      </c>
      <c r="B1971">
        <v>47.48</v>
      </c>
      <c r="C1971">
        <v>47.919998</v>
      </c>
      <c r="D1971">
        <v>45.450001</v>
      </c>
      <c r="E1971">
        <v>45.889999000000003</v>
      </c>
      <c r="F1971">
        <v>44.755913</v>
      </c>
      <c r="G1971">
        <v>12864700</v>
      </c>
      <c r="I1971">
        <f t="shared" si="31"/>
        <v>8.2026270492806133E-4</v>
      </c>
    </row>
    <row r="1972" spans="1:9" x14ac:dyDescent="0.3">
      <c r="A1972" s="5">
        <v>44497</v>
      </c>
      <c r="B1972">
        <v>47.169998</v>
      </c>
      <c r="C1972">
        <v>47.48</v>
      </c>
      <c r="D1972">
        <v>45.509998000000003</v>
      </c>
      <c r="E1972">
        <v>46.450001</v>
      </c>
      <c r="F1972">
        <v>45.401009000000002</v>
      </c>
      <c r="G1972">
        <v>10235700</v>
      </c>
      <c r="I1972">
        <f t="shared" si="31"/>
        <v>8.7610959807398229E-4</v>
      </c>
    </row>
    <row r="1973" spans="1:9" x14ac:dyDescent="0.3">
      <c r="A1973" s="5">
        <v>44498</v>
      </c>
      <c r="B1973">
        <v>46.080002</v>
      </c>
      <c r="C1973">
        <v>47.209999000000003</v>
      </c>
      <c r="D1973">
        <v>45.380001</v>
      </c>
      <c r="E1973">
        <v>45.950001</v>
      </c>
      <c r="F1973">
        <v>44.912295999999998</v>
      </c>
      <c r="G1973">
        <v>6647200</v>
      </c>
      <c r="I1973">
        <f t="shared" si="31"/>
        <v>8.4645021983290384E-4</v>
      </c>
    </row>
    <row r="1974" spans="1:9" x14ac:dyDescent="0.3">
      <c r="A1974" s="5">
        <v>44501</v>
      </c>
      <c r="B1974">
        <v>46.220001000000003</v>
      </c>
      <c r="C1974">
        <v>47.529998999999997</v>
      </c>
      <c r="D1974">
        <v>45.209999000000003</v>
      </c>
      <c r="E1974">
        <v>46.73</v>
      </c>
      <c r="F1974">
        <v>45.674686000000001</v>
      </c>
      <c r="G1974">
        <v>9336800</v>
      </c>
      <c r="I1974">
        <f t="shared" si="31"/>
        <v>1.2050343861748102E-3</v>
      </c>
    </row>
    <row r="1975" spans="1:9" x14ac:dyDescent="0.3">
      <c r="A1975" s="5">
        <v>44502</v>
      </c>
      <c r="B1975">
        <v>46.860000999999997</v>
      </c>
      <c r="C1975">
        <v>47.48</v>
      </c>
      <c r="D1975">
        <v>45.900002000000001</v>
      </c>
      <c r="E1975">
        <v>47.080002</v>
      </c>
      <c r="F1975">
        <v>46.016784999999999</v>
      </c>
      <c r="G1975">
        <v>10040500</v>
      </c>
      <c r="I1975">
        <f t="shared" si="31"/>
        <v>6.3661600774414864E-4</v>
      </c>
    </row>
    <row r="1976" spans="1:9" x14ac:dyDescent="0.3">
      <c r="A1976" s="5">
        <v>44503</v>
      </c>
      <c r="B1976">
        <v>47.200001</v>
      </c>
      <c r="C1976">
        <v>48.650002000000001</v>
      </c>
      <c r="D1976">
        <v>46.759998000000003</v>
      </c>
      <c r="E1976">
        <v>47.43</v>
      </c>
      <c r="F1976">
        <v>46.358879000000002</v>
      </c>
      <c r="G1976">
        <v>6552200</v>
      </c>
      <c r="I1976">
        <f t="shared" si="31"/>
        <v>9.0170415056791114E-4</v>
      </c>
    </row>
    <row r="1977" spans="1:9" x14ac:dyDescent="0.3">
      <c r="A1977" s="5">
        <v>44504</v>
      </c>
      <c r="B1977">
        <v>47.5</v>
      </c>
      <c r="C1977">
        <v>47.619999</v>
      </c>
      <c r="D1977">
        <v>45.290000999999997</v>
      </c>
      <c r="E1977">
        <v>46.369999</v>
      </c>
      <c r="F1977">
        <v>45.322819000000003</v>
      </c>
      <c r="G1977">
        <v>11378800</v>
      </c>
      <c r="I1977">
        <f t="shared" si="31"/>
        <v>1.1898990889310287E-3</v>
      </c>
    </row>
    <row r="1978" spans="1:9" x14ac:dyDescent="0.3">
      <c r="A1978" s="5">
        <v>44505</v>
      </c>
      <c r="B1978">
        <v>46</v>
      </c>
      <c r="C1978">
        <v>48.099997999999999</v>
      </c>
      <c r="D1978">
        <v>46</v>
      </c>
      <c r="E1978">
        <v>47.860000999999997</v>
      </c>
      <c r="F1978">
        <v>46.779170999999998</v>
      </c>
      <c r="G1978">
        <v>8317000</v>
      </c>
      <c r="I1978">
        <f t="shared" si="31"/>
        <v>2.2329441221085824E-4</v>
      </c>
    </row>
    <row r="1979" spans="1:9" x14ac:dyDescent="0.3">
      <c r="A1979" s="5">
        <v>44508</v>
      </c>
      <c r="B1979">
        <v>49.200001</v>
      </c>
      <c r="C1979">
        <v>50.619999</v>
      </c>
      <c r="D1979">
        <v>48.16</v>
      </c>
      <c r="E1979">
        <v>48.860000999999997</v>
      </c>
      <c r="F1979">
        <v>47.75658</v>
      </c>
      <c r="G1979">
        <v>10550300</v>
      </c>
      <c r="I1979">
        <f t="shared" si="31"/>
        <v>1.3151887954295279E-3</v>
      </c>
    </row>
    <row r="1980" spans="1:9" x14ac:dyDescent="0.3">
      <c r="A1980" s="5">
        <v>44509</v>
      </c>
      <c r="B1980">
        <v>48.720001000000003</v>
      </c>
      <c r="C1980">
        <v>49.16</v>
      </c>
      <c r="D1980">
        <v>46.75</v>
      </c>
      <c r="E1980">
        <v>47.240001999999997</v>
      </c>
      <c r="F1980">
        <v>46.173172000000001</v>
      </c>
      <c r="G1980">
        <v>7051500</v>
      </c>
      <c r="I1980">
        <f t="shared" si="31"/>
        <v>7.8854970131834469E-4</v>
      </c>
    </row>
    <row r="1981" spans="1:9" x14ac:dyDescent="0.3">
      <c r="A1981" s="5">
        <v>44510</v>
      </c>
      <c r="B1981">
        <v>47.009998000000003</v>
      </c>
      <c r="C1981">
        <v>47.689999</v>
      </c>
      <c r="D1981">
        <v>45.599997999999999</v>
      </c>
      <c r="E1981">
        <v>46.169998</v>
      </c>
      <c r="F1981">
        <v>45.127335000000002</v>
      </c>
      <c r="G1981">
        <v>5964800</v>
      </c>
      <c r="I1981">
        <f t="shared" si="31"/>
        <v>8.4348625484941843E-4</v>
      </c>
    </row>
    <row r="1982" spans="1:9" x14ac:dyDescent="0.3">
      <c r="A1982" s="5">
        <v>44511</v>
      </c>
      <c r="B1982">
        <v>48.52</v>
      </c>
      <c r="C1982">
        <v>51.709999000000003</v>
      </c>
      <c r="D1982">
        <v>48.400002000000001</v>
      </c>
      <c r="E1982">
        <v>51.209999000000003</v>
      </c>
      <c r="F1982">
        <v>50.053508999999998</v>
      </c>
      <c r="G1982">
        <v>14257300</v>
      </c>
      <c r="I1982">
        <f t="shared" si="31"/>
        <v>7.5843596465488799E-4</v>
      </c>
    </row>
    <row r="1983" spans="1:9" x14ac:dyDescent="0.3">
      <c r="A1983" s="5">
        <v>44512</v>
      </c>
      <c r="B1983">
        <v>50.73</v>
      </c>
      <c r="C1983">
        <v>52.860000999999997</v>
      </c>
      <c r="D1983">
        <v>50.349997999999999</v>
      </c>
      <c r="E1983">
        <v>51.919998</v>
      </c>
      <c r="F1983">
        <v>50.747475000000001</v>
      </c>
      <c r="G1983">
        <v>9310600</v>
      </c>
      <c r="I1983">
        <f t="shared" si="31"/>
        <v>9.6885223215394372E-4</v>
      </c>
    </row>
    <row r="1984" spans="1:9" x14ac:dyDescent="0.3">
      <c r="A1984" s="5">
        <v>44515</v>
      </c>
      <c r="B1984">
        <v>50.990001999999997</v>
      </c>
      <c r="C1984">
        <v>51</v>
      </c>
      <c r="D1984">
        <v>49.439999</v>
      </c>
      <c r="E1984">
        <v>50.630001</v>
      </c>
      <c r="F1984">
        <v>49.486609999999999</v>
      </c>
      <c r="G1984">
        <v>6352100</v>
      </c>
      <c r="I1984">
        <f t="shared" si="31"/>
        <v>7.3565027594646448E-4</v>
      </c>
    </row>
    <row r="1985" spans="1:9" x14ac:dyDescent="0.3">
      <c r="A1985" s="5">
        <v>44516</v>
      </c>
      <c r="B1985">
        <v>49.860000999999997</v>
      </c>
      <c r="C1985">
        <v>50</v>
      </c>
      <c r="D1985">
        <v>47.959999000000003</v>
      </c>
      <c r="E1985">
        <v>48.200001</v>
      </c>
      <c r="F1985">
        <v>47.111488000000001</v>
      </c>
      <c r="G1985">
        <v>8759700</v>
      </c>
      <c r="I1985">
        <f t="shared" si="31"/>
        <v>2.9674009124548077E-4</v>
      </c>
    </row>
    <row r="1986" spans="1:9" x14ac:dyDescent="0.3">
      <c r="A1986" s="5">
        <v>44517</v>
      </c>
      <c r="B1986">
        <v>48.91</v>
      </c>
      <c r="C1986">
        <v>50</v>
      </c>
      <c r="D1986">
        <v>47.619999</v>
      </c>
      <c r="E1986">
        <v>47.919998</v>
      </c>
      <c r="F1986">
        <v>46.837811000000002</v>
      </c>
      <c r="G1986">
        <v>5365600</v>
      </c>
      <c r="I1986">
        <f t="shared" si="31"/>
        <v>1.1043906302562378E-3</v>
      </c>
    </row>
    <row r="1987" spans="1:9" x14ac:dyDescent="0.3">
      <c r="A1987" s="5">
        <v>44518</v>
      </c>
      <c r="B1987">
        <v>47.549999</v>
      </c>
      <c r="C1987">
        <v>47.830002</v>
      </c>
      <c r="D1987">
        <v>46.490001999999997</v>
      </c>
      <c r="E1987">
        <v>47.700001</v>
      </c>
      <c r="F1987">
        <v>46.622784000000003</v>
      </c>
      <c r="G1987">
        <v>4351900</v>
      </c>
      <c r="I1987">
        <f t="shared" si="31"/>
        <v>5.9524115523851371E-4</v>
      </c>
    </row>
    <row r="1988" spans="1:9" x14ac:dyDescent="0.3">
      <c r="A1988" s="5">
        <v>44519</v>
      </c>
      <c r="B1988">
        <v>47.310001</v>
      </c>
      <c r="C1988">
        <v>48.080002</v>
      </c>
      <c r="D1988">
        <v>46.689999</v>
      </c>
      <c r="E1988">
        <v>47.599997999999999</v>
      </c>
      <c r="F1988">
        <v>46.525032000000003</v>
      </c>
      <c r="G1988">
        <v>5641400</v>
      </c>
      <c r="I1988">
        <f t="shared" si="31"/>
        <v>4.166251664887026E-4</v>
      </c>
    </row>
    <row r="1989" spans="1:9" x14ac:dyDescent="0.3">
      <c r="A1989" s="5">
        <v>44522</v>
      </c>
      <c r="B1989">
        <v>47.799999</v>
      </c>
      <c r="C1989">
        <v>49.700001</v>
      </c>
      <c r="D1989">
        <v>47.299999</v>
      </c>
      <c r="E1989">
        <v>48.509998000000003</v>
      </c>
      <c r="F1989">
        <v>47.414490000000001</v>
      </c>
      <c r="G1989">
        <v>6376900</v>
      </c>
      <c r="I1989">
        <f t="shared" si="31"/>
        <v>1.2102793097386589E-3</v>
      </c>
    </row>
    <row r="1990" spans="1:9" x14ac:dyDescent="0.3">
      <c r="A1990" s="5">
        <v>44523</v>
      </c>
      <c r="B1990">
        <v>49.16</v>
      </c>
      <c r="C1990">
        <v>50.209999000000003</v>
      </c>
      <c r="D1990">
        <v>48.450001</v>
      </c>
      <c r="E1990">
        <v>49.02</v>
      </c>
      <c r="F1990">
        <v>47.912970999999999</v>
      </c>
      <c r="G1990">
        <v>4875500</v>
      </c>
      <c r="I1990">
        <f t="shared" si="31"/>
        <v>6.7706670060889223E-4</v>
      </c>
    </row>
    <row r="1991" spans="1:9" x14ac:dyDescent="0.3">
      <c r="A1991" s="5">
        <v>44524</v>
      </c>
      <c r="B1991">
        <v>48.810001</v>
      </c>
      <c r="C1991">
        <v>51.334999000000003</v>
      </c>
      <c r="D1991">
        <v>48.41</v>
      </c>
      <c r="E1991">
        <v>50.459999000000003</v>
      </c>
      <c r="F1991">
        <v>49.320445999999997</v>
      </c>
      <c r="G1991">
        <v>7137600</v>
      </c>
      <c r="I1991">
        <f t="shared" si="31"/>
        <v>1.2084004757993347E-3</v>
      </c>
    </row>
    <row r="1992" spans="1:9" x14ac:dyDescent="0.3">
      <c r="A1992" s="5">
        <v>44526</v>
      </c>
      <c r="B1992">
        <v>47.740001999999997</v>
      </c>
      <c r="C1992">
        <v>48.139999000000003</v>
      </c>
      <c r="D1992">
        <v>45.82</v>
      </c>
      <c r="E1992">
        <v>47.950001</v>
      </c>
      <c r="F1992">
        <v>46.867134</v>
      </c>
      <c r="G1992">
        <v>7291200</v>
      </c>
      <c r="I1992">
        <f t="shared" si="31"/>
        <v>1.8981858749127975E-3</v>
      </c>
    </row>
    <row r="1993" spans="1:9" x14ac:dyDescent="0.3">
      <c r="A1993" s="5">
        <v>44529</v>
      </c>
      <c r="B1993">
        <v>49.220001000000003</v>
      </c>
      <c r="C1993">
        <v>49.935001</v>
      </c>
      <c r="D1993">
        <v>47.778998999999999</v>
      </c>
      <c r="E1993">
        <v>49.139999000000003</v>
      </c>
      <c r="F1993">
        <v>48.030262</v>
      </c>
      <c r="G1993">
        <v>6546700</v>
      </c>
      <c r="I1993">
        <f t="shared" si="31"/>
        <v>1.0660362921725704E-3</v>
      </c>
    </row>
    <row r="1994" spans="1:9" x14ac:dyDescent="0.3">
      <c r="A1994" s="5">
        <v>44530</v>
      </c>
      <c r="B1994">
        <v>48.779998999999997</v>
      </c>
      <c r="C1994">
        <v>49.380001</v>
      </c>
      <c r="D1994">
        <v>45.560001</v>
      </c>
      <c r="E1994">
        <v>46.529998999999997</v>
      </c>
      <c r="F1994">
        <v>45.479205999999998</v>
      </c>
      <c r="G1994">
        <v>9644900</v>
      </c>
      <c r="I1994">
        <f t="shared" si="31"/>
        <v>2.1654384325469436E-3</v>
      </c>
    </row>
    <row r="1995" spans="1:9" x14ac:dyDescent="0.3">
      <c r="A1995" s="5">
        <v>44531</v>
      </c>
      <c r="B1995">
        <v>47.889999000000003</v>
      </c>
      <c r="C1995">
        <v>48.049999</v>
      </c>
      <c r="D1995">
        <v>43.75</v>
      </c>
      <c r="E1995">
        <v>43.779998999999997</v>
      </c>
      <c r="F1995">
        <v>42.791305999999999</v>
      </c>
      <c r="G1995">
        <v>15215300</v>
      </c>
      <c r="I1995">
        <f t="shared" si="31"/>
        <v>3.7238671903920475E-4</v>
      </c>
    </row>
    <row r="1996" spans="1:9" x14ac:dyDescent="0.3">
      <c r="A1996" s="5">
        <v>44532</v>
      </c>
      <c r="B1996">
        <v>44.435001</v>
      </c>
      <c r="C1996">
        <v>45.290000999999997</v>
      </c>
      <c r="D1996">
        <v>43.82</v>
      </c>
      <c r="E1996">
        <v>44.82</v>
      </c>
      <c r="F1996">
        <v>43.807822999999999</v>
      </c>
      <c r="G1996">
        <v>5522500</v>
      </c>
      <c r="I1996">
        <f t="shared" ref="I1996:I2059" si="32">LN(C1996/B1996)*(LN(C1996/B1996)-LN(E1996/B1996))+LN(D1996/B1996)*(LN(D1996/B1996)-LN(E1996/B1996))</f>
        <v>5.1329730505041073E-4</v>
      </c>
    </row>
    <row r="1997" spans="1:9" x14ac:dyDescent="0.3">
      <c r="A1997" s="5">
        <v>44533</v>
      </c>
      <c r="B1997">
        <v>44.759998000000003</v>
      </c>
      <c r="C1997">
        <v>44.919998</v>
      </c>
      <c r="D1997">
        <v>43.259998000000003</v>
      </c>
      <c r="E1997">
        <v>44.07</v>
      </c>
      <c r="F1997">
        <v>43.074759999999998</v>
      </c>
      <c r="G1997">
        <v>5930800</v>
      </c>
      <c r="I1997">
        <f t="shared" si="32"/>
        <v>7.0050184146391891E-4</v>
      </c>
    </row>
    <row r="1998" spans="1:9" x14ac:dyDescent="0.3">
      <c r="A1998" s="5">
        <v>44536</v>
      </c>
      <c r="B1998">
        <v>44.919998</v>
      </c>
      <c r="C1998">
        <v>46.737999000000002</v>
      </c>
      <c r="D1998">
        <v>44.130001</v>
      </c>
      <c r="E1998">
        <v>45.560001</v>
      </c>
      <c r="F1998">
        <v>44.531104999999997</v>
      </c>
      <c r="G1998">
        <v>7116500</v>
      </c>
      <c r="I1998">
        <f t="shared" si="32"/>
        <v>1.578620839370773E-3</v>
      </c>
    </row>
    <row r="1999" spans="1:9" x14ac:dyDescent="0.3">
      <c r="A1999" s="5">
        <v>44537</v>
      </c>
      <c r="B1999">
        <v>47.07</v>
      </c>
      <c r="C1999">
        <v>48.049999</v>
      </c>
      <c r="D1999">
        <v>46.73</v>
      </c>
      <c r="E1999">
        <v>46.939999</v>
      </c>
      <c r="F1999">
        <v>45.879947999999999</v>
      </c>
      <c r="G1999">
        <v>5637700</v>
      </c>
      <c r="I1999">
        <f t="shared" si="32"/>
        <v>5.1411375870432253E-4</v>
      </c>
    </row>
    <row r="2000" spans="1:9" x14ac:dyDescent="0.3">
      <c r="A2000" s="5">
        <v>44538</v>
      </c>
      <c r="B2000">
        <v>47.07</v>
      </c>
      <c r="C2000">
        <v>48.735000999999997</v>
      </c>
      <c r="D2000">
        <v>46.98</v>
      </c>
      <c r="E2000">
        <v>48.560001</v>
      </c>
      <c r="F2000">
        <v>47.463360000000002</v>
      </c>
      <c r="G2000">
        <v>5594700</v>
      </c>
      <c r="I2000">
        <f t="shared" si="32"/>
        <v>1.8835592355062846E-4</v>
      </c>
    </row>
    <row r="2001" spans="1:9" x14ac:dyDescent="0.3">
      <c r="A2001" s="5">
        <v>44539</v>
      </c>
      <c r="B2001">
        <v>47.799999</v>
      </c>
      <c r="C2001">
        <v>50.98</v>
      </c>
      <c r="D2001">
        <v>47.349997999999999</v>
      </c>
      <c r="E2001">
        <v>49.98</v>
      </c>
      <c r="F2001">
        <v>48.851295</v>
      </c>
      <c r="G2001">
        <v>8732000</v>
      </c>
      <c r="I2001">
        <f t="shared" si="32"/>
        <v>1.7872571479345561E-3</v>
      </c>
    </row>
    <row r="2002" spans="1:9" x14ac:dyDescent="0.3">
      <c r="A2002" s="5">
        <v>44540</v>
      </c>
      <c r="B2002">
        <v>49.970001000000003</v>
      </c>
      <c r="C2002">
        <v>50.150002000000001</v>
      </c>
      <c r="D2002">
        <v>47.84</v>
      </c>
      <c r="E2002">
        <v>48.799999</v>
      </c>
      <c r="F2002">
        <v>47.697937000000003</v>
      </c>
      <c r="G2002">
        <v>5525400</v>
      </c>
      <c r="I2002">
        <f t="shared" si="32"/>
        <v>9.6359330383672618E-4</v>
      </c>
    </row>
    <row r="2003" spans="1:9" x14ac:dyDescent="0.3">
      <c r="A2003" s="5">
        <v>44543</v>
      </c>
      <c r="B2003">
        <v>49.220001000000003</v>
      </c>
      <c r="C2003">
        <v>50.049999</v>
      </c>
      <c r="D2003">
        <v>47.200001</v>
      </c>
      <c r="E2003">
        <v>47.779998999999997</v>
      </c>
      <c r="F2003">
        <v>46.700977000000002</v>
      </c>
      <c r="G2003">
        <v>4950900</v>
      </c>
      <c r="I2003">
        <f t="shared" si="32"/>
        <v>1.2879857589708505E-3</v>
      </c>
    </row>
    <row r="2004" spans="1:9" x14ac:dyDescent="0.3">
      <c r="A2004" s="5">
        <v>44544</v>
      </c>
      <c r="B2004">
        <v>48.959999000000003</v>
      </c>
      <c r="C2004">
        <v>51.080002</v>
      </c>
      <c r="D2004">
        <v>48.41</v>
      </c>
      <c r="E2004">
        <v>50.459999000000003</v>
      </c>
      <c r="F2004">
        <v>49.320445999999997</v>
      </c>
      <c r="G2004">
        <v>14668200</v>
      </c>
      <c r="I2004">
        <f t="shared" si="32"/>
        <v>9.8621273696503455E-4</v>
      </c>
    </row>
    <row r="2005" spans="1:9" x14ac:dyDescent="0.3">
      <c r="A2005" s="5">
        <v>44545</v>
      </c>
      <c r="B2005">
        <v>49.509998000000003</v>
      </c>
      <c r="C2005">
        <v>51.009998000000003</v>
      </c>
      <c r="D2005">
        <v>48.044998</v>
      </c>
      <c r="E2005">
        <v>50.970001000000003</v>
      </c>
      <c r="F2005">
        <v>49.818931999999997</v>
      </c>
      <c r="G2005">
        <v>9047600</v>
      </c>
      <c r="I2005">
        <f t="shared" si="32"/>
        <v>1.7985516476389767E-3</v>
      </c>
    </row>
    <row r="2006" spans="1:9" x14ac:dyDescent="0.3">
      <c r="A2006" s="5">
        <v>44546</v>
      </c>
      <c r="B2006">
        <v>52</v>
      </c>
      <c r="C2006">
        <v>54.150002000000001</v>
      </c>
      <c r="D2006">
        <v>51.98</v>
      </c>
      <c r="E2006">
        <v>52.59</v>
      </c>
      <c r="F2006">
        <v>51.402343999999999</v>
      </c>
      <c r="G2006">
        <v>12482600</v>
      </c>
      <c r="I2006">
        <f t="shared" si="32"/>
        <v>1.1888028556708377E-3</v>
      </c>
    </row>
    <row r="2007" spans="1:9" x14ac:dyDescent="0.3">
      <c r="A2007" s="5">
        <v>44547</v>
      </c>
      <c r="B2007">
        <v>52.259998000000003</v>
      </c>
      <c r="C2007">
        <v>53.779998999999997</v>
      </c>
      <c r="D2007">
        <v>50.881000999999998</v>
      </c>
      <c r="E2007">
        <v>53.73</v>
      </c>
      <c r="F2007">
        <v>52.516601999999999</v>
      </c>
      <c r="G2007">
        <v>31780900</v>
      </c>
      <c r="I2007">
        <f t="shared" si="32"/>
        <v>1.4836022327093374E-3</v>
      </c>
    </row>
    <row r="2008" spans="1:9" x14ac:dyDescent="0.3">
      <c r="A2008" s="5">
        <v>44550</v>
      </c>
      <c r="B2008">
        <v>51.889999000000003</v>
      </c>
      <c r="C2008">
        <v>53.354999999999997</v>
      </c>
      <c r="D2008">
        <v>51.360000999999997</v>
      </c>
      <c r="E2008">
        <v>53.110000999999997</v>
      </c>
      <c r="F2008">
        <v>51.910606000000001</v>
      </c>
      <c r="G2008">
        <v>8394500</v>
      </c>
      <c r="I2008">
        <f t="shared" si="32"/>
        <v>4.7212087797669875E-4</v>
      </c>
    </row>
    <row r="2009" spans="1:9" x14ac:dyDescent="0.3">
      <c r="A2009" s="5">
        <v>44551</v>
      </c>
      <c r="B2009">
        <v>53.799999</v>
      </c>
      <c r="C2009">
        <v>57.240001999999997</v>
      </c>
      <c r="D2009">
        <v>53.75</v>
      </c>
      <c r="E2009">
        <v>56.790000999999997</v>
      </c>
      <c r="F2009">
        <v>55.5075</v>
      </c>
      <c r="G2009">
        <v>10784100</v>
      </c>
      <c r="I2009">
        <f t="shared" si="32"/>
        <v>5.4034047241285433E-4</v>
      </c>
    </row>
    <row r="2010" spans="1:9" x14ac:dyDescent="0.3">
      <c r="A2010" s="5">
        <v>44552</v>
      </c>
      <c r="B2010">
        <v>56.93</v>
      </c>
      <c r="C2010">
        <v>60.554001</v>
      </c>
      <c r="D2010">
        <v>56.669998</v>
      </c>
      <c r="E2010">
        <v>59.310001</v>
      </c>
      <c r="F2010">
        <v>57.970592000000003</v>
      </c>
      <c r="G2010">
        <v>10594800</v>
      </c>
      <c r="I2010">
        <f t="shared" si="32"/>
        <v>1.4894437751189029E-3</v>
      </c>
    </row>
    <row r="2011" spans="1:9" x14ac:dyDescent="0.3">
      <c r="A2011" s="5">
        <v>44553</v>
      </c>
      <c r="B2011">
        <v>59</v>
      </c>
      <c r="C2011">
        <v>60.59</v>
      </c>
      <c r="D2011">
        <v>58.459999000000003</v>
      </c>
      <c r="E2011">
        <v>59.360000999999997</v>
      </c>
      <c r="F2011">
        <v>58.019463000000002</v>
      </c>
      <c r="G2011">
        <v>7516400</v>
      </c>
      <c r="I2011">
        <f t="shared" si="32"/>
        <v>6.8586597767880371E-4</v>
      </c>
    </row>
    <row r="2012" spans="1:9" x14ac:dyDescent="0.3">
      <c r="A2012" s="5">
        <v>44557</v>
      </c>
      <c r="B2012">
        <v>58.369999</v>
      </c>
      <c r="C2012">
        <v>59.860000999999997</v>
      </c>
      <c r="D2012">
        <v>57.23</v>
      </c>
      <c r="E2012">
        <v>59.830002</v>
      </c>
      <c r="F2012">
        <v>58.478847999999999</v>
      </c>
      <c r="G2012">
        <v>6268000</v>
      </c>
      <c r="I2012">
        <f t="shared" si="32"/>
        <v>8.8894450871371614E-4</v>
      </c>
    </row>
    <row r="2013" spans="1:9" x14ac:dyDescent="0.3">
      <c r="A2013" s="5">
        <v>44558</v>
      </c>
      <c r="B2013">
        <v>59.279998999999997</v>
      </c>
      <c r="C2013">
        <v>59.560001</v>
      </c>
      <c r="D2013">
        <v>58.509998000000003</v>
      </c>
      <c r="E2013">
        <v>59.189999</v>
      </c>
      <c r="F2013">
        <v>57.853298000000002</v>
      </c>
      <c r="G2013">
        <v>6000000</v>
      </c>
      <c r="I2013">
        <f t="shared" si="32"/>
        <v>1.8043812374791374E-4</v>
      </c>
    </row>
    <row r="2014" spans="1:9" x14ac:dyDescent="0.3">
      <c r="A2014" s="5">
        <v>44559</v>
      </c>
      <c r="B2014">
        <v>59.130001</v>
      </c>
      <c r="C2014">
        <v>60.119999</v>
      </c>
      <c r="D2014">
        <v>58.669998</v>
      </c>
      <c r="E2014">
        <v>59.630001</v>
      </c>
      <c r="F2014">
        <v>58.283360000000002</v>
      </c>
      <c r="G2014">
        <v>4022700</v>
      </c>
      <c r="I2014">
        <f t="shared" si="32"/>
        <v>2.6264149741828981E-4</v>
      </c>
    </row>
    <row r="2015" spans="1:9" x14ac:dyDescent="0.3">
      <c r="A2015" s="5">
        <v>44560</v>
      </c>
      <c r="B2015">
        <v>59.68</v>
      </c>
      <c r="C2015">
        <v>61.59</v>
      </c>
      <c r="D2015">
        <v>59.139999000000003</v>
      </c>
      <c r="E2015">
        <v>59.209999000000003</v>
      </c>
      <c r="F2015">
        <v>57.872844999999998</v>
      </c>
      <c r="G2015">
        <v>4507500</v>
      </c>
      <c r="I2015">
        <f t="shared" si="32"/>
        <v>1.2522395860037057E-3</v>
      </c>
    </row>
    <row r="2016" spans="1:9" x14ac:dyDescent="0.3">
      <c r="A2016" s="5">
        <v>44561</v>
      </c>
      <c r="B2016">
        <v>59.16</v>
      </c>
      <c r="C2016">
        <v>60.044998</v>
      </c>
      <c r="D2016">
        <v>58.700001</v>
      </c>
      <c r="E2016">
        <v>59.580002</v>
      </c>
      <c r="F2016">
        <v>58.234501000000002</v>
      </c>
      <c r="G2016">
        <v>3944000</v>
      </c>
      <c r="I2016">
        <f t="shared" si="32"/>
        <v>2.3159060987510907E-4</v>
      </c>
    </row>
    <row r="2017" spans="1:9" x14ac:dyDescent="0.3">
      <c r="A2017" s="5">
        <v>44564</v>
      </c>
      <c r="B2017">
        <v>60.240001999999997</v>
      </c>
      <c r="C2017">
        <v>62.610000999999997</v>
      </c>
      <c r="D2017">
        <v>60.09</v>
      </c>
      <c r="E2017">
        <v>60.360000999999997</v>
      </c>
      <c r="F2017">
        <v>58.996887000000001</v>
      </c>
      <c r="G2017">
        <v>6206700</v>
      </c>
      <c r="I2017">
        <f t="shared" si="32"/>
        <v>1.4234505220873659E-3</v>
      </c>
    </row>
    <row r="2018" spans="1:9" x14ac:dyDescent="0.3">
      <c r="A2018" s="5">
        <v>44565</v>
      </c>
      <c r="B2018">
        <v>60.68</v>
      </c>
      <c r="C2018">
        <v>61.150002000000001</v>
      </c>
      <c r="D2018">
        <v>57.209999000000003</v>
      </c>
      <c r="E2018">
        <v>57.529998999999997</v>
      </c>
      <c r="F2018">
        <v>56.230792999999998</v>
      </c>
      <c r="G2018">
        <v>7980700</v>
      </c>
      <c r="I2018">
        <f t="shared" si="32"/>
        <v>7.9929426525160723E-4</v>
      </c>
    </row>
    <row r="2019" spans="1:9" x14ac:dyDescent="0.3">
      <c r="A2019" s="5">
        <v>44566</v>
      </c>
      <c r="B2019">
        <v>58.950001</v>
      </c>
      <c r="C2019">
        <v>61.790000999999997</v>
      </c>
      <c r="D2019">
        <v>58.445</v>
      </c>
      <c r="E2019">
        <v>58.549999</v>
      </c>
      <c r="F2019">
        <v>57.227753</v>
      </c>
      <c r="G2019">
        <v>7599800</v>
      </c>
      <c r="I2019">
        <f t="shared" si="32"/>
        <v>2.5496813377512612E-3</v>
      </c>
    </row>
    <row r="2020" spans="1:9" x14ac:dyDescent="0.3">
      <c r="A2020" s="5">
        <v>44567</v>
      </c>
      <c r="B2020">
        <v>58.939999</v>
      </c>
      <c r="C2020">
        <v>59.491000999999997</v>
      </c>
      <c r="D2020">
        <v>57.25</v>
      </c>
      <c r="E2020">
        <v>58.450001</v>
      </c>
      <c r="F2020">
        <v>57.130012999999998</v>
      </c>
      <c r="G2020">
        <v>4363100</v>
      </c>
      <c r="I2020">
        <f t="shared" si="32"/>
        <v>7.677590212905775E-4</v>
      </c>
    </row>
    <row r="2021" spans="1:9" x14ac:dyDescent="0.3">
      <c r="A2021" s="5">
        <v>44568</v>
      </c>
      <c r="B2021">
        <v>60.139999000000003</v>
      </c>
      <c r="C2021">
        <v>62.889999000000003</v>
      </c>
      <c r="D2021">
        <v>59.650002000000001</v>
      </c>
      <c r="E2021">
        <v>62.369999</v>
      </c>
      <c r="F2021">
        <v>60.961483000000001</v>
      </c>
      <c r="G2021">
        <v>8071300</v>
      </c>
      <c r="I2021">
        <f t="shared" si="32"/>
        <v>7.3602516954473661E-4</v>
      </c>
    </row>
    <row r="2022" spans="1:9" x14ac:dyDescent="0.3">
      <c r="A2022" s="5">
        <v>44571</v>
      </c>
      <c r="B2022">
        <v>61.619999</v>
      </c>
      <c r="C2022">
        <v>62.709999000000003</v>
      </c>
      <c r="D2022">
        <v>60.441001999999997</v>
      </c>
      <c r="E2022">
        <v>61.540000999999997</v>
      </c>
      <c r="F2022">
        <v>60.150233999999998</v>
      </c>
      <c r="G2022">
        <v>5653500</v>
      </c>
      <c r="I2022">
        <f t="shared" si="32"/>
        <v>6.7835282396008366E-4</v>
      </c>
    </row>
    <row r="2023" spans="1:9" x14ac:dyDescent="0.3">
      <c r="A2023" s="5">
        <v>44572</v>
      </c>
      <c r="B2023">
        <v>60.709999000000003</v>
      </c>
      <c r="C2023">
        <v>62.25</v>
      </c>
      <c r="D2023">
        <v>59.119999</v>
      </c>
      <c r="E2023">
        <v>62.200001</v>
      </c>
      <c r="F2023">
        <v>60.795321999999999</v>
      </c>
      <c r="G2023">
        <v>6003600</v>
      </c>
      <c r="I2023">
        <f t="shared" si="32"/>
        <v>1.3679392111187506E-3</v>
      </c>
    </row>
    <row r="2024" spans="1:9" x14ac:dyDescent="0.3">
      <c r="A2024" s="5">
        <v>44573</v>
      </c>
      <c r="B2024">
        <v>63.66</v>
      </c>
      <c r="C2024">
        <v>64.370002999999997</v>
      </c>
      <c r="D2024">
        <v>60.860000999999997</v>
      </c>
      <c r="E2024">
        <v>61.880001</v>
      </c>
      <c r="F2024">
        <v>60.482548000000001</v>
      </c>
      <c r="G2024">
        <v>6435000</v>
      </c>
      <c r="I2024">
        <f t="shared" si="32"/>
        <v>1.1851714367280394E-3</v>
      </c>
    </row>
    <row r="2025" spans="1:9" x14ac:dyDescent="0.3">
      <c r="A2025" s="5">
        <v>44574</v>
      </c>
      <c r="B2025">
        <v>61.75</v>
      </c>
      <c r="C2025">
        <v>63.259998000000003</v>
      </c>
      <c r="D2025">
        <v>60.369999</v>
      </c>
      <c r="E2025">
        <v>60.509998000000003</v>
      </c>
      <c r="F2025">
        <v>59.143481999999999</v>
      </c>
      <c r="G2025">
        <v>5769800</v>
      </c>
      <c r="I2025">
        <f t="shared" si="32"/>
        <v>1.1260989674976931E-3</v>
      </c>
    </row>
    <row r="2026" spans="1:9" x14ac:dyDescent="0.3">
      <c r="A2026" s="5">
        <v>44575</v>
      </c>
      <c r="B2026">
        <v>60.27</v>
      </c>
      <c r="C2026">
        <v>61.439999</v>
      </c>
      <c r="D2026">
        <v>59.34</v>
      </c>
      <c r="E2026">
        <v>61.389999000000003</v>
      </c>
      <c r="F2026">
        <v>60.003613000000001</v>
      </c>
      <c r="G2026">
        <v>4397100</v>
      </c>
      <c r="I2026">
        <f t="shared" si="32"/>
        <v>5.4381167250598422E-4</v>
      </c>
    </row>
    <row r="2027" spans="1:9" x14ac:dyDescent="0.3">
      <c r="A2027" s="5">
        <v>44579</v>
      </c>
      <c r="B2027">
        <v>60.5</v>
      </c>
      <c r="C2027">
        <v>61.560001</v>
      </c>
      <c r="D2027">
        <v>58.799999</v>
      </c>
      <c r="E2027">
        <v>60.049999</v>
      </c>
      <c r="F2027">
        <v>58.693877999999998</v>
      </c>
      <c r="G2027">
        <v>5991100</v>
      </c>
      <c r="I2027">
        <f t="shared" si="32"/>
        <v>1.0309039393159318E-3</v>
      </c>
    </row>
    <row r="2028" spans="1:9" x14ac:dyDescent="0.3">
      <c r="A2028" s="5">
        <v>44580</v>
      </c>
      <c r="B2028">
        <v>61.389999000000003</v>
      </c>
      <c r="C2028">
        <v>61.93</v>
      </c>
      <c r="D2028">
        <v>58.884998000000003</v>
      </c>
      <c r="E2028">
        <v>59.630001</v>
      </c>
      <c r="F2028">
        <v>58.283360000000002</v>
      </c>
      <c r="G2028">
        <v>7851100</v>
      </c>
      <c r="I2028">
        <f t="shared" si="32"/>
        <v>8.5522207805827088E-4</v>
      </c>
    </row>
    <row r="2029" spans="1:9" x14ac:dyDescent="0.3">
      <c r="A2029" s="5">
        <v>44581</v>
      </c>
      <c r="B2029">
        <v>62.099997999999999</v>
      </c>
      <c r="C2029">
        <v>64.25</v>
      </c>
      <c r="D2029">
        <v>59.970001000000003</v>
      </c>
      <c r="E2029">
        <v>61.25</v>
      </c>
      <c r="F2029">
        <v>59.866782999999998</v>
      </c>
      <c r="G2029">
        <v>15926000</v>
      </c>
      <c r="I2029">
        <f t="shared" si="32"/>
        <v>2.3646166770829699E-3</v>
      </c>
    </row>
    <row r="2030" spans="1:9" x14ac:dyDescent="0.3">
      <c r="A2030" s="5">
        <v>44582</v>
      </c>
      <c r="B2030">
        <v>60.02</v>
      </c>
      <c r="C2030">
        <v>60.150002000000001</v>
      </c>
      <c r="D2030">
        <v>56.040000999999997</v>
      </c>
      <c r="E2030">
        <v>56.209999000000003</v>
      </c>
      <c r="F2030">
        <v>54.940593999999997</v>
      </c>
      <c r="G2030">
        <v>11025000</v>
      </c>
      <c r="I2030">
        <f t="shared" si="32"/>
        <v>3.5439998572543534E-4</v>
      </c>
    </row>
    <row r="2031" spans="1:9" x14ac:dyDescent="0.3">
      <c r="A2031" s="5">
        <v>44585</v>
      </c>
      <c r="B2031">
        <v>53.810001</v>
      </c>
      <c r="C2031">
        <v>58.200001</v>
      </c>
      <c r="D2031">
        <v>53.259998000000003</v>
      </c>
      <c r="E2031">
        <v>58.02</v>
      </c>
      <c r="F2031">
        <v>56.709721000000002</v>
      </c>
      <c r="G2031">
        <v>9203100</v>
      </c>
      <c r="I2031">
        <f t="shared" si="32"/>
        <v>1.1223921254377659E-3</v>
      </c>
    </row>
    <row r="2032" spans="1:9" x14ac:dyDescent="0.3">
      <c r="A2032" s="5">
        <v>44586</v>
      </c>
      <c r="B2032">
        <v>57.509998000000003</v>
      </c>
      <c r="C2032">
        <v>61.599997999999999</v>
      </c>
      <c r="D2032">
        <v>56.761001999999998</v>
      </c>
      <c r="E2032">
        <v>61.209999000000003</v>
      </c>
      <c r="F2032">
        <v>59.827679000000003</v>
      </c>
      <c r="G2032">
        <v>7780600</v>
      </c>
      <c r="I2032">
        <f t="shared" si="32"/>
        <v>1.4255941322579046E-3</v>
      </c>
    </row>
    <row r="2033" spans="1:9" x14ac:dyDescent="0.3">
      <c r="A2033" s="5">
        <v>44587</v>
      </c>
      <c r="B2033">
        <v>61.540000999999997</v>
      </c>
      <c r="C2033">
        <v>63.639999000000003</v>
      </c>
      <c r="D2033">
        <v>59.880001</v>
      </c>
      <c r="E2033">
        <v>60.75</v>
      </c>
      <c r="F2033">
        <v>59.378075000000003</v>
      </c>
      <c r="G2033">
        <v>9267400</v>
      </c>
      <c r="I2033">
        <f t="shared" si="32"/>
        <v>1.9538983196874873E-3</v>
      </c>
    </row>
    <row r="2034" spans="1:9" x14ac:dyDescent="0.3">
      <c r="A2034" s="5">
        <v>44588</v>
      </c>
      <c r="B2034">
        <v>60.599997999999999</v>
      </c>
      <c r="C2034">
        <v>61.66</v>
      </c>
      <c r="D2034">
        <v>57.470001000000003</v>
      </c>
      <c r="E2034">
        <v>58.029998999999997</v>
      </c>
      <c r="F2034">
        <v>56.719493999999997</v>
      </c>
      <c r="G2034">
        <v>6441500</v>
      </c>
      <c r="I2034">
        <f t="shared" si="32"/>
        <v>1.5663938587199902E-3</v>
      </c>
    </row>
    <row r="2035" spans="1:9" x14ac:dyDescent="0.3">
      <c r="A2035" s="5">
        <v>44589</v>
      </c>
      <c r="B2035">
        <v>58</v>
      </c>
      <c r="C2035">
        <v>58.389999000000003</v>
      </c>
      <c r="D2035">
        <v>55.580002</v>
      </c>
      <c r="E2035">
        <v>57.400002000000001</v>
      </c>
      <c r="F2035">
        <v>56.103724999999997</v>
      </c>
      <c r="G2035">
        <v>6995300</v>
      </c>
      <c r="I2035">
        <f t="shared" si="32"/>
        <v>1.4878388568371026E-3</v>
      </c>
    </row>
    <row r="2036" spans="1:9" x14ac:dyDescent="0.3">
      <c r="A2036" s="5">
        <v>44592</v>
      </c>
      <c r="B2036">
        <v>56.939999</v>
      </c>
      <c r="C2036">
        <v>57.02</v>
      </c>
      <c r="D2036">
        <v>55.02</v>
      </c>
      <c r="E2036">
        <v>56.709999000000003</v>
      </c>
      <c r="F2036">
        <v>55.429305999999997</v>
      </c>
      <c r="G2036">
        <v>7206100</v>
      </c>
      <c r="I2036">
        <f t="shared" si="32"/>
        <v>1.0453986205591602E-3</v>
      </c>
    </row>
    <row r="2037" spans="1:9" x14ac:dyDescent="0.3">
      <c r="A2037" s="5">
        <v>44593</v>
      </c>
      <c r="B2037">
        <v>57.990001999999997</v>
      </c>
      <c r="C2037">
        <v>58.439999</v>
      </c>
      <c r="D2037">
        <v>56.73</v>
      </c>
      <c r="E2037">
        <v>58.169998</v>
      </c>
      <c r="F2037">
        <v>56.856335000000001</v>
      </c>
      <c r="G2037">
        <v>5939300</v>
      </c>
      <c r="I2037">
        <f t="shared" si="32"/>
        <v>5.8644433334269588E-4</v>
      </c>
    </row>
    <row r="2038" spans="1:9" x14ac:dyDescent="0.3">
      <c r="A2038" s="5">
        <v>44594</v>
      </c>
      <c r="B2038">
        <v>58.189999</v>
      </c>
      <c r="C2038">
        <v>59.584999000000003</v>
      </c>
      <c r="D2038">
        <v>57.25</v>
      </c>
      <c r="E2038">
        <v>59.209999000000003</v>
      </c>
      <c r="F2038">
        <v>57.872844999999998</v>
      </c>
      <c r="G2038">
        <v>5613800</v>
      </c>
      <c r="I2038">
        <f t="shared" si="32"/>
        <v>6.9779446897600664E-4</v>
      </c>
    </row>
    <row r="2039" spans="1:9" x14ac:dyDescent="0.3">
      <c r="A2039" s="5">
        <v>44595</v>
      </c>
      <c r="B2039">
        <v>58.900002000000001</v>
      </c>
      <c r="C2039">
        <v>63.360000999999997</v>
      </c>
      <c r="D2039">
        <v>58.330002</v>
      </c>
      <c r="E2039">
        <v>62.740001999999997</v>
      </c>
      <c r="F2039">
        <v>61.323127999999997</v>
      </c>
      <c r="G2039">
        <v>8076600</v>
      </c>
      <c r="I2039">
        <f t="shared" si="32"/>
        <v>1.4265164052754463E-3</v>
      </c>
    </row>
    <row r="2040" spans="1:9" x14ac:dyDescent="0.3">
      <c r="A2040" s="5">
        <v>44596</v>
      </c>
      <c r="B2040">
        <v>62.259998000000003</v>
      </c>
      <c r="C2040">
        <v>65.599997999999999</v>
      </c>
      <c r="D2040">
        <v>61.880001</v>
      </c>
      <c r="E2040">
        <v>64.220000999999996</v>
      </c>
      <c r="F2040">
        <v>62.769703</v>
      </c>
      <c r="G2040">
        <v>7161200</v>
      </c>
      <c r="I2040">
        <f t="shared" si="32"/>
        <v>1.3382618206463483E-3</v>
      </c>
    </row>
    <row r="2041" spans="1:9" x14ac:dyDescent="0.3">
      <c r="A2041" s="5">
        <v>44599</v>
      </c>
      <c r="B2041">
        <v>64.949996999999996</v>
      </c>
      <c r="C2041">
        <v>65.769997000000004</v>
      </c>
      <c r="D2041">
        <v>63.02</v>
      </c>
      <c r="E2041">
        <v>63.75</v>
      </c>
      <c r="F2041">
        <v>62.310321999999999</v>
      </c>
      <c r="G2041">
        <v>5021900</v>
      </c>
      <c r="I2041">
        <f t="shared" si="32"/>
        <v>7.3878739247863583E-4</v>
      </c>
    </row>
    <row r="2042" spans="1:9" x14ac:dyDescent="0.3">
      <c r="A2042" s="5">
        <v>44600</v>
      </c>
      <c r="B2042">
        <v>65.830001999999993</v>
      </c>
      <c r="C2042">
        <v>71.970000999999996</v>
      </c>
      <c r="D2042">
        <v>65.599997999999999</v>
      </c>
      <c r="E2042">
        <v>69.970000999999996</v>
      </c>
      <c r="F2042">
        <v>68.389854</v>
      </c>
      <c r="G2042">
        <v>16122900</v>
      </c>
      <c r="I2042">
        <f t="shared" si="32"/>
        <v>2.7388829347129973E-3</v>
      </c>
    </row>
    <row r="2043" spans="1:9" x14ac:dyDescent="0.3">
      <c r="A2043" s="5">
        <v>44601</v>
      </c>
      <c r="B2043">
        <v>69.519997000000004</v>
      </c>
      <c r="C2043">
        <v>72.370002999999997</v>
      </c>
      <c r="D2043">
        <v>68.970000999999996</v>
      </c>
      <c r="E2043">
        <v>71.910004000000001</v>
      </c>
      <c r="F2043">
        <v>70.286040999999997</v>
      </c>
      <c r="G2043">
        <v>10244700</v>
      </c>
      <c r="I2043">
        <f t="shared" si="32"/>
        <v>5.8775352039190415E-4</v>
      </c>
    </row>
    <row r="2044" spans="1:9" x14ac:dyDescent="0.3">
      <c r="A2044" s="5">
        <v>44602</v>
      </c>
      <c r="B2044">
        <v>70.940002000000007</v>
      </c>
      <c r="C2044">
        <v>73.720000999999996</v>
      </c>
      <c r="D2044">
        <v>70.120002999999997</v>
      </c>
      <c r="E2044">
        <v>71.169998000000007</v>
      </c>
      <c r="F2044">
        <v>69.562752000000003</v>
      </c>
      <c r="G2044">
        <v>11437700</v>
      </c>
      <c r="I2044">
        <f t="shared" si="32"/>
        <v>1.5259894288953231E-3</v>
      </c>
    </row>
    <row r="2045" spans="1:9" x14ac:dyDescent="0.3">
      <c r="A2045" s="5">
        <v>44603</v>
      </c>
      <c r="B2045">
        <v>68.959998999999996</v>
      </c>
      <c r="C2045">
        <v>74.5</v>
      </c>
      <c r="D2045">
        <v>68.731003000000001</v>
      </c>
      <c r="E2045">
        <v>73.519997000000004</v>
      </c>
      <c r="F2045">
        <v>71.859679999999997</v>
      </c>
      <c r="G2045">
        <v>9952300</v>
      </c>
      <c r="I2045">
        <f t="shared" si="32"/>
        <v>1.2472638313285238E-3</v>
      </c>
    </row>
    <row r="2046" spans="1:9" x14ac:dyDescent="0.3">
      <c r="A2046" s="5">
        <v>44606</v>
      </c>
      <c r="B2046">
        <v>74.540001000000004</v>
      </c>
      <c r="C2046">
        <v>75.230002999999996</v>
      </c>
      <c r="D2046">
        <v>71.919998000000007</v>
      </c>
      <c r="E2046">
        <v>73.860000999999997</v>
      </c>
      <c r="F2046">
        <v>72.192001000000005</v>
      </c>
      <c r="G2046">
        <v>7813300</v>
      </c>
      <c r="I2046">
        <f t="shared" si="32"/>
        <v>1.1217449810669747E-3</v>
      </c>
    </row>
    <row r="2047" spans="1:9" x14ac:dyDescent="0.3">
      <c r="A2047" s="5">
        <v>44607</v>
      </c>
      <c r="B2047">
        <v>72.449996999999996</v>
      </c>
      <c r="C2047">
        <v>74.190002000000007</v>
      </c>
      <c r="D2047">
        <v>70.559997999999993</v>
      </c>
      <c r="E2047">
        <v>74.040001000000004</v>
      </c>
      <c r="F2047">
        <v>72.367928000000006</v>
      </c>
      <c r="G2047">
        <v>6823400</v>
      </c>
      <c r="I2047">
        <f t="shared" si="32"/>
        <v>1.3205850048742479E-3</v>
      </c>
    </row>
    <row r="2048" spans="1:9" x14ac:dyDescent="0.3">
      <c r="A2048" s="5">
        <v>44608</v>
      </c>
      <c r="B2048">
        <v>75</v>
      </c>
      <c r="C2048">
        <v>77.949996999999996</v>
      </c>
      <c r="D2048">
        <v>74.720000999999996</v>
      </c>
      <c r="E2048">
        <v>77.839995999999999</v>
      </c>
      <c r="F2048">
        <v>76.082130000000006</v>
      </c>
      <c r="G2048">
        <v>7355800</v>
      </c>
      <c r="I2048">
        <f t="shared" si="32"/>
        <v>2.0748762642779173E-4</v>
      </c>
    </row>
    <row r="2049" spans="1:9" x14ac:dyDescent="0.3">
      <c r="A2049" s="5">
        <v>44609</v>
      </c>
      <c r="B2049">
        <v>77.059997999999993</v>
      </c>
      <c r="C2049">
        <v>77.660004000000001</v>
      </c>
      <c r="D2049">
        <v>75.434997999999993</v>
      </c>
      <c r="E2049">
        <v>76.470000999999996</v>
      </c>
      <c r="F2049">
        <v>74.743072999999995</v>
      </c>
      <c r="G2049">
        <v>5515000</v>
      </c>
      <c r="I2049">
        <f t="shared" si="32"/>
        <v>4.1020401157350881E-4</v>
      </c>
    </row>
    <row r="2050" spans="1:9" x14ac:dyDescent="0.3">
      <c r="A2050" s="5">
        <v>44610</v>
      </c>
      <c r="B2050">
        <v>76.029999000000004</v>
      </c>
      <c r="C2050">
        <v>78.370002999999997</v>
      </c>
      <c r="D2050">
        <v>75.550003000000004</v>
      </c>
      <c r="E2050">
        <v>78.199996999999996</v>
      </c>
      <c r="F2050">
        <v>76.433982999999998</v>
      </c>
      <c r="G2050">
        <v>5825300</v>
      </c>
      <c r="I2050">
        <f t="shared" si="32"/>
        <v>2.8416747757623089E-4</v>
      </c>
    </row>
    <row r="2051" spans="1:9" x14ac:dyDescent="0.3">
      <c r="A2051" s="5">
        <v>44614</v>
      </c>
      <c r="B2051">
        <v>80</v>
      </c>
      <c r="C2051">
        <v>80.080001999999993</v>
      </c>
      <c r="D2051">
        <v>73.110000999999997</v>
      </c>
      <c r="E2051">
        <v>74.089995999999999</v>
      </c>
      <c r="F2051">
        <v>72.416809000000001</v>
      </c>
      <c r="G2051">
        <v>8994000</v>
      </c>
      <c r="I2051">
        <f t="shared" si="32"/>
        <v>1.276908343089411E-3</v>
      </c>
    </row>
    <row r="2052" spans="1:9" x14ac:dyDescent="0.3">
      <c r="A2052" s="5">
        <v>44615</v>
      </c>
      <c r="B2052">
        <v>74.25</v>
      </c>
      <c r="C2052">
        <v>75.680000000000007</v>
      </c>
      <c r="D2052">
        <v>73.110000999999997</v>
      </c>
      <c r="E2052">
        <v>75.319999999999993</v>
      </c>
      <c r="F2052">
        <v>73.619033999999999</v>
      </c>
      <c r="G2052">
        <v>6588200</v>
      </c>
      <c r="I2052">
        <f t="shared" si="32"/>
        <v>5.5174180080912009E-4</v>
      </c>
    </row>
    <row r="2053" spans="1:9" x14ac:dyDescent="0.3">
      <c r="A2053" s="5">
        <v>44616</v>
      </c>
      <c r="B2053">
        <v>75.290001000000004</v>
      </c>
      <c r="C2053">
        <v>77.449996999999996</v>
      </c>
      <c r="D2053">
        <v>69.849997999999999</v>
      </c>
      <c r="E2053">
        <v>73.300003000000004</v>
      </c>
      <c r="F2053">
        <v>71.644645999999995</v>
      </c>
      <c r="G2053">
        <v>11610900</v>
      </c>
      <c r="I2053">
        <f t="shared" si="32"/>
        <v>5.1733819228031788E-3</v>
      </c>
    </row>
    <row r="2054" spans="1:9" x14ac:dyDescent="0.3">
      <c r="A2054" s="5">
        <v>44617</v>
      </c>
      <c r="B2054">
        <v>73.110000999999997</v>
      </c>
      <c r="C2054">
        <v>78.379997000000003</v>
      </c>
      <c r="D2054">
        <v>71.780997999999997</v>
      </c>
      <c r="E2054">
        <v>77.849997999999999</v>
      </c>
      <c r="F2054">
        <v>76.091896000000006</v>
      </c>
      <c r="G2054">
        <v>7361900</v>
      </c>
      <c r="I2054">
        <f t="shared" si="32"/>
        <v>1.9612381152153075E-3</v>
      </c>
    </row>
    <row r="2055" spans="1:9" x14ac:dyDescent="0.3">
      <c r="A2055" s="5">
        <v>44620</v>
      </c>
      <c r="B2055">
        <v>77.650002000000001</v>
      </c>
      <c r="C2055">
        <v>80.580001999999993</v>
      </c>
      <c r="D2055">
        <v>75.010002</v>
      </c>
      <c r="E2055">
        <v>75.339995999999999</v>
      </c>
      <c r="F2055">
        <v>73.638572999999994</v>
      </c>
      <c r="G2055">
        <v>9363300</v>
      </c>
      <c r="I2055">
        <f t="shared" si="32"/>
        <v>2.6423134004499443E-3</v>
      </c>
    </row>
    <row r="2056" spans="1:9" x14ac:dyDescent="0.3">
      <c r="A2056" s="5">
        <v>44621</v>
      </c>
      <c r="B2056">
        <v>77.889999000000003</v>
      </c>
      <c r="C2056">
        <v>85.730002999999996</v>
      </c>
      <c r="D2056">
        <v>77.059997999999993</v>
      </c>
      <c r="E2056">
        <v>79.779999000000004</v>
      </c>
      <c r="F2056">
        <v>77.978301999999999</v>
      </c>
      <c r="G2056">
        <v>15303400</v>
      </c>
      <c r="I2056">
        <f t="shared" si="32"/>
        <v>7.2700969432414634E-3</v>
      </c>
    </row>
    <row r="2057" spans="1:9" x14ac:dyDescent="0.3">
      <c r="A2057" s="5">
        <v>44622</v>
      </c>
      <c r="B2057">
        <v>81.010002</v>
      </c>
      <c r="C2057">
        <v>83.160004000000001</v>
      </c>
      <c r="D2057">
        <v>78.781998000000002</v>
      </c>
      <c r="E2057">
        <v>82.559997999999993</v>
      </c>
      <c r="F2057">
        <v>80.695518000000007</v>
      </c>
      <c r="G2057">
        <v>10760800</v>
      </c>
      <c r="I2057">
        <f t="shared" si="32"/>
        <v>1.4959762266891191E-3</v>
      </c>
    </row>
    <row r="2058" spans="1:9" x14ac:dyDescent="0.3">
      <c r="A2058" s="5">
        <v>44623</v>
      </c>
      <c r="B2058">
        <v>82.529999000000004</v>
      </c>
      <c r="C2058">
        <v>84.275002000000001</v>
      </c>
      <c r="D2058">
        <v>79.449996999999996</v>
      </c>
      <c r="E2058">
        <v>82.889999000000003</v>
      </c>
      <c r="F2058">
        <v>81.018066000000005</v>
      </c>
      <c r="G2058">
        <v>7513700</v>
      </c>
      <c r="I2058">
        <f t="shared" si="32"/>
        <v>1.9588497565859605E-3</v>
      </c>
    </row>
    <row r="2059" spans="1:9" x14ac:dyDescent="0.3">
      <c r="A2059" s="5">
        <v>44624</v>
      </c>
      <c r="B2059">
        <v>82.010002</v>
      </c>
      <c r="C2059">
        <v>90.949996999999996</v>
      </c>
      <c r="D2059">
        <v>81.730002999999996</v>
      </c>
      <c r="E2059">
        <v>90.660004000000001</v>
      </c>
      <c r="F2059">
        <v>88.612601999999995</v>
      </c>
      <c r="G2059">
        <v>19654000</v>
      </c>
      <c r="I2059">
        <f t="shared" si="32"/>
        <v>6.8507788456991208E-4</v>
      </c>
    </row>
    <row r="2060" spans="1:9" x14ac:dyDescent="0.3">
      <c r="A2060" s="5">
        <v>44627</v>
      </c>
      <c r="B2060">
        <v>89.559997999999993</v>
      </c>
      <c r="C2060">
        <v>92.32</v>
      </c>
      <c r="D2060">
        <v>83.510002</v>
      </c>
      <c r="E2060">
        <v>85.400002000000001</v>
      </c>
      <c r="F2060">
        <v>83.563559999999995</v>
      </c>
      <c r="G2060">
        <v>12623500</v>
      </c>
      <c r="I2060">
        <f t="shared" ref="I2060:I2123" si="33">LN(C2060/B2060)*(LN(C2060/B2060)-LN(E2060/B2060))+LN(D2060/B2060)*(LN(D2060/B2060)-LN(E2060/B2060))</f>
        <v>3.9301590190636577E-3</v>
      </c>
    </row>
    <row r="2061" spans="1:9" x14ac:dyDescent="0.3">
      <c r="A2061" s="5">
        <v>44628</v>
      </c>
      <c r="B2061">
        <v>82</v>
      </c>
      <c r="C2061">
        <v>85.599997999999999</v>
      </c>
      <c r="D2061">
        <v>77.769997000000004</v>
      </c>
      <c r="E2061">
        <v>82.370002999999997</v>
      </c>
      <c r="F2061">
        <v>80.598724000000004</v>
      </c>
      <c r="G2061">
        <v>12840900</v>
      </c>
      <c r="I2061">
        <f t="shared" si="33"/>
        <v>4.6962237323752397E-3</v>
      </c>
    </row>
    <row r="2062" spans="1:9" x14ac:dyDescent="0.3">
      <c r="A2062" s="5">
        <v>44629</v>
      </c>
      <c r="B2062">
        <v>79.800003000000004</v>
      </c>
      <c r="C2062">
        <v>80.809997999999993</v>
      </c>
      <c r="D2062">
        <v>77</v>
      </c>
      <c r="E2062">
        <v>79.519997000000004</v>
      </c>
      <c r="F2062">
        <v>77.809997999999993</v>
      </c>
      <c r="G2062">
        <v>11917700</v>
      </c>
      <c r="I2062">
        <f t="shared" si="33"/>
        <v>1.3526279977279707E-3</v>
      </c>
    </row>
    <row r="2063" spans="1:9" x14ac:dyDescent="0.3">
      <c r="A2063" s="5">
        <v>44630</v>
      </c>
      <c r="B2063">
        <v>83.690002000000007</v>
      </c>
      <c r="C2063">
        <v>84.360000999999997</v>
      </c>
      <c r="D2063">
        <v>78.25</v>
      </c>
      <c r="E2063">
        <v>82.940002000000007</v>
      </c>
      <c r="F2063">
        <v>81.156470999999996</v>
      </c>
      <c r="G2063">
        <v>10238600</v>
      </c>
      <c r="I2063">
        <f t="shared" si="33"/>
        <v>4.0476066747633238E-3</v>
      </c>
    </row>
    <row r="2064" spans="1:9" x14ac:dyDescent="0.3">
      <c r="A2064" s="5">
        <v>44631</v>
      </c>
      <c r="B2064">
        <v>80.489998</v>
      </c>
      <c r="C2064">
        <v>81.866996999999998</v>
      </c>
      <c r="D2064">
        <v>78.650002000000001</v>
      </c>
      <c r="E2064">
        <v>79.040001000000004</v>
      </c>
      <c r="F2064">
        <v>77.340332000000004</v>
      </c>
      <c r="G2064">
        <v>5690000</v>
      </c>
      <c r="I2064">
        <f t="shared" si="33"/>
        <v>7.1049926590848877E-4</v>
      </c>
    </row>
    <row r="2065" spans="1:9" x14ac:dyDescent="0.3">
      <c r="A2065" s="5">
        <v>44634</v>
      </c>
      <c r="B2065">
        <v>77.169998000000007</v>
      </c>
      <c r="C2065">
        <v>77.169998000000007</v>
      </c>
      <c r="D2065">
        <v>72.047996999999995</v>
      </c>
      <c r="E2065">
        <v>73.5</v>
      </c>
      <c r="F2065">
        <v>71.919455999999997</v>
      </c>
      <c r="G2065">
        <v>7915100</v>
      </c>
      <c r="I2065">
        <f t="shared" si="33"/>
        <v>1.370328829538546E-3</v>
      </c>
    </row>
    <row r="2066" spans="1:9" x14ac:dyDescent="0.3">
      <c r="A2066" s="5">
        <v>44635</v>
      </c>
      <c r="B2066">
        <v>71.069999999999993</v>
      </c>
      <c r="C2066">
        <v>74</v>
      </c>
      <c r="D2066">
        <v>69.930000000000007</v>
      </c>
      <c r="E2066">
        <v>73.709998999999996</v>
      </c>
      <c r="F2066">
        <v>72.124947000000006</v>
      </c>
      <c r="G2066">
        <v>7090300</v>
      </c>
      <c r="I2066">
        <f t="shared" si="33"/>
        <v>1.0099137778139321E-3</v>
      </c>
    </row>
    <row r="2067" spans="1:9" x14ac:dyDescent="0.3">
      <c r="A2067" s="5">
        <v>44636</v>
      </c>
      <c r="B2067">
        <v>74.790001000000004</v>
      </c>
      <c r="C2067">
        <v>76.790001000000004</v>
      </c>
      <c r="D2067">
        <v>72.581001000000001</v>
      </c>
      <c r="E2067">
        <v>75.629997000000003</v>
      </c>
      <c r="F2067">
        <v>74.003653999999997</v>
      </c>
      <c r="G2067">
        <v>6809800</v>
      </c>
      <c r="I2067">
        <f t="shared" si="33"/>
        <v>1.6354098828062168E-3</v>
      </c>
    </row>
    <row r="2068" spans="1:9" x14ac:dyDescent="0.3">
      <c r="A2068" s="5">
        <v>44637</v>
      </c>
      <c r="B2068">
        <v>77.980002999999996</v>
      </c>
      <c r="C2068">
        <v>81.720000999999996</v>
      </c>
      <c r="D2068">
        <v>77.019997000000004</v>
      </c>
      <c r="E2068">
        <v>80.730002999999996</v>
      </c>
      <c r="F2068">
        <v>78.993979999999993</v>
      </c>
      <c r="G2068">
        <v>8423200</v>
      </c>
      <c r="I2068">
        <f t="shared" si="33"/>
        <v>1.1537510213590781E-3</v>
      </c>
    </row>
    <row r="2069" spans="1:9" x14ac:dyDescent="0.3">
      <c r="A2069" s="5">
        <v>44638</v>
      </c>
      <c r="B2069">
        <v>80.519997000000004</v>
      </c>
      <c r="C2069">
        <v>82.699996999999996</v>
      </c>
      <c r="D2069">
        <v>79.209998999999996</v>
      </c>
      <c r="E2069">
        <v>82.440002000000007</v>
      </c>
      <c r="F2069">
        <v>80.667220999999998</v>
      </c>
      <c r="G2069">
        <v>7681600</v>
      </c>
      <c r="I2069">
        <f t="shared" si="33"/>
        <v>7.3971659929641812E-4</v>
      </c>
    </row>
    <row r="2070" spans="1:9" x14ac:dyDescent="0.3">
      <c r="A2070" s="5">
        <v>44641</v>
      </c>
      <c r="B2070">
        <v>85.57</v>
      </c>
      <c r="C2070">
        <v>92.110000999999997</v>
      </c>
      <c r="D2070">
        <v>85.300003000000004</v>
      </c>
      <c r="E2070">
        <v>90.690002000000007</v>
      </c>
      <c r="F2070">
        <v>88.739822000000004</v>
      </c>
      <c r="G2070">
        <v>9901000</v>
      </c>
      <c r="I2070">
        <f t="shared" si="33"/>
        <v>1.3378749726254771E-3</v>
      </c>
    </row>
    <row r="2071" spans="1:9" x14ac:dyDescent="0.3">
      <c r="A2071" s="5">
        <v>44642</v>
      </c>
      <c r="B2071">
        <v>89.980002999999996</v>
      </c>
      <c r="C2071">
        <v>91.563004000000006</v>
      </c>
      <c r="D2071">
        <v>88.519997000000004</v>
      </c>
      <c r="E2071">
        <v>89.879997000000003</v>
      </c>
      <c r="F2071">
        <v>87.947226999999998</v>
      </c>
      <c r="G2071">
        <v>6100500</v>
      </c>
      <c r="I2071">
        <f t="shared" si="33"/>
        <v>5.7296631262005685E-4</v>
      </c>
    </row>
    <row r="2072" spans="1:9" x14ac:dyDescent="0.3">
      <c r="A2072" s="5">
        <v>44643</v>
      </c>
      <c r="B2072">
        <v>91.489998</v>
      </c>
      <c r="C2072">
        <v>95.790001000000004</v>
      </c>
      <c r="D2072">
        <v>91.019997000000004</v>
      </c>
      <c r="E2072">
        <v>94.220000999999996</v>
      </c>
      <c r="F2072">
        <v>92.193909000000005</v>
      </c>
      <c r="G2072">
        <v>6848000</v>
      </c>
      <c r="I2072">
        <f t="shared" si="33"/>
        <v>9.3697266038313164E-4</v>
      </c>
    </row>
    <row r="2073" spans="1:9" x14ac:dyDescent="0.3">
      <c r="A2073" s="5">
        <v>44644</v>
      </c>
      <c r="B2073">
        <v>91.650002000000001</v>
      </c>
      <c r="C2073">
        <v>95.440002000000007</v>
      </c>
      <c r="D2073">
        <v>91.389999000000003</v>
      </c>
      <c r="E2073">
        <v>95.059997999999993</v>
      </c>
      <c r="F2073">
        <v>93.015839</v>
      </c>
      <c r="G2073">
        <v>7352300</v>
      </c>
      <c r="I2073">
        <f t="shared" si="33"/>
        <v>2.735139112820776E-4</v>
      </c>
    </row>
    <row r="2074" spans="1:9" x14ac:dyDescent="0.3">
      <c r="A2074" s="5">
        <v>44645</v>
      </c>
      <c r="B2074">
        <v>95.889999000000003</v>
      </c>
      <c r="C2074">
        <v>98.089995999999999</v>
      </c>
      <c r="D2074">
        <v>91.019997000000004</v>
      </c>
      <c r="E2074">
        <v>91.959998999999996</v>
      </c>
      <c r="F2074">
        <v>89.982498000000007</v>
      </c>
      <c r="G2074">
        <v>6035100</v>
      </c>
      <c r="I2074">
        <f t="shared" si="33"/>
        <v>1.9993472670464482E-3</v>
      </c>
    </row>
    <row r="2075" spans="1:9" x14ac:dyDescent="0.3">
      <c r="A2075" s="5">
        <v>44648</v>
      </c>
      <c r="B2075">
        <v>90.639999000000003</v>
      </c>
      <c r="C2075">
        <v>92.870002999999997</v>
      </c>
      <c r="D2075">
        <v>88.110000999999997</v>
      </c>
      <c r="E2075">
        <v>92.459998999999996</v>
      </c>
      <c r="F2075">
        <v>90.471740999999994</v>
      </c>
      <c r="G2075">
        <v>5111300</v>
      </c>
      <c r="I2075">
        <f t="shared" si="33"/>
        <v>1.471779565557054E-3</v>
      </c>
    </row>
    <row r="2076" spans="1:9" x14ac:dyDescent="0.3">
      <c r="A2076" s="5">
        <v>44649</v>
      </c>
      <c r="B2076">
        <v>86.5</v>
      </c>
      <c r="C2076">
        <v>90.099997999999999</v>
      </c>
      <c r="D2076">
        <v>84.129997000000003</v>
      </c>
      <c r="E2076">
        <v>90.07</v>
      </c>
      <c r="F2076">
        <v>88.133148000000006</v>
      </c>
      <c r="G2076">
        <v>7530700</v>
      </c>
      <c r="I2076">
        <f t="shared" si="33"/>
        <v>1.9089235669629632E-3</v>
      </c>
    </row>
    <row r="2077" spans="1:9" x14ac:dyDescent="0.3">
      <c r="A2077" s="5">
        <v>44650</v>
      </c>
      <c r="B2077">
        <v>92.599997999999999</v>
      </c>
      <c r="C2077">
        <v>93.989998</v>
      </c>
      <c r="D2077">
        <v>90.959998999999996</v>
      </c>
      <c r="E2077">
        <v>92.190002000000007</v>
      </c>
      <c r="F2077">
        <v>90.207558000000006</v>
      </c>
      <c r="G2077">
        <v>5513600</v>
      </c>
      <c r="I2077">
        <f t="shared" si="33"/>
        <v>5.2811963649401891E-4</v>
      </c>
    </row>
    <row r="2078" spans="1:9" x14ac:dyDescent="0.3">
      <c r="A2078" s="5">
        <v>44651</v>
      </c>
      <c r="B2078">
        <v>91.669998000000007</v>
      </c>
      <c r="C2078">
        <v>92.699996999999996</v>
      </c>
      <c r="D2078">
        <v>89.801002999999994</v>
      </c>
      <c r="E2078">
        <v>90.029999000000004</v>
      </c>
      <c r="F2078">
        <v>88.094002000000003</v>
      </c>
      <c r="G2078">
        <v>4567200</v>
      </c>
      <c r="I2078">
        <f t="shared" si="33"/>
        <v>3.790064172895009E-4</v>
      </c>
    </row>
    <row r="2079" spans="1:9" x14ac:dyDescent="0.3">
      <c r="A2079" s="5">
        <v>44652</v>
      </c>
      <c r="B2079">
        <v>91.690002000000007</v>
      </c>
      <c r="C2079">
        <v>93.580001999999993</v>
      </c>
      <c r="D2079">
        <v>87.535004000000001</v>
      </c>
      <c r="E2079">
        <v>90.620002999999997</v>
      </c>
      <c r="F2079">
        <v>88.671317999999999</v>
      </c>
      <c r="G2079">
        <v>5746300</v>
      </c>
      <c r="I2079">
        <f t="shared" si="33"/>
        <v>2.2620394826000107E-3</v>
      </c>
    </row>
    <row r="2080" spans="1:9" x14ac:dyDescent="0.3">
      <c r="A2080" s="5">
        <v>44655</v>
      </c>
      <c r="B2080">
        <v>91</v>
      </c>
      <c r="C2080">
        <v>91.580001999999993</v>
      </c>
      <c r="D2080">
        <v>88.849997999999999</v>
      </c>
      <c r="E2080">
        <v>90.900002000000001</v>
      </c>
      <c r="F2080">
        <v>88.94529</v>
      </c>
      <c r="G2080">
        <v>3685700</v>
      </c>
      <c r="I2080">
        <f t="shared" si="33"/>
        <v>5.9274971902411125E-4</v>
      </c>
    </row>
    <row r="2081" spans="1:9" x14ac:dyDescent="0.3">
      <c r="A2081" s="5">
        <v>44656</v>
      </c>
      <c r="B2081">
        <v>93.199996999999996</v>
      </c>
      <c r="C2081">
        <v>93.199996999999996</v>
      </c>
      <c r="D2081">
        <v>85.099997999999999</v>
      </c>
      <c r="E2081">
        <v>87.709998999999996</v>
      </c>
      <c r="F2081">
        <v>85.823891000000003</v>
      </c>
      <c r="G2081">
        <v>6846100</v>
      </c>
      <c r="I2081">
        <f t="shared" si="33"/>
        <v>2.7466131507967273E-3</v>
      </c>
    </row>
    <row r="2082" spans="1:9" x14ac:dyDescent="0.3">
      <c r="A2082" s="5">
        <v>44657</v>
      </c>
      <c r="B2082">
        <v>89</v>
      </c>
      <c r="C2082">
        <v>89.809997999999993</v>
      </c>
      <c r="D2082">
        <v>86.739998</v>
      </c>
      <c r="E2082">
        <v>87.730002999999996</v>
      </c>
      <c r="F2082">
        <v>85.843468000000001</v>
      </c>
      <c r="G2082">
        <v>4531400</v>
      </c>
      <c r="I2082">
        <f t="shared" si="33"/>
        <v>5.0420190149393128E-4</v>
      </c>
    </row>
    <row r="2083" spans="1:9" x14ac:dyDescent="0.3">
      <c r="A2083" s="5">
        <v>44658</v>
      </c>
      <c r="B2083">
        <v>87.699996999999996</v>
      </c>
      <c r="C2083">
        <v>88.393996999999999</v>
      </c>
      <c r="D2083">
        <v>83.169998000000007</v>
      </c>
      <c r="E2083">
        <v>86.099997999999999</v>
      </c>
      <c r="F2083">
        <v>84.248512000000005</v>
      </c>
      <c r="G2083">
        <v>6516600</v>
      </c>
      <c r="I2083">
        <f t="shared" si="33"/>
        <v>2.0434813094488973E-3</v>
      </c>
    </row>
    <row r="2084" spans="1:9" x14ac:dyDescent="0.3">
      <c r="A2084" s="5">
        <v>44659</v>
      </c>
      <c r="B2084">
        <v>85.300003000000004</v>
      </c>
      <c r="C2084">
        <v>86.870002999999997</v>
      </c>
      <c r="D2084">
        <v>83.629997000000003</v>
      </c>
      <c r="E2084">
        <v>84.150002000000001</v>
      </c>
      <c r="F2084">
        <v>82.340453999999994</v>
      </c>
      <c r="G2084">
        <v>4586400</v>
      </c>
      <c r="I2084">
        <f t="shared" si="33"/>
        <v>7.0275514651438624E-4</v>
      </c>
    </row>
    <row r="2085" spans="1:9" x14ac:dyDescent="0.3">
      <c r="A2085" s="5">
        <v>44662</v>
      </c>
      <c r="B2085">
        <v>83.620002999999997</v>
      </c>
      <c r="C2085">
        <v>84.199996999999996</v>
      </c>
      <c r="D2085">
        <v>80.830001999999993</v>
      </c>
      <c r="E2085">
        <v>82.529999000000004</v>
      </c>
      <c r="F2085">
        <v>80.755279999999999</v>
      </c>
      <c r="G2085">
        <v>4671700</v>
      </c>
      <c r="I2085">
        <f t="shared" si="33"/>
        <v>8.4477249032064165E-4</v>
      </c>
    </row>
    <row r="2086" spans="1:9" x14ac:dyDescent="0.3">
      <c r="A2086" s="5">
        <v>44663</v>
      </c>
      <c r="B2086">
        <v>83.699996999999996</v>
      </c>
      <c r="C2086">
        <v>86.379997000000003</v>
      </c>
      <c r="D2086">
        <v>82.954002000000003</v>
      </c>
      <c r="E2086">
        <v>83.260002</v>
      </c>
      <c r="F2086">
        <v>81.469573999999994</v>
      </c>
      <c r="G2086">
        <v>4274300</v>
      </c>
      <c r="I2086">
        <f t="shared" si="33"/>
        <v>1.1924140445866256E-3</v>
      </c>
    </row>
    <row r="2087" spans="1:9" x14ac:dyDescent="0.3">
      <c r="A2087" s="5">
        <v>44664</v>
      </c>
      <c r="B2087">
        <v>84.730002999999996</v>
      </c>
      <c r="C2087">
        <v>87.739998</v>
      </c>
      <c r="D2087">
        <v>83.150002000000001</v>
      </c>
      <c r="E2087">
        <v>87.419998000000007</v>
      </c>
      <c r="F2087">
        <v>85.540122999999994</v>
      </c>
      <c r="G2087">
        <v>4797700</v>
      </c>
      <c r="I2087">
        <f t="shared" si="33"/>
        <v>1.0701894267692077E-3</v>
      </c>
    </row>
    <row r="2088" spans="1:9" x14ac:dyDescent="0.3">
      <c r="A2088" s="5">
        <v>44665</v>
      </c>
      <c r="B2088">
        <v>87.379997000000003</v>
      </c>
      <c r="C2088">
        <v>90.080001999999993</v>
      </c>
      <c r="D2088">
        <v>87.099997999999999</v>
      </c>
      <c r="E2088">
        <v>87.769997000000004</v>
      </c>
      <c r="F2088">
        <v>85.882606999999993</v>
      </c>
      <c r="G2088">
        <v>5012800</v>
      </c>
      <c r="I2088">
        <f t="shared" si="33"/>
        <v>8.1516552936132807E-4</v>
      </c>
    </row>
    <row r="2089" spans="1:9" x14ac:dyDescent="0.3">
      <c r="A2089" s="5">
        <v>44669</v>
      </c>
      <c r="B2089">
        <v>88</v>
      </c>
      <c r="C2089">
        <v>90.980002999999996</v>
      </c>
      <c r="D2089">
        <v>86.940002000000007</v>
      </c>
      <c r="E2089">
        <v>89.449996999999996</v>
      </c>
      <c r="F2089">
        <v>87.526482000000001</v>
      </c>
      <c r="G2089">
        <v>4475000</v>
      </c>
      <c r="I2089">
        <f t="shared" si="33"/>
        <v>9.0972905985621673E-4</v>
      </c>
    </row>
    <row r="2090" spans="1:9" x14ac:dyDescent="0.3">
      <c r="A2090" s="5">
        <v>44670</v>
      </c>
      <c r="B2090">
        <v>87.849997999999999</v>
      </c>
      <c r="C2090">
        <v>88.199996999999996</v>
      </c>
      <c r="D2090">
        <v>85.510002</v>
      </c>
      <c r="E2090">
        <v>86.580001999999993</v>
      </c>
      <c r="F2090">
        <v>84.718200999999993</v>
      </c>
      <c r="G2090">
        <v>5120600</v>
      </c>
      <c r="I2090">
        <f t="shared" si="33"/>
        <v>4.094369191498586E-4</v>
      </c>
    </row>
    <row r="2091" spans="1:9" x14ac:dyDescent="0.3">
      <c r="A2091" s="5">
        <v>44671</v>
      </c>
      <c r="B2091">
        <v>85.910004000000001</v>
      </c>
      <c r="C2091">
        <v>88.010002</v>
      </c>
      <c r="D2091">
        <v>82.559997999999993</v>
      </c>
      <c r="E2091">
        <v>86.93</v>
      </c>
      <c r="F2091">
        <v>85.060676999999998</v>
      </c>
      <c r="G2091">
        <v>6909100</v>
      </c>
      <c r="I2091">
        <f t="shared" si="33"/>
        <v>2.3497008871192129E-3</v>
      </c>
    </row>
    <row r="2092" spans="1:9" x14ac:dyDescent="0.3">
      <c r="A2092" s="5">
        <v>44672</v>
      </c>
      <c r="B2092">
        <v>80.650002000000001</v>
      </c>
      <c r="C2092">
        <v>81.400002000000001</v>
      </c>
      <c r="D2092">
        <v>71.319999999999993</v>
      </c>
      <c r="E2092">
        <v>72.199996999999996</v>
      </c>
      <c r="F2092">
        <v>70.647423000000003</v>
      </c>
      <c r="G2092">
        <v>21971300</v>
      </c>
      <c r="I2092">
        <f t="shared" si="33"/>
        <v>2.6178414050867099E-3</v>
      </c>
    </row>
    <row r="2093" spans="1:9" x14ac:dyDescent="0.3">
      <c r="A2093" s="5">
        <v>44673</v>
      </c>
      <c r="B2093">
        <v>71.870002999999997</v>
      </c>
      <c r="C2093">
        <v>72.300003000000004</v>
      </c>
      <c r="D2093">
        <v>66.720000999999996</v>
      </c>
      <c r="E2093">
        <v>67.370002999999997</v>
      </c>
      <c r="F2093">
        <v>65.921295000000001</v>
      </c>
      <c r="G2093">
        <v>10970300</v>
      </c>
      <c r="I2093">
        <f t="shared" si="33"/>
        <v>1.1421583595977208E-3</v>
      </c>
    </row>
    <row r="2094" spans="1:9" x14ac:dyDescent="0.3">
      <c r="A2094" s="5">
        <v>44676</v>
      </c>
      <c r="B2094">
        <v>64.709998999999996</v>
      </c>
      <c r="C2094">
        <v>68.580001999999993</v>
      </c>
      <c r="D2094">
        <v>62.459999000000003</v>
      </c>
      <c r="E2094">
        <v>67.370002999999997</v>
      </c>
      <c r="F2094">
        <v>65.921295000000001</v>
      </c>
      <c r="G2094">
        <v>14092500</v>
      </c>
      <c r="I2094">
        <f t="shared" si="33"/>
        <v>3.7120226109277534E-3</v>
      </c>
    </row>
    <row r="2095" spans="1:9" x14ac:dyDescent="0.3">
      <c r="A2095" s="5">
        <v>44677</v>
      </c>
      <c r="B2095">
        <v>67.150002000000001</v>
      </c>
      <c r="C2095">
        <v>69.029999000000004</v>
      </c>
      <c r="D2095">
        <v>64.669998000000007</v>
      </c>
      <c r="E2095">
        <v>66.970000999999996</v>
      </c>
      <c r="F2095">
        <v>65.529883999999996</v>
      </c>
      <c r="G2095">
        <v>7984900</v>
      </c>
      <c r="I2095">
        <f t="shared" si="33"/>
        <v>2.1516762040905534E-3</v>
      </c>
    </row>
    <row r="2096" spans="1:9" x14ac:dyDescent="0.3">
      <c r="A2096" s="5">
        <v>44678</v>
      </c>
      <c r="B2096">
        <v>68.264999000000003</v>
      </c>
      <c r="C2096">
        <v>71.540001000000004</v>
      </c>
      <c r="D2096">
        <v>67.540001000000004</v>
      </c>
      <c r="E2096">
        <v>69.989998</v>
      </c>
      <c r="F2096">
        <v>68.484939999999995</v>
      </c>
      <c r="G2096">
        <v>8631100</v>
      </c>
      <c r="I2096">
        <f t="shared" si="33"/>
        <v>1.4068823291240986E-3</v>
      </c>
    </row>
    <row r="2097" spans="1:9" x14ac:dyDescent="0.3">
      <c r="A2097" s="5">
        <v>44679</v>
      </c>
      <c r="B2097">
        <v>69.779999000000004</v>
      </c>
      <c r="C2097">
        <v>70.998001000000002</v>
      </c>
      <c r="D2097">
        <v>67.081001000000001</v>
      </c>
      <c r="E2097">
        <v>70.519997000000004</v>
      </c>
      <c r="F2097">
        <v>69.003547999999995</v>
      </c>
      <c r="G2097">
        <v>5639700</v>
      </c>
      <c r="I2097">
        <f t="shared" si="33"/>
        <v>2.0890464333225187E-3</v>
      </c>
    </row>
    <row r="2098" spans="1:9" x14ac:dyDescent="0.3">
      <c r="A2098" s="5">
        <v>44680</v>
      </c>
      <c r="B2098">
        <v>71.059997999999993</v>
      </c>
      <c r="C2098">
        <v>72.680000000000007</v>
      </c>
      <c r="D2098">
        <v>67.224997999999999</v>
      </c>
      <c r="E2098">
        <v>67.800003000000004</v>
      </c>
      <c r="F2098">
        <v>66.342040999999995</v>
      </c>
      <c r="G2098">
        <v>6093800</v>
      </c>
      <c r="I2098">
        <f t="shared" si="33"/>
        <v>2.0392587699704038E-3</v>
      </c>
    </row>
    <row r="2099" spans="1:9" x14ac:dyDescent="0.3">
      <c r="A2099" s="5">
        <v>44683</v>
      </c>
      <c r="B2099">
        <v>67</v>
      </c>
      <c r="C2099">
        <v>67.620002999999997</v>
      </c>
      <c r="D2099">
        <v>64.430000000000007</v>
      </c>
      <c r="E2099">
        <v>66.160004000000001</v>
      </c>
      <c r="F2099">
        <v>64.737312000000003</v>
      </c>
      <c r="G2099">
        <v>5816700</v>
      </c>
      <c r="I2099">
        <f t="shared" si="33"/>
        <v>1.2374341716857463E-3</v>
      </c>
    </row>
    <row r="2100" spans="1:9" x14ac:dyDescent="0.3">
      <c r="A2100" s="5">
        <v>44684</v>
      </c>
      <c r="B2100">
        <v>65.169998000000007</v>
      </c>
      <c r="C2100">
        <v>67.660004000000001</v>
      </c>
      <c r="D2100">
        <v>64.199996999999996</v>
      </c>
      <c r="E2100">
        <v>64.660004000000001</v>
      </c>
      <c r="F2100">
        <v>63.269558000000004</v>
      </c>
      <c r="G2100">
        <v>6510800</v>
      </c>
      <c r="I2100">
        <f t="shared" si="33"/>
        <v>1.8076005538177637E-3</v>
      </c>
    </row>
    <row r="2101" spans="1:9" x14ac:dyDescent="0.3">
      <c r="A2101" s="5">
        <v>44685</v>
      </c>
      <c r="B2101">
        <v>65</v>
      </c>
      <c r="C2101">
        <v>68.089995999999999</v>
      </c>
      <c r="D2101">
        <v>64.209998999999996</v>
      </c>
      <c r="E2101">
        <v>67.959998999999996</v>
      </c>
      <c r="F2101">
        <v>66.498596000000006</v>
      </c>
      <c r="G2101">
        <v>5753300</v>
      </c>
      <c r="I2101">
        <f t="shared" si="33"/>
        <v>7.8283725669785437E-4</v>
      </c>
    </row>
    <row r="2102" spans="1:9" x14ac:dyDescent="0.3">
      <c r="A2102" s="5">
        <v>44686</v>
      </c>
      <c r="B2102">
        <v>67.769997000000004</v>
      </c>
      <c r="C2102">
        <v>68.169998000000007</v>
      </c>
      <c r="D2102">
        <v>61.939999</v>
      </c>
      <c r="E2102">
        <v>63.459999000000003</v>
      </c>
      <c r="F2102">
        <v>62.095367000000003</v>
      </c>
      <c r="G2102">
        <v>6049300</v>
      </c>
      <c r="I2102">
        <f t="shared" si="33"/>
        <v>2.6021296912517389E-3</v>
      </c>
    </row>
    <row r="2103" spans="1:9" x14ac:dyDescent="0.3">
      <c r="A2103" s="5">
        <v>44687</v>
      </c>
      <c r="B2103">
        <v>62.369999</v>
      </c>
      <c r="C2103">
        <v>62.799999</v>
      </c>
      <c r="D2103">
        <v>60</v>
      </c>
      <c r="E2103">
        <v>61.040000999999997</v>
      </c>
      <c r="F2103">
        <v>59.727401999999998</v>
      </c>
      <c r="G2103">
        <v>5591500</v>
      </c>
      <c r="I2103">
        <f t="shared" si="33"/>
        <v>8.6104118006917506E-4</v>
      </c>
    </row>
    <row r="2104" spans="1:9" x14ac:dyDescent="0.3">
      <c r="A2104" s="5">
        <v>44690</v>
      </c>
      <c r="B2104">
        <v>58.5</v>
      </c>
      <c r="C2104">
        <v>58.573002000000002</v>
      </c>
      <c r="D2104">
        <v>53.73</v>
      </c>
      <c r="E2104">
        <v>54.209999000000003</v>
      </c>
      <c r="F2104">
        <v>53.044269999999997</v>
      </c>
      <c r="G2104">
        <v>12074900</v>
      </c>
      <c r="I2104">
        <f t="shared" si="33"/>
        <v>8.5300798429005238E-4</v>
      </c>
    </row>
    <row r="2105" spans="1:9" x14ac:dyDescent="0.3">
      <c r="A2105" s="5">
        <v>44691</v>
      </c>
      <c r="B2105">
        <v>55.509998000000003</v>
      </c>
      <c r="C2105">
        <v>56.91</v>
      </c>
      <c r="D2105">
        <v>53.610000999999997</v>
      </c>
      <c r="E2105">
        <v>55.84</v>
      </c>
      <c r="F2105">
        <v>54.639220999999999</v>
      </c>
      <c r="G2105">
        <v>8497600</v>
      </c>
      <c r="I2105">
        <f t="shared" si="33"/>
        <v>1.8921567521513467E-3</v>
      </c>
    </row>
    <row r="2106" spans="1:9" x14ac:dyDescent="0.3">
      <c r="A2106" s="5">
        <v>44692</v>
      </c>
      <c r="B2106">
        <v>57.459999000000003</v>
      </c>
      <c r="C2106">
        <v>59.360000999999997</v>
      </c>
      <c r="D2106">
        <v>56.27</v>
      </c>
      <c r="E2106">
        <v>56.66</v>
      </c>
      <c r="F2106">
        <v>55.441589</v>
      </c>
      <c r="G2106">
        <v>6194300</v>
      </c>
      <c r="I2106">
        <f t="shared" si="33"/>
        <v>1.6589594818523115E-3</v>
      </c>
    </row>
    <row r="2107" spans="1:9" x14ac:dyDescent="0.3">
      <c r="A2107" s="5">
        <v>44693</v>
      </c>
      <c r="B2107">
        <v>54.849997999999999</v>
      </c>
      <c r="C2107">
        <v>56.360000999999997</v>
      </c>
      <c r="D2107">
        <v>53.34</v>
      </c>
      <c r="E2107">
        <v>54.580002</v>
      </c>
      <c r="F2107">
        <v>53.406319000000003</v>
      </c>
      <c r="G2107">
        <v>7408800</v>
      </c>
      <c r="I2107">
        <f t="shared" si="33"/>
        <v>1.5130744440935079E-3</v>
      </c>
    </row>
    <row r="2108" spans="1:9" x14ac:dyDescent="0.3">
      <c r="A2108" s="5">
        <v>44694</v>
      </c>
      <c r="B2108">
        <v>57.290000999999997</v>
      </c>
      <c r="C2108">
        <v>59.68</v>
      </c>
      <c r="D2108">
        <v>56.900002000000001</v>
      </c>
      <c r="E2108">
        <v>58.330002</v>
      </c>
      <c r="F2108">
        <v>57.075676000000001</v>
      </c>
      <c r="G2108">
        <v>7740600</v>
      </c>
      <c r="I2108">
        <f t="shared" si="33"/>
        <v>1.1046875108089251E-3</v>
      </c>
    </row>
    <row r="2109" spans="1:9" x14ac:dyDescent="0.3">
      <c r="A2109" s="5">
        <v>44697</v>
      </c>
      <c r="B2109">
        <v>59.5</v>
      </c>
      <c r="C2109">
        <v>61.150002000000001</v>
      </c>
      <c r="D2109">
        <v>58.599997999999999</v>
      </c>
      <c r="E2109">
        <v>60.279998999999997</v>
      </c>
      <c r="F2109">
        <v>59.085040999999997</v>
      </c>
      <c r="G2109">
        <v>6681500</v>
      </c>
      <c r="I2109">
        <f t="shared" si="33"/>
        <v>8.2278001646590108E-4</v>
      </c>
    </row>
    <row r="2110" spans="1:9" x14ac:dyDescent="0.3">
      <c r="A2110" s="5">
        <v>44698</v>
      </c>
      <c r="B2110">
        <v>64.169998000000007</v>
      </c>
      <c r="C2110">
        <v>64.709998999999996</v>
      </c>
      <c r="D2110">
        <v>61.799999</v>
      </c>
      <c r="E2110">
        <v>63.400002000000001</v>
      </c>
      <c r="F2110">
        <v>62.143188000000002</v>
      </c>
      <c r="G2110">
        <v>6836900</v>
      </c>
      <c r="I2110">
        <f t="shared" si="33"/>
        <v>1.1332909321781842E-3</v>
      </c>
    </row>
    <row r="2111" spans="1:9" x14ac:dyDescent="0.3">
      <c r="A2111" s="5">
        <v>44699</v>
      </c>
      <c r="B2111">
        <v>62.619999</v>
      </c>
      <c r="C2111">
        <v>63.819000000000003</v>
      </c>
      <c r="D2111">
        <v>60.009998000000003</v>
      </c>
      <c r="E2111">
        <v>60.509998000000003</v>
      </c>
      <c r="F2111">
        <v>59.310473999999999</v>
      </c>
      <c r="G2111">
        <v>6828100</v>
      </c>
      <c r="I2111">
        <f t="shared" si="33"/>
        <v>1.3630583137749272E-3</v>
      </c>
    </row>
    <row r="2112" spans="1:9" x14ac:dyDescent="0.3">
      <c r="A2112" s="5">
        <v>44700</v>
      </c>
      <c r="B2112">
        <v>60.16</v>
      </c>
      <c r="C2112">
        <v>64.470000999999996</v>
      </c>
      <c r="D2112">
        <v>60.110000999999997</v>
      </c>
      <c r="E2112">
        <v>62.049999</v>
      </c>
      <c r="F2112">
        <v>60.819958</v>
      </c>
      <c r="G2112">
        <v>6751700</v>
      </c>
      <c r="I2112">
        <f t="shared" si="33"/>
        <v>2.6736757506309623E-3</v>
      </c>
    </row>
    <row r="2113" spans="1:9" x14ac:dyDescent="0.3">
      <c r="A2113" s="5">
        <v>44701</v>
      </c>
      <c r="B2113">
        <v>63.060001</v>
      </c>
      <c r="C2113">
        <v>63.75</v>
      </c>
      <c r="D2113">
        <v>58.509998000000003</v>
      </c>
      <c r="E2113">
        <v>60.57</v>
      </c>
      <c r="F2113">
        <v>59.369292999999999</v>
      </c>
      <c r="G2113">
        <v>8741000</v>
      </c>
      <c r="I2113">
        <f t="shared" si="33"/>
        <v>3.1481680667764808E-3</v>
      </c>
    </row>
    <row r="2114" spans="1:9" x14ac:dyDescent="0.3">
      <c r="A2114" s="5">
        <v>44704</v>
      </c>
      <c r="B2114">
        <v>62.299999</v>
      </c>
      <c r="C2114">
        <v>63.650002000000001</v>
      </c>
      <c r="D2114">
        <v>59.860000999999997</v>
      </c>
      <c r="E2114">
        <v>63.139999000000003</v>
      </c>
      <c r="F2114">
        <v>61.888343999999996</v>
      </c>
      <c r="G2114">
        <v>6221400</v>
      </c>
      <c r="I2114">
        <f t="shared" si="33"/>
        <v>2.3037907358050011E-3</v>
      </c>
    </row>
    <row r="2115" spans="1:9" x14ac:dyDescent="0.3">
      <c r="A2115" s="5">
        <v>44705</v>
      </c>
      <c r="B2115">
        <v>61.990001999999997</v>
      </c>
      <c r="C2115">
        <v>62.18</v>
      </c>
      <c r="D2115">
        <v>60.09</v>
      </c>
      <c r="E2115">
        <v>61.330002</v>
      </c>
      <c r="F2115">
        <v>60.114227</v>
      </c>
      <c r="G2115">
        <v>6208100</v>
      </c>
      <c r="I2115">
        <f t="shared" si="33"/>
        <v>6.7796846124041656E-4</v>
      </c>
    </row>
    <row r="2116" spans="1:9" x14ac:dyDescent="0.3">
      <c r="A2116" s="5">
        <v>44706</v>
      </c>
      <c r="B2116">
        <v>60.029998999999997</v>
      </c>
      <c r="C2116">
        <v>61.459000000000003</v>
      </c>
      <c r="D2116">
        <v>58.880001</v>
      </c>
      <c r="E2116">
        <v>60.939999</v>
      </c>
      <c r="F2116">
        <v>59.731955999999997</v>
      </c>
      <c r="G2116">
        <v>6188500</v>
      </c>
      <c r="I2116">
        <f t="shared" si="33"/>
        <v>8.6468156426721928E-4</v>
      </c>
    </row>
    <row r="2117" spans="1:9" x14ac:dyDescent="0.3">
      <c r="A2117" s="5">
        <v>44707</v>
      </c>
      <c r="B2117">
        <v>60.950001</v>
      </c>
      <c r="C2117">
        <v>63.25</v>
      </c>
      <c r="D2117">
        <v>59.740001999999997</v>
      </c>
      <c r="E2117">
        <v>62.849997999999999</v>
      </c>
      <c r="F2117">
        <v>61.604092000000001</v>
      </c>
      <c r="G2117">
        <v>5268400</v>
      </c>
      <c r="I2117">
        <f t="shared" si="33"/>
        <v>1.2526194480989895E-3</v>
      </c>
    </row>
    <row r="2118" spans="1:9" x14ac:dyDescent="0.3">
      <c r="A2118" s="5">
        <v>44708</v>
      </c>
      <c r="B2118">
        <v>63.59</v>
      </c>
      <c r="C2118">
        <v>65.980002999999996</v>
      </c>
      <c r="D2118">
        <v>63.248001000000002</v>
      </c>
      <c r="E2118">
        <v>64.5</v>
      </c>
      <c r="F2118">
        <v>63.22139</v>
      </c>
      <c r="G2118">
        <v>6887400</v>
      </c>
      <c r="I2118">
        <f t="shared" si="33"/>
        <v>9.4273513295022775E-4</v>
      </c>
    </row>
    <row r="2119" spans="1:9" x14ac:dyDescent="0.3">
      <c r="A2119" s="5">
        <v>44712</v>
      </c>
      <c r="B2119">
        <v>66.089995999999999</v>
      </c>
      <c r="C2119">
        <v>67.519997000000004</v>
      </c>
      <c r="D2119">
        <v>61.305</v>
      </c>
      <c r="E2119">
        <v>61.720001000000003</v>
      </c>
      <c r="F2119">
        <v>60.496498000000003</v>
      </c>
      <c r="G2119">
        <v>18488800</v>
      </c>
      <c r="I2119">
        <f t="shared" si="33"/>
        <v>2.4296838624058253E-3</v>
      </c>
    </row>
    <row r="2120" spans="1:9" x14ac:dyDescent="0.3">
      <c r="A2120" s="5">
        <v>44713</v>
      </c>
      <c r="B2120">
        <v>61.134998000000003</v>
      </c>
      <c r="C2120">
        <v>63.709999000000003</v>
      </c>
      <c r="D2120">
        <v>60.639999000000003</v>
      </c>
      <c r="E2120">
        <v>62.41</v>
      </c>
      <c r="F2120">
        <v>61.172817000000002</v>
      </c>
      <c r="G2120">
        <v>4459100</v>
      </c>
      <c r="I2120">
        <f t="shared" si="33"/>
        <v>1.0844548888751921E-3</v>
      </c>
    </row>
    <row r="2121" spans="1:9" x14ac:dyDescent="0.3">
      <c r="A2121" s="5">
        <v>44714</v>
      </c>
      <c r="B2121">
        <v>63.700001</v>
      </c>
      <c r="C2121">
        <v>65.139999000000003</v>
      </c>
      <c r="D2121">
        <v>62.849997999999999</v>
      </c>
      <c r="E2121">
        <v>63.830002</v>
      </c>
      <c r="F2121">
        <v>62.564670999999997</v>
      </c>
      <c r="G2121">
        <v>3923400</v>
      </c>
      <c r="I2121">
        <f t="shared" si="33"/>
        <v>6.6198740776360354E-4</v>
      </c>
    </row>
    <row r="2122" spans="1:9" x14ac:dyDescent="0.3">
      <c r="A2122" s="5">
        <v>44715</v>
      </c>
      <c r="B2122">
        <v>62.549999</v>
      </c>
      <c r="C2122">
        <v>63.049999</v>
      </c>
      <c r="D2122">
        <v>61.060001</v>
      </c>
      <c r="E2122">
        <v>61.830002</v>
      </c>
      <c r="F2122">
        <v>60.604320999999999</v>
      </c>
      <c r="G2122">
        <v>3182800</v>
      </c>
      <c r="I2122">
        <f t="shared" si="33"/>
        <v>4.576985159664217E-4</v>
      </c>
    </row>
    <row r="2123" spans="1:9" x14ac:dyDescent="0.3">
      <c r="A2123" s="5">
        <v>44718</v>
      </c>
      <c r="B2123">
        <v>62.59</v>
      </c>
      <c r="C2123">
        <v>64.25</v>
      </c>
      <c r="D2123">
        <v>61.195</v>
      </c>
      <c r="E2123">
        <v>64.019997000000004</v>
      </c>
      <c r="F2123">
        <v>62.750900000000001</v>
      </c>
      <c r="G2123">
        <v>5390900</v>
      </c>
      <c r="I2123">
        <f t="shared" si="33"/>
        <v>1.1111058015531728E-3</v>
      </c>
    </row>
    <row r="2124" spans="1:9" x14ac:dyDescent="0.3">
      <c r="A2124" s="5">
        <v>44719</v>
      </c>
      <c r="B2124">
        <v>62.799999</v>
      </c>
      <c r="C2124">
        <v>65.550003000000004</v>
      </c>
      <c r="D2124">
        <v>62.23</v>
      </c>
      <c r="E2124">
        <v>65.510002</v>
      </c>
      <c r="F2124">
        <v>64.211365000000001</v>
      </c>
      <c r="G2124">
        <v>3811100</v>
      </c>
      <c r="I2124">
        <f t="shared" ref="I2124:I2187" si="34">LN(C2124/B2124)*(LN(C2124/B2124)-LN(E2124/B2124))+LN(D2124/B2124)*(LN(D2124/B2124)-LN(E2124/B2124))</f>
        <v>4.9450623032277867E-4</v>
      </c>
    </row>
    <row r="2125" spans="1:9" x14ac:dyDescent="0.3">
      <c r="A2125" s="5">
        <v>44720</v>
      </c>
      <c r="B2125">
        <v>64.529999000000004</v>
      </c>
      <c r="C2125">
        <v>65.899001999999996</v>
      </c>
      <c r="D2125">
        <v>62.119999</v>
      </c>
      <c r="E2125">
        <v>62.279998999999997</v>
      </c>
      <c r="F2125">
        <v>61.045391000000002</v>
      </c>
      <c r="G2125">
        <v>4453300</v>
      </c>
      <c r="I2125">
        <f t="shared" si="34"/>
        <v>1.2836608149212651E-3</v>
      </c>
    </row>
    <row r="2126" spans="1:9" x14ac:dyDescent="0.3">
      <c r="A2126" s="5">
        <v>44721</v>
      </c>
      <c r="B2126">
        <v>61.459999000000003</v>
      </c>
      <c r="C2126">
        <v>61.700001</v>
      </c>
      <c r="D2126">
        <v>55.560001</v>
      </c>
      <c r="E2126">
        <v>55.560001</v>
      </c>
      <c r="F2126">
        <v>54.458613999999997</v>
      </c>
      <c r="G2126">
        <v>10339700</v>
      </c>
      <c r="I2126">
        <f t="shared" si="34"/>
        <v>4.0852777169924032E-4</v>
      </c>
    </row>
    <row r="2127" spans="1:9" x14ac:dyDescent="0.3">
      <c r="A2127" s="5">
        <v>44722</v>
      </c>
      <c r="B2127">
        <v>54.040000999999997</v>
      </c>
      <c r="C2127">
        <v>54.75</v>
      </c>
      <c r="D2127">
        <v>52.57</v>
      </c>
      <c r="E2127">
        <v>53.009998000000003</v>
      </c>
      <c r="F2127">
        <v>51.959152000000003</v>
      </c>
      <c r="G2127">
        <v>9352200</v>
      </c>
      <c r="I2127">
        <f t="shared" si="34"/>
        <v>6.5143341164741308E-4</v>
      </c>
    </row>
    <row r="2128" spans="1:9" x14ac:dyDescent="0.3">
      <c r="A2128" s="5">
        <v>44725</v>
      </c>
      <c r="B2128">
        <v>49.59</v>
      </c>
      <c r="C2128">
        <v>50.919998</v>
      </c>
      <c r="D2128">
        <v>48.27</v>
      </c>
      <c r="E2128">
        <v>49.84</v>
      </c>
      <c r="F2128">
        <v>48.851996999999997</v>
      </c>
      <c r="G2128">
        <v>7334400</v>
      </c>
      <c r="I2128">
        <f t="shared" si="34"/>
        <v>1.4309179826895674E-3</v>
      </c>
    </row>
    <row r="2129" spans="1:9" x14ac:dyDescent="0.3">
      <c r="A2129" s="5">
        <v>44726</v>
      </c>
      <c r="B2129">
        <v>50.169998</v>
      </c>
      <c r="C2129">
        <v>50.509998000000003</v>
      </c>
      <c r="D2129">
        <v>48.299999</v>
      </c>
      <c r="E2129">
        <v>48.919998</v>
      </c>
      <c r="F2129">
        <v>47.950232999999997</v>
      </c>
      <c r="G2129">
        <v>5759100</v>
      </c>
      <c r="I2129">
        <f t="shared" si="34"/>
        <v>7.005268341922445E-4</v>
      </c>
    </row>
    <row r="2130" spans="1:9" x14ac:dyDescent="0.3">
      <c r="A2130" s="5">
        <v>44727</v>
      </c>
      <c r="B2130">
        <v>49.549999</v>
      </c>
      <c r="C2130">
        <v>52.389999000000003</v>
      </c>
      <c r="D2130">
        <v>49.009998000000003</v>
      </c>
      <c r="E2130">
        <v>51.110000999999997</v>
      </c>
      <c r="F2130">
        <v>50.096825000000003</v>
      </c>
      <c r="G2130">
        <v>10392400</v>
      </c>
      <c r="I2130">
        <f t="shared" si="34"/>
        <v>1.8383457825014216E-3</v>
      </c>
    </row>
    <row r="2131" spans="1:9" x14ac:dyDescent="0.3">
      <c r="A2131" s="5">
        <v>44728</v>
      </c>
      <c r="B2131">
        <v>48.459999000000003</v>
      </c>
      <c r="C2131">
        <v>51.860000999999997</v>
      </c>
      <c r="D2131">
        <v>48.450001</v>
      </c>
      <c r="E2131">
        <v>49.68</v>
      </c>
      <c r="F2131">
        <v>48.695163999999998</v>
      </c>
      <c r="G2131">
        <v>8381300</v>
      </c>
      <c r="I2131">
        <f t="shared" si="34"/>
        <v>2.9172593840818563E-3</v>
      </c>
    </row>
    <row r="2132" spans="1:9" x14ac:dyDescent="0.3">
      <c r="A2132" s="5">
        <v>44729</v>
      </c>
      <c r="B2132">
        <v>49.470001000000003</v>
      </c>
      <c r="C2132">
        <v>50.200001</v>
      </c>
      <c r="D2132">
        <v>47.639999000000003</v>
      </c>
      <c r="E2132">
        <v>49.279998999999997</v>
      </c>
      <c r="F2132">
        <v>48.303097000000001</v>
      </c>
      <c r="G2132">
        <v>8593400</v>
      </c>
      <c r="I2132">
        <f t="shared" si="34"/>
        <v>1.5467171896751725E-3</v>
      </c>
    </row>
    <row r="2133" spans="1:9" x14ac:dyDescent="0.3">
      <c r="A2133" s="5">
        <v>44733</v>
      </c>
      <c r="B2133">
        <v>50.790000999999997</v>
      </c>
      <c r="C2133">
        <v>51.939999</v>
      </c>
      <c r="D2133">
        <v>49.490001999999997</v>
      </c>
      <c r="E2133">
        <v>50.080002</v>
      </c>
      <c r="F2133">
        <v>49.087234000000002</v>
      </c>
      <c r="G2133">
        <v>5540900</v>
      </c>
      <c r="I2133">
        <f t="shared" si="34"/>
        <v>1.123779109629659E-3</v>
      </c>
    </row>
    <row r="2134" spans="1:9" x14ac:dyDescent="0.3">
      <c r="A2134" s="5">
        <v>44734</v>
      </c>
      <c r="B2134">
        <v>47.509998000000003</v>
      </c>
      <c r="C2134">
        <v>49.889999000000003</v>
      </c>
      <c r="D2134">
        <v>47.470001000000003</v>
      </c>
      <c r="E2134">
        <v>48.900002000000001</v>
      </c>
      <c r="F2134">
        <v>47.930636999999997</v>
      </c>
      <c r="G2134">
        <v>6422400</v>
      </c>
      <c r="I2134">
        <f t="shared" si="34"/>
        <v>1.0047123534933425E-3</v>
      </c>
    </row>
    <row r="2135" spans="1:9" x14ac:dyDescent="0.3">
      <c r="A2135" s="5">
        <v>44735</v>
      </c>
      <c r="B2135">
        <v>47.98</v>
      </c>
      <c r="C2135">
        <v>48.794998</v>
      </c>
      <c r="D2135">
        <v>45.220001000000003</v>
      </c>
      <c r="E2135">
        <v>46.619999</v>
      </c>
      <c r="F2135">
        <v>45.695827000000001</v>
      </c>
      <c r="G2135">
        <v>8209100</v>
      </c>
      <c r="I2135">
        <f t="shared" si="34"/>
        <v>2.5744157823353294E-3</v>
      </c>
    </row>
    <row r="2136" spans="1:9" x14ac:dyDescent="0.3">
      <c r="A2136" s="5">
        <v>44736</v>
      </c>
      <c r="B2136">
        <v>47.189999</v>
      </c>
      <c r="C2136">
        <v>49.846001000000001</v>
      </c>
      <c r="D2136">
        <v>46.52</v>
      </c>
      <c r="E2136">
        <v>49.360000999999997</v>
      </c>
      <c r="F2136">
        <v>48.381512000000001</v>
      </c>
      <c r="G2136">
        <v>7387800</v>
      </c>
      <c r="I2136">
        <f t="shared" si="34"/>
        <v>1.3838652385191478E-3</v>
      </c>
    </row>
    <row r="2137" spans="1:9" x14ac:dyDescent="0.3">
      <c r="A2137" s="5">
        <v>44739</v>
      </c>
      <c r="B2137">
        <v>50.52</v>
      </c>
      <c r="C2137">
        <v>50.52</v>
      </c>
      <c r="D2137">
        <v>48.75</v>
      </c>
      <c r="E2137">
        <v>49.560001</v>
      </c>
      <c r="F2137">
        <v>48.577553000000002</v>
      </c>
      <c r="G2137">
        <v>4211800</v>
      </c>
      <c r="I2137">
        <f t="shared" si="34"/>
        <v>5.8770440681842203E-4</v>
      </c>
    </row>
    <row r="2138" spans="1:9" x14ac:dyDescent="0.3">
      <c r="A2138" s="5">
        <v>44740</v>
      </c>
      <c r="B2138">
        <v>50.119999</v>
      </c>
      <c r="C2138">
        <v>51.099997999999999</v>
      </c>
      <c r="D2138">
        <v>48.868000000000002</v>
      </c>
      <c r="E2138">
        <v>49.25</v>
      </c>
      <c r="F2138">
        <v>48.273693000000002</v>
      </c>
      <c r="G2138">
        <v>5221300</v>
      </c>
      <c r="I2138">
        <f t="shared" si="34"/>
        <v>9.1104177766410956E-4</v>
      </c>
    </row>
    <row r="2139" spans="1:9" x14ac:dyDescent="0.3">
      <c r="A2139" s="5">
        <v>44741</v>
      </c>
      <c r="B2139">
        <v>49.740001999999997</v>
      </c>
      <c r="C2139">
        <v>49.75</v>
      </c>
      <c r="D2139">
        <v>46.880001</v>
      </c>
      <c r="E2139">
        <v>47.619999</v>
      </c>
      <c r="F2139">
        <v>46.676006000000001</v>
      </c>
      <c r="G2139">
        <v>4292100</v>
      </c>
      <c r="I2139">
        <f t="shared" si="34"/>
        <v>9.3625131162207421E-4</v>
      </c>
    </row>
    <row r="2140" spans="1:9" x14ac:dyDescent="0.3">
      <c r="A2140" s="5">
        <v>44742</v>
      </c>
      <c r="B2140">
        <v>46.18</v>
      </c>
      <c r="C2140">
        <v>46.59</v>
      </c>
      <c r="D2140">
        <v>44.27</v>
      </c>
      <c r="E2140">
        <v>45.580002</v>
      </c>
      <c r="F2140">
        <v>44.676445000000001</v>
      </c>
      <c r="G2140">
        <v>6217300</v>
      </c>
      <c r="I2140">
        <f t="shared" si="34"/>
        <v>1.4255081844059268E-3</v>
      </c>
    </row>
    <row r="2141" spans="1:9" x14ac:dyDescent="0.3">
      <c r="A2141" s="5">
        <v>44743</v>
      </c>
      <c r="B2141">
        <v>44.884998000000003</v>
      </c>
      <c r="C2141">
        <v>45.828999000000003</v>
      </c>
      <c r="D2141">
        <v>43.349997999999999</v>
      </c>
      <c r="E2141">
        <v>44.779998999999997</v>
      </c>
      <c r="F2141">
        <v>43.892307000000002</v>
      </c>
      <c r="G2141">
        <v>6634800</v>
      </c>
      <c r="I2141">
        <f t="shared" si="34"/>
        <v>1.6112779080591564E-3</v>
      </c>
    </row>
    <row r="2142" spans="1:9" x14ac:dyDescent="0.3">
      <c r="A2142" s="5">
        <v>44747</v>
      </c>
      <c r="B2142">
        <v>42.830002</v>
      </c>
      <c r="C2142">
        <v>43.259998000000003</v>
      </c>
      <c r="D2142">
        <v>41.369999</v>
      </c>
      <c r="E2142">
        <v>42.09</v>
      </c>
      <c r="F2142">
        <v>41.255629999999996</v>
      </c>
      <c r="G2142">
        <v>7442800</v>
      </c>
      <c r="I2142">
        <f t="shared" si="34"/>
        <v>8.7232131174180859E-4</v>
      </c>
    </row>
    <row r="2143" spans="1:9" x14ac:dyDescent="0.3">
      <c r="A2143" s="5">
        <v>44748</v>
      </c>
      <c r="B2143">
        <v>41.889999000000003</v>
      </c>
      <c r="C2143">
        <v>43.119999</v>
      </c>
      <c r="D2143">
        <v>40.650002000000001</v>
      </c>
      <c r="E2143">
        <v>42.630001</v>
      </c>
      <c r="F2143">
        <v>41.784923999999997</v>
      </c>
      <c r="G2143">
        <v>8640700</v>
      </c>
      <c r="I2143">
        <f t="shared" si="34"/>
        <v>1.7598173978871433E-3</v>
      </c>
    </row>
    <row r="2144" spans="1:9" x14ac:dyDescent="0.3">
      <c r="A2144" s="5">
        <v>44749</v>
      </c>
      <c r="B2144">
        <v>45.5</v>
      </c>
      <c r="C2144">
        <v>46.73</v>
      </c>
      <c r="D2144">
        <v>45.18</v>
      </c>
      <c r="E2144">
        <v>45.650002000000001</v>
      </c>
      <c r="F2144">
        <v>44.745060000000002</v>
      </c>
      <c r="G2144">
        <v>7508200</v>
      </c>
      <c r="I2144">
        <f t="shared" si="34"/>
        <v>6.9675332859698983E-4</v>
      </c>
    </row>
    <row r="2145" spans="1:9" x14ac:dyDescent="0.3">
      <c r="A2145" s="5">
        <v>44750</v>
      </c>
      <c r="B2145">
        <v>45.630001</v>
      </c>
      <c r="C2145">
        <v>45.790000999999997</v>
      </c>
      <c r="D2145">
        <v>44.400002000000001</v>
      </c>
      <c r="E2145">
        <v>44.830002</v>
      </c>
      <c r="F2145">
        <v>43.941315000000003</v>
      </c>
      <c r="G2145">
        <v>5312500</v>
      </c>
      <c r="I2145">
        <f t="shared" si="34"/>
        <v>3.3753499701538384E-4</v>
      </c>
    </row>
    <row r="2146" spans="1:9" x14ac:dyDescent="0.3">
      <c r="A2146" s="5">
        <v>44753</v>
      </c>
      <c r="B2146">
        <v>43.82</v>
      </c>
      <c r="C2146">
        <v>44.380001</v>
      </c>
      <c r="D2146">
        <v>42.59</v>
      </c>
      <c r="E2146">
        <v>42.73</v>
      </c>
      <c r="F2146">
        <v>41.882945999999997</v>
      </c>
      <c r="G2146">
        <v>4848000</v>
      </c>
      <c r="I2146">
        <f t="shared" si="34"/>
        <v>5.745555078020576E-4</v>
      </c>
    </row>
    <row r="2147" spans="1:9" x14ac:dyDescent="0.3">
      <c r="A2147" s="5">
        <v>44754</v>
      </c>
      <c r="B2147">
        <v>41.650002000000001</v>
      </c>
      <c r="C2147">
        <v>42.950001</v>
      </c>
      <c r="D2147">
        <v>41.160998999999997</v>
      </c>
      <c r="E2147">
        <v>42.25</v>
      </c>
      <c r="F2147">
        <v>41.412457000000003</v>
      </c>
      <c r="G2147">
        <v>4309900</v>
      </c>
      <c r="I2147">
        <f t="shared" si="34"/>
        <v>8.1345417578789045E-4</v>
      </c>
    </row>
    <row r="2148" spans="1:9" x14ac:dyDescent="0.3">
      <c r="A2148" s="5">
        <v>44755</v>
      </c>
      <c r="B2148">
        <v>41.59</v>
      </c>
      <c r="C2148">
        <v>43.529998999999997</v>
      </c>
      <c r="D2148">
        <v>41.380001</v>
      </c>
      <c r="E2148">
        <v>43.189999</v>
      </c>
      <c r="F2148">
        <v>42.333824</v>
      </c>
      <c r="G2148">
        <v>3671300</v>
      </c>
      <c r="I2148">
        <f t="shared" si="34"/>
        <v>5.7420562831074311E-4</v>
      </c>
    </row>
    <row r="2149" spans="1:9" x14ac:dyDescent="0.3">
      <c r="A2149" s="5">
        <v>44756</v>
      </c>
      <c r="B2149">
        <v>40.840000000000003</v>
      </c>
      <c r="C2149">
        <v>41.150002000000001</v>
      </c>
      <c r="D2149">
        <v>39.564999</v>
      </c>
      <c r="E2149">
        <v>40.810001</v>
      </c>
      <c r="F2149">
        <v>40.001007000000001</v>
      </c>
      <c r="G2149">
        <v>5408200</v>
      </c>
      <c r="I2149">
        <f t="shared" si="34"/>
        <v>1.0454102125460251E-3</v>
      </c>
    </row>
    <row r="2150" spans="1:9" x14ac:dyDescent="0.3">
      <c r="A2150" s="5">
        <v>44757</v>
      </c>
      <c r="B2150">
        <v>41.560001</v>
      </c>
      <c r="C2150">
        <v>43.060001</v>
      </c>
      <c r="D2150">
        <v>40.310001</v>
      </c>
      <c r="E2150">
        <v>43.060001</v>
      </c>
      <c r="F2150">
        <v>42.206406000000001</v>
      </c>
      <c r="G2150">
        <v>5191700</v>
      </c>
      <c r="I2150">
        <f t="shared" si="34"/>
        <v>2.0153914884888462E-3</v>
      </c>
    </row>
    <row r="2151" spans="1:9" x14ac:dyDescent="0.3">
      <c r="A2151" s="5">
        <v>44760</v>
      </c>
      <c r="B2151">
        <v>44.470001000000003</v>
      </c>
      <c r="C2151">
        <v>45.25</v>
      </c>
      <c r="D2151">
        <v>43.084999000000003</v>
      </c>
      <c r="E2151">
        <v>43.419998</v>
      </c>
      <c r="F2151">
        <v>42.559258</v>
      </c>
      <c r="G2151">
        <v>5707300</v>
      </c>
      <c r="I2151">
        <f t="shared" si="34"/>
        <v>9.6287325050963143E-4</v>
      </c>
    </row>
    <row r="2152" spans="1:9" x14ac:dyDescent="0.3">
      <c r="A2152" s="5">
        <v>44761</v>
      </c>
      <c r="B2152">
        <v>43.290000999999997</v>
      </c>
      <c r="C2152">
        <v>44.919998</v>
      </c>
      <c r="D2152">
        <v>42.849997999999999</v>
      </c>
      <c r="E2152">
        <v>44.900002000000001</v>
      </c>
      <c r="F2152">
        <v>44.009926</v>
      </c>
      <c r="G2152">
        <v>5484100</v>
      </c>
      <c r="I2152">
        <f t="shared" si="34"/>
        <v>4.9387751875074016E-4</v>
      </c>
    </row>
    <row r="2153" spans="1:9" x14ac:dyDescent="0.3">
      <c r="A2153" s="5">
        <v>44762</v>
      </c>
      <c r="B2153">
        <v>44.669998</v>
      </c>
      <c r="C2153">
        <v>45.490001999999997</v>
      </c>
      <c r="D2153">
        <v>43.599997999999999</v>
      </c>
      <c r="E2153">
        <v>45.060001</v>
      </c>
      <c r="F2153">
        <v>44.166755999999999</v>
      </c>
      <c r="G2153">
        <v>6823200</v>
      </c>
      <c r="I2153">
        <f t="shared" si="34"/>
        <v>9.7134378830768741E-4</v>
      </c>
    </row>
    <row r="2154" spans="1:9" x14ac:dyDescent="0.3">
      <c r="A2154" s="5">
        <v>44763</v>
      </c>
      <c r="B2154">
        <v>47.330002</v>
      </c>
      <c r="C2154">
        <v>47.450001</v>
      </c>
      <c r="D2154">
        <v>43.459999000000003</v>
      </c>
      <c r="E2154">
        <v>45.150002000000001</v>
      </c>
      <c r="F2154">
        <v>44.254973999999997</v>
      </c>
      <c r="G2154">
        <v>12226200</v>
      </c>
      <c r="I2154">
        <f t="shared" si="34"/>
        <v>3.3800859408730085E-3</v>
      </c>
    </row>
    <row r="2155" spans="1:9" x14ac:dyDescent="0.3">
      <c r="A2155" s="5">
        <v>44764</v>
      </c>
      <c r="B2155">
        <v>46.049999</v>
      </c>
      <c r="C2155">
        <v>48.470001000000003</v>
      </c>
      <c r="D2155">
        <v>45.470001000000003</v>
      </c>
      <c r="E2155">
        <v>45.799999</v>
      </c>
      <c r="F2155">
        <v>44.892077999999998</v>
      </c>
      <c r="G2155">
        <v>10121200</v>
      </c>
      <c r="I2155">
        <f t="shared" si="34"/>
        <v>2.9936812824598205E-3</v>
      </c>
    </row>
    <row r="2156" spans="1:9" x14ac:dyDescent="0.3">
      <c r="A2156" s="5">
        <v>44767</v>
      </c>
      <c r="B2156">
        <v>46.799999</v>
      </c>
      <c r="C2156">
        <v>47.724997999999999</v>
      </c>
      <c r="D2156">
        <v>46.200001</v>
      </c>
      <c r="E2156">
        <v>46.799999</v>
      </c>
      <c r="F2156">
        <v>45.872261000000002</v>
      </c>
      <c r="G2156">
        <v>6842100</v>
      </c>
      <c r="I2156">
        <f t="shared" si="34"/>
        <v>5.4956565122144798E-4</v>
      </c>
    </row>
    <row r="2157" spans="1:9" x14ac:dyDescent="0.3">
      <c r="A2157" s="5">
        <v>44768</v>
      </c>
      <c r="B2157">
        <v>47.130001</v>
      </c>
      <c r="C2157">
        <v>48.224997999999999</v>
      </c>
      <c r="D2157">
        <v>46.16</v>
      </c>
      <c r="E2157">
        <v>46.990001999999997</v>
      </c>
      <c r="F2157">
        <v>46.058495000000001</v>
      </c>
      <c r="G2157">
        <v>5336700</v>
      </c>
      <c r="I2157">
        <f t="shared" si="34"/>
        <v>9.6645756649800518E-4</v>
      </c>
    </row>
    <row r="2158" spans="1:9" x14ac:dyDescent="0.3">
      <c r="A2158" s="5">
        <v>44769</v>
      </c>
      <c r="B2158">
        <v>47.604999999999997</v>
      </c>
      <c r="C2158">
        <v>47.959999000000003</v>
      </c>
      <c r="D2158">
        <v>45.889999000000003</v>
      </c>
      <c r="E2158">
        <v>47.75</v>
      </c>
      <c r="F2158">
        <v>46.803432000000001</v>
      </c>
      <c r="G2158">
        <v>4849000</v>
      </c>
      <c r="I2158">
        <f t="shared" si="34"/>
        <v>1.4903879387542897E-3</v>
      </c>
    </row>
    <row r="2159" spans="1:9" x14ac:dyDescent="0.3">
      <c r="A2159" s="5">
        <v>44770</v>
      </c>
      <c r="B2159">
        <v>48.290000999999997</v>
      </c>
      <c r="C2159">
        <v>49.220001000000003</v>
      </c>
      <c r="D2159">
        <v>46.630001</v>
      </c>
      <c r="E2159">
        <v>49.080002</v>
      </c>
      <c r="F2159">
        <v>48.107070999999998</v>
      </c>
      <c r="G2159">
        <v>5081000</v>
      </c>
      <c r="I2159">
        <f t="shared" si="34"/>
        <v>1.8455940970893679E-3</v>
      </c>
    </row>
    <row r="2160" spans="1:9" x14ac:dyDescent="0.3">
      <c r="A2160" s="5">
        <v>44771</v>
      </c>
      <c r="B2160">
        <v>49.82</v>
      </c>
      <c r="C2160">
        <v>51.014999000000003</v>
      </c>
      <c r="D2160">
        <v>49.09</v>
      </c>
      <c r="E2160">
        <v>50.889999000000003</v>
      </c>
      <c r="F2160">
        <v>49.881183999999998</v>
      </c>
      <c r="G2160">
        <v>5622000</v>
      </c>
      <c r="I2160">
        <f t="shared" si="34"/>
        <v>5.897154856309855E-4</v>
      </c>
    </row>
    <row r="2161" spans="1:9" x14ac:dyDescent="0.3">
      <c r="A2161" s="5">
        <v>44774</v>
      </c>
      <c r="B2161">
        <v>49.880001</v>
      </c>
      <c r="C2161">
        <v>50.220001000000003</v>
      </c>
      <c r="D2161">
        <v>48.060001</v>
      </c>
      <c r="E2161">
        <v>48.279998999999997</v>
      </c>
      <c r="F2161">
        <v>47.322921999999998</v>
      </c>
      <c r="G2161">
        <v>5926900</v>
      </c>
      <c r="I2161">
        <f t="shared" si="34"/>
        <v>4.3738569637753147E-4</v>
      </c>
    </row>
    <row r="2162" spans="1:9" x14ac:dyDescent="0.3">
      <c r="A2162" s="5">
        <v>44775</v>
      </c>
      <c r="B2162">
        <v>47.84</v>
      </c>
      <c r="C2162">
        <v>49.560001</v>
      </c>
      <c r="D2162">
        <v>47.261001999999998</v>
      </c>
      <c r="E2162">
        <v>48.34</v>
      </c>
      <c r="F2162">
        <v>47.381732999999997</v>
      </c>
      <c r="G2162">
        <v>4685900</v>
      </c>
      <c r="I2162">
        <f t="shared" si="34"/>
        <v>1.155263688856629E-3</v>
      </c>
    </row>
    <row r="2163" spans="1:9" x14ac:dyDescent="0.3">
      <c r="A2163" s="5">
        <v>44776</v>
      </c>
      <c r="B2163">
        <v>48.669998</v>
      </c>
      <c r="C2163">
        <v>48.853999999999999</v>
      </c>
      <c r="D2163">
        <v>47.514999000000003</v>
      </c>
      <c r="E2163">
        <v>48.490001999999997</v>
      </c>
      <c r="F2163">
        <v>47.528759000000001</v>
      </c>
      <c r="G2163">
        <v>4383100</v>
      </c>
      <c r="I2163">
        <f t="shared" si="34"/>
        <v>5.1606576011395768E-4</v>
      </c>
    </row>
    <row r="2164" spans="1:9" x14ac:dyDescent="0.3">
      <c r="A2164" s="5">
        <v>44777</v>
      </c>
      <c r="B2164">
        <v>48.540000999999997</v>
      </c>
      <c r="C2164">
        <v>49.639999000000003</v>
      </c>
      <c r="D2164">
        <v>47.200001</v>
      </c>
      <c r="E2164">
        <v>47.849997999999999</v>
      </c>
      <c r="F2164">
        <v>46.901443</v>
      </c>
      <c r="G2164">
        <v>4494600</v>
      </c>
      <c r="I2164">
        <f t="shared" si="34"/>
        <v>1.2058622617665384E-3</v>
      </c>
    </row>
    <row r="2165" spans="1:9" x14ac:dyDescent="0.3">
      <c r="A2165" s="5">
        <v>44778</v>
      </c>
      <c r="B2165">
        <v>47.490001999999997</v>
      </c>
      <c r="C2165">
        <v>51.349997999999999</v>
      </c>
      <c r="D2165">
        <v>47.450001</v>
      </c>
      <c r="E2165">
        <v>49.52</v>
      </c>
      <c r="F2165">
        <v>48.538342</v>
      </c>
      <c r="G2165">
        <v>5074800</v>
      </c>
      <c r="I2165">
        <f t="shared" si="34"/>
        <v>2.8717535127854607E-3</v>
      </c>
    </row>
    <row r="2166" spans="1:9" x14ac:dyDescent="0.3">
      <c r="A2166" s="5">
        <v>44781</v>
      </c>
      <c r="B2166">
        <v>49.650002000000001</v>
      </c>
      <c r="C2166">
        <v>50.400002000000001</v>
      </c>
      <c r="D2166">
        <v>48.470001000000003</v>
      </c>
      <c r="E2166">
        <v>48.650002000000001</v>
      </c>
      <c r="F2166">
        <v>47.782077999999998</v>
      </c>
      <c r="G2166">
        <v>4228800</v>
      </c>
      <c r="I2166">
        <f t="shared" si="34"/>
        <v>6.1899596281730169E-4</v>
      </c>
    </row>
    <row r="2167" spans="1:9" x14ac:dyDescent="0.3">
      <c r="A2167" s="5">
        <v>44782</v>
      </c>
      <c r="B2167">
        <v>49.450001</v>
      </c>
      <c r="C2167">
        <v>50.740001999999997</v>
      </c>
      <c r="D2167">
        <v>49.259998000000003</v>
      </c>
      <c r="E2167">
        <v>50.380001</v>
      </c>
      <c r="F2167">
        <v>49.481216000000003</v>
      </c>
      <c r="G2167">
        <v>4725300</v>
      </c>
      <c r="I2167">
        <f t="shared" si="34"/>
        <v>2.6991501550195185E-4</v>
      </c>
    </row>
    <row r="2168" spans="1:9" x14ac:dyDescent="0.3">
      <c r="A2168" s="5">
        <v>44783</v>
      </c>
      <c r="B2168">
        <v>51.32</v>
      </c>
      <c r="C2168">
        <v>53.450001</v>
      </c>
      <c r="D2168">
        <v>50.794998</v>
      </c>
      <c r="E2168">
        <v>52.950001</v>
      </c>
      <c r="F2168">
        <v>52.005367</v>
      </c>
      <c r="G2168">
        <v>5677800</v>
      </c>
      <c r="I2168">
        <f t="shared" si="34"/>
        <v>8.0944956214066676E-4</v>
      </c>
    </row>
    <row r="2169" spans="1:9" x14ac:dyDescent="0.3">
      <c r="A2169" s="5">
        <v>44784</v>
      </c>
      <c r="B2169">
        <v>54.27</v>
      </c>
      <c r="C2169">
        <v>55.630001</v>
      </c>
      <c r="D2169">
        <v>53.119999</v>
      </c>
      <c r="E2169">
        <v>53.27</v>
      </c>
      <c r="F2169">
        <v>52.319659999999999</v>
      </c>
      <c r="G2169">
        <v>4924500</v>
      </c>
      <c r="I2169">
        <f t="shared" si="34"/>
        <v>1.1333368917594855E-3</v>
      </c>
    </row>
    <row r="2170" spans="1:9" x14ac:dyDescent="0.3">
      <c r="A2170" s="5">
        <v>44785</v>
      </c>
      <c r="B2170">
        <v>52.400002000000001</v>
      </c>
      <c r="C2170">
        <v>53.43</v>
      </c>
      <c r="D2170">
        <v>51.77</v>
      </c>
      <c r="E2170">
        <v>52.759998000000003</v>
      </c>
      <c r="F2170">
        <v>51.818756</v>
      </c>
      <c r="G2170">
        <v>4262700</v>
      </c>
      <c r="I2170">
        <f t="shared" si="34"/>
        <v>4.7476441924532424E-4</v>
      </c>
    </row>
    <row r="2171" spans="1:9" x14ac:dyDescent="0.3">
      <c r="A2171" s="5">
        <v>44788</v>
      </c>
      <c r="B2171">
        <v>50.59</v>
      </c>
      <c r="C2171">
        <v>52.18</v>
      </c>
      <c r="D2171">
        <v>49.93</v>
      </c>
      <c r="E2171">
        <v>51.700001</v>
      </c>
      <c r="F2171">
        <v>50.777667999999998</v>
      </c>
      <c r="G2171">
        <v>4225000</v>
      </c>
      <c r="I2171">
        <f t="shared" si="34"/>
        <v>7.4344087401816659E-4</v>
      </c>
    </row>
    <row r="2172" spans="1:9" x14ac:dyDescent="0.3">
      <c r="A2172" s="5">
        <v>44789</v>
      </c>
      <c r="B2172">
        <v>52.799999</v>
      </c>
      <c r="C2172">
        <v>53.889999000000003</v>
      </c>
      <c r="D2172">
        <v>52.59</v>
      </c>
      <c r="E2172">
        <v>53.119999</v>
      </c>
      <c r="F2172">
        <v>52.172328999999998</v>
      </c>
      <c r="G2172">
        <v>4925100</v>
      </c>
      <c r="I2172">
        <f t="shared" si="34"/>
        <v>3.3403213101712602E-4</v>
      </c>
    </row>
    <row r="2173" spans="1:9" x14ac:dyDescent="0.3">
      <c r="A2173" s="5">
        <v>44790</v>
      </c>
      <c r="B2173">
        <v>52.029998999999997</v>
      </c>
      <c r="C2173">
        <v>52.439999</v>
      </c>
      <c r="D2173">
        <v>51.290000999999997</v>
      </c>
      <c r="E2173">
        <v>51.98</v>
      </c>
      <c r="F2173">
        <v>51.052672999999999</v>
      </c>
      <c r="G2173">
        <v>4020300</v>
      </c>
      <c r="I2173">
        <f t="shared" si="34"/>
        <v>2.6057918560024062E-4</v>
      </c>
    </row>
    <row r="2174" spans="1:9" x14ac:dyDescent="0.3">
      <c r="A2174" s="5">
        <v>44791</v>
      </c>
      <c r="B2174">
        <v>52.57</v>
      </c>
      <c r="C2174">
        <v>54.200001</v>
      </c>
      <c r="D2174">
        <v>52.360000999999997</v>
      </c>
      <c r="E2174">
        <v>53.84</v>
      </c>
      <c r="F2174">
        <v>52.879489999999997</v>
      </c>
      <c r="G2174">
        <v>4021500</v>
      </c>
      <c r="I2174">
        <f t="shared" si="34"/>
        <v>3.1506359260169523E-4</v>
      </c>
    </row>
    <row r="2175" spans="1:9" x14ac:dyDescent="0.3">
      <c r="A2175" s="5">
        <v>44792</v>
      </c>
      <c r="B2175">
        <v>52.529998999999997</v>
      </c>
      <c r="C2175">
        <v>52.779998999999997</v>
      </c>
      <c r="D2175">
        <v>50.685001</v>
      </c>
      <c r="E2175">
        <v>51.009998000000003</v>
      </c>
      <c r="F2175">
        <v>50.099972000000001</v>
      </c>
      <c r="G2175">
        <v>4467100</v>
      </c>
      <c r="I2175">
        <f t="shared" si="34"/>
        <v>3.9048247634294376E-4</v>
      </c>
    </row>
    <row r="2176" spans="1:9" x14ac:dyDescent="0.3">
      <c r="A2176" s="5">
        <v>44795</v>
      </c>
      <c r="B2176">
        <v>50</v>
      </c>
      <c r="C2176">
        <v>50.950001</v>
      </c>
      <c r="D2176">
        <v>49.060001</v>
      </c>
      <c r="E2176">
        <v>50.27</v>
      </c>
      <c r="F2176">
        <v>49.373179999999998</v>
      </c>
      <c r="G2176">
        <v>4339800</v>
      </c>
      <c r="I2176">
        <f t="shared" si="34"/>
        <v>7.1530601825942812E-4</v>
      </c>
    </row>
    <row r="2177" spans="1:9" x14ac:dyDescent="0.3">
      <c r="A2177" s="5">
        <v>44796</v>
      </c>
      <c r="B2177">
        <v>51.060001</v>
      </c>
      <c r="C2177">
        <v>53.875</v>
      </c>
      <c r="D2177">
        <v>50.669998</v>
      </c>
      <c r="E2177">
        <v>53.09</v>
      </c>
      <c r="F2177">
        <v>52.142871999999997</v>
      </c>
      <c r="G2177">
        <v>5267000</v>
      </c>
      <c r="I2177">
        <f t="shared" si="34"/>
        <v>1.1454164668793683E-3</v>
      </c>
    </row>
    <row r="2178" spans="1:9" x14ac:dyDescent="0.3">
      <c r="A2178" s="5">
        <v>44797</v>
      </c>
      <c r="B2178">
        <v>52.110000999999997</v>
      </c>
      <c r="C2178">
        <v>54.459999000000003</v>
      </c>
      <c r="D2178">
        <v>51.77</v>
      </c>
      <c r="E2178">
        <v>54.43</v>
      </c>
      <c r="F2178">
        <v>53.458964999999999</v>
      </c>
      <c r="G2178">
        <v>4943600</v>
      </c>
      <c r="I2178">
        <f t="shared" si="34"/>
        <v>3.5229207119092737E-4</v>
      </c>
    </row>
    <row r="2179" spans="1:9" x14ac:dyDescent="0.3">
      <c r="A2179" s="5">
        <v>44798</v>
      </c>
      <c r="B2179">
        <v>55.189999</v>
      </c>
      <c r="C2179">
        <v>57</v>
      </c>
      <c r="D2179">
        <v>54.400002000000001</v>
      </c>
      <c r="E2179">
        <v>56.919998</v>
      </c>
      <c r="F2179">
        <v>55.904533000000001</v>
      </c>
      <c r="G2179">
        <v>4968500</v>
      </c>
      <c r="I2179">
        <f t="shared" si="34"/>
        <v>6.9818772384705528E-4</v>
      </c>
    </row>
    <row r="2180" spans="1:9" x14ac:dyDescent="0.3">
      <c r="A2180" s="5">
        <v>44799</v>
      </c>
      <c r="B2180">
        <v>57.669998</v>
      </c>
      <c r="C2180">
        <v>58.235000999999997</v>
      </c>
      <c r="D2180">
        <v>55.200001</v>
      </c>
      <c r="E2180">
        <v>55.84</v>
      </c>
      <c r="F2180">
        <v>54.843806999999998</v>
      </c>
      <c r="G2180">
        <v>5506800</v>
      </c>
      <c r="I2180">
        <f t="shared" si="34"/>
        <v>9.1404613355197824E-4</v>
      </c>
    </row>
    <row r="2181" spans="1:9" x14ac:dyDescent="0.3">
      <c r="A2181" s="5">
        <v>44802</v>
      </c>
      <c r="B2181">
        <v>55.169998</v>
      </c>
      <c r="C2181">
        <v>56.883999000000003</v>
      </c>
      <c r="D2181">
        <v>54.669998</v>
      </c>
      <c r="E2181">
        <v>55.5</v>
      </c>
      <c r="F2181">
        <v>54.509872000000001</v>
      </c>
      <c r="G2181">
        <v>5515800</v>
      </c>
      <c r="I2181">
        <f t="shared" si="34"/>
        <v>8.9076435423340275E-4</v>
      </c>
    </row>
    <row r="2182" spans="1:9" x14ac:dyDescent="0.3">
      <c r="A2182" s="5">
        <v>44803</v>
      </c>
      <c r="B2182">
        <v>54.889999000000003</v>
      </c>
      <c r="C2182">
        <v>54.889999000000003</v>
      </c>
      <c r="D2182">
        <v>50.029998999999997</v>
      </c>
      <c r="E2182">
        <v>50.790000999999997</v>
      </c>
      <c r="F2182">
        <v>49.883899999999997</v>
      </c>
      <c r="G2182">
        <v>7757500</v>
      </c>
      <c r="I2182">
        <f t="shared" si="34"/>
        <v>1.3977360199549963E-3</v>
      </c>
    </row>
    <row r="2183" spans="1:9" x14ac:dyDescent="0.3">
      <c r="A2183" s="5">
        <v>44804</v>
      </c>
      <c r="B2183">
        <v>50.330002</v>
      </c>
      <c r="C2183">
        <v>50.610000999999997</v>
      </c>
      <c r="D2183">
        <v>48.889999000000003</v>
      </c>
      <c r="E2183">
        <v>49.48</v>
      </c>
      <c r="F2183">
        <v>48.597275000000003</v>
      </c>
      <c r="G2183">
        <v>5649700</v>
      </c>
      <c r="I2183">
        <f t="shared" si="34"/>
        <v>4.7349095547850992E-4</v>
      </c>
    </row>
    <row r="2184" spans="1:9" x14ac:dyDescent="0.3">
      <c r="A2184" s="5">
        <v>44805</v>
      </c>
      <c r="B2184">
        <v>47.695</v>
      </c>
      <c r="C2184">
        <v>48.41</v>
      </c>
      <c r="D2184">
        <v>46.099997999999999</v>
      </c>
      <c r="E2184">
        <v>48.080002</v>
      </c>
      <c r="F2184">
        <v>47.222251999999997</v>
      </c>
      <c r="G2184">
        <v>5971400</v>
      </c>
      <c r="I2184">
        <f t="shared" si="34"/>
        <v>1.5321702074769092E-3</v>
      </c>
    </row>
    <row r="2185" spans="1:9" x14ac:dyDescent="0.3">
      <c r="A2185" s="5">
        <v>44806</v>
      </c>
      <c r="B2185">
        <v>49.279998999999997</v>
      </c>
      <c r="C2185">
        <v>50.349997999999999</v>
      </c>
      <c r="D2185">
        <v>48.93</v>
      </c>
      <c r="E2185">
        <v>49.25</v>
      </c>
      <c r="F2185">
        <v>48.371372000000001</v>
      </c>
      <c r="G2185">
        <v>3963100</v>
      </c>
      <c r="I2185">
        <f t="shared" si="34"/>
        <v>5.2094484224652086E-4</v>
      </c>
    </row>
    <row r="2186" spans="1:9" x14ac:dyDescent="0.3">
      <c r="A2186" s="5">
        <v>44810</v>
      </c>
      <c r="B2186">
        <v>49.66</v>
      </c>
      <c r="C2186">
        <v>50.52</v>
      </c>
      <c r="D2186">
        <v>47.450001</v>
      </c>
      <c r="E2186">
        <v>47.91</v>
      </c>
      <c r="F2186">
        <v>47.055283000000003</v>
      </c>
      <c r="G2186">
        <v>6800900</v>
      </c>
      <c r="I2186">
        <f t="shared" si="34"/>
        <v>1.3499525715418843E-3</v>
      </c>
    </row>
    <row r="2187" spans="1:9" x14ac:dyDescent="0.3">
      <c r="A2187" s="5">
        <v>44811</v>
      </c>
      <c r="B2187">
        <v>47.02</v>
      </c>
      <c r="C2187">
        <v>48.07</v>
      </c>
      <c r="D2187">
        <v>46.119999</v>
      </c>
      <c r="E2187">
        <v>47.66</v>
      </c>
      <c r="F2187">
        <v>46.809742</v>
      </c>
      <c r="G2187">
        <v>5242800</v>
      </c>
      <c r="I2187">
        <f t="shared" si="34"/>
        <v>8.2396798876450896E-4</v>
      </c>
    </row>
    <row r="2188" spans="1:9" x14ac:dyDescent="0.3">
      <c r="A2188" s="5">
        <v>44812</v>
      </c>
      <c r="B2188">
        <v>47.98</v>
      </c>
      <c r="C2188">
        <v>48.939999</v>
      </c>
      <c r="D2188">
        <v>47.150002000000001</v>
      </c>
      <c r="E2188">
        <v>48.860000999999997</v>
      </c>
      <c r="F2188">
        <v>47.988334999999999</v>
      </c>
      <c r="G2188">
        <v>5264300</v>
      </c>
      <c r="I2188">
        <f t="shared" ref="I2188:I2251" si="35">LN(C2188/B2188)*(LN(C2188/B2188)-LN(E2188/B2188))+LN(D2188/B2188)*(LN(D2188/B2188)-LN(E2188/B2188))</f>
        <v>6.5407366422243348E-4</v>
      </c>
    </row>
    <row r="2189" spans="1:9" x14ac:dyDescent="0.3">
      <c r="A2189" s="5">
        <v>44813</v>
      </c>
      <c r="B2189">
        <v>50.400002000000001</v>
      </c>
      <c r="C2189">
        <v>53.07</v>
      </c>
      <c r="D2189">
        <v>50.27</v>
      </c>
      <c r="E2189">
        <v>52.619999</v>
      </c>
      <c r="F2189">
        <v>51.681252000000001</v>
      </c>
      <c r="G2189">
        <v>7268800</v>
      </c>
      <c r="I2189">
        <f t="shared" si="35"/>
        <v>5.5757666304457785E-4</v>
      </c>
    </row>
    <row r="2190" spans="1:9" x14ac:dyDescent="0.3">
      <c r="A2190" s="5">
        <v>44816</v>
      </c>
      <c r="B2190">
        <v>53.400002000000001</v>
      </c>
      <c r="C2190">
        <v>53.790000999999997</v>
      </c>
      <c r="D2190">
        <v>51.560001</v>
      </c>
      <c r="E2190">
        <v>52.34</v>
      </c>
      <c r="F2190">
        <v>51.40625</v>
      </c>
      <c r="G2190">
        <v>5283200</v>
      </c>
      <c r="I2190">
        <f t="shared" si="35"/>
        <v>7.2533545339028768E-4</v>
      </c>
    </row>
    <row r="2191" spans="1:9" x14ac:dyDescent="0.3">
      <c r="A2191" s="5">
        <v>44817</v>
      </c>
      <c r="B2191">
        <v>50.34</v>
      </c>
      <c r="C2191">
        <v>52.439999</v>
      </c>
      <c r="D2191">
        <v>49.830002</v>
      </c>
      <c r="E2191">
        <v>50.290000999999997</v>
      </c>
      <c r="F2191">
        <v>49.392822000000002</v>
      </c>
      <c r="G2191">
        <v>4331600</v>
      </c>
      <c r="I2191">
        <f t="shared" si="35"/>
        <v>1.8045106272425516E-3</v>
      </c>
    </row>
    <row r="2192" spans="1:9" x14ac:dyDescent="0.3">
      <c r="A2192" s="5">
        <v>44818</v>
      </c>
      <c r="B2192">
        <v>49.095001000000003</v>
      </c>
      <c r="C2192">
        <v>49.470001000000003</v>
      </c>
      <c r="D2192">
        <v>44.029998999999997</v>
      </c>
      <c r="E2192">
        <v>44.810001</v>
      </c>
      <c r="F2192">
        <v>44.010586000000004</v>
      </c>
      <c r="G2192">
        <v>13376400</v>
      </c>
      <c r="I2192">
        <f t="shared" si="35"/>
        <v>2.6648750208043783E-3</v>
      </c>
    </row>
    <row r="2193" spans="1:9" x14ac:dyDescent="0.3">
      <c r="A2193" s="5">
        <v>44819</v>
      </c>
      <c r="B2193">
        <v>44.57</v>
      </c>
      <c r="C2193">
        <v>45.540000999999997</v>
      </c>
      <c r="D2193">
        <v>43.012999999999998</v>
      </c>
      <c r="E2193">
        <v>43.139999000000003</v>
      </c>
      <c r="F2193">
        <v>42.370376999999998</v>
      </c>
      <c r="G2193">
        <v>8631700</v>
      </c>
      <c r="I2193">
        <f t="shared" si="35"/>
        <v>1.2704840135874939E-3</v>
      </c>
    </row>
    <row r="2194" spans="1:9" x14ac:dyDescent="0.3">
      <c r="A2194" s="5">
        <v>44820</v>
      </c>
      <c r="B2194">
        <v>43.099997999999999</v>
      </c>
      <c r="C2194">
        <v>43.759998000000003</v>
      </c>
      <c r="D2194">
        <v>41.610000999999997</v>
      </c>
      <c r="E2194">
        <v>42.459999000000003</v>
      </c>
      <c r="F2194">
        <v>41.702511000000001</v>
      </c>
      <c r="G2194">
        <v>11489600</v>
      </c>
      <c r="I2194">
        <f t="shared" si="35"/>
        <v>1.1697656805040139E-3</v>
      </c>
    </row>
    <row r="2195" spans="1:9" x14ac:dyDescent="0.3">
      <c r="A2195" s="5">
        <v>44823</v>
      </c>
      <c r="B2195">
        <v>41.25</v>
      </c>
      <c r="C2195">
        <v>45.119999</v>
      </c>
      <c r="D2195">
        <v>41.092998999999999</v>
      </c>
      <c r="E2195">
        <v>44.630001</v>
      </c>
      <c r="F2195">
        <v>43.833796999999997</v>
      </c>
      <c r="G2195">
        <v>6567000</v>
      </c>
      <c r="I2195">
        <f t="shared" si="35"/>
        <v>1.2940434543406343E-3</v>
      </c>
    </row>
    <row r="2196" spans="1:9" x14ac:dyDescent="0.3">
      <c r="A2196" s="5">
        <v>44824</v>
      </c>
      <c r="B2196">
        <v>43.580002</v>
      </c>
      <c r="C2196">
        <v>43.799999</v>
      </c>
      <c r="D2196">
        <v>42.700001</v>
      </c>
      <c r="E2196">
        <v>43.529998999999997</v>
      </c>
      <c r="F2196">
        <v>42.753418000000003</v>
      </c>
      <c r="G2196">
        <v>5023600</v>
      </c>
      <c r="I2196">
        <f t="shared" si="35"/>
        <v>4.2385371754850767E-4</v>
      </c>
    </row>
    <row r="2197" spans="1:9" x14ac:dyDescent="0.3">
      <c r="A2197" s="5">
        <v>44825</v>
      </c>
      <c r="B2197">
        <v>43.5</v>
      </c>
      <c r="C2197">
        <v>43.869999</v>
      </c>
      <c r="D2197">
        <v>39.369999</v>
      </c>
      <c r="E2197">
        <v>39.409999999999997</v>
      </c>
      <c r="F2197">
        <v>38.706921000000001</v>
      </c>
      <c r="G2197">
        <v>11720000</v>
      </c>
      <c r="I2197">
        <f t="shared" si="35"/>
        <v>1.0093559361493837E-3</v>
      </c>
    </row>
    <row r="2198" spans="1:9" x14ac:dyDescent="0.3">
      <c r="A2198" s="5">
        <v>44826</v>
      </c>
      <c r="B2198">
        <v>39.939999</v>
      </c>
      <c r="C2198">
        <v>40.389999000000003</v>
      </c>
      <c r="D2198">
        <v>37.479999999999997</v>
      </c>
      <c r="E2198">
        <v>37.520000000000003</v>
      </c>
      <c r="F2198">
        <v>36.850642999999998</v>
      </c>
      <c r="G2198">
        <v>9867700</v>
      </c>
      <c r="I2198">
        <f t="shared" si="35"/>
        <v>8.9362701108108909E-4</v>
      </c>
    </row>
    <row r="2199" spans="1:9" x14ac:dyDescent="0.3">
      <c r="A2199" s="5">
        <v>44827</v>
      </c>
      <c r="B2199">
        <v>35.900002000000001</v>
      </c>
      <c r="C2199">
        <v>36.32</v>
      </c>
      <c r="D2199">
        <v>35.110000999999997</v>
      </c>
      <c r="E2199">
        <v>35.509998000000003</v>
      </c>
      <c r="F2199">
        <v>34.876494999999998</v>
      </c>
      <c r="G2199">
        <v>8163900</v>
      </c>
      <c r="I2199">
        <f t="shared" si="35"/>
        <v>5.1440234874819391E-4</v>
      </c>
    </row>
    <row r="2200" spans="1:9" x14ac:dyDescent="0.3">
      <c r="A2200" s="5">
        <v>44830</v>
      </c>
      <c r="B2200">
        <v>35.090000000000003</v>
      </c>
      <c r="C2200">
        <v>36.020000000000003</v>
      </c>
      <c r="D2200">
        <v>34.345001000000003</v>
      </c>
      <c r="E2200">
        <v>34.470001000000003</v>
      </c>
      <c r="F2200">
        <v>33.855052999999998</v>
      </c>
      <c r="G2200">
        <v>7275500</v>
      </c>
      <c r="I2200">
        <f t="shared" si="35"/>
        <v>1.2285261024855907E-3</v>
      </c>
    </row>
    <row r="2201" spans="1:9" x14ac:dyDescent="0.3">
      <c r="A2201" s="5">
        <v>44831</v>
      </c>
      <c r="B2201">
        <v>35.040000999999997</v>
      </c>
      <c r="C2201">
        <v>35.840000000000003</v>
      </c>
      <c r="D2201">
        <v>34.400002000000001</v>
      </c>
      <c r="E2201">
        <v>34.700001</v>
      </c>
      <c r="F2201">
        <v>34.080944000000002</v>
      </c>
      <c r="G2201">
        <v>8346300</v>
      </c>
      <c r="I2201">
        <f t="shared" si="35"/>
        <v>8.8977244916691573E-4</v>
      </c>
    </row>
    <row r="2202" spans="1:9" x14ac:dyDescent="0.3">
      <c r="A2202" s="5">
        <v>44832</v>
      </c>
      <c r="B2202">
        <v>34.68</v>
      </c>
      <c r="C2202">
        <v>35.529998999999997</v>
      </c>
      <c r="D2202">
        <v>33.700001</v>
      </c>
      <c r="E2202">
        <v>35.229999999999997</v>
      </c>
      <c r="F2202">
        <v>34.601494000000002</v>
      </c>
      <c r="G2202">
        <v>9904800</v>
      </c>
      <c r="I2202">
        <f t="shared" si="35"/>
        <v>1.478064129300886E-3</v>
      </c>
    </row>
    <row r="2203" spans="1:9" x14ac:dyDescent="0.3">
      <c r="A2203" s="5">
        <v>44833</v>
      </c>
      <c r="B2203">
        <v>37.150002000000001</v>
      </c>
      <c r="C2203">
        <v>37.549999</v>
      </c>
      <c r="D2203">
        <v>34.270000000000003</v>
      </c>
      <c r="E2203">
        <v>35.43</v>
      </c>
      <c r="F2203">
        <v>34.797927999999999</v>
      </c>
      <c r="G2203">
        <v>13168100</v>
      </c>
      <c r="I2203">
        <f t="shared" si="35"/>
        <v>3.3085499708276622E-3</v>
      </c>
    </row>
    <row r="2204" spans="1:9" x14ac:dyDescent="0.3">
      <c r="A2204" s="5">
        <v>44834</v>
      </c>
      <c r="B2204">
        <v>34.810001</v>
      </c>
      <c r="C2204">
        <v>35.740001999999997</v>
      </c>
      <c r="D2204">
        <v>33.549999</v>
      </c>
      <c r="E2204">
        <v>33.659999999999997</v>
      </c>
      <c r="F2204">
        <v>33.059502000000002</v>
      </c>
      <c r="G2204">
        <v>9024600</v>
      </c>
      <c r="I2204">
        <f t="shared" si="35"/>
        <v>1.701587133401698E-3</v>
      </c>
    </row>
    <row r="2205" spans="1:9" x14ac:dyDescent="0.3">
      <c r="A2205" s="5">
        <v>44837</v>
      </c>
      <c r="B2205">
        <v>34.349997999999999</v>
      </c>
      <c r="C2205">
        <v>37.939999</v>
      </c>
      <c r="D2205">
        <v>34</v>
      </c>
      <c r="E2205">
        <v>37.389999000000003</v>
      </c>
      <c r="F2205">
        <v>36.722957999999998</v>
      </c>
      <c r="G2205">
        <v>9731400</v>
      </c>
      <c r="I2205">
        <f t="shared" si="35"/>
        <v>2.4249381684884001E-3</v>
      </c>
    </row>
    <row r="2206" spans="1:9" x14ac:dyDescent="0.3">
      <c r="A2206" s="5">
        <v>44838</v>
      </c>
      <c r="B2206">
        <v>39.159999999999997</v>
      </c>
      <c r="C2206">
        <v>40.389999000000003</v>
      </c>
      <c r="D2206">
        <v>38.380001</v>
      </c>
      <c r="E2206">
        <v>40.229999999999997</v>
      </c>
      <c r="F2206">
        <v>39.512290999999998</v>
      </c>
      <c r="G2206">
        <v>9700700</v>
      </c>
      <c r="I2206">
        <f t="shared" si="35"/>
        <v>1.0698992567117385E-3</v>
      </c>
    </row>
    <row r="2207" spans="1:9" x14ac:dyDescent="0.3">
      <c r="A2207" s="5">
        <v>44839</v>
      </c>
      <c r="B2207">
        <v>38.93</v>
      </c>
      <c r="C2207">
        <v>40.419998</v>
      </c>
      <c r="D2207">
        <v>38.310001</v>
      </c>
      <c r="E2207">
        <v>40.080002</v>
      </c>
      <c r="F2207">
        <v>39.364970999999997</v>
      </c>
      <c r="G2207">
        <v>7798400</v>
      </c>
      <c r="I2207">
        <f t="shared" si="35"/>
        <v>1.0423822840440427E-3</v>
      </c>
    </row>
    <row r="2208" spans="1:9" x14ac:dyDescent="0.3">
      <c r="A2208" s="5">
        <v>44840</v>
      </c>
      <c r="B2208">
        <v>39.369999</v>
      </c>
      <c r="C2208">
        <v>40.349997999999999</v>
      </c>
      <c r="D2208">
        <v>38.650002000000001</v>
      </c>
      <c r="E2208">
        <v>39.849997999999999</v>
      </c>
      <c r="F2208">
        <v>39.139068999999999</v>
      </c>
      <c r="G2208">
        <v>6853900</v>
      </c>
      <c r="I2208">
        <f t="shared" si="35"/>
        <v>8.7091862531533254E-4</v>
      </c>
    </row>
    <row r="2209" spans="1:9" x14ac:dyDescent="0.3">
      <c r="A2209" s="5">
        <v>44841</v>
      </c>
      <c r="B2209">
        <v>39.040000999999997</v>
      </c>
      <c r="C2209">
        <v>39.354999999999997</v>
      </c>
      <c r="D2209">
        <v>37.880001</v>
      </c>
      <c r="E2209">
        <v>39.009998000000003</v>
      </c>
      <c r="F2209">
        <v>38.314053000000001</v>
      </c>
      <c r="G2209">
        <v>6270400</v>
      </c>
      <c r="I2209">
        <f t="shared" si="35"/>
        <v>9.5740574276550236E-4</v>
      </c>
    </row>
    <row r="2210" spans="1:9" x14ac:dyDescent="0.3">
      <c r="A2210" s="5">
        <v>44844</v>
      </c>
      <c r="B2210">
        <v>39.5</v>
      </c>
      <c r="C2210">
        <v>40.189999</v>
      </c>
      <c r="D2210">
        <v>38.462001999999998</v>
      </c>
      <c r="E2210">
        <v>38.840000000000003</v>
      </c>
      <c r="F2210">
        <v>38.147091000000003</v>
      </c>
      <c r="G2210">
        <v>5590100</v>
      </c>
      <c r="I2210">
        <f t="shared" si="35"/>
        <v>8.5213301203955949E-4</v>
      </c>
    </row>
    <row r="2211" spans="1:9" x14ac:dyDescent="0.3">
      <c r="A2211" s="5">
        <v>44845</v>
      </c>
      <c r="B2211">
        <v>37.860000999999997</v>
      </c>
      <c r="C2211">
        <v>39.07</v>
      </c>
      <c r="D2211">
        <v>37.290000999999997</v>
      </c>
      <c r="E2211">
        <v>37.849997999999999</v>
      </c>
      <c r="F2211">
        <v>37.174754999999998</v>
      </c>
      <c r="G2211">
        <v>4918700</v>
      </c>
      <c r="I2211">
        <f t="shared" si="35"/>
        <v>1.2241469599847384E-3</v>
      </c>
    </row>
    <row r="2212" spans="1:9" x14ac:dyDescent="0.3">
      <c r="A2212" s="5">
        <v>44846</v>
      </c>
      <c r="B2212">
        <v>37.779998999999997</v>
      </c>
      <c r="C2212">
        <v>41.110000999999997</v>
      </c>
      <c r="D2212">
        <v>36.580002</v>
      </c>
      <c r="E2212">
        <v>39.860000999999997</v>
      </c>
      <c r="F2212">
        <v>39.148895000000003</v>
      </c>
      <c r="G2212">
        <v>17974200</v>
      </c>
      <c r="I2212">
        <f t="shared" si="35"/>
        <v>5.3800976708085636E-3</v>
      </c>
    </row>
    <row r="2213" spans="1:9" x14ac:dyDescent="0.3">
      <c r="A2213" s="5">
        <v>44847</v>
      </c>
      <c r="B2213">
        <v>38.639999000000003</v>
      </c>
      <c r="C2213">
        <v>40.970001000000003</v>
      </c>
      <c r="D2213">
        <v>38.290000999999997</v>
      </c>
      <c r="E2213">
        <v>40.880001</v>
      </c>
      <c r="F2213">
        <v>40.150696000000003</v>
      </c>
      <c r="G2213">
        <v>8221700</v>
      </c>
      <c r="I2213">
        <f t="shared" si="35"/>
        <v>7.2432659715718293E-4</v>
      </c>
    </row>
    <row r="2214" spans="1:9" x14ac:dyDescent="0.3">
      <c r="A2214" s="5">
        <v>44848</v>
      </c>
      <c r="B2214">
        <v>40.939999</v>
      </c>
      <c r="C2214">
        <v>40.939999</v>
      </c>
      <c r="D2214">
        <v>37.889999000000003</v>
      </c>
      <c r="E2214">
        <v>38.349997999999999</v>
      </c>
      <c r="F2214">
        <v>37.665829000000002</v>
      </c>
      <c r="G2214">
        <v>5605600</v>
      </c>
      <c r="I2214">
        <f t="shared" si="35"/>
        <v>9.3425289723040802E-4</v>
      </c>
    </row>
    <row r="2215" spans="1:9" x14ac:dyDescent="0.3">
      <c r="A2215" s="5">
        <v>44851</v>
      </c>
      <c r="B2215">
        <v>39.450001</v>
      </c>
      <c r="C2215">
        <v>40.290000999999997</v>
      </c>
      <c r="D2215">
        <v>38.400002000000001</v>
      </c>
      <c r="E2215">
        <v>39.380001</v>
      </c>
      <c r="F2215">
        <v>38.677452000000002</v>
      </c>
      <c r="G2215">
        <v>5538000</v>
      </c>
      <c r="I2215">
        <f t="shared" si="35"/>
        <v>1.1611569668111743E-3</v>
      </c>
    </row>
    <row r="2216" spans="1:9" x14ac:dyDescent="0.3">
      <c r="A2216" s="5">
        <v>44852</v>
      </c>
      <c r="B2216">
        <v>40.369999</v>
      </c>
      <c r="C2216">
        <v>40.580002</v>
      </c>
      <c r="D2216">
        <v>38.577998999999998</v>
      </c>
      <c r="E2216">
        <v>39.709999000000003</v>
      </c>
      <c r="F2216">
        <v>39.001567999999999</v>
      </c>
      <c r="G2216">
        <v>5082700</v>
      </c>
      <c r="I2216">
        <f t="shared" si="35"/>
        <v>1.4255924011912433E-3</v>
      </c>
    </row>
    <row r="2217" spans="1:9" x14ac:dyDescent="0.3">
      <c r="A2217" s="5">
        <v>44853</v>
      </c>
      <c r="B2217">
        <v>39.020000000000003</v>
      </c>
      <c r="C2217">
        <v>39.310001</v>
      </c>
      <c r="D2217">
        <v>37.150002000000001</v>
      </c>
      <c r="E2217">
        <v>37.619999</v>
      </c>
      <c r="F2217">
        <v>36.948853</v>
      </c>
      <c r="G2217">
        <v>8372800</v>
      </c>
      <c r="I2217">
        <f t="shared" si="35"/>
        <v>9.4279885620965429E-4</v>
      </c>
    </row>
    <row r="2218" spans="1:9" x14ac:dyDescent="0.3">
      <c r="A2218" s="5">
        <v>44854</v>
      </c>
      <c r="B2218">
        <v>35.82</v>
      </c>
      <c r="C2218">
        <v>41.669998</v>
      </c>
      <c r="D2218">
        <v>35.400002000000001</v>
      </c>
      <c r="E2218">
        <v>38.909999999999997</v>
      </c>
      <c r="F2218">
        <v>38.215839000000003</v>
      </c>
      <c r="G2218">
        <v>36329500</v>
      </c>
      <c r="I2218">
        <f t="shared" si="35"/>
        <v>1.1481939478148274E-2</v>
      </c>
    </row>
    <row r="2219" spans="1:9" x14ac:dyDescent="0.3">
      <c r="A2219" s="5">
        <v>44855</v>
      </c>
      <c r="B2219">
        <v>38.849997999999999</v>
      </c>
      <c r="C2219">
        <v>41.919998</v>
      </c>
      <c r="D2219">
        <v>38.560001</v>
      </c>
      <c r="E2219">
        <v>41.060001</v>
      </c>
      <c r="F2219">
        <v>40.327483999999998</v>
      </c>
      <c r="G2219">
        <v>13762600</v>
      </c>
      <c r="I2219">
        <f t="shared" si="35"/>
        <v>2.0471824421187607E-3</v>
      </c>
    </row>
    <row r="2220" spans="1:9" x14ac:dyDescent="0.3">
      <c r="A2220" s="5">
        <v>44858</v>
      </c>
      <c r="B2220">
        <v>40.049999</v>
      </c>
      <c r="C2220">
        <v>40.150002000000001</v>
      </c>
      <c r="D2220">
        <v>38.599997999999999</v>
      </c>
      <c r="E2220">
        <v>39.169998</v>
      </c>
      <c r="F2220">
        <v>38.471203000000003</v>
      </c>
      <c r="G2220">
        <v>7822400</v>
      </c>
      <c r="I2220">
        <f t="shared" si="35"/>
        <v>6.021930789708882E-4</v>
      </c>
    </row>
    <row r="2221" spans="1:9" x14ac:dyDescent="0.3">
      <c r="A2221" s="5">
        <v>44859</v>
      </c>
      <c r="B2221">
        <v>38.764999000000003</v>
      </c>
      <c r="C2221">
        <v>42.389999000000003</v>
      </c>
      <c r="D2221">
        <v>38.439999</v>
      </c>
      <c r="E2221">
        <v>41.490001999999997</v>
      </c>
      <c r="F2221">
        <v>40.749817</v>
      </c>
      <c r="G2221">
        <v>8522200</v>
      </c>
      <c r="I2221">
        <f t="shared" si="35"/>
        <v>2.5612471036984565E-3</v>
      </c>
    </row>
    <row r="2222" spans="1:9" x14ac:dyDescent="0.3">
      <c r="A2222" s="5">
        <v>44860</v>
      </c>
      <c r="B2222">
        <v>42.09</v>
      </c>
      <c r="C2222">
        <v>43.080002</v>
      </c>
      <c r="D2222">
        <v>41.279998999999997</v>
      </c>
      <c r="E2222">
        <v>42.650002000000001</v>
      </c>
      <c r="F2222">
        <v>41.889122</v>
      </c>
      <c r="G2222">
        <v>6082400</v>
      </c>
      <c r="I2222">
        <f t="shared" si="35"/>
        <v>8.6766382542572025E-4</v>
      </c>
    </row>
    <row r="2223" spans="1:9" x14ac:dyDescent="0.3">
      <c r="A2223" s="5">
        <v>44861</v>
      </c>
      <c r="B2223">
        <v>42.580002</v>
      </c>
      <c r="C2223">
        <v>42.810001</v>
      </c>
      <c r="D2223">
        <v>41.189999</v>
      </c>
      <c r="E2223">
        <v>41.41</v>
      </c>
      <c r="F2223">
        <v>40.671241999999999</v>
      </c>
      <c r="G2223">
        <v>5169100</v>
      </c>
      <c r="I2223">
        <f t="shared" si="35"/>
        <v>3.5591157196599354E-4</v>
      </c>
    </row>
    <row r="2224" spans="1:9" x14ac:dyDescent="0.3">
      <c r="A2224" s="5">
        <v>44862</v>
      </c>
      <c r="B2224">
        <v>40.779998999999997</v>
      </c>
      <c r="C2224">
        <v>40.784999999999997</v>
      </c>
      <c r="D2224">
        <v>38.459999000000003</v>
      </c>
      <c r="E2224">
        <v>39.490001999999997</v>
      </c>
      <c r="F2224">
        <v>38.785496000000002</v>
      </c>
      <c r="G2224">
        <v>6566400</v>
      </c>
      <c r="I2224">
        <f t="shared" si="35"/>
        <v>1.5519722498536714E-3</v>
      </c>
    </row>
    <row r="2225" spans="1:9" x14ac:dyDescent="0.3">
      <c r="A2225" s="5">
        <v>44865</v>
      </c>
      <c r="B2225">
        <v>38.860000999999997</v>
      </c>
      <c r="C2225">
        <v>40.029998999999997</v>
      </c>
      <c r="D2225">
        <v>38.82</v>
      </c>
      <c r="E2225">
        <v>39.029998999999997</v>
      </c>
      <c r="F2225">
        <v>38.431018999999999</v>
      </c>
      <c r="G2225">
        <v>5388700</v>
      </c>
      <c r="I2225">
        <f t="shared" si="35"/>
        <v>7.5600555315826271E-4</v>
      </c>
    </row>
    <row r="2226" spans="1:9" x14ac:dyDescent="0.3">
      <c r="A2226" s="5">
        <v>44866</v>
      </c>
      <c r="B2226">
        <v>40.770000000000003</v>
      </c>
      <c r="C2226">
        <v>42.130001</v>
      </c>
      <c r="D2226">
        <v>40.259998000000003</v>
      </c>
      <c r="E2226">
        <v>40.880001</v>
      </c>
      <c r="F2226">
        <v>40.252625000000002</v>
      </c>
      <c r="G2226">
        <v>6356100</v>
      </c>
      <c r="I2226">
        <f t="shared" si="35"/>
        <v>1.18069615068357E-3</v>
      </c>
    </row>
    <row r="2227" spans="1:9" x14ac:dyDescent="0.3">
      <c r="A2227" s="5">
        <v>44867</v>
      </c>
      <c r="B2227">
        <v>40.709999000000003</v>
      </c>
      <c r="C2227">
        <v>41.139999000000003</v>
      </c>
      <c r="D2227">
        <v>37.770000000000003</v>
      </c>
      <c r="E2227">
        <v>37.770000000000003</v>
      </c>
      <c r="F2227">
        <v>37.190353000000002</v>
      </c>
      <c r="G2227">
        <v>5221800</v>
      </c>
      <c r="I2227">
        <f t="shared" si="35"/>
        <v>8.9799877756055674E-4</v>
      </c>
    </row>
    <row r="2228" spans="1:9" x14ac:dyDescent="0.3">
      <c r="A2228" s="5">
        <v>44868</v>
      </c>
      <c r="B2228">
        <v>37.139999000000003</v>
      </c>
      <c r="C2228">
        <v>38.189999</v>
      </c>
      <c r="D2228">
        <v>36.512000999999998</v>
      </c>
      <c r="E2228">
        <v>37.700001</v>
      </c>
      <c r="F2228">
        <v>37.121437</v>
      </c>
      <c r="G2228">
        <v>4407700</v>
      </c>
      <c r="I2228">
        <f t="shared" si="35"/>
        <v>9.0605781582555928E-4</v>
      </c>
    </row>
    <row r="2229" spans="1:9" x14ac:dyDescent="0.3">
      <c r="A2229" s="5">
        <v>44869</v>
      </c>
      <c r="B2229">
        <v>41.540000999999997</v>
      </c>
      <c r="C2229">
        <v>43.52</v>
      </c>
      <c r="D2229">
        <v>40.799999</v>
      </c>
      <c r="E2229">
        <v>42.400002000000001</v>
      </c>
      <c r="F2229">
        <v>41.749305999999997</v>
      </c>
      <c r="G2229">
        <v>11099400</v>
      </c>
      <c r="I2229">
        <f t="shared" si="35"/>
        <v>1.9054437846711407E-3</v>
      </c>
    </row>
    <row r="2230" spans="1:9" x14ac:dyDescent="0.3">
      <c r="A2230" s="5">
        <v>44872</v>
      </c>
      <c r="B2230">
        <v>42.470001000000003</v>
      </c>
      <c r="C2230">
        <v>42.790000999999997</v>
      </c>
      <c r="D2230">
        <v>41</v>
      </c>
      <c r="E2230">
        <v>41.509998000000003</v>
      </c>
      <c r="F2230">
        <v>40.872962999999999</v>
      </c>
      <c r="G2230">
        <v>4790700</v>
      </c>
      <c r="I2230">
        <f t="shared" si="35"/>
        <v>6.6344432523117826E-4</v>
      </c>
    </row>
    <row r="2231" spans="1:9" x14ac:dyDescent="0.3">
      <c r="A2231" s="5">
        <v>44873</v>
      </c>
      <c r="B2231">
        <v>42.18</v>
      </c>
      <c r="C2231">
        <v>43.384998000000003</v>
      </c>
      <c r="D2231">
        <v>41.459999000000003</v>
      </c>
      <c r="E2231">
        <v>43.23</v>
      </c>
      <c r="F2231">
        <v>42.566566000000002</v>
      </c>
      <c r="G2231">
        <v>4740200</v>
      </c>
      <c r="I2231">
        <f t="shared" si="35"/>
        <v>8.2058316634437312E-4</v>
      </c>
    </row>
    <row r="2232" spans="1:9" x14ac:dyDescent="0.3">
      <c r="A2232" s="5">
        <v>44874</v>
      </c>
      <c r="B2232">
        <v>42.529998999999997</v>
      </c>
      <c r="C2232">
        <v>42.744999</v>
      </c>
      <c r="D2232">
        <v>40.340000000000003</v>
      </c>
      <c r="E2232">
        <v>40.68</v>
      </c>
      <c r="F2232">
        <v>40.055698</v>
      </c>
      <c r="G2232">
        <v>4181200</v>
      </c>
      <c r="I2232">
        <f t="shared" si="35"/>
        <v>6.9339126323342466E-4</v>
      </c>
    </row>
    <row r="2233" spans="1:9" x14ac:dyDescent="0.3">
      <c r="A2233" s="5">
        <v>44875</v>
      </c>
      <c r="B2233">
        <v>42.810001</v>
      </c>
      <c r="C2233">
        <v>45.490001999999997</v>
      </c>
      <c r="D2233">
        <v>42.810001</v>
      </c>
      <c r="E2233">
        <v>43.830002</v>
      </c>
      <c r="F2233">
        <v>43.157356</v>
      </c>
      <c r="G2233">
        <v>8201900</v>
      </c>
      <c r="I2233">
        <f t="shared" si="35"/>
        <v>2.2572361713255186E-3</v>
      </c>
    </row>
    <row r="2234" spans="1:9" x14ac:dyDescent="0.3">
      <c r="A2234" s="5">
        <v>44876</v>
      </c>
      <c r="B2234">
        <v>45.259998000000003</v>
      </c>
      <c r="C2234">
        <v>50.759998000000003</v>
      </c>
      <c r="D2234">
        <v>45.040000999999997</v>
      </c>
      <c r="E2234">
        <v>47.66</v>
      </c>
      <c r="F2234">
        <v>46.928576999999997</v>
      </c>
      <c r="G2234">
        <v>18068200</v>
      </c>
      <c r="I2234">
        <f t="shared" si="35"/>
        <v>7.5025089197407278E-3</v>
      </c>
    </row>
    <row r="2235" spans="1:9" x14ac:dyDescent="0.3">
      <c r="A2235" s="5">
        <v>44879</v>
      </c>
      <c r="B2235">
        <v>46.549999</v>
      </c>
      <c r="C2235">
        <v>49.049999</v>
      </c>
      <c r="D2235">
        <v>46.400002000000001</v>
      </c>
      <c r="E2235">
        <v>48.220001000000003</v>
      </c>
      <c r="F2235">
        <v>47.479984000000002</v>
      </c>
      <c r="G2235">
        <v>6575000</v>
      </c>
      <c r="I2235">
        <f t="shared" si="35"/>
        <v>1.0169663480634108E-3</v>
      </c>
    </row>
    <row r="2236" spans="1:9" x14ac:dyDescent="0.3">
      <c r="A2236" s="5">
        <v>44880</v>
      </c>
      <c r="B2236">
        <v>49.599997999999999</v>
      </c>
      <c r="C2236">
        <v>49.990001999999997</v>
      </c>
      <c r="D2236">
        <v>48.439999</v>
      </c>
      <c r="E2236">
        <v>49.209999000000003</v>
      </c>
      <c r="F2236">
        <v>48.454791999999998</v>
      </c>
      <c r="G2236">
        <v>5395300</v>
      </c>
      <c r="I2236">
        <f t="shared" si="35"/>
        <v>4.9638873831744001E-4</v>
      </c>
    </row>
    <row r="2237" spans="1:9" x14ac:dyDescent="0.3">
      <c r="A2237" s="5">
        <v>44881</v>
      </c>
      <c r="B2237">
        <v>47.650002000000001</v>
      </c>
      <c r="C2237">
        <v>48.830002</v>
      </c>
      <c r="D2237">
        <v>46.240001999999997</v>
      </c>
      <c r="E2237">
        <v>48.669998</v>
      </c>
      <c r="F2237">
        <v>47.923076999999999</v>
      </c>
      <c r="G2237">
        <v>7751300</v>
      </c>
      <c r="I2237">
        <f t="shared" si="35"/>
        <v>1.6187296455968229E-3</v>
      </c>
    </row>
    <row r="2238" spans="1:9" x14ac:dyDescent="0.3">
      <c r="A2238" s="5">
        <v>44882</v>
      </c>
      <c r="B2238">
        <v>46.93</v>
      </c>
      <c r="C2238">
        <v>47.459999000000003</v>
      </c>
      <c r="D2238">
        <v>45.549999</v>
      </c>
      <c r="E2238">
        <v>47.369999</v>
      </c>
      <c r="F2238">
        <v>46.643023999999997</v>
      </c>
      <c r="G2238">
        <v>5688200</v>
      </c>
      <c r="I2238">
        <f t="shared" si="35"/>
        <v>1.1906582586182959E-3</v>
      </c>
    </row>
    <row r="2239" spans="1:9" x14ac:dyDescent="0.3">
      <c r="A2239" s="5">
        <v>44883</v>
      </c>
      <c r="B2239">
        <v>48.18</v>
      </c>
      <c r="C2239">
        <v>48.57</v>
      </c>
      <c r="D2239">
        <v>46.720001000000003</v>
      </c>
      <c r="E2239">
        <v>47.310001</v>
      </c>
      <c r="F2239">
        <v>46.583950000000002</v>
      </c>
      <c r="G2239">
        <v>3967400</v>
      </c>
      <c r="I2239">
        <f t="shared" si="35"/>
        <v>5.9807002174153904E-4</v>
      </c>
    </row>
    <row r="2240" spans="1:9" x14ac:dyDescent="0.3">
      <c r="A2240" s="5">
        <v>44886</v>
      </c>
      <c r="B2240">
        <v>46.130001</v>
      </c>
      <c r="C2240">
        <v>46.889999000000003</v>
      </c>
      <c r="D2240">
        <v>44.509998000000003</v>
      </c>
      <c r="E2240">
        <v>46.630001</v>
      </c>
      <c r="F2240">
        <v>45.914383000000001</v>
      </c>
      <c r="G2240">
        <v>5378100</v>
      </c>
      <c r="I2240">
        <f t="shared" si="35"/>
        <v>1.7543031105005978E-3</v>
      </c>
    </row>
    <row r="2241" spans="1:9" x14ac:dyDescent="0.3">
      <c r="A2241" s="5">
        <v>44887</v>
      </c>
      <c r="B2241">
        <v>47.720001000000003</v>
      </c>
      <c r="C2241">
        <v>49.419998</v>
      </c>
      <c r="D2241">
        <v>46.939999</v>
      </c>
      <c r="E2241">
        <v>49.360000999999997</v>
      </c>
      <c r="F2241">
        <v>48.602485999999999</v>
      </c>
      <c r="G2241">
        <v>5593300</v>
      </c>
      <c r="I2241">
        <f t="shared" si="35"/>
        <v>8.7099810274978448E-4</v>
      </c>
    </row>
    <row r="2242" spans="1:9" x14ac:dyDescent="0.3">
      <c r="A2242" s="5">
        <v>44888</v>
      </c>
      <c r="B2242">
        <v>48.509998000000003</v>
      </c>
      <c r="C2242">
        <v>48.970001000000003</v>
      </c>
      <c r="D2242">
        <v>47.880001</v>
      </c>
      <c r="E2242">
        <v>48.509998000000003</v>
      </c>
      <c r="F2242">
        <v>47.765532999999998</v>
      </c>
      <c r="G2242">
        <v>3213600</v>
      </c>
      <c r="I2242">
        <f t="shared" si="35"/>
        <v>2.5995287793387944E-4</v>
      </c>
    </row>
    <row r="2243" spans="1:9" x14ac:dyDescent="0.3">
      <c r="A2243" s="5">
        <v>44890</v>
      </c>
      <c r="B2243">
        <v>48.549999</v>
      </c>
      <c r="C2243">
        <v>48.943001000000002</v>
      </c>
      <c r="D2243">
        <v>47.610000999999997</v>
      </c>
      <c r="E2243">
        <v>47.889999000000003</v>
      </c>
      <c r="F2243">
        <v>47.155048000000001</v>
      </c>
      <c r="G2243">
        <v>1687400</v>
      </c>
      <c r="I2243">
        <f t="shared" si="35"/>
        <v>2.8999638604063923E-4</v>
      </c>
    </row>
    <row r="2244" spans="1:9" x14ac:dyDescent="0.3">
      <c r="A2244" s="5">
        <v>44893</v>
      </c>
      <c r="B2244">
        <v>46.919998</v>
      </c>
      <c r="C2244">
        <v>47.34</v>
      </c>
      <c r="D2244">
        <v>45.57</v>
      </c>
      <c r="E2244">
        <v>46.43</v>
      </c>
      <c r="F2244">
        <v>45.717457000000003</v>
      </c>
      <c r="G2244">
        <v>4803700</v>
      </c>
      <c r="I2244">
        <f t="shared" si="35"/>
        <v>7.1879663267173722E-4</v>
      </c>
    </row>
    <row r="2245" spans="1:9" x14ac:dyDescent="0.3">
      <c r="A2245" s="5">
        <v>44894</v>
      </c>
      <c r="B2245">
        <v>47.779998999999997</v>
      </c>
      <c r="C2245">
        <v>48.313000000000002</v>
      </c>
      <c r="D2245">
        <v>47.451000000000001</v>
      </c>
      <c r="E2245">
        <v>47.700001</v>
      </c>
      <c r="F2245">
        <v>46.967967999999999</v>
      </c>
      <c r="G2245">
        <v>3632200</v>
      </c>
      <c r="I2245">
        <f t="shared" si="35"/>
        <v>1.7781963225455482E-4</v>
      </c>
    </row>
    <row r="2246" spans="1:9" x14ac:dyDescent="0.3">
      <c r="A2246" s="5">
        <v>44895</v>
      </c>
      <c r="B2246">
        <v>48.880001</v>
      </c>
      <c r="C2246">
        <v>50.490001999999997</v>
      </c>
      <c r="D2246">
        <v>47.630001</v>
      </c>
      <c r="E2246">
        <v>50.130001</v>
      </c>
      <c r="F2246">
        <v>49.360675999999998</v>
      </c>
      <c r="G2246">
        <v>6778400</v>
      </c>
      <c r="I2246">
        <f t="shared" si="35"/>
        <v>1.5571371573685992E-3</v>
      </c>
    </row>
    <row r="2247" spans="1:9" x14ac:dyDescent="0.3">
      <c r="A2247" s="5">
        <v>44896</v>
      </c>
      <c r="B2247">
        <v>50.040000999999997</v>
      </c>
      <c r="C2247">
        <v>50.77</v>
      </c>
      <c r="D2247">
        <v>48.849997999999999</v>
      </c>
      <c r="E2247">
        <v>49.099997999999999</v>
      </c>
      <c r="F2247">
        <v>48.346480999999997</v>
      </c>
      <c r="G2247">
        <v>3848400</v>
      </c>
      <c r="I2247">
        <f t="shared" si="35"/>
        <v>6.0726580216776099E-4</v>
      </c>
    </row>
    <row r="2248" spans="1:9" x14ac:dyDescent="0.3">
      <c r="A2248" s="5">
        <v>44897</v>
      </c>
      <c r="B2248">
        <v>48.060001</v>
      </c>
      <c r="C2248">
        <v>50.580002</v>
      </c>
      <c r="D2248">
        <v>47.650002000000001</v>
      </c>
      <c r="E2248">
        <v>50.389999000000003</v>
      </c>
      <c r="F2248">
        <v>49.616683999999999</v>
      </c>
      <c r="G2248">
        <v>4833500</v>
      </c>
      <c r="I2248">
        <f t="shared" si="35"/>
        <v>6.713542828161946E-4</v>
      </c>
    </row>
    <row r="2249" spans="1:9" x14ac:dyDescent="0.3">
      <c r="A2249" s="5">
        <v>44900</v>
      </c>
      <c r="B2249">
        <v>50.5</v>
      </c>
      <c r="C2249">
        <v>51.25</v>
      </c>
      <c r="D2249">
        <v>46.52</v>
      </c>
      <c r="E2249">
        <v>46.52</v>
      </c>
      <c r="F2249">
        <v>45.806075999999997</v>
      </c>
      <c r="G2249">
        <v>6391800</v>
      </c>
      <c r="I2249">
        <f t="shared" si="35"/>
        <v>1.4275436481462772E-3</v>
      </c>
    </row>
    <row r="2250" spans="1:9" x14ac:dyDescent="0.3">
      <c r="A2250" s="5">
        <v>44901</v>
      </c>
      <c r="B2250">
        <v>47.299999</v>
      </c>
      <c r="C2250">
        <v>48.799999</v>
      </c>
      <c r="D2250">
        <v>47.049999</v>
      </c>
      <c r="E2250">
        <v>48.310001</v>
      </c>
      <c r="F2250">
        <v>47.568604000000001</v>
      </c>
      <c r="G2250">
        <v>4103100</v>
      </c>
      <c r="I2250">
        <f t="shared" si="35"/>
        <v>4.551148642246214E-4</v>
      </c>
    </row>
    <row r="2251" spans="1:9" x14ac:dyDescent="0.3">
      <c r="A2251" s="5">
        <v>44902</v>
      </c>
      <c r="B2251">
        <v>47.580002</v>
      </c>
      <c r="C2251">
        <v>48.639999000000003</v>
      </c>
      <c r="D2251">
        <v>46.57</v>
      </c>
      <c r="E2251">
        <v>46.599997999999999</v>
      </c>
      <c r="F2251">
        <v>45.884846000000003</v>
      </c>
      <c r="G2251">
        <v>3152400</v>
      </c>
      <c r="I2251">
        <f t="shared" si="35"/>
        <v>9.5786483525070866E-4</v>
      </c>
    </row>
    <row r="2252" spans="1:9" x14ac:dyDescent="0.3">
      <c r="A2252" s="5">
        <v>44903</v>
      </c>
      <c r="B2252">
        <v>48.389999000000003</v>
      </c>
      <c r="C2252">
        <v>48.459999000000003</v>
      </c>
      <c r="D2252">
        <v>47.049999</v>
      </c>
      <c r="E2252">
        <v>47.279998999999997</v>
      </c>
      <c r="F2252">
        <v>46.554405000000003</v>
      </c>
      <c r="G2252">
        <v>2601900</v>
      </c>
      <c r="I2252">
        <f t="shared" ref="I2252:I2315" si="36">LN(C2252/B2252)*(LN(C2252/B2252)-LN(E2252/B2252))+LN(D2252/B2252)*(LN(D2252/B2252)-LN(E2252/B2252))</f>
        <v>1.7257798149307397E-4</v>
      </c>
    </row>
    <row r="2253" spans="1:9" x14ac:dyDescent="0.3">
      <c r="A2253" s="5">
        <v>44904</v>
      </c>
      <c r="B2253">
        <v>45.810001</v>
      </c>
      <c r="C2253">
        <v>46.150002000000001</v>
      </c>
      <c r="D2253">
        <v>44.779998999999997</v>
      </c>
      <c r="E2253">
        <v>45.080002</v>
      </c>
      <c r="F2253">
        <v>44.388171999999997</v>
      </c>
      <c r="G2253">
        <v>4587200</v>
      </c>
      <c r="I2253">
        <f t="shared" si="36"/>
        <v>3.2530781721624037E-4</v>
      </c>
    </row>
    <row r="2254" spans="1:9" x14ac:dyDescent="0.3">
      <c r="A2254" s="5">
        <v>44907</v>
      </c>
      <c r="B2254">
        <v>44.380001</v>
      </c>
      <c r="C2254">
        <v>45.880001</v>
      </c>
      <c r="D2254">
        <v>43.790000999999997</v>
      </c>
      <c r="E2254">
        <v>45.810001</v>
      </c>
      <c r="F2254">
        <v>45.106971999999999</v>
      </c>
      <c r="G2254">
        <v>4502800</v>
      </c>
      <c r="I2254">
        <f t="shared" si="36"/>
        <v>6.5430604763234632E-4</v>
      </c>
    </row>
    <row r="2255" spans="1:9" x14ac:dyDescent="0.3">
      <c r="A2255" s="5">
        <v>44908</v>
      </c>
      <c r="B2255">
        <v>48.549999</v>
      </c>
      <c r="C2255">
        <v>48.880001</v>
      </c>
      <c r="D2255">
        <v>45.450001</v>
      </c>
      <c r="E2255">
        <v>46.169998</v>
      </c>
      <c r="F2255">
        <v>45.461449000000002</v>
      </c>
      <c r="G2255">
        <v>4444300</v>
      </c>
      <c r="I2255">
        <f t="shared" si="36"/>
        <v>1.4234372870438228E-3</v>
      </c>
    </row>
    <row r="2256" spans="1:9" x14ac:dyDescent="0.3">
      <c r="A2256" s="5">
        <v>44909</v>
      </c>
      <c r="B2256">
        <v>45.349997999999999</v>
      </c>
      <c r="C2256">
        <v>45.950001</v>
      </c>
      <c r="D2256">
        <v>44.77</v>
      </c>
      <c r="E2256">
        <v>45.5</v>
      </c>
      <c r="F2256">
        <v>44.801723000000003</v>
      </c>
      <c r="G2256">
        <v>3755300</v>
      </c>
      <c r="I2256">
        <f t="shared" si="36"/>
        <v>3.3754484312455634E-4</v>
      </c>
    </row>
    <row r="2257" spans="1:9" x14ac:dyDescent="0.3">
      <c r="A2257" s="5">
        <v>44910</v>
      </c>
      <c r="B2257">
        <v>44.400002000000001</v>
      </c>
      <c r="C2257">
        <v>44.66</v>
      </c>
      <c r="D2257">
        <v>43.009998000000003</v>
      </c>
      <c r="E2257">
        <v>43.27</v>
      </c>
      <c r="F2257">
        <v>42.605949000000003</v>
      </c>
      <c r="G2257">
        <v>4300100</v>
      </c>
      <c r="I2257">
        <f t="shared" si="36"/>
        <v>3.7631187439940845E-4</v>
      </c>
    </row>
    <row r="2258" spans="1:9" x14ac:dyDescent="0.3">
      <c r="A2258" s="5">
        <v>44911</v>
      </c>
      <c r="B2258">
        <v>42.57</v>
      </c>
      <c r="C2258">
        <v>43.57</v>
      </c>
      <c r="D2258">
        <v>42.221001000000001</v>
      </c>
      <c r="E2258">
        <v>42.720001000000003</v>
      </c>
      <c r="F2258">
        <v>42.064391999999998</v>
      </c>
      <c r="G2258">
        <v>7334800</v>
      </c>
      <c r="I2258">
        <f t="shared" si="36"/>
        <v>5.5417509668678126E-4</v>
      </c>
    </row>
    <row r="2259" spans="1:9" x14ac:dyDescent="0.3">
      <c r="A2259" s="5">
        <v>44914</v>
      </c>
      <c r="B2259">
        <v>43</v>
      </c>
      <c r="C2259">
        <v>43.200001</v>
      </c>
      <c r="D2259">
        <v>41.91</v>
      </c>
      <c r="E2259">
        <v>42.32</v>
      </c>
      <c r="F2259">
        <v>41.670532000000001</v>
      </c>
      <c r="G2259">
        <v>3189400</v>
      </c>
      <c r="I2259">
        <f t="shared" si="36"/>
        <v>3.454637287401333E-4</v>
      </c>
    </row>
    <row r="2260" spans="1:9" x14ac:dyDescent="0.3">
      <c r="A2260" s="5">
        <v>44915</v>
      </c>
      <c r="B2260">
        <v>42.619999</v>
      </c>
      <c r="C2260">
        <v>44.330002</v>
      </c>
      <c r="D2260">
        <v>42.580002</v>
      </c>
      <c r="E2260">
        <v>44.09</v>
      </c>
      <c r="F2260">
        <v>43.413367999999998</v>
      </c>
      <c r="G2260">
        <v>4948100</v>
      </c>
      <c r="I2260">
        <f t="shared" si="36"/>
        <v>2.4627342629791459E-4</v>
      </c>
    </row>
    <row r="2261" spans="1:9" x14ac:dyDescent="0.3">
      <c r="A2261" s="5">
        <v>44916</v>
      </c>
      <c r="B2261">
        <v>44.68</v>
      </c>
      <c r="C2261">
        <v>45.744999</v>
      </c>
      <c r="D2261">
        <v>43.950001</v>
      </c>
      <c r="E2261">
        <v>44.869999</v>
      </c>
      <c r="F2261">
        <v>44.181395999999999</v>
      </c>
      <c r="G2261">
        <v>3986200</v>
      </c>
      <c r="I2261">
        <f t="shared" si="36"/>
        <v>7.9622230672053164E-4</v>
      </c>
    </row>
    <row r="2262" spans="1:9" x14ac:dyDescent="0.3">
      <c r="A2262" s="5">
        <v>44917</v>
      </c>
      <c r="B2262">
        <v>44.580002</v>
      </c>
      <c r="C2262">
        <v>44.630001</v>
      </c>
      <c r="D2262">
        <v>41.82</v>
      </c>
      <c r="E2262">
        <v>43.849997999999999</v>
      </c>
      <c r="F2262">
        <v>43.177052000000003</v>
      </c>
      <c r="G2262">
        <v>3730300</v>
      </c>
      <c r="I2262">
        <f t="shared" si="36"/>
        <v>3.0491286365637487E-3</v>
      </c>
    </row>
    <row r="2263" spans="1:9" x14ac:dyDescent="0.3">
      <c r="A2263" s="5">
        <v>44918</v>
      </c>
      <c r="B2263">
        <v>44.169998</v>
      </c>
      <c r="C2263">
        <v>44.57</v>
      </c>
      <c r="D2263">
        <v>43.5</v>
      </c>
      <c r="E2263">
        <v>44.200001</v>
      </c>
      <c r="F2263">
        <v>43.521683000000003</v>
      </c>
      <c r="G2263">
        <v>2061800</v>
      </c>
      <c r="I2263">
        <f t="shared" si="36"/>
        <v>3.1915763201115015E-4</v>
      </c>
    </row>
    <row r="2264" spans="1:9" x14ac:dyDescent="0.3">
      <c r="A2264" s="5">
        <v>44922</v>
      </c>
      <c r="B2264">
        <v>44.900002000000001</v>
      </c>
      <c r="C2264">
        <v>45.580002</v>
      </c>
      <c r="D2264">
        <v>44.59</v>
      </c>
      <c r="E2264">
        <v>44.860000999999997</v>
      </c>
      <c r="F2264">
        <v>44.171546999999997</v>
      </c>
      <c r="G2264">
        <v>2031300</v>
      </c>
      <c r="I2264">
        <f t="shared" si="36"/>
        <v>2.8116018159166371E-4</v>
      </c>
    </row>
    <row r="2265" spans="1:9" x14ac:dyDescent="0.3">
      <c r="A2265" s="5">
        <v>44923</v>
      </c>
      <c r="B2265">
        <v>44.860000999999997</v>
      </c>
      <c r="C2265">
        <v>44.860000999999997</v>
      </c>
      <c r="D2265">
        <v>43.43</v>
      </c>
      <c r="E2265">
        <v>43.799999</v>
      </c>
      <c r="F2265">
        <v>43.127819000000002</v>
      </c>
      <c r="G2265">
        <v>3116300</v>
      </c>
      <c r="I2265">
        <f t="shared" si="36"/>
        <v>2.74827431325601E-4</v>
      </c>
    </row>
    <row r="2266" spans="1:9" x14ac:dyDescent="0.3">
      <c r="A2266" s="5">
        <v>44924</v>
      </c>
      <c r="B2266">
        <v>44.029998999999997</v>
      </c>
      <c r="C2266">
        <v>46.700001</v>
      </c>
      <c r="D2266">
        <v>43.73</v>
      </c>
      <c r="E2266">
        <v>46.560001</v>
      </c>
      <c r="F2266">
        <v>45.845463000000002</v>
      </c>
      <c r="G2266">
        <v>4744700</v>
      </c>
      <c r="I2266">
        <f t="shared" si="36"/>
        <v>6.05478319697864E-4</v>
      </c>
    </row>
    <row r="2267" spans="1:9" x14ac:dyDescent="0.3">
      <c r="A2267" s="5">
        <v>44925</v>
      </c>
      <c r="B2267">
        <v>46.009998000000003</v>
      </c>
      <c r="C2267">
        <v>46.48</v>
      </c>
      <c r="D2267">
        <v>44.689999</v>
      </c>
      <c r="E2267">
        <v>45.470001000000003</v>
      </c>
      <c r="F2267">
        <v>44.772185999999998</v>
      </c>
      <c r="G2267">
        <v>3614400</v>
      </c>
      <c r="I2267">
        <f t="shared" si="36"/>
        <v>7.2695695241938203E-4</v>
      </c>
    </row>
    <row r="2268" spans="1:9" x14ac:dyDescent="0.3">
      <c r="A2268" s="5">
        <v>44929</v>
      </c>
      <c r="B2268">
        <v>45.77</v>
      </c>
      <c r="C2268">
        <v>46.669998</v>
      </c>
      <c r="D2268">
        <v>44.439999</v>
      </c>
      <c r="E2268">
        <v>44.580002</v>
      </c>
      <c r="F2268">
        <v>43.895851</v>
      </c>
      <c r="G2268">
        <v>2880000</v>
      </c>
      <c r="I2268">
        <f t="shared" si="36"/>
        <v>9.8491763808229976E-4</v>
      </c>
    </row>
    <row r="2269" spans="1:9" x14ac:dyDescent="0.3">
      <c r="A2269" s="5">
        <v>44930</v>
      </c>
      <c r="B2269">
        <v>44.77</v>
      </c>
      <c r="C2269">
        <v>45.900002000000001</v>
      </c>
      <c r="D2269">
        <v>44.370998</v>
      </c>
      <c r="E2269">
        <v>45.130001</v>
      </c>
      <c r="F2269">
        <v>44.437407999999998</v>
      </c>
      <c r="G2269">
        <v>3523400</v>
      </c>
      <c r="I2269">
        <f t="shared" si="36"/>
        <v>5.7355132354802122E-4</v>
      </c>
    </row>
    <row r="2270" spans="1:9" x14ac:dyDescent="0.3">
      <c r="A2270" s="5">
        <v>44931</v>
      </c>
      <c r="B2270">
        <v>45.299999</v>
      </c>
      <c r="C2270">
        <v>45.990001999999997</v>
      </c>
      <c r="D2270">
        <v>44.139999000000003</v>
      </c>
      <c r="E2270">
        <v>45.490001999999997</v>
      </c>
      <c r="F2270">
        <v>44.791882000000001</v>
      </c>
      <c r="G2270">
        <v>3835700</v>
      </c>
      <c r="I2270">
        <f t="shared" si="36"/>
        <v>9.4674338050264371E-4</v>
      </c>
    </row>
    <row r="2271" spans="1:9" x14ac:dyDescent="0.3">
      <c r="A2271" s="5">
        <v>44932</v>
      </c>
      <c r="B2271">
        <v>46.52</v>
      </c>
      <c r="C2271">
        <v>47.740001999999997</v>
      </c>
      <c r="D2271">
        <v>45.68</v>
      </c>
      <c r="E2271">
        <v>46.360000999999997</v>
      </c>
      <c r="F2271">
        <v>45.648533</v>
      </c>
      <c r="G2271">
        <v>4645200</v>
      </c>
      <c r="I2271">
        <f t="shared" si="36"/>
        <v>1.0285968459387705E-3</v>
      </c>
    </row>
    <row r="2272" spans="1:9" x14ac:dyDescent="0.3">
      <c r="A2272" s="5">
        <v>44935</v>
      </c>
      <c r="B2272">
        <v>47.59</v>
      </c>
      <c r="C2272">
        <v>50.650002000000001</v>
      </c>
      <c r="D2272">
        <v>47.490001999999997</v>
      </c>
      <c r="E2272">
        <v>50.27</v>
      </c>
      <c r="F2272">
        <v>49.498528</v>
      </c>
      <c r="G2272">
        <v>6175600</v>
      </c>
      <c r="I2272">
        <f t="shared" si="36"/>
        <v>5.8895726319163643E-4</v>
      </c>
    </row>
    <row r="2273" spans="1:9" x14ac:dyDescent="0.3">
      <c r="A2273" s="5">
        <v>44936</v>
      </c>
      <c r="B2273">
        <v>50.599997999999999</v>
      </c>
      <c r="C2273">
        <v>53.125</v>
      </c>
      <c r="D2273">
        <v>49.91</v>
      </c>
      <c r="E2273">
        <v>52.98</v>
      </c>
      <c r="F2273">
        <v>52.166935000000002</v>
      </c>
      <c r="G2273">
        <v>5734300</v>
      </c>
      <c r="I2273">
        <f t="shared" si="36"/>
        <v>9.5268881642954803E-4</v>
      </c>
    </row>
    <row r="2274" spans="1:9" x14ac:dyDescent="0.3">
      <c r="A2274" s="5">
        <v>44937</v>
      </c>
      <c r="B2274">
        <v>53.209999000000003</v>
      </c>
      <c r="C2274">
        <v>53.549999</v>
      </c>
      <c r="D2274">
        <v>51.68</v>
      </c>
      <c r="E2274">
        <v>51.950001</v>
      </c>
      <c r="F2274">
        <v>51.152740000000001</v>
      </c>
      <c r="G2274">
        <v>5176000</v>
      </c>
      <c r="I2274">
        <f t="shared" si="36"/>
        <v>3.4524090846878492E-4</v>
      </c>
    </row>
    <row r="2275" spans="1:9" x14ac:dyDescent="0.3">
      <c r="A2275" s="5">
        <v>44938</v>
      </c>
      <c r="B2275">
        <v>52.84</v>
      </c>
      <c r="C2275">
        <v>53.360000999999997</v>
      </c>
      <c r="D2275">
        <v>50.599997999999999</v>
      </c>
      <c r="E2275">
        <v>53.32</v>
      </c>
      <c r="F2275">
        <v>52.501716999999999</v>
      </c>
      <c r="G2275">
        <v>5733300</v>
      </c>
      <c r="I2275">
        <f t="shared" si="36"/>
        <v>2.2754173051487423E-3</v>
      </c>
    </row>
    <row r="2276" spans="1:9" x14ac:dyDescent="0.3">
      <c r="A2276" s="5">
        <v>44939</v>
      </c>
      <c r="B2276">
        <v>52.84</v>
      </c>
      <c r="C2276">
        <v>55.02</v>
      </c>
      <c r="D2276">
        <v>52.450001</v>
      </c>
      <c r="E2276">
        <v>54.610000999999997</v>
      </c>
      <c r="F2276">
        <v>53.771923000000001</v>
      </c>
      <c r="G2276">
        <v>4697000</v>
      </c>
      <c r="I2276">
        <f t="shared" si="36"/>
        <v>6.0135958898635674E-4</v>
      </c>
    </row>
    <row r="2277" spans="1:9" x14ac:dyDescent="0.3">
      <c r="A2277" s="5">
        <v>44943</v>
      </c>
      <c r="B2277">
        <v>54.610000999999997</v>
      </c>
      <c r="C2277">
        <v>55.490001999999997</v>
      </c>
      <c r="D2277">
        <v>54.060001</v>
      </c>
      <c r="E2277">
        <v>54.860000999999997</v>
      </c>
      <c r="F2277">
        <v>54.018089000000003</v>
      </c>
      <c r="G2277">
        <v>5288200</v>
      </c>
      <c r="I2277">
        <f t="shared" si="36"/>
        <v>3.3123045816159873E-4</v>
      </c>
    </row>
    <row r="2278" spans="1:9" x14ac:dyDescent="0.3">
      <c r="A2278" s="5">
        <v>44944</v>
      </c>
      <c r="B2278">
        <v>56.5</v>
      </c>
      <c r="C2278">
        <v>57.609000999999999</v>
      </c>
      <c r="D2278">
        <v>53.130001</v>
      </c>
      <c r="E2278">
        <v>53.450001</v>
      </c>
      <c r="F2278">
        <v>52.629722999999998</v>
      </c>
      <c r="G2278">
        <v>9115400</v>
      </c>
      <c r="I2278">
        <f t="shared" si="36"/>
        <v>1.8258397227348805E-3</v>
      </c>
    </row>
    <row r="2279" spans="1:9" x14ac:dyDescent="0.3">
      <c r="A2279" s="5">
        <v>44945</v>
      </c>
      <c r="B2279">
        <v>51.139999000000003</v>
      </c>
      <c r="C2279">
        <v>53.145000000000003</v>
      </c>
      <c r="D2279">
        <v>49.52</v>
      </c>
      <c r="E2279">
        <v>49.52</v>
      </c>
      <c r="F2279">
        <v>48.760035999999999</v>
      </c>
      <c r="G2279">
        <v>12142700</v>
      </c>
      <c r="I2279">
        <f t="shared" si="36"/>
        <v>2.7168924253214259E-3</v>
      </c>
    </row>
    <row r="2280" spans="1:9" x14ac:dyDescent="0.3">
      <c r="A2280" s="5">
        <v>44946</v>
      </c>
      <c r="B2280">
        <v>49.134998000000003</v>
      </c>
      <c r="C2280">
        <v>51.73</v>
      </c>
      <c r="D2280">
        <v>48.68</v>
      </c>
      <c r="E2280">
        <v>51</v>
      </c>
      <c r="F2280">
        <v>50.217319000000003</v>
      </c>
      <c r="G2280">
        <v>6098000</v>
      </c>
      <c r="I2280">
        <f t="shared" si="36"/>
        <v>1.1645894414124226E-3</v>
      </c>
    </row>
    <row r="2281" spans="1:9" x14ac:dyDescent="0.3">
      <c r="A2281" s="5">
        <v>44949</v>
      </c>
      <c r="B2281">
        <v>51.27</v>
      </c>
      <c r="C2281">
        <v>52</v>
      </c>
      <c r="D2281">
        <v>50.419998</v>
      </c>
      <c r="E2281">
        <v>51.75</v>
      </c>
      <c r="F2281">
        <v>50.955810999999997</v>
      </c>
      <c r="G2281">
        <v>4311400</v>
      </c>
      <c r="I2281">
        <f t="shared" si="36"/>
        <v>5.0341128423366042E-4</v>
      </c>
    </row>
    <row r="2282" spans="1:9" x14ac:dyDescent="0.3">
      <c r="A2282" s="5">
        <v>44950</v>
      </c>
      <c r="B2282">
        <v>51.220001000000003</v>
      </c>
      <c r="C2282">
        <v>54.060001</v>
      </c>
      <c r="D2282">
        <v>51.200001</v>
      </c>
      <c r="E2282">
        <v>52.869999</v>
      </c>
      <c r="F2282">
        <v>52.058619999999998</v>
      </c>
      <c r="G2282">
        <v>5561500</v>
      </c>
      <c r="I2282">
        <f t="shared" si="36"/>
        <v>1.2137035910634122E-3</v>
      </c>
    </row>
    <row r="2283" spans="1:9" x14ac:dyDescent="0.3">
      <c r="A2283" s="5">
        <v>44951</v>
      </c>
      <c r="B2283">
        <v>51.869999</v>
      </c>
      <c r="C2283">
        <v>52.705002</v>
      </c>
      <c r="D2283">
        <v>51.07</v>
      </c>
      <c r="E2283">
        <v>52.189999</v>
      </c>
      <c r="F2283">
        <v>51.389057000000001</v>
      </c>
      <c r="G2283">
        <v>4584100</v>
      </c>
      <c r="I2283">
        <f t="shared" si="36"/>
        <v>4.9400654654639577E-4</v>
      </c>
    </row>
    <row r="2284" spans="1:9" x14ac:dyDescent="0.3">
      <c r="A2284" s="5">
        <v>44952</v>
      </c>
      <c r="B2284">
        <v>52.43</v>
      </c>
      <c r="C2284">
        <v>52.75</v>
      </c>
      <c r="D2284">
        <v>50.41</v>
      </c>
      <c r="E2284">
        <v>52.110000999999997</v>
      </c>
      <c r="F2284">
        <v>51.310284000000003</v>
      </c>
      <c r="G2284">
        <v>3967400</v>
      </c>
      <c r="I2284">
        <f t="shared" si="36"/>
        <v>1.3774001534799299E-3</v>
      </c>
    </row>
    <row r="2285" spans="1:9" x14ac:dyDescent="0.3">
      <c r="A2285" s="5">
        <v>44953</v>
      </c>
      <c r="B2285">
        <v>51.389999000000003</v>
      </c>
      <c r="C2285">
        <v>53.459999000000003</v>
      </c>
      <c r="D2285">
        <v>50.98</v>
      </c>
      <c r="E2285">
        <v>52.75</v>
      </c>
      <c r="F2285">
        <v>51.940460000000002</v>
      </c>
      <c r="G2285">
        <v>4772500</v>
      </c>
      <c r="I2285">
        <f t="shared" si="36"/>
        <v>8.0137012689052265E-4</v>
      </c>
    </row>
    <row r="2286" spans="1:9" x14ac:dyDescent="0.3">
      <c r="A2286" s="5">
        <v>44956</v>
      </c>
      <c r="B2286">
        <v>51.91</v>
      </c>
      <c r="C2286">
        <v>52.130001</v>
      </c>
      <c r="D2286">
        <v>50.279998999999997</v>
      </c>
      <c r="E2286">
        <v>50.34</v>
      </c>
      <c r="F2286">
        <v>49.567455000000002</v>
      </c>
      <c r="G2286">
        <v>4370000</v>
      </c>
      <c r="I2286">
        <f t="shared" si="36"/>
        <v>1.8581942968915914E-4</v>
      </c>
    </row>
    <row r="2287" spans="1:9" x14ac:dyDescent="0.3">
      <c r="A2287" s="5">
        <v>44957</v>
      </c>
      <c r="B2287">
        <v>49.900002000000001</v>
      </c>
      <c r="C2287">
        <v>52.299999</v>
      </c>
      <c r="D2287">
        <v>49.529998999999997</v>
      </c>
      <c r="E2287">
        <v>52.240001999999997</v>
      </c>
      <c r="F2287">
        <v>51.438293000000002</v>
      </c>
      <c r="G2287">
        <v>4638800</v>
      </c>
      <c r="I2287">
        <f t="shared" si="36"/>
        <v>4.503824344511628E-4</v>
      </c>
    </row>
    <row r="2288" spans="1:9" x14ac:dyDescent="0.3">
      <c r="A2288" s="5">
        <v>44958</v>
      </c>
      <c r="B2288">
        <v>52.099997999999999</v>
      </c>
      <c r="C2288">
        <v>54.73</v>
      </c>
      <c r="D2288">
        <v>51.619999</v>
      </c>
      <c r="E2288">
        <v>54.580002</v>
      </c>
      <c r="F2288">
        <v>53.742381999999999</v>
      </c>
      <c r="G2288">
        <v>5479100</v>
      </c>
      <c r="I2288">
        <f t="shared" si="36"/>
        <v>6.5124113533393893E-4</v>
      </c>
    </row>
    <row r="2289" spans="1:9" x14ac:dyDescent="0.3">
      <c r="A2289" s="5">
        <v>44959</v>
      </c>
      <c r="B2289">
        <v>54.279998999999997</v>
      </c>
      <c r="C2289">
        <v>54.469002000000003</v>
      </c>
      <c r="D2289">
        <v>51.919998</v>
      </c>
      <c r="E2289">
        <v>53.66</v>
      </c>
      <c r="F2289">
        <v>52.836494000000002</v>
      </c>
      <c r="G2289">
        <v>4665600</v>
      </c>
      <c r="I2289">
        <f t="shared" si="36"/>
        <v>1.5173140603139108E-3</v>
      </c>
    </row>
    <row r="2290" spans="1:9" x14ac:dyDescent="0.3">
      <c r="A2290" s="5">
        <v>44960</v>
      </c>
      <c r="B2290">
        <v>53.400002000000001</v>
      </c>
      <c r="C2290">
        <v>54.380001</v>
      </c>
      <c r="D2290">
        <v>52.580002</v>
      </c>
      <c r="E2290">
        <v>52.740001999999997</v>
      </c>
      <c r="F2290">
        <v>51.930618000000003</v>
      </c>
      <c r="G2290">
        <v>3546200</v>
      </c>
      <c r="I2290">
        <f t="shared" si="36"/>
        <v>6.0390447606577735E-4</v>
      </c>
    </row>
    <row r="2291" spans="1:9" x14ac:dyDescent="0.3">
      <c r="A2291" s="5">
        <v>44963</v>
      </c>
      <c r="B2291">
        <v>55.139999000000003</v>
      </c>
      <c r="C2291">
        <v>55.400002000000001</v>
      </c>
      <c r="D2291">
        <v>50.860000999999997</v>
      </c>
      <c r="E2291">
        <v>52.02</v>
      </c>
      <c r="F2291">
        <v>51.221660999999997</v>
      </c>
      <c r="G2291">
        <v>5405100</v>
      </c>
      <c r="I2291">
        <f t="shared" si="36"/>
        <v>2.1182667201459322E-3</v>
      </c>
    </row>
    <row r="2292" spans="1:9" x14ac:dyDescent="0.3">
      <c r="A2292" s="5">
        <v>44964</v>
      </c>
      <c r="B2292">
        <v>52.16</v>
      </c>
      <c r="C2292">
        <v>53.400002000000001</v>
      </c>
      <c r="D2292">
        <v>50.865001999999997</v>
      </c>
      <c r="E2292">
        <v>53.240001999999997</v>
      </c>
      <c r="F2292">
        <v>52.422942999999997</v>
      </c>
      <c r="G2292">
        <v>4359400</v>
      </c>
      <c r="I2292">
        <f t="shared" si="36"/>
        <v>1.2178015004962687E-3</v>
      </c>
    </row>
    <row r="2293" spans="1:9" x14ac:dyDescent="0.3">
      <c r="A2293" s="5">
        <v>44965</v>
      </c>
      <c r="B2293">
        <v>52.18</v>
      </c>
      <c r="C2293">
        <v>52.68</v>
      </c>
      <c r="D2293">
        <v>50.610000999999997</v>
      </c>
      <c r="E2293">
        <v>50.619999</v>
      </c>
      <c r="F2293">
        <v>49.843150999999999</v>
      </c>
      <c r="G2293">
        <v>4649500</v>
      </c>
      <c r="I2293">
        <f t="shared" si="36"/>
        <v>3.8644124170618318E-4</v>
      </c>
    </row>
    <row r="2294" spans="1:9" x14ac:dyDescent="0.3">
      <c r="A2294" s="5">
        <v>44966</v>
      </c>
      <c r="B2294">
        <v>51.470001000000003</v>
      </c>
      <c r="C2294">
        <v>51.669998</v>
      </c>
      <c r="D2294">
        <v>49.714001000000003</v>
      </c>
      <c r="E2294">
        <v>50.009998000000003</v>
      </c>
      <c r="F2294">
        <v>49.242511999999998</v>
      </c>
      <c r="G2294">
        <v>4197600</v>
      </c>
      <c r="I2294">
        <f t="shared" si="36"/>
        <v>3.3270460588838511E-4</v>
      </c>
    </row>
    <row r="2295" spans="1:9" x14ac:dyDescent="0.3">
      <c r="A2295" s="5">
        <v>44967</v>
      </c>
      <c r="B2295">
        <v>49.279998999999997</v>
      </c>
      <c r="C2295">
        <v>49.490001999999997</v>
      </c>
      <c r="D2295">
        <v>48.189999</v>
      </c>
      <c r="E2295">
        <v>48.689999</v>
      </c>
      <c r="F2295">
        <v>47.942768000000001</v>
      </c>
      <c r="G2295">
        <v>4612600</v>
      </c>
      <c r="I2295">
        <f t="shared" si="36"/>
        <v>3.0017408723254069E-4</v>
      </c>
    </row>
    <row r="2296" spans="1:9" x14ac:dyDescent="0.3">
      <c r="A2296" s="5">
        <v>44970</v>
      </c>
      <c r="B2296">
        <v>48.389999000000003</v>
      </c>
      <c r="C2296">
        <v>48.700001</v>
      </c>
      <c r="D2296">
        <v>47.119999</v>
      </c>
      <c r="E2296">
        <v>47.950001</v>
      </c>
      <c r="F2296">
        <v>47.214126999999998</v>
      </c>
      <c r="G2296">
        <v>3334100</v>
      </c>
      <c r="I2296">
        <f t="shared" si="36"/>
        <v>5.6350507112777853E-4</v>
      </c>
    </row>
    <row r="2297" spans="1:9" x14ac:dyDescent="0.3">
      <c r="A2297" s="5">
        <v>44971</v>
      </c>
      <c r="B2297">
        <v>47.5</v>
      </c>
      <c r="C2297">
        <v>49.080002</v>
      </c>
      <c r="D2297">
        <v>46.939999</v>
      </c>
      <c r="E2297">
        <v>48.93</v>
      </c>
      <c r="F2297">
        <v>48.179085000000001</v>
      </c>
      <c r="G2297">
        <v>4296200</v>
      </c>
      <c r="I2297">
        <f t="shared" si="36"/>
        <v>5.9257496408165198E-4</v>
      </c>
    </row>
    <row r="2298" spans="1:9" x14ac:dyDescent="0.3">
      <c r="A2298" s="5">
        <v>44972</v>
      </c>
      <c r="B2298">
        <v>47.509998000000003</v>
      </c>
      <c r="C2298">
        <v>48.59</v>
      </c>
      <c r="D2298">
        <v>47.279998999999997</v>
      </c>
      <c r="E2298">
        <v>48.41</v>
      </c>
      <c r="F2298">
        <v>47.667068</v>
      </c>
      <c r="G2298">
        <v>3623800</v>
      </c>
      <c r="I2298">
        <f t="shared" si="36"/>
        <v>1.980410599925149E-4</v>
      </c>
    </row>
    <row r="2299" spans="1:9" x14ac:dyDescent="0.3">
      <c r="A2299" s="5">
        <v>44973</v>
      </c>
      <c r="B2299">
        <v>48.290000999999997</v>
      </c>
      <c r="C2299">
        <v>50.439999</v>
      </c>
      <c r="D2299">
        <v>48.049999</v>
      </c>
      <c r="E2299">
        <v>48.77</v>
      </c>
      <c r="F2299">
        <v>48.021545000000003</v>
      </c>
      <c r="G2299">
        <v>5437500</v>
      </c>
      <c r="I2299">
        <f t="shared" si="36"/>
        <v>1.5407305427944985E-3</v>
      </c>
    </row>
    <row r="2300" spans="1:9" x14ac:dyDescent="0.3">
      <c r="A2300" s="5">
        <v>44974</v>
      </c>
      <c r="B2300">
        <v>48.174999</v>
      </c>
      <c r="C2300">
        <v>48.189999</v>
      </c>
      <c r="D2300">
        <v>46.32</v>
      </c>
      <c r="E2300">
        <v>46.889999000000003</v>
      </c>
      <c r="F2300">
        <v>46.170399000000003</v>
      </c>
      <c r="G2300">
        <v>5550600</v>
      </c>
      <c r="I2300">
        <f t="shared" si="36"/>
        <v>4.8876390119004806E-4</v>
      </c>
    </row>
    <row r="2301" spans="1:9" x14ac:dyDescent="0.3">
      <c r="A2301" s="5">
        <v>44978</v>
      </c>
      <c r="B2301">
        <v>48.130001</v>
      </c>
      <c r="C2301">
        <v>49.790000999999997</v>
      </c>
      <c r="D2301">
        <v>47.810001</v>
      </c>
      <c r="E2301">
        <v>48.07</v>
      </c>
      <c r="F2301">
        <v>47.332282999999997</v>
      </c>
      <c r="G2301">
        <v>5382000</v>
      </c>
      <c r="I2301">
        <f t="shared" si="36"/>
        <v>1.2282619754269202E-3</v>
      </c>
    </row>
    <row r="2302" spans="1:9" x14ac:dyDescent="0.3">
      <c r="A2302" s="5">
        <v>44979</v>
      </c>
      <c r="B2302">
        <v>49.73</v>
      </c>
      <c r="C2302">
        <v>50.959999000000003</v>
      </c>
      <c r="D2302">
        <v>48.509998000000003</v>
      </c>
      <c r="E2302">
        <v>48.98</v>
      </c>
      <c r="F2302">
        <v>48.228316999999997</v>
      </c>
      <c r="G2302">
        <v>7719800</v>
      </c>
      <c r="I2302">
        <f t="shared" si="36"/>
        <v>1.207734384416792E-3</v>
      </c>
    </row>
    <row r="2303" spans="1:9" x14ac:dyDescent="0.3">
      <c r="A2303" s="5">
        <v>44980</v>
      </c>
      <c r="B2303">
        <v>48.5</v>
      </c>
      <c r="C2303">
        <v>49.029998999999997</v>
      </c>
      <c r="D2303">
        <v>46.549999</v>
      </c>
      <c r="E2303">
        <v>47.959999000000003</v>
      </c>
      <c r="F2303">
        <v>47.223972000000003</v>
      </c>
      <c r="G2303">
        <v>4654300</v>
      </c>
      <c r="I2303">
        <f t="shared" si="36"/>
        <v>1.464366560577534E-3</v>
      </c>
    </row>
    <row r="2304" spans="1:9" x14ac:dyDescent="0.3">
      <c r="A2304" s="5">
        <v>44981</v>
      </c>
      <c r="B2304">
        <v>46.93</v>
      </c>
      <c r="C2304">
        <v>46.93</v>
      </c>
      <c r="D2304">
        <v>45.27</v>
      </c>
      <c r="E2304">
        <v>46.450001</v>
      </c>
      <c r="F2304">
        <v>45.737147999999998</v>
      </c>
      <c r="G2304">
        <v>4587700</v>
      </c>
      <c r="I2304">
        <f t="shared" si="36"/>
        <v>9.2667272031970928E-4</v>
      </c>
    </row>
    <row r="2305" spans="1:9" x14ac:dyDescent="0.3">
      <c r="A2305" s="5">
        <v>44984</v>
      </c>
      <c r="B2305">
        <v>46.849997999999999</v>
      </c>
      <c r="C2305">
        <v>48.435001</v>
      </c>
      <c r="D2305">
        <v>46.369999</v>
      </c>
      <c r="E2305">
        <v>48.040000999999997</v>
      </c>
      <c r="F2305">
        <v>47.302750000000003</v>
      </c>
      <c r="G2305">
        <v>4931200</v>
      </c>
      <c r="I2305">
        <f t="shared" si="36"/>
        <v>6.3681949151451144E-4</v>
      </c>
    </row>
    <row r="2306" spans="1:9" x14ac:dyDescent="0.3">
      <c r="A2306" s="5">
        <v>44985</v>
      </c>
      <c r="B2306">
        <v>48.25</v>
      </c>
      <c r="C2306">
        <v>50.040000999999997</v>
      </c>
      <c r="D2306">
        <v>47.799999</v>
      </c>
      <c r="E2306">
        <v>48.939999</v>
      </c>
      <c r="F2306">
        <v>48.188934000000003</v>
      </c>
      <c r="G2306">
        <v>3871400</v>
      </c>
      <c r="I2306">
        <f t="shared" si="36"/>
        <v>1.0305349329993837E-3</v>
      </c>
    </row>
    <row r="2307" spans="1:9" x14ac:dyDescent="0.3">
      <c r="A2307" s="5">
        <v>44986</v>
      </c>
      <c r="B2307">
        <v>51.290000999999997</v>
      </c>
      <c r="C2307">
        <v>52.959999000000003</v>
      </c>
      <c r="D2307">
        <v>50.529998999999997</v>
      </c>
      <c r="E2307">
        <v>51.650002000000001</v>
      </c>
      <c r="F2307">
        <v>50.857346</v>
      </c>
      <c r="G2307">
        <v>7599600</v>
      </c>
      <c r="I2307">
        <f t="shared" si="36"/>
        <v>1.1298024689850351E-3</v>
      </c>
    </row>
    <row r="2308" spans="1:9" x14ac:dyDescent="0.3">
      <c r="A2308" s="5">
        <v>44987</v>
      </c>
      <c r="B2308">
        <v>50.189999</v>
      </c>
      <c r="C2308">
        <v>53.709999000000003</v>
      </c>
      <c r="D2308">
        <v>50.049999</v>
      </c>
      <c r="E2308">
        <v>53.689999</v>
      </c>
      <c r="F2308">
        <v>52.866039000000001</v>
      </c>
      <c r="G2308">
        <v>6467900</v>
      </c>
      <c r="I2308">
        <f t="shared" si="36"/>
        <v>2.2134663190771615E-4</v>
      </c>
    </row>
    <row r="2309" spans="1:9" x14ac:dyDescent="0.3">
      <c r="A2309" s="5">
        <v>44988</v>
      </c>
      <c r="B2309">
        <v>54.330002</v>
      </c>
      <c r="C2309">
        <v>55.740001999999997</v>
      </c>
      <c r="D2309">
        <v>53.700001</v>
      </c>
      <c r="E2309">
        <v>55.52</v>
      </c>
      <c r="F2309">
        <v>54.667952999999997</v>
      </c>
      <c r="G2309">
        <v>6162700</v>
      </c>
      <c r="I2309">
        <f t="shared" si="36"/>
        <v>4.900767419193687E-4</v>
      </c>
    </row>
    <row r="2310" spans="1:9" x14ac:dyDescent="0.3">
      <c r="A2310" s="5">
        <v>44991</v>
      </c>
      <c r="B2310">
        <v>54.009998000000003</v>
      </c>
      <c r="C2310">
        <v>54.900002000000001</v>
      </c>
      <c r="D2310">
        <v>53.380001</v>
      </c>
      <c r="E2310">
        <v>53.689999</v>
      </c>
      <c r="F2310">
        <v>52.961426000000003</v>
      </c>
      <c r="G2310">
        <v>5129900</v>
      </c>
      <c r="I2310">
        <f t="shared" si="36"/>
        <v>4.3219844921686993E-4</v>
      </c>
    </row>
    <row r="2311" spans="1:9" x14ac:dyDescent="0.3">
      <c r="A2311" s="5">
        <v>44992</v>
      </c>
      <c r="B2311">
        <v>52.779998999999997</v>
      </c>
      <c r="C2311">
        <v>53.040000999999997</v>
      </c>
      <c r="D2311">
        <v>49.919998</v>
      </c>
      <c r="E2311">
        <v>50.169998</v>
      </c>
      <c r="F2311">
        <v>49.489193</v>
      </c>
      <c r="G2311">
        <v>6298100</v>
      </c>
      <c r="I2311">
        <f t="shared" si="36"/>
        <v>5.5166790659309729E-4</v>
      </c>
    </row>
    <row r="2312" spans="1:9" x14ac:dyDescent="0.3">
      <c r="A2312" s="5">
        <v>44993</v>
      </c>
      <c r="B2312">
        <v>50.41</v>
      </c>
      <c r="C2312">
        <v>51.240001999999997</v>
      </c>
      <c r="D2312">
        <v>49.75</v>
      </c>
      <c r="E2312">
        <v>51.02</v>
      </c>
      <c r="F2312">
        <v>50.327663000000001</v>
      </c>
      <c r="G2312">
        <v>3467000</v>
      </c>
      <c r="I2312">
        <f t="shared" si="36"/>
        <v>4.0247782747795816E-4</v>
      </c>
    </row>
    <row r="2313" spans="1:9" x14ac:dyDescent="0.3">
      <c r="A2313" s="5">
        <v>44994</v>
      </c>
      <c r="B2313">
        <v>50.700001</v>
      </c>
      <c r="C2313">
        <v>51.139999000000003</v>
      </c>
      <c r="D2313">
        <v>47.330002</v>
      </c>
      <c r="E2313">
        <v>47.900002000000001</v>
      </c>
      <c r="F2313">
        <v>47.25</v>
      </c>
      <c r="G2313">
        <v>5590500</v>
      </c>
      <c r="I2313">
        <f t="shared" si="36"/>
        <v>1.3889617611327297E-3</v>
      </c>
    </row>
    <row r="2314" spans="1:9" x14ac:dyDescent="0.3">
      <c r="A2314" s="5">
        <v>44995</v>
      </c>
      <c r="B2314">
        <v>48.119999</v>
      </c>
      <c r="C2314">
        <v>48.119999</v>
      </c>
      <c r="D2314">
        <v>44.459999000000003</v>
      </c>
      <c r="E2314">
        <v>44.91</v>
      </c>
      <c r="F2314">
        <v>44.300570999999998</v>
      </c>
      <c r="G2314">
        <v>6195500</v>
      </c>
      <c r="I2314">
        <f t="shared" si="36"/>
        <v>7.9666495001820461E-4</v>
      </c>
    </row>
    <row r="2315" spans="1:9" x14ac:dyDescent="0.3">
      <c r="A2315" s="5">
        <v>44998</v>
      </c>
      <c r="B2315">
        <v>43.509998000000003</v>
      </c>
      <c r="C2315">
        <v>46.049999</v>
      </c>
      <c r="D2315">
        <v>42.244999</v>
      </c>
      <c r="E2315">
        <v>44.709999000000003</v>
      </c>
      <c r="F2315">
        <v>44.103287000000002</v>
      </c>
      <c r="G2315">
        <v>5585500</v>
      </c>
      <c r="I2315">
        <f t="shared" si="36"/>
        <v>3.3487264415164122E-3</v>
      </c>
    </row>
    <row r="2316" spans="1:9" x14ac:dyDescent="0.3">
      <c r="A2316" s="5">
        <v>44999</v>
      </c>
      <c r="B2316">
        <v>45.830002</v>
      </c>
      <c r="C2316">
        <v>46.23</v>
      </c>
      <c r="D2316">
        <v>43.919998</v>
      </c>
      <c r="E2316">
        <v>44.59</v>
      </c>
      <c r="F2316">
        <v>43.984917000000003</v>
      </c>
      <c r="G2316">
        <v>4197000</v>
      </c>
      <c r="I2316">
        <f t="shared" ref="I2316:I2379" si="37">LN(C2316/B2316)*(LN(C2316/B2316)-LN(E2316/B2316))+LN(D2316/B2316)*(LN(D2316/B2316)-LN(E2316/B2316))</f>
        <v>9.583686163445556E-4</v>
      </c>
    </row>
    <row r="2317" spans="1:9" x14ac:dyDescent="0.3">
      <c r="A2317" s="5">
        <v>45000</v>
      </c>
      <c r="B2317">
        <v>42.330002</v>
      </c>
      <c r="C2317">
        <v>42.470001000000003</v>
      </c>
      <c r="D2317">
        <v>38.849997999999999</v>
      </c>
      <c r="E2317">
        <v>39.770000000000003</v>
      </c>
      <c r="F2317">
        <v>39.230319999999999</v>
      </c>
      <c r="G2317">
        <v>9434500</v>
      </c>
      <c r="I2317">
        <f t="shared" si="37"/>
        <v>2.2247391115540302E-3</v>
      </c>
    </row>
    <row r="2318" spans="1:9" x14ac:dyDescent="0.3">
      <c r="A2318" s="5">
        <v>45001</v>
      </c>
      <c r="B2318">
        <v>39.169998</v>
      </c>
      <c r="C2318">
        <v>41.097999999999999</v>
      </c>
      <c r="D2318">
        <v>38.509998000000003</v>
      </c>
      <c r="E2318">
        <v>40.75</v>
      </c>
      <c r="F2318">
        <v>40.197029000000001</v>
      </c>
      <c r="G2318">
        <v>6519500</v>
      </c>
      <c r="I2318">
        <f t="shared" si="37"/>
        <v>1.369345582574631E-3</v>
      </c>
    </row>
    <row r="2319" spans="1:9" x14ac:dyDescent="0.3">
      <c r="A2319" s="5">
        <v>45002</v>
      </c>
      <c r="B2319">
        <v>40.610000999999997</v>
      </c>
      <c r="C2319">
        <v>40.75</v>
      </c>
      <c r="D2319">
        <v>38.901001000000001</v>
      </c>
      <c r="E2319">
        <v>39.150002000000001</v>
      </c>
      <c r="F2319">
        <v>38.618735999999998</v>
      </c>
      <c r="G2319">
        <v>10292000</v>
      </c>
      <c r="I2319">
        <f t="shared" si="37"/>
        <v>4.1217473396022193E-4</v>
      </c>
    </row>
    <row r="2320" spans="1:9" x14ac:dyDescent="0.3">
      <c r="A2320" s="5">
        <v>45005</v>
      </c>
      <c r="B2320">
        <v>39.889999000000003</v>
      </c>
      <c r="C2320">
        <v>40.779998999999997</v>
      </c>
      <c r="D2320">
        <v>39.689999</v>
      </c>
      <c r="E2320">
        <v>40.279998999999997</v>
      </c>
      <c r="F2320">
        <v>39.733401999999998</v>
      </c>
      <c r="G2320">
        <v>8559800</v>
      </c>
      <c r="I2320">
        <f t="shared" si="37"/>
        <v>3.4639134935000849E-4</v>
      </c>
    </row>
    <row r="2321" spans="1:9" x14ac:dyDescent="0.3">
      <c r="A2321" s="5">
        <v>45006</v>
      </c>
      <c r="B2321">
        <v>41.119999</v>
      </c>
      <c r="C2321">
        <v>42.470001000000003</v>
      </c>
      <c r="D2321">
        <v>41.119999</v>
      </c>
      <c r="E2321">
        <v>41.91</v>
      </c>
      <c r="F2321">
        <v>41.341282</v>
      </c>
      <c r="G2321">
        <v>4334100</v>
      </c>
      <c r="I2321">
        <f t="shared" si="37"/>
        <v>4.2877898723985697E-4</v>
      </c>
    </row>
    <row r="2322" spans="1:9" x14ac:dyDescent="0.3">
      <c r="A2322" s="5">
        <v>45007</v>
      </c>
      <c r="B2322">
        <v>41.950001</v>
      </c>
      <c r="C2322">
        <v>42.240001999999997</v>
      </c>
      <c r="D2322">
        <v>39.959999000000003</v>
      </c>
      <c r="E2322">
        <v>40.060001</v>
      </c>
      <c r="F2322">
        <v>39.516387999999999</v>
      </c>
      <c r="G2322">
        <v>6664500</v>
      </c>
      <c r="I2322">
        <f t="shared" si="37"/>
        <v>4.8652663780560915E-4</v>
      </c>
    </row>
    <row r="2323" spans="1:9" x14ac:dyDescent="0.3">
      <c r="A2323" s="5">
        <v>45008</v>
      </c>
      <c r="B2323">
        <v>40.580002</v>
      </c>
      <c r="C2323">
        <v>41.630001</v>
      </c>
      <c r="D2323">
        <v>39.729999999999997</v>
      </c>
      <c r="E2323">
        <v>40.229999999999997</v>
      </c>
      <c r="F2323">
        <v>39.684081999999997</v>
      </c>
      <c r="G2323">
        <v>4143200</v>
      </c>
      <c r="I2323">
        <f t="shared" si="37"/>
        <v>1.1386158894570713E-3</v>
      </c>
    </row>
    <row r="2324" spans="1:9" x14ac:dyDescent="0.3">
      <c r="A2324" s="5">
        <v>45009</v>
      </c>
      <c r="B2324">
        <v>39.279998999999997</v>
      </c>
      <c r="C2324">
        <v>40.185001</v>
      </c>
      <c r="D2324">
        <v>38.816001999999997</v>
      </c>
      <c r="E2324">
        <v>40.080002</v>
      </c>
      <c r="F2324">
        <v>39.536118000000002</v>
      </c>
      <c r="G2324">
        <v>4013700</v>
      </c>
      <c r="I2324">
        <f t="shared" si="37"/>
        <v>4.4038101109404164E-4</v>
      </c>
    </row>
    <row r="2325" spans="1:9" x14ac:dyDescent="0.3">
      <c r="A2325" s="5">
        <v>45012</v>
      </c>
      <c r="B2325">
        <v>40.509998000000003</v>
      </c>
      <c r="C2325">
        <v>40.770000000000003</v>
      </c>
      <c r="D2325">
        <v>39.573002000000002</v>
      </c>
      <c r="E2325">
        <v>40.119999</v>
      </c>
      <c r="F2325">
        <v>39.575572999999999</v>
      </c>
      <c r="G2325">
        <v>3897700</v>
      </c>
      <c r="I2325">
        <f t="shared" si="37"/>
        <v>4.2407547030298888E-4</v>
      </c>
    </row>
    <row r="2326" spans="1:9" x14ac:dyDescent="0.3">
      <c r="A2326" s="5">
        <v>45013</v>
      </c>
      <c r="B2326">
        <v>40.25</v>
      </c>
      <c r="C2326">
        <v>41.029998999999997</v>
      </c>
      <c r="D2326">
        <v>40.060001</v>
      </c>
      <c r="E2326">
        <v>40.529998999999997</v>
      </c>
      <c r="F2326">
        <v>39.980007000000001</v>
      </c>
      <c r="G2326">
        <v>3409800</v>
      </c>
      <c r="I2326">
        <f t="shared" si="37"/>
        <v>2.9052274293672243E-4</v>
      </c>
    </row>
    <row r="2327" spans="1:9" x14ac:dyDescent="0.3">
      <c r="A2327" s="5">
        <v>45014</v>
      </c>
      <c r="B2327">
        <v>41.299999</v>
      </c>
      <c r="C2327">
        <v>41.400002000000001</v>
      </c>
      <c r="D2327">
        <v>40.709999000000003</v>
      </c>
      <c r="E2327">
        <v>40.939999</v>
      </c>
      <c r="F2327">
        <v>40.384444999999999</v>
      </c>
      <c r="G2327">
        <v>4154800</v>
      </c>
      <c r="I2327">
        <f t="shared" si="37"/>
        <v>1.0808581054051881E-4</v>
      </c>
    </row>
    <row r="2328" spans="1:9" x14ac:dyDescent="0.3">
      <c r="A2328" s="5">
        <v>45015</v>
      </c>
      <c r="B2328">
        <v>41.599997999999999</v>
      </c>
      <c r="C2328">
        <v>42.889999000000003</v>
      </c>
      <c r="D2328">
        <v>41.380001</v>
      </c>
      <c r="E2328">
        <v>41.759998000000003</v>
      </c>
      <c r="F2328">
        <v>41.193317</v>
      </c>
      <c r="G2328">
        <v>4800400</v>
      </c>
      <c r="I2328">
        <f t="shared" si="37"/>
        <v>8.638432152239477E-4</v>
      </c>
    </row>
    <row r="2329" spans="1:9" x14ac:dyDescent="0.3">
      <c r="A2329" s="5">
        <v>45016</v>
      </c>
      <c r="B2329">
        <v>41.970001000000003</v>
      </c>
      <c r="C2329">
        <v>42.75</v>
      </c>
      <c r="D2329">
        <v>41.599997999999999</v>
      </c>
      <c r="E2329">
        <v>42.560001</v>
      </c>
      <c r="F2329">
        <v>41.982464</v>
      </c>
      <c r="G2329">
        <v>3079300</v>
      </c>
      <c r="I2329">
        <f t="shared" si="37"/>
        <v>2.8404658863702685E-4</v>
      </c>
    </row>
    <row r="2330" spans="1:9" x14ac:dyDescent="0.3">
      <c r="A2330" s="5">
        <v>45019</v>
      </c>
      <c r="B2330">
        <v>42.560001</v>
      </c>
      <c r="C2330">
        <v>42.950001</v>
      </c>
      <c r="D2330">
        <v>41.130001</v>
      </c>
      <c r="E2330">
        <v>41.77</v>
      </c>
      <c r="F2330">
        <v>41.203181999999998</v>
      </c>
      <c r="G2330">
        <v>3272100</v>
      </c>
      <c r="I2330">
        <f t="shared" si="37"/>
        <v>7.8183125221069523E-4</v>
      </c>
    </row>
    <row r="2331" spans="1:9" x14ac:dyDescent="0.3">
      <c r="A2331" s="5">
        <v>45020</v>
      </c>
      <c r="B2331">
        <v>41.439999</v>
      </c>
      <c r="C2331">
        <v>41.52</v>
      </c>
      <c r="D2331">
        <v>39.310001</v>
      </c>
      <c r="E2331">
        <v>40.340000000000003</v>
      </c>
      <c r="F2331">
        <v>39.792583</v>
      </c>
      <c r="G2331">
        <v>4587400</v>
      </c>
      <c r="I2331">
        <f t="shared" si="37"/>
        <v>1.4204180955097159E-3</v>
      </c>
    </row>
    <row r="2332" spans="1:9" x14ac:dyDescent="0.3">
      <c r="A2332" s="5">
        <v>45021</v>
      </c>
      <c r="B2332">
        <v>39.82</v>
      </c>
      <c r="C2332">
        <v>40.189999</v>
      </c>
      <c r="D2332">
        <v>38.720001000000003</v>
      </c>
      <c r="E2332">
        <v>39.43</v>
      </c>
      <c r="F2332">
        <v>38.894936000000001</v>
      </c>
      <c r="G2332">
        <v>4251000</v>
      </c>
      <c r="I2332">
        <f t="shared" si="37"/>
        <v>6.8558752022370047E-4</v>
      </c>
    </row>
    <row r="2333" spans="1:9" x14ac:dyDescent="0.3">
      <c r="A2333" s="5">
        <v>45022</v>
      </c>
      <c r="B2333">
        <v>39.119999</v>
      </c>
      <c r="C2333">
        <v>39.290000999999997</v>
      </c>
      <c r="D2333">
        <v>38.080002</v>
      </c>
      <c r="E2333">
        <v>39.159999999999997</v>
      </c>
      <c r="F2333">
        <v>38.628601000000003</v>
      </c>
      <c r="G2333">
        <v>5313600</v>
      </c>
      <c r="I2333">
        <f t="shared" si="37"/>
        <v>7.6791778967033521E-4</v>
      </c>
    </row>
    <row r="2334" spans="1:9" x14ac:dyDescent="0.3">
      <c r="A2334" s="5">
        <v>45026</v>
      </c>
      <c r="B2334">
        <v>39.159999999999997</v>
      </c>
      <c r="C2334">
        <v>40.150002000000001</v>
      </c>
      <c r="D2334">
        <v>39</v>
      </c>
      <c r="E2334">
        <v>39.779998999999997</v>
      </c>
      <c r="F2334">
        <v>39.240184999999997</v>
      </c>
      <c r="G2334">
        <v>2452000</v>
      </c>
      <c r="I2334">
        <f t="shared" si="37"/>
        <v>3.1222274433440175E-4</v>
      </c>
    </row>
    <row r="2335" spans="1:9" x14ac:dyDescent="0.3">
      <c r="A2335" s="5">
        <v>45027</v>
      </c>
      <c r="B2335">
        <v>40.520000000000003</v>
      </c>
      <c r="C2335">
        <v>41.18</v>
      </c>
      <c r="D2335">
        <v>40.150002000000001</v>
      </c>
      <c r="E2335">
        <v>40.630001</v>
      </c>
      <c r="F2335">
        <v>40.078651000000001</v>
      </c>
      <c r="G2335">
        <v>4282000</v>
      </c>
      <c r="I2335">
        <f t="shared" si="37"/>
        <v>3.2626320951018251E-4</v>
      </c>
    </row>
    <row r="2336" spans="1:9" x14ac:dyDescent="0.3">
      <c r="A2336" s="5">
        <v>45028</v>
      </c>
      <c r="B2336">
        <v>41.18</v>
      </c>
      <c r="C2336">
        <v>41.25</v>
      </c>
      <c r="D2336">
        <v>39.375</v>
      </c>
      <c r="E2336">
        <v>39.639999000000003</v>
      </c>
      <c r="F2336">
        <v>39.102085000000002</v>
      </c>
      <c r="G2336">
        <v>5256000</v>
      </c>
      <c r="I2336">
        <f t="shared" si="37"/>
        <v>3.6826268912754079E-4</v>
      </c>
    </row>
    <row r="2337" spans="1:9" x14ac:dyDescent="0.3">
      <c r="A2337" s="5">
        <v>45029</v>
      </c>
      <c r="B2337">
        <v>40.380001</v>
      </c>
      <c r="C2337">
        <v>41.345001000000003</v>
      </c>
      <c r="D2337">
        <v>40.119999</v>
      </c>
      <c r="E2337">
        <v>40.939999</v>
      </c>
      <c r="F2337">
        <v>40.384444999999999</v>
      </c>
      <c r="G2337">
        <v>4086500</v>
      </c>
      <c r="I2337">
        <f t="shared" si="37"/>
        <v>3.6318035247717175E-4</v>
      </c>
    </row>
    <row r="2338" spans="1:9" x14ac:dyDescent="0.3">
      <c r="A2338" s="5">
        <v>45030</v>
      </c>
      <c r="B2338">
        <v>41.349997999999999</v>
      </c>
      <c r="C2338">
        <v>41.43</v>
      </c>
      <c r="D2338">
        <v>39.985000999999997</v>
      </c>
      <c r="E2338">
        <v>40.400002000000001</v>
      </c>
      <c r="F2338">
        <v>39.851771999999997</v>
      </c>
      <c r="G2338">
        <v>3376700</v>
      </c>
      <c r="I2338">
        <f t="shared" si="37"/>
        <v>3.9526466480034605E-4</v>
      </c>
    </row>
    <row r="2339" spans="1:9" x14ac:dyDescent="0.3">
      <c r="A2339" s="5">
        <v>45033</v>
      </c>
      <c r="B2339">
        <v>40.310001</v>
      </c>
      <c r="C2339">
        <v>40.82</v>
      </c>
      <c r="D2339">
        <v>40.090000000000003</v>
      </c>
      <c r="E2339">
        <v>40.799999</v>
      </c>
      <c r="F2339">
        <v>40.246341999999999</v>
      </c>
      <c r="G2339">
        <v>2841200</v>
      </c>
      <c r="I2339">
        <f t="shared" si="37"/>
        <v>1.0223534285180292E-4</v>
      </c>
    </row>
    <row r="2340" spans="1:9" x14ac:dyDescent="0.3">
      <c r="A2340" s="5">
        <v>45034</v>
      </c>
      <c r="B2340">
        <v>41.369999</v>
      </c>
      <c r="C2340">
        <v>42.189999</v>
      </c>
      <c r="D2340">
        <v>41</v>
      </c>
      <c r="E2340">
        <v>42.150002000000001</v>
      </c>
      <c r="F2340">
        <v>41.578029999999998</v>
      </c>
      <c r="G2340">
        <v>3753200</v>
      </c>
      <c r="I2340">
        <f t="shared" si="37"/>
        <v>2.6713419472089298E-4</v>
      </c>
    </row>
    <row r="2341" spans="1:9" x14ac:dyDescent="0.3">
      <c r="A2341" s="5">
        <v>45035</v>
      </c>
      <c r="B2341">
        <v>40.959999000000003</v>
      </c>
      <c r="C2341">
        <v>41.957999999999998</v>
      </c>
      <c r="D2341">
        <v>40.5</v>
      </c>
      <c r="E2341">
        <v>41.220001000000003</v>
      </c>
      <c r="F2341">
        <v>40.660648000000002</v>
      </c>
      <c r="G2341">
        <v>5952000</v>
      </c>
      <c r="I2341">
        <f t="shared" si="37"/>
        <v>6.2620905459834849E-4</v>
      </c>
    </row>
    <row r="2342" spans="1:9" x14ac:dyDescent="0.3">
      <c r="A2342" s="5">
        <v>45036</v>
      </c>
      <c r="B2342">
        <v>40</v>
      </c>
      <c r="C2342">
        <v>42.23</v>
      </c>
      <c r="D2342">
        <v>39.619999</v>
      </c>
      <c r="E2342">
        <v>40.229999999999997</v>
      </c>
      <c r="F2342">
        <v>39.684081999999997</v>
      </c>
      <c r="G2342">
        <v>9331200</v>
      </c>
      <c r="I2342">
        <f t="shared" si="37"/>
        <v>2.7780082579935477E-3</v>
      </c>
    </row>
    <row r="2343" spans="1:9" x14ac:dyDescent="0.3">
      <c r="A2343" s="5">
        <v>45037</v>
      </c>
      <c r="B2343">
        <v>39.830002</v>
      </c>
      <c r="C2343">
        <v>39.830002</v>
      </c>
      <c r="D2343">
        <v>37.409999999999997</v>
      </c>
      <c r="E2343">
        <v>38.159999999999997</v>
      </c>
      <c r="F2343">
        <v>37.642173999999997</v>
      </c>
      <c r="G2343">
        <v>9180100</v>
      </c>
      <c r="I2343">
        <f t="shared" si="37"/>
        <v>1.2442329730285079E-3</v>
      </c>
    </row>
    <row r="2344" spans="1:9" x14ac:dyDescent="0.3">
      <c r="A2344" s="5">
        <v>45040</v>
      </c>
      <c r="B2344">
        <v>37.979999999999997</v>
      </c>
      <c r="C2344">
        <v>38.540000999999997</v>
      </c>
      <c r="D2344">
        <v>37.560001</v>
      </c>
      <c r="E2344">
        <v>38.040000999999997</v>
      </c>
      <c r="F2344">
        <v>37.523800000000001</v>
      </c>
      <c r="G2344">
        <v>5027800</v>
      </c>
      <c r="I2344">
        <f t="shared" si="37"/>
        <v>3.3234450450673282E-4</v>
      </c>
    </row>
    <row r="2345" spans="1:9" x14ac:dyDescent="0.3">
      <c r="A2345" s="5">
        <v>45041</v>
      </c>
      <c r="B2345">
        <v>36.900002000000001</v>
      </c>
      <c r="C2345">
        <v>36.900002000000001</v>
      </c>
      <c r="D2345">
        <v>35.720001000000003</v>
      </c>
      <c r="E2345">
        <v>35.75</v>
      </c>
      <c r="F2345">
        <v>35.264873999999999</v>
      </c>
      <c r="G2345">
        <v>6363500</v>
      </c>
      <c r="I2345">
        <f t="shared" si="37"/>
        <v>2.7283956347896453E-5</v>
      </c>
    </row>
    <row r="2346" spans="1:9" x14ac:dyDescent="0.3">
      <c r="A2346" s="5">
        <v>45042</v>
      </c>
      <c r="B2346">
        <v>36.080002</v>
      </c>
      <c r="C2346">
        <v>36.200001</v>
      </c>
      <c r="D2346">
        <v>35.020000000000003</v>
      </c>
      <c r="E2346">
        <v>35.450001</v>
      </c>
      <c r="F2346">
        <v>34.968944999999998</v>
      </c>
      <c r="G2346">
        <v>4799500</v>
      </c>
      <c r="I2346">
        <f t="shared" si="37"/>
        <v>4.3343024552150141E-4</v>
      </c>
    </row>
    <row r="2347" spans="1:9" x14ac:dyDescent="0.3">
      <c r="A2347" s="5">
        <v>45043</v>
      </c>
      <c r="B2347">
        <v>35.555</v>
      </c>
      <c r="C2347">
        <v>36.479999999999997</v>
      </c>
      <c r="D2347">
        <v>35.402000000000001</v>
      </c>
      <c r="E2347">
        <v>36.270000000000003</v>
      </c>
      <c r="F2347">
        <v>35.777821000000003</v>
      </c>
      <c r="G2347">
        <v>3850900</v>
      </c>
      <c r="I2347">
        <f t="shared" si="37"/>
        <v>2.5273513076530416E-4</v>
      </c>
    </row>
    <row r="2348" spans="1:9" x14ac:dyDescent="0.3">
      <c r="A2348" s="5">
        <v>45044</v>
      </c>
      <c r="B2348">
        <v>36.080002</v>
      </c>
      <c r="C2348">
        <v>37.235999999999997</v>
      </c>
      <c r="D2348">
        <v>35.775002000000001</v>
      </c>
      <c r="E2348">
        <v>37.139999000000003</v>
      </c>
      <c r="F2348">
        <v>36.636009000000001</v>
      </c>
      <c r="G2348">
        <v>3835100</v>
      </c>
      <c r="I2348">
        <f t="shared" si="37"/>
        <v>3.9929938366209655E-4</v>
      </c>
    </row>
    <row r="2349" spans="1:9" x14ac:dyDescent="0.3">
      <c r="A2349" s="5">
        <v>45047</v>
      </c>
      <c r="B2349">
        <v>37.659999999999997</v>
      </c>
      <c r="C2349">
        <v>37.700001</v>
      </c>
      <c r="D2349">
        <v>36.770000000000003</v>
      </c>
      <c r="E2349">
        <v>37.270000000000003</v>
      </c>
      <c r="F2349">
        <v>36.764248000000002</v>
      </c>
      <c r="G2349">
        <v>2730300</v>
      </c>
      <c r="I2349">
        <f t="shared" si="37"/>
        <v>3.3520059585157019E-4</v>
      </c>
    </row>
    <row r="2350" spans="1:9" x14ac:dyDescent="0.3">
      <c r="A2350" s="5">
        <v>45048</v>
      </c>
      <c r="B2350">
        <v>36.459999000000003</v>
      </c>
      <c r="C2350">
        <v>36.720001000000003</v>
      </c>
      <c r="D2350">
        <v>35.139999000000003</v>
      </c>
      <c r="E2350">
        <v>35.68</v>
      </c>
      <c r="F2350">
        <v>35.195824000000002</v>
      </c>
      <c r="G2350">
        <v>3927200</v>
      </c>
      <c r="I2350">
        <f t="shared" si="37"/>
        <v>7.6652381624600456E-4</v>
      </c>
    </row>
    <row r="2351" spans="1:9" x14ac:dyDescent="0.3">
      <c r="A2351" s="5">
        <v>45049</v>
      </c>
      <c r="B2351">
        <v>35.610000999999997</v>
      </c>
      <c r="C2351">
        <v>36.25</v>
      </c>
      <c r="D2351">
        <v>34.860000999999997</v>
      </c>
      <c r="E2351">
        <v>35.020000000000003</v>
      </c>
      <c r="F2351">
        <v>34.544777000000003</v>
      </c>
      <c r="G2351">
        <v>3564600</v>
      </c>
      <c r="I2351">
        <f t="shared" si="37"/>
        <v>7.123769347976537E-4</v>
      </c>
    </row>
    <row r="2352" spans="1:9" x14ac:dyDescent="0.3">
      <c r="A2352" s="5">
        <v>45050</v>
      </c>
      <c r="B2352">
        <v>34.659999999999997</v>
      </c>
      <c r="C2352">
        <v>35.090000000000003</v>
      </c>
      <c r="D2352">
        <v>33.950001</v>
      </c>
      <c r="E2352">
        <v>34.380001</v>
      </c>
      <c r="F2352">
        <v>33.913466999999997</v>
      </c>
      <c r="G2352">
        <v>3615300</v>
      </c>
      <c r="I2352">
        <f t="shared" si="37"/>
        <v>5.1253807398414378E-4</v>
      </c>
    </row>
    <row r="2353" spans="1:9" x14ac:dyDescent="0.3">
      <c r="A2353" s="5">
        <v>45051</v>
      </c>
      <c r="B2353">
        <v>35.240001999999997</v>
      </c>
      <c r="C2353">
        <v>36.349997999999999</v>
      </c>
      <c r="D2353">
        <v>34.869999</v>
      </c>
      <c r="E2353">
        <v>36.150002000000001</v>
      </c>
      <c r="F2353">
        <v>35.659450999999997</v>
      </c>
      <c r="G2353">
        <v>3869400</v>
      </c>
      <c r="I2353">
        <f t="shared" si="37"/>
        <v>5.5160980303497489E-4</v>
      </c>
    </row>
    <row r="2354" spans="1:9" x14ac:dyDescent="0.3">
      <c r="A2354" s="5">
        <v>45054</v>
      </c>
      <c r="B2354">
        <v>37.959999000000003</v>
      </c>
      <c r="C2354">
        <v>38.200001</v>
      </c>
      <c r="D2354">
        <v>36.689999</v>
      </c>
      <c r="E2354">
        <v>36.82</v>
      </c>
      <c r="F2354">
        <v>36.320357999999999</v>
      </c>
      <c r="G2354">
        <v>3750400</v>
      </c>
      <c r="I2354">
        <f t="shared" si="37"/>
        <v>3.5225840352694557E-4</v>
      </c>
    </row>
    <row r="2355" spans="1:9" x14ac:dyDescent="0.3">
      <c r="A2355" s="5">
        <v>45055</v>
      </c>
      <c r="B2355">
        <v>36.099997999999999</v>
      </c>
      <c r="C2355">
        <v>36.919998</v>
      </c>
      <c r="D2355">
        <v>35.709999000000003</v>
      </c>
      <c r="E2355">
        <v>36.509998000000003</v>
      </c>
      <c r="F2355">
        <v>36.014557000000003</v>
      </c>
      <c r="G2355">
        <v>3445000</v>
      </c>
      <c r="I2355">
        <f t="shared" si="37"/>
        <v>4.9147545651834017E-4</v>
      </c>
    </row>
    <row r="2356" spans="1:9" x14ac:dyDescent="0.3">
      <c r="A2356" s="5">
        <v>45056</v>
      </c>
      <c r="B2356">
        <v>37.139999000000003</v>
      </c>
      <c r="C2356">
        <v>37.220001000000003</v>
      </c>
      <c r="D2356">
        <v>35.380001</v>
      </c>
      <c r="E2356">
        <v>36.139999000000003</v>
      </c>
      <c r="F2356">
        <v>35.649582000000002</v>
      </c>
      <c r="G2356">
        <v>2961200</v>
      </c>
      <c r="I2356">
        <f t="shared" si="37"/>
        <v>1.0951733362525532E-3</v>
      </c>
    </row>
    <row r="2357" spans="1:9" x14ac:dyDescent="0.3">
      <c r="A2357" s="5">
        <v>45057</v>
      </c>
      <c r="B2357">
        <v>35.400002000000001</v>
      </c>
      <c r="C2357">
        <v>35.93</v>
      </c>
      <c r="D2357">
        <v>35.060001</v>
      </c>
      <c r="E2357">
        <v>35.330002</v>
      </c>
      <c r="F2357">
        <v>34.850577999999999</v>
      </c>
      <c r="G2357">
        <v>3272400</v>
      </c>
      <c r="I2357">
        <f t="shared" si="37"/>
        <v>3.2429430302811755E-4</v>
      </c>
    </row>
    <row r="2358" spans="1:9" x14ac:dyDescent="0.3">
      <c r="A2358" s="5">
        <v>45058</v>
      </c>
      <c r="B2358">
        <v>35.439999</v>
      </c>
      <c r="C2358">
        <v>35.5</v>
      </c>
      <c r="D2358">
        <v>35.029998999999997</v>
      </c>
      <c r="E2358">
        <v>35.369999</v>
      </c>
      <c r="F2358">
        <v>34.890030000000003</v>
      </c>
      <c r="G2358">
        <v>1978200</v>
      </c>
      <c r="I2358">
        <f t="shared" si="37"/>
        <v>1.1860285452712808E-4</v>
      </c>
    </row>
    <row r="2359" spans="1:9" x14ac:dyDescent="0.3">
      <c r="A2359" s="5">
        <v>45061</v>
      </c>
      <c r="B2359">
        <v>35.505001</v>
      </c>
      <c r="C2359">
        <v>37.080002</v>
      </c>
      <c r="D2359">
        <v>35.369999</v>
      </c>
      <c r="E2359">
        <v>36.990001999999997</v>
      </c>
      <c r="F2359">
        <v>36.591503000000003</v>
      </c>
      <c r="G2359">
        <v>3438900</v>
      </c>
      <c r="I2359">
        <f t="shared" si="37"/>
        <v>2.7608538613209323E-4</v>
      </c>
    </row>
    <row r="2360" spans="1:9" x14ac:dyDescent="0.3">
      <c r="A2360" s="5">
        <v>45062</v>
      </c>
      <c r="B2360">
        <v>36.490001999999997</v>
      </c>
      <c r="C2360">
        <v>37.029998999999997</v>
      </c>
      <c r="D2360">
        <v>36.025002000000001</v>
      </c>
      <c r="E2360">
        <v>36.099997999999999</v>
      </c>
      <c r="F2360">
        <v>35.711086000000002</v>
      </c>
      <c r="G2360">
        <v>3234200</v>
      </c>
      <c r="I2360">
        <f t="shared" si="37"/>
        <v>4.0032119568239117E-4</v>
      </c>
    </row>
    <row r="2361" spans="1:9" x14ac:dyDescent="0.3">
      <c r="A2361" s="5">
        <v>45063</v>
      </c>
      <c r="B2361">
        <v>36.950001</v>
      </c>
      <c r="C2361">
        <v>37.349997999999999</v>
      </c>
      <c r="D2361">
        <v>36.192000999999998</v>
      </c>
      <c r="E2361">
        <v>36.740001999999997</v>
      </c>
      <c r="F2361">
        <v>36.344192999999997</v>
      </c>
      <c r="G2361">
        <v>4058300</v>
      </c>
      <c r="I2361">
        <f t="shared" si="37"/>
        <v>4.8879395084397317E-4</v>
      </c>
    </row>
    <row r="2362" spans="1:9" x14ac:dyDescent="0.3">
      <c r="A2362" s="5">
        <v>45064</v>
      </c>
      <c r="B2362">
        <v>36.290000999999997</v>
      </c>
      <c r="C2362">
        <v>36.93</v>
      </c>
      <c r="D2362">
        <v>35.669998</v>
      </c>
      <c r="E2362">
        <v>36.810001</v>
      </c>
      <c r="F2362">
        <v>36.413437000000002</v>
      </c>
      <c r="G2362">
        <v>3326300</v>
      </c>
      <c r="I2362">
        <f t="shared" si="37"/>
        <v>5.9901977785374952E-4</v>
      </c>
    </row>
    <row r="2363" spans="1:9" x14ac:dyDescent="0.3">
      <c r="A2363" s="5">
        <v>45065</v>
      </c>
      <c r="B2363">
        <v>37.150002000000001</v>
      </c>
      <c r="C2363">
        <v>37.150002000000001</v>
      </c>
      <c r="D2363">
        <v>35.93</v>
      </c>
      <c r="E2363">
        <v>36.099997999999999</v>
      </c>
      <c r="F2363">
        <v>35.711086000000002</v>
      </c>
      <c r="G2363">
        <v>3544300</v>
      </c>
      <c r="I2363">
        <f t="shared" si="37"/>
        <v>1.5761354916564292E-4</v>
      </c>
    </row>
    <row r="2364" spans="1:9" x14ac:dyDescent="0.3">
      <c r="A2364" s="5">
        <v>45068</v>
      </c>
      <c r="B2364">
        <v>36.18</v>
      </c>
      <c r="C2364">
        <v>36.939999</v>
      </c>
      <c r="D2364">
        <v>36.060001</v>
      </c>
      <c r="E2364">
        <v>36.400002000000001</v>
      </c>
      <c r="F2364">
        <v>36.007857999999999</v>
      </c>
      <c r="G2364">
        <v>3252800</v>
      </c>
      <c r="I2364">
        <f t="shared" si="37"/>
        <v>3.3731121984331935E-4</v>
      </c>
    </row>
    <row r="2365" spans="1:9" x14ac:dyDescent="0.3">
      <c r="A2365" s="5">
        <v>45069</v>
      </c>
      <c r="B2365">
        <v>36</v>
      </c>
      <c r="C2365">
        <v>36.169998</v>
      </c>
      <c r="D2365">
        <v>35.450001</v>
      </c>
      <c r="E2365">
        <v>35.669998</v>
      </c>
      <c r="F2365">
        <v>35.285716999999998</v>
      </c>
      <c r="G2365">
        <v>3542500</v>
      </c>
      <c r="I2365">
        <f t="shared" si="37"/>
        <v>1.6082579951943484E-4</v>
      </c>
    </row>
    <row r="2366" spans="1:9" x14ac:dyDescent="0.3">
      <c r="A2366" s="5">
        <v>45070</v>
      </c>
      <c r="B2366">
        <v>35.259998000000003</v>
      </c>
      <c r="C2366">
        <v>35.360000999999997</v>
      </c>
      <c r="D2366">
        <v>34.205002</v>
      </c>
      <c r="E2366">
        <v>34.349997999999999</v>
      </c>
      <c r="F2366">
        <v>33.979939000000002</v>
      </c>
      <c r="G2366">
        <v>3450700</v>
      </c>
      <c r="I2366">
        <f t="shared" si="37"/>
        <v>2.1057141888940545E-4</v>
      </c>
    </row>
    <row r="2367" spans="1:9" x14ac:dyDescent="0.3">
      <c r="A2367" s="5">
        <v>45071</v>
      </c>
      <c r="B2367">
        <v>34.209999000000003</v>
      </c>
      <c r="C2367">
        <v>34.639999000000003</v>
      </c>
      <c r="D2367">
        <v>33.509998000000003</v>
      </c>
      <c r="E2367">
        <v>33.790000999999997</v>
      </c>
      <c r="F2367">
        <v>33.425975999999999</v>
      </c>
      <c r="G2367">
        <v>3906500</v>
      </c>
      <c r="I2367">
        <f t="shared" si="37"/>
        <v>4.8236131375392746E-4</v>
      </c>
    </row>
    <row r="2368" spans="1:9" x14ac:dyDescent="0.3">
      <c r="A2368" s="5">
        <v>45072</v>
      </c>
      <c r="B2368">
        <v>34.590000000000003</v>
      </c>
      <c r="C2368">
        <v>34.790000999999997</v>
      </c>
      <c r="D2368">
        <v>33.610000999999997</v>
      </c>
      <c r="E2368">
        <v>33.689999</v>
      </c>
      <c r="F2368">
        <v>33.327052999999999</v>
      </c>
      <c r="G2368">
        <v>5876800</v>
      </c>
      <c r="I2368">
        <f t="shared" si="37"/>
        <v>2.535637984298364E-4</v>
      </c>
    </row>
    <row r="2369" spans="1:9" x14ac:dyDescent="0.3">
      <c r="A2369" s="5">
        <v>45076</v>
      </c>
      <c r="B2369">
        <v>33.705002</v>
      </c>
      <c r="C2369">
        <v>33.705002</v>
      </c>
      <c r="D2369">
        <v>32.07</v>
      </c>
      <c r="E2369">
        <v>32.799999</v>
      </c>
      <c r="F2369">
        <v>32.446635999999998</v>
      </c>
      <c r="G2369">
        <v>6159500</v>
      </c>
      <c r="I2369">
        <f t="shared" si="37"/>
        <v>1.1191894056959114E-3</v>
      </c>
    </row>
    <row r="2370" spans="1:9" x14ac:dyDescent="0.3">
      <c r="A2370" s="5">
        <v>45077</v>
      </c>
      <c r="B2370">
        <v>32.5</v>
      </c>
      <c r="C2370">
        <v>32.696998999999998</v>
      </c>
      <c r="D2370">
        <v>31.139999</v>
      </c>
      <c r="E2370">
        <v>31.719999000000001</v>
      </c>
      <c r="F2370">
        <v>31.378273</v>
      </c>
      <c r="G2370">
        <v>6457600</v>
      </c>
      <c r="I2370">
        <f t="shared" si="37"/>
        <v>9.7218862482136698E-4</v>
      </c>
    </row>
    <row r="2371" spans="1:9" x14ac:dyDescent="0.3">
      <c r="A2371" s="5">
        <v>45078</v>
      </c>
      <c r="B2371">
        <v>32</v>
      </c>
      <c r="C2371">
        <v>33.040000999999997</v>
      </c>
      <c r="D2371">
        <v>31.52</v>
      </c>
      <c r="E2371">
        <v>32.700001</v>
      </c>
      <c r="F2371">
        <v>32.347717000000003</v>
      </c>
      <c r="G2371">
        <v>4830600</v>
      </c>
      <c r="I2371">
        <f t="shared" si="37"/>
        <v>8.8629796055400708E-4</v>
      </c>
    </row>
    <row r="2372" spans="1:9" x14ac:dyDescent="0.3">
      <c r="A2372" s="5">
        <v>45079</v>
      </c>
      <c r="B2372">
        <v>34.290000999999997</v>
      </c>
      <c r="C2372">
        <v>35.389999000000003</v>
      </c>
      <c r="D2372">
        <v>33.939999</v>
      </c>
      <c r="E2372">
        <v>34.939999</v>
      </c>
      <c r="F2372">
        <v>34.563583000000001</v>
      </c>
      <c r="G2372">
        <v>8042300</v>
      </c>
      <c r="I2372">
        <f t="shared" si="37"/>
        <v>7.0198870660134521E-4</v>
      </c>
    </row>
    <row r="2373" spans="1:9" x14ac:dyDescent="0.3">
      <c r="A2373" s="5">
        <v>45082</v>
      </c>
      <c r="B2373">
        <v>34.830002</v>
      </c>
      <c r="C2373">
        <v>34.830002</v>
      </c>
      <c r="D2373">
        <v>33.400002000000001</v>
      </c>
      <c r="E2373">
        <v>33.779998999999997</v>
      </c>
      <c r="F2373">
        <v>33.416080000000001</v>
      </c>
      <c r="G2373">
        <v>4118500</v>
      </c>
      <c r="I2373">
        <f t="shared" si="37"/>
        <v>4.742736836139423E-4</v>
      </c>
    </row>
    <row r="2374" spans="1:9" x14ac:dyDescent="0.3">
      <c r="A2374" s="5">
        <v>45083</v>
      </c>
      <c r="B2374">
        <v>33.5</v>
      </c>
      <c r="C2374">
        <v>34.979999999999997</v>
      </c>
      <c r="D2374">
        <v>33.439999</v>
      </c>
      <c r="E2374">
        <v>34.549999</v>
      </c>
      <c r="F2374">
        <v>34.177788</v>
      </c>
      <c r="G2374">
        <v>4132600</v>
      </c>
      <c r="I2374">
        <f t="shared" si="37"/>
        <v>5.9326194269994923E-4</v>
      </c>
    </row>
    <row r="2375" spans="1:9" x14ac:dyDescent="0.3">
      <c r="A2375" s="5">
        <v>45084</v>
      </c>
      <c r="B2375">
        <v>34.93</v>
      </c>
      <c r="C2375">
        <v>36.340000000000003</v>
      </c>
      <c r="D2375">
        <v>34.549999</v>
      </c>
      <c r="E2375">
        <v>35.349997999999999</v>
      </c>
      <c r="F2375">
        <v>34.969166000000001</v>
      </c>
      <c r="G2375">
        <v>5266200</v>
      </c>
      <c r="I2375">
        <f t="shared" si="37"/>
        <v>1.3434271860682501E-3</v>
      </c>
    </row>
    <row r="2376" spans="1:9" x14ac:dyDescent="0.3">
      <c r="A2376" s="5">
        <v>45085</v>
      </c>
      <c r="B2376">
        <v>35.610000999999997</v>
      </c>
      <c r="C2376">
        <v>35.950001</v>
      </c>
      <c r="D2376">
        <v>34.759998000000003</v>
      </c>
      <c r="E2376">
        <v>35.580002</v>
      </c>
      <c r="F2376">
        <v>35.196689999999997</v>
      </c>
      <c r="G2376">
        <v>3779400</v>
      </c>
      <c r="I2376">
        <f t="shared" si="37"/>
        <v>6.616176121701906E-4</v>
      </c>
    </row>
    <row r="2377" spans="1:9" x14ac:dyDescent="0.3">
      <c r="A2377" s="5">
        <v>45086</v>
      </c>
      <c r="B2377">
        <v>35.610000999999997</v>
      </c>
      <c r="C2377">
        <v>35.830002</v>
      </c>
      <c r="D2377">
        <v>34.830002</v>
      </c>
      <c r="E2377">
        <v>35.229999999999997</v>
      </c>
      <c r="F2377">
        <v>34.850464000000002</v>
      </c>
      <c r="G2377">
        <v>3071100</v>
      </c>
      <c r="I2377">
        <f t="shared" si="37"/>
        <v>3.5690940247779825E-4</v>
      </c>
    </row>
    <row r="2378" spans="1:9" x14ac:dyDescent="0.3">
      <c r="A2378" s="5">
        <v>45089</v>
      </c>
      <c r="B2378">
        <v>34.869999</v>
      </c>
      <c r="C2378">
        <v>35.679001</v>
      </c>
      <c r="D2378">
        <v>34.619999</v>
      </c>
      <c r="E2378">
        <v>34.990001999999997</v>
      </c>
      <c r="F2378">
        <v>34.613048999999997</v>
      </c>
      <c r="G2378">
        <v>3856900</v>
      </c>
      <c r="I2378">
        <f t="shared" si="37"/>
        <v>5.2373274751678085E-4</v>
      </c>
    </row>
    <row r="2379" spans="1:9" x14ac:dyDescent="0.3">
      <c r="A2379" s="5">
        <v>45090</v>
      </c>
      <c r="B2379">
        <v>36.020000000000003</v>
      </c>
      <c r="C2379">
        <v>37.610000999999997</v>
      </c>
      <c r="D2379">
        <v>35.889999000000003</v>
      </c>
      <c r="E2379">
        <v>36.700001</v>
      </c>
      <c r="F2379">
        <v>36.304622999999999</v>
      </c>
      <c r="G2379">
        <v>6175900</v>
      </c>
      <c r="I2379">
        <f t="shared" si="37"/>
        <v>1.1386953812708657E-3</v>
      </c>
    </row>
    <row r="2380" spans="1:9" x14ac:dyDescent="0.3">
      <c r="A2380" s="5">
        <v>45091</v>
      </c>
      <c r="B2380">
        <v>37.740001999999997</v>
      </c>
      <c r="C2380">
        <v>37.740001999999997</v>
      </c>
      <c r="D2380">
        <v>35.659999999999997</v>
      </c>
      <c r="E2380">
        <v>36.130001</v>
      </c>
      <c r="F2380">
        <v>35.740765000000003</v>
      </c>
      <c r="G2380">
        <v>4615100</v>
      </c>
      <c r="I2380">
        <f t="shared" ref="I2380:I2443" si="38">LN(C2380/B2380)*(LN(C2380/B2380)-LN(E2380/B2380))+LN(D2380/B2380)*(LN(D2380/B2380)-LN(E2380/B2380))</f>
        <v>7.4230945383383143E-4</v>
      </c>
    </row>
    <row r="2381" spans="1:9" x14ac:dyDescent="0.3">
      <c r="A2381" s="5">
        <v>45092</v>
      </c>
      <c r="B2381">
        <v>35.669998</v>
      </c>
      <c r="C2381">
        <v>36.240001999999997</v>
      </c>
      <c r="D2381">
        <v>35.349997999999999</v>
      </c>
      <c r="E2381">
        <v>35.970001000000003</v>
      </c>
      <c r="F2381">
        <v>35.582489000000002</v>
      </c>
      <c r="G2381">
        <v>4217500</v>
      </c>
      <c r="I2381">
        <f t="shared" si="38"/>
        <v>2.7524151317553724E-4</v>
      </c>
    </row>
    <row r="2382" spans="1:9" x14ac:dyDescent="0.3">
      <c r="A2382" s="5">
        <v>45093</v>
      </c>
      <c r="B2382">
        <v>35.970001000000003</v>
      </c>
      <c r="C2382">
        <v>36.040000999999997</v>
      </c>
      <c r="D2382">
        <v>34.790000999999997</v>
      </c>
      <c r="E2382">
        <v>35.619999</v>
      </c>
      <c r="F2382">
        <v>35.236258999999997</v>
      </c>
      <c r="G2382">
        <v>5811700</v>
      </c>
      <c r="I2382">
        <f t="shared" si="38"/>
        <v>8.0921490736685303E-4</v>
      </c>
    </row>
    <row r="2383" spans="1:9" x14ac:dyDescent="0.3">
      <c r="A2383" s="5">
        <v>45097</v>
      </c>
      <c r="B2383">
        <v>34.584000000000003</v>
      </c>
      <c r="C2383">
        <v>34.880001</v>
      </c>
      <c r="D2383">
        <v>33.880001</v>
      </c>
      <c r="E2383">
        <v>34.220001000000003</v>
      </c>
      <c r="F2383">
        <v>33.851340999999998</v>
      </c>
      <c r="G2383">
        <v>5372900</v>
      </c>
      <c r="I2383">
        <f t="shared" si="38"/>
        <v>3.6816993491388172E-4</v>
      </c>
    </row>
    <row r="2384" spans="1:9" x14ac:dyDescent="0.3">
      <c r="A2384" s="5">
        <v>45098</v>
      </c>
      <c r="B2384">
        <v>33.700001</v>
      </c>
      <c r="C2384">
        <v>35.130001</v>
      </c>
      <c r="D2384">
        <v>33.576999999999998</v>
      </c>
      <c r="E2384">
        <v>34.909999999999997</v>
      </c>
      <c r="F2384">
        <v>34.533909000000001</v>
      </c>
      <c r="G2384">
        <v>4907500</v>
      </c>
      <c r="I2384">
        <f t="shared" si="38"/>
        <v>4.0342940434879443E-4</v>
      </c>
    </row>
    <row r="2385" spans="1:9" x14ac:dyDescent="0.3">
      <c r="A2385" s="5">
        <v>45099</v>
      </c>
      <c r="B2385">
        <v>33.799999</v>
      </c>
      <c r="C2385">
        <v>33.950001</v>
      </c>
      <c r="D2385">
        <v>32.810001</v>
      </c>
      <c r="E2385">
        <v>33.409999999999997</v>
      </c>
      <c r="F2385">
        <v>33.050068000000003</v>
      </c>
      <c r="G2385">
        <v>7327400</v>
      </c>
      <c r="I2385">
        <f t="shared" si="38"/>
        <v>6.0971493427981033E-4</v>
      </c>
    </row>
    <row r="2386" spans="1:9" x14ac:dyDescent="0.3">
      <c r="A2386" s="5">
        <v>45100</v>
      </c>
      <c r="B2386">
        <v>32.729999999999997</v>
      </c>
      <c r="C2386">
        <v>33.299999</v>
      </c>
      <c r="D2386">
        <v>32.549999</v>
      </c>
      <c r="E2386">
        <v>32.840000000000003</v>
      </c>
      <c r="F2386">
        <v>32.48621</v>
      </c>
      <c r="G2386">
        <v>5471400</v>
      </c>
      <c r="I2386">
        <f t="shared" si="38"/>
        <v>2.8907698876974353E-4</v>
      </c>
    </row>
    <row r="2387" spans="1:9" x14ac:dyDescent="0.3">
      <c r="A2387" s="5">
        <v>45103</v>
      </c>
      <c r="B2387">
        <v>32.779998999999997</v>
      </c>
      <c r="C2387">
        <v>33.529998999999997</v>
      </c>
      <c r="D2387">
        <v>32.779998999999997</v>
      </c>
      <c r="E2387">
        <v>32.990001999999997</v>
      </c>
      <c r="F2387">
        <v>32.634594</v>
      </c>
      <c r="G2387">
        <v>3311300</v>
      </c>
      <c r="I2387">
        <f t="shared" si="38"/>
        <v>3.6729025054951553E-4</v>
      </c>
    </row>
    <row r="2388" spans="1:9" x14ac:dyDescent="0.3">
      <c r="A2388" s="5">
        <v>45104</v>
      </c>
      <c r="B2388">
        <v>33.490001999999997</v>
      </c>
      <c r="C2388">
        <v>34.525002000000001</v>
      </c>
      <c r="D2388">
        <v>33.029998999999997</v>
      </c>
      <c r="E2388">
        <v>34.43</v>
      </c>
      <c r="F2388">
        <v>34.059078</v>
      </c>
      <c r="G2388">
        <v>4130400</v>
      </c>
      <c r="I2388">
        <f t="shared" si="38"/>
        <v>6.5801053376195347E-4</v>
      </c>
    </row>
    <row r="2389" spans="1:9" x14ac:dyDescent="0.3">
      <c r="A2389" s="5">
        <v>45105</v>
      </c>
      <c r="B2389">
        <v>34</v>
      </c>
      <c r="C2389">
        <v>34.029998999999997</v>
      </c>
      <c r="D2389">
        <v>33.389999000000003</v>
      </c>
      <c r="E2389">
        <v>33.659999999999997</v>
      </c>
      <c r="F2389">
        <v>33.297375000000002</v>
      </c>
      <c r="G2389">
        <v>3657200</v>
      </c>
      <c r="I2389">
        <f t="shared" si="38"/>
        <v>1.5544771394855158E-4</v>
      </c>
    </row>
    <row r="2390" spans="1:9" x14ac:dyDescent="0.3">
      <c r="A2390" s="5">
        <v>45106</v>
      </c>
      <c r="B2390">
        <v>33.5</v>
      </c>
      <c r="C2390">
        <v>33.959999000000003</v>
      </c>
      <c r="D2390">
        <v>33.080002</v>
      </c>
      <c r="E2390">
        <v>33.759998000000003</v>
      </c>
      <c r="F2390">
        <v>33.396296999999997</v>
      </c>
      <c r="G2390">
        <v>5419200</v>
      </c>
      <c r="I2390">
        <f t="shared" si="38"/>
        <v>3.3727190719311343E-4</v>
      </c>
    </row>
    <row r="2391" spans="1:9" x14ac:dyDescent="0.3">
      <c r="A2391" s="5">
        <v>45107</v>
      </c>
      <c r="B2391">
        <v>33.990001999999997</v>
      </c>
      <c r="C2391">
        <v>34.099997999999999</v>
      </c>
      <c r="D2391">
        <v>33.314999</v>
      </c>
      <c r="E2391">
        <v>33.93</v>
      </c>
      <c r="F2391">
        <v>33.564467999999998</v>
      </c>
      <c r="G2391">
        <v>4966300</v>
      </c>
      <c r="I2391">
        <f t="shared" si="38"/>
        <v>3.830583438505358E-4</v>
      </c>
    </row>
    <row r="2392" spans="1:9" x14ac:dyDescent="0.3">
      <c r="A2392" s="5">
        <v>45110</v>
      </c>
      <c r="B2392">
        <v>34.5</v>
      </c>
      <c r="C2392">
        <v>34.93</v>
      </c>
      <c r="D2392">
        <v>34.139999000000003</v>
      </c>
      <c r="E2392">
        <v>34.270000000000003</v>
      </c>
      <c r="F2392">
        <v>33.900803000000003</v>
      </c>
      <c r="G2392">
        <v>2460900</v>
      </c>
      <c r="I2392">
        <f t="shared" si="38"/>
        <v>2.7615333268720619E-4</v>
      </c>
    </row>
    <row r="2393" spans="1:9" x14ac:dyDescent="0.3">
      <c r="A2393" s="5">
        <v>45112</v>
      </c>
      <c r="B2393">
        <v>33.909999999999997</v>
      </c>
      <c r="C2393">
        <v>34.443001000000002</v>
      </c>
      <c r="D2393">
        <v>33.520000000000003</v>
      </c>
      <c r="E2393">
        <v>33.68</v>
      </c>
      <c r="F2393">
        <v>33.317157999999999</v>
      </c>
      <c r="G2393">
        <v>4490700</v>
      </c>
      <c r="I2393">
        <f t="shared" si="38"/>
        <v>4.0445680551976274E-4</v>
      </c>
    </row>
    <row r="2394" spans="1:9" x14ac:dyDescent="0.3">
      <c r="A2394" s="5">
        <v>45113</v>
      </c>
      <c r="B2394">
        <v>33.029998999999997</v>
      </c>
      <c r="C2394">
        <v>33.222999999999999</v>
      </c>
      <c r="D2394">
        <v>31.83</v>
      </c>
      <c r="E2394">
        <v>32.540000999999997</v>
      </c>
      <c r="F2394">
        <v>32.189438000000003</v>
      </c>
      <c r="G2394">
        <v>6066300</v>
      </c>
      <c r="I2394">
        <f t="shared" si="38"/>
        <v>9.3743007746647199E-4</v>
      </c>
    </row>
    <row r="2395" spans="1:9" x14ac:dyDescent="0.3">
      <c r="A2395" s="5">
        <v>45114</v>
      </c>
      <c r="B2395">
        <v>32.799999</v>
      </c>
      <c r="C2395">
        <v>34.599997999999999</v>
      </c>
      <c r="D2395">
        <v>32.68</v>
      </c>
      <c r="E2395">
        <v>34.090000000000003</v>
      </c>
      <c r="F2395">
        <v>33.722740000000002</v>
      </c>
      <c r="G2395">
        <v>6297100</v>
      </c>
      <c r="I2395">
        <f t="shared" si="38"/>
        <v>9.4816031216225576E-4</v>
      </c>
    </row>
    <row r="2396" spans="1:9" x14ac:dyDescent="0.3">
      <c r="A2396" s="5">
        <v>45117</v>
      </c>
      <c r="B2396">
        <v>33.700001</v>
      </c>
      <c r="C2396">
        <v>34.57</v>
      </c>
      <c r="D2396">
        <v>33.599997999999999</v>
      </c>
      <c r="E2396">
        <v>34.139999000000003</v>
      </c>
      <c r="F2396">
        <v>33.772202</v>
      </c>
      <c r="G2396">
        <v>3891400</v>
      </c>
      <c r="I2396">
        <f t="shared" si="38"/>
        <v>3.6640945340310374E-4</v>
      </c>
    </row>
    <row r="2397" spans="1:9" x14ac:dyDescent="0.3">
      <c r="A2397" s="5">
        <v>45118</v>
      </c>
      <c r="B2397">
        <v>33.599997999999999</v>
      </c>
      <c r="C2397">
        <v>34.869999</v>
      </c>
      <c r="D2397">
        <v>33.330002</v>
      </c>
      <c r="E2397">
        <v>34.689999</v>
      </c>
      <c r="F2397">
        <v>34.316276999999999</v>
      </c>
      <c r="G2397">
        <v>5218400</v>
      </c>
      <c r="I2397">
        <f t="shared" si="38"/>
        <v>5.146812017504524E-4</v>
      </c>
    </row>
    <row r="2398" spans="1:9" x14ac:dyDescent="0.3">
      <c r="A2398" s="5">
        <v>45119</v>
      </c>
      <c r="B2398">
        <v>35.810001</v>
      </c>
      <c r="C2398">
        <v>35.950001</v>
      </c>
      <c r="D2398">
        <v>35</v>
      </c>
      <c r="E2398">
        <v>35.049999</v>
      </c>
      <c r="F2398">
        <v>34.672398000000001</v>
      </c>
      <c r="G2398">
        <v>4288700</v>
      </c>
      <c r="I2398">
        <f t="shared" si="38"/>
        <v>1.3158745236669444E-4</v>
      </c>
    </row>
    <row r="2399" spans="1:9" x14ac:dyDescent="0.3">
      <c r="A2399" s="5">
        <v>45120</v>
      </c>
      <c r="B2399">
        <v>35.700001</v>
      </c>
      <c r="C2399">
        <v>37.169998</v>
      </c>
      <c r="D2399">
        <v>35.549999</v>
      </c>
      <c r="E2399">
        <v>36.689999</v>
      </c>
      <c r="F2399">
        <v>36.294730999999999</v>
      </c>
      <c r="G2399">
        <v>5835900</v>
      </c>
      <c r="I2399">
        <f t="shared" si="38"/>
        <v>6.5737712325532045E-4</v>
      </c>
    </row>
    <row r="2400" spans="1:9" x14ac:dyDescent="0.3">
      <c r="A2400" s="5">
        <v>45121</v>
      </c>
      <c r="B2400">
        <v>35.5</v>
      </c>
      <c r="C2400">
        <v>35.520000000000003</v>
      </c>
      <c r="D2400">
        <v>34.049999</v>
      </c>
      <c r="E2400">
        <v>34.520000000000003</v>
      </c>
      <c r="F2400">
        <v>34.148108999999998</v>
      </c>
      <c r="G2400">
        <v>8079500</v>
      </c>
      <c r="I2400">
        <f t="shared" si="38"/>
        <v>5.8778045775109591E-4</v>
      </c>
    </row>
    <row r="2401" spans="1:9" x14ac:dyDescent="0.3">
      <c r="A2401" s="5">
        <v>45124</v>
      </c>
      <c r="B2401">
        <v>34.349997999999999</v>
      </c>
      <c r="C2401">
        <v>36.049999</v>
      </c>
      <c r="D2401">
        <v>34.25</v>
      </c>
      <c r="E2401">
        <v>35.57</v>
      </c>
      <c r="F2401">
        <v>35.186798000000003</v>
      </c>
      <c r="G2401">
        <v>6405900</v>
      </c>
      <c r="I2401">
        <f t="shared" si="38"/>
        <v>7.5773929668117627E-4</v>
      </c>
    </row>
    <row r="2402" spans="1:9" x14ac:dyDescent="0.3">
      <c r="A2402" s="5">
        <v>45125</v>
      </c>
      <c r="B2402">
        <v>35.310001</v>
      </c>
      <c r="C2402">
        <v>35.720001000000003</v>
      </c>
      <c r="D2402">
        <v>34.619999</v>
      </c>
      <c r="E2402">
        <v>35.040000999999997</v>
      </c>
      <c r="F2402">
        <v>34.662506</v>
      </c>
      <c r="G2402">
        <v>4661700</v>
      </c>
      <c r="I2402">
        <f t="shared" si="38"/>
        <v>4.5986831104525183E-4</v>
      </c>
    </row>
    <row r="2403" spans="1:9" x14ac:dyDescent="0.3">
      <c r="A2403" s="5">
        <v>45126</v>
      </c>
      <c r="B2403">
        <v>35.169998</v>
      </c>
      <c r="C2403">
        <v>35.340000000000003</v>
      </c>
      <c r="D2403">
        <v>34.529998999999997</v>
      </c>
      <c r="E2403">
        <v>34.840000000000003</v>
      </c>
      <c r="F2403">
        <v>34.464663999999999</v>
      </c>
      <c r="G2403">
        <v>6127100</v>
      </c>
      <c r="I2403">
        <f t="shared" si="38"/>
        <v>2.3285076909702437E-4</v>
      </c>
    </row>
    <row r="2404" spans="1:9" x14ac:dyDescent="0.3">
      <c r="A2404" s="5">
        <v>45127</v>
      </c>
      <c r="B2404">
        <v>35.330002</v>
      </c>
      <c r="C2404">
        <v>35.759998000000003</v>
      </c>
      <c r="D2404">
        <v>32.669998</v>
      </c>
      <c r="E2404">
        <v>32.68</v>
      </c>
      <c r="F2404">
        <v>32.327933999999999</v>
      </c>
      <c r="G2404">
        <v>11962100</v>
      </c>
      <c r="I2404">
        <f t="shared" si="38"/>
        <v>1.1135303798147948E-3</v>
      </c>
    </row>
    <row r="2405" spans="1:9" x14ac:dyDescent="0.3">
      <c r="A2405" s="5">
        <v>45128</v>
      </c>
      <c r="B2405">
        <v>32.790000999999997</v>
      </c>
      <c r="C2405">
        <v>33.494999</v>
      </c>
      <c r="D2405">
        <v>32.759998000000003</v>
      </c>
      <c r="E2405">
        <v>33.380001</v>
      </c>
      <c r="F2405">
        <v>33.020392999999999</v>
      </c>
      <c r="G2405">
        <v>5565800</v>
      </c>
      <c r="I2405">
        <f t="shared" si="38"/>
        <v>9.0323418371118927E-5</v>
      </c>
    </row>
    <row r="2406" spans="1:9" x14ac:dyDescent="0.3">
      <c r="A2406" s="5">
        <v>45131</v>
      </c>
      <c r="B2406">
        <v>32.889999000000003</v>
      </c>
      <c r="C2406">
        <v>34.305999999999997</v>
      </c>
      <c r="D2406">
        <v>32.770000000000003</v>
      </c>
      <c r="E2406">
        <v>33.75</v>
      </c>
      <c r="F2406">
        <v>33.386401999999997</v>
      </c>
      <c r="G2406">
        <v>6036700</v>
      </c>
      <c r="I2406">
        <f t="shared" si="38"/>
        <v>7.9645799911955226E-4</v>
      </c>
    </row>
    <row r="2407" spans="1:9" x14ac:dyDescent="0.3">
      <c r="A2407" s="5">
        <v>45132</v>
      </c>
      <c r="B2407">
        <v>34.689999</v>
      </c>
      <c r="C2407">
        <v>36.340000000000003</v>
      </c>
      <c r="D2407">
        <v>34.259998000000003</v>
      </c>
      <c r="E2407">
        <v>35.610000999999997</v>
      </c>
      <c r="F2407">
        <v>35.226368000000001</v>
      </c>
      <c r="G2407">
        <v>8928600</v>
      </c>
      <c r="I2407">
        <f t="shared" si="38"/>
        <v>1.4250036911332563E-3</v>
      </c>
    </row>
    <row r="2408" spans="1:9" x14ac:dyDescent="0.3">
      <c r="A2408" s="5">
        <v>45133</v>
      </c>
      <c r="B2408">
        <v>35.020000000000003</v>
      </c>
      <c r="C2408">
        <v>35.446998999999998</v>
      </c>
      <c r="D2408">
        <v>34.544998</v>
      </c>
      <c r="E2408">
        <v>34.840000000000003</v>
      </c>
      <c r="F2408">
        <v>34.464663999999999</v>
      </c>
      <c r="G2408">
        <v>7282100</v>
      </c>
      <c r="I2408">
        <f t="shared" si="38"/>
        <v>3.2545641847327156E-4</v>
      </c>
    </row>
    <row r="2409" spans="1:9" x14ac:dyDescent="0.3">
      <c r="A2409" s="5">
        <v>45134</v>
      </c>
      <c r="B2409">
        <v>35.060001</v>
      </c>
      <c r="C2409">
        <v>35.130001</v>
      </c>
      <c r="D2409">
        <v>33.900002000000001</v>
      </c>
      <c r="E2409">
        <v>33.909999999999997</v>
      </c>
      <c r="F2409">
        <v>33.544682000000002</v>
      </c>
      <c r="G2409">
        <v>6002500</v>
      </c>
      <c r="I2409">
        <f t="shared" si="38"/>
        <v>8.0421318570842281E-5</v>
      </c>
    </row>
    <row r="2410" spans="1:9" x14ac:dyDescent="0.3">
      <c r="A2410" s="5">
        <v>45135</v>
      </c>
      <c r="B2410">
        <v>34.349997999999999</v>
      </c>
      <c r="C2410">
        <v>34.790000999999997</v>
      </c>
      <c r="D2410">
        <v>33.790000999999997</v>
      </c>
      <c r="E2410">
        <v>34.759998000000003</v>
      </c>
      <c r="F2410">
        <v>34.385520999999997</v>
      </c>
      <c r="G2410">
        <v>4171300</v>
      </c>
      <c r="I2410">
        <f t="shared" si="38"/>
        <v>4.761874141556465E-4</v>
      </c>
    </row>
    <row r="2411" spans="1:9" x14ac:dyDescent="0.3">
      <c r="A2411" s="5">
        <v>45138</v>
      </c>
      <c r="B2411">
        <v>35.450001</v>
      </c>
      <c r="C2411">
        <v>36.584999000000003</v>
      </c>
      <c r="D2411">
        <v>35.310001</v>
      </c>
      <c r="E2411">
        <v>36.189999</v>
      </c>
      <c r="F2411">
        <v>35.800114000000001</v>
      </c>
      <c r="G2411">
        <v>6037300</v>
      </c>
      <c r="I2411">
        <f t="shared" si="38"/>
        <v>4.3951950769709181E-4</v>
      </c>
    </row>
    <row r="2412" spans="1:9" x14ac:dyDescent="0.3">
      <c r="A2412" s="5">
        <v>45139</v>
      </c>
      <c r="B2412">
        <v>35.479999999999997</v>
      </c>
      <c r="C2412">
        <v>35.659999999999997</v>
      </c>
      <c r="D2412">
        <v>35.099997999999999</v>
      </c>
      <c r="E2412">
        <v>35.18</v>
      </c>
      <c r="F2412">
        <v>34.800998999999997</v>
      </c>
      <c r="G2412">
        <v>5217800</v>
      </c>
      <c r="I2412">
        <f t="shared" si="38"/>
        <v>9.3093972680882397E-5</v>
      </c>
    </row>
    <row r="2413" spans="1:9" x14ac:dyDescent="0.3">
      <c r="A2413" s="5">
        <v>45140</v>
      </c>
      <c r="B2413">
        <v>34.424999</v>
      </c>
      <c r="C2413">
        <v>34.685001</v>
      </c>
      <c r="D2413">
        <v>33.659999999999997</v>
      </c>
      <c r="E2413">
        <v>33.93</v>
      </c>
      <c r="F2413">
        <v>33.564467999999998</v>
      </c>
      <c r="G2413">
        <v>5290200</v>
      </c>
      <c r="I2413">
        <f t="shared" si="38"/>
        <v>3.4513788124262978E-4</v>
      </c>
    </row>
    <row r="2414" spans="1:9" x14ac:dyDescent="0.3">
      <c r="A2414" s="5">
        <v>45141</v>
      </c>
      <c r="B2414">
        <v>34</v>
      </c>
      <c r="C2414">
        <v>34.689999</v>
      </c>
      <c r="D2414">
        <v>33.509998000000003</v>
      </c>
      <c r="E2414">
        <v>34.5</v>
      </c>
      <c r="F2414">
        <v>34.128323000000002</v>
      </c>
      <c r="G2414">
        <v>4243300</v>
      </c>
      <c r="I2414">
        <f t="shared" si="38"/>
        <v>5.3300164547589925E-4</v>
      </c>
    </row>
    <row r="2415" spans="1:9" x14ac:dyDescent="0.3">
      <c r="A2415" s="5">
        <v>45142</v>
      </c>
      <c r="B2415">
        <v>34.549999</v>
      </c>
      <c r="C2415">
        <v>34.93</v>
      </c>
      <c r="D2415">
        <v>33.755001</v>
      </c>
      <c r="E2415">
        <v>33.950001</v>
      </c>
      <c r="F2415">
        <v>33.584254999999999</v>
      </c>
      <c r="G2415">
        <v>3815100</v>
      </c>
      <c r="I2415">
        <f t="shared" si="38"/>
        <v>4.4537352751528476E-4</v>
      </c>
    </row>
    <row r="2416" spans="1:9" x14ac:dyDescent="0.3">
      <c r="A2416" s="5">
        <v>45145</v>
      </c>
      <c r="B2416">
        <v>33.900002000000001</v>
      </c>
      <c r="C2416">
        <v>34.060001</v>
      </c>
      <c r="D2416">
        <v>33.220001000000003</v>
      </c>
      <c r="E2416">
        <v>34.060001</v>
      </c>
      <c r="F2416">
        <v>33.792603</v>
      </c>
      <c r="G2416">
        <v>3520600</v>
      </c>
      <c r="I2416">
        <f t="shared" si="38"/>
        <v>5.0599740826110678E-4</v>
      </c>
    </row>
    <row r="2417" spans="1:9" x14ac:dyDescent="0.3">
      <c r="A2417" s="5">
        <v>45146</v>
      </c>
      <c r="B2417">
        <v>33.020000000000003</v>
      </c>
      <c r="C2417">
        <v>33.349997999999999</v>
      </c>
      <c r="D2417">
        <v>32.68</v>
      </c>
      <c r="E2417">
        <v>33.229999999999997</v>
      </c>
      <c r="F2417">
        <v>32.969116</v>
      </c>
      <c r="G2417">
        <v>5366300</v>
      </c>
      <c r="I2417">
        <f t="shared" si="38"/>
        <v>2.0858779859110805E-4</v>
      </c>
    </row>
    <row r="2418" spans="1:9" x14ac:dyDescent="0.3">
      <c r="A2418" s="5">
        <v>45147</v>
      </c>
      <c r="B2418">
        <v>33.479999999999997</v>
      </c>
      <c r="C2418">
        <v>34.090000000000003</v>
      </c>
      <c r="D2418">
        <v>33.029998999999997</v>
      </c>
      <c r="E2418">
        <v>33.619999</v>
      </c>
      <c r="F2418">
        <v>33.356051999999998</v>
      </c>
      <c r="G2418">
        <v>4132700</v>
      </c>
      <c r="I2418">
        <f t="shared" si="38"/>
        <v>4.902522213742959E-4</v>
      </c>
    </row>
    <row r="2419" spans="1:9" x14ac:dyDescent="0.3">
      <c r="A2419" s="5">
        <v>45148</v>
      </c>
      <c r="B2419">
        <v>33.970001000000003</v>
      </c>
      <c r="C2419">
        <v>34</v>
      </c>
      <c r="D2419">
        <v>32.549999</v>
      </c>
      <c r="E2419">
        <v>32.880001</v>
      </c>
      <c r="F2419">
        <v>32.621864000000002</v>
      </c>
      <c r="G2419">
        <v>4810900</v>
      </c>
      <c r="I2419">
        <f t="shared" si="38"/>
        <v>4.6029818184984453E-4</v>
      </c>
    </row>
    <row r="2420" spans="1:9" x14ac:dyDescent="0.3">
      <c r="A2420" s="5">
        <v>45149</v>
      </c>
      <c r="B2420">
        <v>32.465000000000003</v>
      </c>
      <c r="C2420">
        <v>32.494999</v>
      </c>
      <c r="D2420">
        <v>31.809000000000001</v>
      </c>
      <c r="E2420">
        <v>31.959999</v>
      </c>
      <c r="F2420">
        <v>31.709087</v>
      </c>
      <c r="G2420">
        <v>4730900</v>
      </c>
      <c r="I2420">
        <f t="shared" si="38"/>
        <v>1.1200684558169616E-4</v>
      </c>
    </row>
    <row r="2421" spans="1:9" x14ac:dyDescent="0.3">
      <c r="A2421" s="5">
        <v>45152</v>
      </c>
      <c r="B2421">
        <v>31.559999000000001</v>
      </c>
      <c r="C2421">
        <v>31.860001</v>
      </c>
      <c r="D2421">
        <v>30.6</v>
      </c>
      <c r="E2421">
        <v>31.73</v>
      </c>
      <c r="F2421">
        <v>31.480892000000001</v>
      </c>
      <c r="G2421">
        <v>7337100</v>
      </c>
      <c r="I2421">
        <f t="shared" si="38"/>
        <v>1.1588510737279812E-3</v>
      </c>
    </row>
    <row r="2422" spans="1:9" x14ac:dyDescent="0.3">
      <c r="A2422" s="5">
        <v>45153</v>
      </c>
      <c r="B2422">
        <v>31.475000000000001</v>
      </c>
      <c r="C2422">
        <v>31.475000000000001</v>
      </c>
      <c r="D2422">
        <v>30.305</v>
      </c>
      <c r="E2422">
        <v>30.34</v>
      </c>
      <c r="F2422">
        <v>30.101804999999999</v>
      </c>
      <c r="G2422">
        <v>5807900</v>
      </c>
      <c r="I2422">
        <f t="shared" si="38"/>
        <v>4.3724310517024112E-5</v>
      </c>
    </row>
    <row r="2423" spans="1:9" x14ac:dyDescent="0.3">
      <c r="A2423" s="5">
        <v>45154</v>
      </c>
      <c r="B2423">
        <v>30.08</v>
      </c>
      <c r="C2423">
        <v>30.52</v>
      </c>
      <c r="D2423">
        <v>29.094999000000001</v>
      </c>
      <c r="E2423">
        <v>29.309999000000001</v>
      </c>
      <c r="F2423">
        <v>29.079891</v>
      </c>
      <c r="G2423">
        <v>7915900</v>
      </c>
      <c r="I2423">
        <f t="shared" si="38"/>
        <v>8.3257942696375294E-4</v>
      </c>
    </row>
    <row r="2424" spans="1:9" x14ac:dyDescent="0.3">
      <c r="A2424" s="5">
        <v>45155</v>
      </c>
      <c r="B2424">
        <v>29.92</v>
      </c>
      <c r="C2424">
        <v>30.040001</v>
      </c>
      <c r="D2424">
        <v>28.91</v>
      </c>
      <c r="E2424">
        <v>29.110001</v>
      </c>
      <c r="F2424">
        <v>28.881461999999999</v>
      </c>
      <c r="G2424">
        <v>6527400</v>
      </c>
      <c r="I2424">
        <f t="shared" si="38"/>
        <v>3.6262269389929333E-4</v>
      </c>
    </row>
    <row r="2425" spans="1:9" x14ac:dyDescent="0.3">
      <c r="A2425" s="5">
        <v>45156</v>
      </c>
      <c r="B2425">
        <v>28.450001</v>
      </c>
      <c r="C2425">
        <v>29</v>
      </c>
      <c r="D2425">
        <v>28.23</v>
      </c>
      <c r="E2425">
        <v>28.969999000000001</v>
      </c>
      <c r="F2425">
        <v>28.742559</v>
      </c>
      <c r="G2425">
        <v>7344100</v>
      </c>
      <c r="I2425">
        <f t="shared" si="38"/>
        <v>2.2068938484011717E-4</v>
      </c>
    </row>
    <row r="2426" spans="1:9" x14ac:dyDescent="0.3">
      <c r="A2426" s="5">
        <v>45159</v>
      </c>
      <c r="B2426">
        <v>29</v>
      </c>
      <c r="C2426">
        <v>29.07</v>
      </c>
      <c r="D2426">
        <v>28.030000999999999</v>
      </c>
      <c r="E2426">
        <v>28.59</v>
      </c>
      <c r="F2426">
        <v>28.365545000000001</v>
      </c>
      <c r="G2426">
        <v>4701400</v>
      </c>
      <c r="I2426">
        <f t="shared" si="38"/>
        <v>7.1311923235403989E-4</v>
      </c>
    </row>
    <row r="2427" spans="1:9" x14ac:dyDescent="0.3">
      <c r="A2427" s="5">
        <v>45160</v>
      </c>
      <c r="B2427">
        <v>28.91</v>
      </c>
      <c r="C2427">
        <v>29.09</v>
      </c>
      <c r="D2427">
        <v>28.18</v>
      </c>
      <c r="E2427">
        <v>28.780000999999999</v>
      </c>
      <c r="F2427">
        <v>28.554054000000001</v>
      </c>
      <c r="G2427">
        <v>4594300</v>
      </c>
      <c r="I2427">
        <f t="shared" si="38"/>
        <v>6.0532028596717909E-4</v>
      </c>
    </row>
    <row r="2428" spans="1:9" x14ac:dyDescent="0.3">
      <c r="A2428" s="5">
        <v>45161</v>
      </c>
      <c r="B2428">
        <v>28.780000999999999</v>
      </c>
      <c r="C2428">
        <v>29.030000999999999</v>
      </c>
      <c r="D2428">
        <v>28.559999000000001</v>
      </c>
      <c r="E2428">
        <v>28.809999000000001</v>
      </c>
      <c r="F2428">
        <v>28.583817</v>
      </c>
      <c r="G2428">
        <v>5915200</v>
      </c>
      <c r="I2428">
        <f t="shared" si="38"/>
        <v>1.3267498062147559E-4</v>
      </c>
    </row>
    <row r="2429" spans="1:9" x14ac:dyDescent="0.3">
      <c r="A2429" s="5">
        <v>45162</v>
      </c>
      <c r="B2429">
        <v>28.360001</v>
      </c>
      <c r="C2429">
        <v>29.110001</v>
      </c>
      <c r="D2429">
        <v>28.309999000000001</v>
      </c>
      <c r="E2429">
        <v>28.75</v>
      </c>
      <c r="F2429">
        <v>28.524287999999999</v>
      </c>
      <c r="G2429">
        <v>4329500</v>
      </c>
      <c r="I2429">
        <f t="shared" si="38"/>
        <v>3.5203065406268089E-4</v>
      </c>
    </row>
    <row r="2430" spans="1:9" x14ac:dyDescent="0.3">
      <c r="A2430" s="5">
        <v>45163</v>
      </c>
      <c r="B2430">
        <v>28.82</v>
      </c>
      <c r="C2430">
        <v>29.075001</v>
      </c>
      <c r="D2430">
        <v>27.76</v>
      </c>
      <c r="E2430">
        <v>28.23</v>
      </c>
      <c r="F2430">
        <v>28.008371</v>
      </c>
      <c r="G2430">
        <v>5398300</v>
      </c>
      <c r="I2430">
        <f t="shared" si="38"/>
        <v>8.8895818342251266E-4</v>
      </c>
    </row>
    <row r="2431" spans="1:9" x14ac:dyDescent="0.3">
      <c r="A2431" s="5">
        <v>45166</v>
      </c>
      <c r="B2431">
        <v>28.6</v>
      </c>
      <c r="C2431">
        <v>29.02</v>
      </c>
      <c r="D2431">
        <v>28.379999000000002</v>
      </c>
      <c r="E2431">
        <v>28.48</v>
      </c>
      <c r="F2431">
        <v>28.256406999999999</v>
      </c>
      <c r="G2431">
        <v>4457500</v>
      </c>
      <c r="I2431">
        <f t="shared" si="38"/>
        <v>3.0099290325348571E-4</v>
      </c>
    </row>
    <row r="2432" spans="1:9" x14ac:dyDescent="0.3">
      <c r="A2432" s="5">
        <v>45167</v>
      </c>
      <c r="B2432">
        <v>28.540001</v>
      </c>
      <c r="C2432">
        <v>29.620000999999998</v>
      </c>
      <c r="D2432">
        <v>28.34</v>
      </c>
      <c r="E2432">
        <v>29.610001</v>
      </c>
      <c r="F2432">
        <v>29.377537</v>
      </c>
      <c r="G2432">
        <v>6315800</v>
      </c>
      <c r="I2432">
        <f t="shared" si="38"/>
        <v>3.2082852368467912E-4</v>
      </c>
    </row>
    <row r="2433" spans="1:9" x14ac:dyDescent="0.3">
      <c r="A2433" s="5">
        <v>45168</v>
      </c>
      <c r="B2433">
        <v>29.65</v>
      </c>
      <c r="C2433">
        <v>29.65</v>
      </c>
      <c r="D2433">
        <v>29.07</v>
      </c>
      <c r="E2433">
        <v>29.51</v>
      </c>
      <c r="F2433">
        <v>29.278321999999999</v>
      </c>
      <c r="G2433">
        <v>4927000</v>
      </c>
      <c r="I2433">
        <f t="shared" si="38"/>
        <v>2.9677515378553828E-4</v>
      </c>
    </row>
    <row r="2434" spans="1:9" x14ac:dyDescent="0.3">
      <c r="A2434" s="5">
        <v>45169</v>
      </c>
      <c r="B2434">
        <v>29.82</v>
      </c>
      <c r="C2434">
        <v>30.83</v>
      </c>
      <c r="D2434">
        <v>29.559999000000001</v>
      </c>
      <c r="E2434">
        <v>30.08</v>
      </c>
      <c r="F2434">
        <v>29.843847</v>
      </c>
      <c r="G2434">
        <v>19155300</v>
      </c>
      <c r="I2434">
        <f t="shared" si="38"/>
        <v>9.730365247387397E-4</v>
      </c>
    </row>
    <row r="2435" spans="1:9" x14ac:dyDescent="0.3">
      <c r="A2435" s="5">
        <v>45170</v>
      </c>
      <c r="B2435">
        <v>30.950001</v>
      </c>
      <c r="C2435">
        <v>31.450001</v>
      </c>
      <c r="D2435">
        <v>30.701000000000001</v>
      </c>
      <c r="E2435">
        <v>31.1</v>
      </c>
      <c r="F2435">
        <v>30.855841000000002</v>
      </c>
      <c r="G2435">
        <v>5975500</v>
      </c>
      <c r="I2435">
        <f t="shared" si="38"/>
        <v>2.8365530567869726E-4</v>
      </c>
    </row>
    <row r="2436" spans="1:9" x14ac:dyDescent="0.3">
      <c r="A2436" s="5">
        <v>45174</v>
      </c>
      <c r="B2436">
        <v>30.780000999999999</v>
      </c>
      <c r="C2436">
        <v>31.120000999999998</v>
      </c>
      <c r="D2436">
        <v>30.200001</v>
      </c>
      <c r="E2436">
        <v>30.290001</v>
      </c>
      <c r="F2436">
        <v>30.052198000000001</v>
      </c>
      <c r="G2436">
        <v>4304800</v>
      </c>
      <c r="I2436">
        <f t="shared" si="38"/>
        <v>3.5358109179325361E-4</v>
      </c>
    </row>
    <row r="2437" spans="1:9" x14ac:dyDescent="0.3">
      <c r="A2437" s="5">
        <v>45175</v>
      </c>
      <c r="B2437">
        <v>30.040001</v>
      </c>
      <c r="C2437">
        <v>30.65</v>
      </c>
      <c r="D2437">
        <v>29.809999000000001</v>
      </c>
      <c r="E2437">
        <v>30.200001</v>
      </c>
      <c r="F2437">
        <v>29.962904000000002</v>
      </c>
      <c r="G2437">
        <v>4090900</v>
      </c>
      <c r="I2437">
        <f t="shared" si="38"/>
        <v>3.9723770191687303E-4</v>
      </c>
    </row>
    <row r="2438" spans="1:9" x14ac:dyDescent="0.3">
      <c r="A2438" s="5">
        <v>45176</v>
      </c>
      <c r="B2438">
        <v>29.450001</v>
      </c>
      <c r="C2438">
        <v>29.450001</v>
      </c>
      <c r="D2438">
        <v>28.059999000000001</v>
      </c>
      <c r="E2438">
        <v>28.450001</v>
      </c>
      <c r="F2438">
        <v>28.226645000000001</v>
      </c>
      <c r="G2438">
        <v>9406100</v>
      </c>
      <c r="I2438">
        <f t="shared" si="38"/>
        <v>6.6736751151451096E-4</v>
      </c>
    </row>
    <row r="2439" spans="1:9" x14ac:dyDescent="0.3">
      <c r="A2439" s="5">
        <v>45177</v>
      </c>
      <c r="B2439">
        <v>28.299999</v>
      </c>
      <c r="C2439">
        <v>28.466999000000001</v>
      </c>
      <c r="D2439">
        <v>27.959999</v>
      </c>
      <c r="E2439">
        <v>28.1</v>
      </c>
      <c r="F2439">
        <v>27.879393</v>
      </c>
      <c r="G2439">
        <v>4520900</v>
      </c>
      <c r="I2439">
        <f t="shared" si="38"/>
        <v>1.3671690068965225E-4</v>
      </c>
    </row>
    <row r="2440" spans="1:9" x14ac:dyDescent="0.3">
      <c r="A2440" s="5">
        <v>45180</v>
      </c>
      <c r="B2440">
        <v>28.82</v>
      </c>
      <c r="C2440">
        <v>29.049999</v>
      </c>
      <c r="D2440">
        <v>28.43</v>
      </c>
      <c r="E2440">
        <v>28.68</v>
      </c>
      <c r="F2440">
        <v>28.454837999999999</v>
      </c>
      <c r="G2440">
        <v>5012400</v>
      </c>
      <c r="I2440">
        <f t="shared" si="38"/>
        <v>2.2117707714957441E-4</v>
      </c>
    </row>
    <row r="2441" spans="1:9" x14ac:dyDescent="0.3">
      <c r="A2441" s="5">
        <v>45181</v>
      </c>
      <c r="B2441">
        <v>28.450001</v>
      </c>
      <c r="C2441">
        <v>28.82</v>
      </c>
      <c r="D2441">
        <v>28.120000999999998</v>
      </c>
      <c r="E2441">
        <v>28.200001</v>
      </c>
      <c r="F2441">
        <v>27.978607</v>
      </c>
      <c r="G2441">
        <v>3630500</v>
      </c>
      <c r="I2441">
        <f t="shared" si="38"/>
        <v>3.1415420389020873E-4</v>
      </c>
    </row>
    <row r="2442" spans="1:9" x14ac:dyDescent="0.3">
      <c r="A2442" s="5">
        <v>45182</v>
      </c>
      <c r="B2442">
        <v>28.219999000000001</v>
      </c>
      <c r="C2442">
        <v>28.690000999999999</v>
      </c>
      <c r="D2442">
        <v>28.07</v>
      </c>
      <c r="E2442">
        <v>28.65</v>
      </c>
      <c r="F2442">
        <v>28.425073999999999</v>
      </c>
      <c r="G2442">
        <v>3960500</v>
      </c>
      <c r="I2442">
        <f t="shared" si="38"/>
        <v>1.3204556536765519E-4</v>
      </c>
    </row>
    <row r="2443" spans="1:9" x14ac:dyDescent="0.3">
      <c r="A2443" s="5">
        <v>45183</v>
      </c>
      <c r="B2443">
        <v>29.52</v>
      </c>
      <c r="C2443">
        <v>30.299999</v>
      </c>
      <c r="D2443">
        <v>29.414000000000001</v>
      </c>
      <c r="E2443">
        <v>30.190000999999999</v>
      </c>
      <c r="F2443">
        <v>29.952984000000001</v>
      </c>
      <c r="G2443">
        <v>6722600</v>
      </c>
      <c r="I2443">
        <f t="shared" si="38"/>
        <v>1.8852169279584099E-4</v>
      </c>
    </row>
    <row r="2444" spans="1:9" x14ac:dyDescent="0.3">
      <c r="A2444" s="5">
        <v>45184</v>
      </c>
      <c r="B2444">
        <v>29.889999</v>
      </c>
      <c r="C2444">
        <v>29.889999</v>
      </c>
      <c r="D2444">
        <v>28.799999</v>
      </c>
      <c r="E2444">
        <v>28.85</v>
      </c>
      <c r="F2444">
        <v>28.623502999999999</v>
      </c>
      <c r="G2444">
        <v>8705200</v>
      </c>
      <c r="I2444">
        <f t="shared" ref="I2444:I2507" si="39">LN(C2444/B2444)*(LN(C2444/B2444)-LN(E2444/B2444))+LN(D2444/B2444)*(LN(D2444/B2444)-LN(E2444/B2444))</f>
        <v>6.4439450739793984E-5</v>
      </c>
    </row>
    <row r="2445" spans="1:9" x14ac:dyDescent="0.3">
      <c r="A2445" s="5">
        <v>45187</v>
      </c>
      <c r="B2445">
        <v>29.190000999999999</v>
      </c>
      <c r="C2445">
        <v>29.24</v>
      </c>
      <c r="D2445">
        <v>28.485001</v>
      </c>
      <c r="E2445">
        <v>28.85</v>
      </c>
      <c r="F2445">
        <v>28.623502999999999</v>
      </c>
      <c r="G2445">
        <v>4524800</v>
      </c>
      <c r="I2445">
        <f t="shared" si="39"/>
        <v>3.3426717411596363E-4</v>
      </c>
    </row>
    <row r="2446" spans="1:9" x14ac:dyDescent="0.3">
      <c r="A2446" s="5">
        <v>45188</v>
      </c>
      <c r="B2446">
        <v>28.83</v>
      </c>
      <c r="C2446">
        <v>28.989000000000001</v>
      </c>
      <c r="D2446">
        <v>27.834999</v>
      </c>
      <c r="E2446">
        <v>28.34</v>
      </c>
      <c r="F2446">
        <v>28.117505999999999</v>
      </c>
      <c r="G2446">
        <v>5151500</v>
      </c>
      <c r="I2446">
        <f t="shared" si="39"/>
        <v>7.5603185122770302E-4</v>
      </c>
    </row>
    <row r="2447" spans="1:9" x14ac:dyDescent="0.3">
      <c r="A2447" s="5">
        <v>45189</v>
      </c>
      <c r="B2447">
        <v>28.65</v>
      </c>
      <c r="C2447">
        <v>29.790001</v>
      </c>
      <c r="D2447">
        <v>28.549999</v>
      </c>
      <c r="E2447">
        <v>29.379999000000002</v>
      </c>
      <c r="F2447">
        <v>29.149342000000001</v>
      </c>
      <c r="G2447">
        <v>8084100</v>
      </c>
      <c r="I2447">
        <f t="shared" si="39"/>
        <v>6.4095737421880194E-4</v>
      </c>
    </row>
    <row r="2448" spans="1:9" x14ac:dyDescent="0.3">
      <c r="A2448" s="5">
        <v>45190</v>
      </c>
      <c r="B2448">
        <v>28.68</v>
      </c>
      <c r="C2448">
        <v>28.68</v>
      </c>
      <c r="D2448">
        <v>27.860001</v>
      </c>
      <c r="E2448">
        <v>27.870000999999998</v>
      </c>
      <c r="F2448">
        <v>27.651198999999998</v>
      </c>
      <c r="G2448">
        <v>5487500</v>
      </c>
      <c r="I2448">
        <f t="shared" si="39"/>
        <v>1.0410195857276884E-5</v>
      </c>
    </row>
    <row r="2449" spans="1:9" x14ac:dyDescent="0.3">
      <c r="A2449" s="5">
        <v>45191</v>
      </c>
      <c r="B2449">
        <v>28.27</v>
      </c>
      <c r="C2449">
        <v>28.596001000000001</v>
      </c>
      <c r="D2449">
        <v>28.049999</v>
      </c>
      <c r="E2449">
        <v>28.35</v>
      </c>
      <c r="F2449">
        <v>28.127427999999998</v>
      </c>
      <c r="G2449">
        <v>5095000</v>
      </c>
      <c r="I2449">
        <f t="shared" si="39"/>
        <v>1.8217562211156826E-4</v>
      </c>
    </row>
    <row r="2450" spans="1:9" x14ac:dyDescent="0.3">
      <c r="A2450" s="5">
        <v>45194</v>
      </c>
      <c r="B2450">
        <v>27.75</v>
      </c>
      <c r="C2450">
        <v>27.77</v>
      </c>
      <c r="D2450">
        <v>26.34</v>
      </c>
      <c r="E2450">
        <v>26.629999000000002</v>
      </c>
      <c r="F2450">
        <v>26.420931</v>
      </c>
      <c r="G2450">
        <v>9304200</v>
      </c>
      <c r="I2450">
        <f t="shared" si="39"/>
        <v>6.011940517508794E-4</v>
      </c>
    </row>
    <row r="2451" spans="1:9" x14ac:dyDescent="0.3">
      <c r="A2451" s="5">
        <v>45195</v>
      </c>
      <c r="B2451">
        <v>26.360001</v>
      </c>
      <c r="C2451">
        <v>26.75</v>
      </c>
      <c r="D2451">
        <v>25.59</v>
      </c>
      <c r="E2451">
        <v>25.860001</v>
      </c>
      <c r="F2451">
        <v>25.656979</v>
      </c>
      <c r="G2451">
        <v>6536800</v>
      </c>
      <c r="I2451">
        <f t="shared" si="39"/>
        <v>8.081140184804398E-4</v>
      </c>
    </row>
    <row r="2452" spans="1:9" x14ac:dyDescent="0.3">
      <c r="A2452" s="5">
        <v>45196</v>
      </c>
      <c r="B2452">
        <v>26.07</v>
      </c>
      <c r="C2452">
        <v>26.780000999999999</v>
      </c>
      <c r="D2452">
        <v>25.950001</v>
      </c>
      <c r="E2452">
        <v>26.200001</v>
      </c>
      <c r="F2452">
        <v>25.994308</v>
      </c>
      <c r="G2452">
        <v>5604900</v>
      </c>
      <c r="I2452">
        <f t="shared" si="39"/>
        <v>6.3258096428492208E-4</v>
      </c>
    </row>
    <row r="2453" spans="1:9" x14ac:dyDescent="0.3">
      <c r="A2453" s="5">
        <v>45197</v>
      </c>
      <c r="B2453">
        <v>26.59</v>
      </c>
      <c r="C2453">
        <v>28.15</v>
      </c>
      <c r="D2453">
        <v>26.410999</v>
      </c>
      <c r="E2453">
        <v>28.139999</v>
      </c>
      <c r="F2453">
        <v>27.919077000000001</v>
      </c>
      <c r="G2453">
        <v>7998100</v>
      </c>
      <c r="I2453">
        <f t="shared" si="39"/>
        <v>4.4858104845555243E-4</v>
      </c>
    </row>
    <row r="2454" spans="1:9" x14ac:dyDescent="0.3">
      <c r="A2454" s="5">
        <v>45198</v>
      </c>
      <c r="B2454">
        <v>29.07</v>
      </c>
      <c r="C2454">
        <v>29.83</v>
      </c>
      <c r="D2454">
        <v>28.969999000000001</v>
      </c>
      <c r="E2454">
        <v>29.059999000000001</v>
      </c>
      <c r="F2454">
        <v>28.831855999999998</v>
      </c>
      <c r="G2454">
        <v>7721900</v>
      </c>
      <c r="I2454">
        <f t="shared" si="39"/>
        <v>6.8561589922121462E-4</v>
      </c>
    </row>
    <row r="2455" spans="1:9" x14ac:dyDescent="0.3">
      <c r="A2455" s="5">
        <v>45201</v>
      </c>
      <c r="B2455">
        <v>28.690000999999999</v>
      </c>
      <c r="C2455">
        <v>29.33</v>
      </c>
      <c r="D2455">
        <v>28.33</v>
      </c>
      <c r="E2455">
        <v>28.84</v>
      </c>
      <c r="F2455">
        <v>28.613581</v>
      </c>
      <c r="G2455">
        <v>4496000</v>
      </c>
      <c r="I2455">
        <f t="shared" si="39"/>
        <v>5.9699195576446416E-4</v>
      </c>
    </row>
    <row r="2456" spans="1:9" x14ac:dyDescent="0.3">
      <c r="A2456" s="5">
        <v>45202</v>
      </c>
      <c r="B2456">
        <v>28.110001</v>
      </c>
      <c r="C2456">
        <v>28.85</v>
      </c>
      <c r="D2456">
        <v>27.27</v>
      </c>
      <c r="E2456">
        <v>27.65</v>
      </c>
      <c r="F2456">
        <v>27.432924</v>
      </c>
      <c r="G2456">
        <v>5457900</v>
      </c>
      <c r="I2456">
        <f t="shared" si="39"/>
        <v>1.5237719136081819E-3</v>
      </c>
    </row>
    <row r="2457" spans="1:9" x14ac:dyDescent="0.3">
      <c r="A2457" s="5">
        <v>45203</v>
      </c>
      <c r="B2457">
        <v>27.73</v>
      </c>
      <c r="C2457">
        <v>27.809999000000001</v>
      </c>
      <c r="D2457">
        <v>26.370000999999998</v>
      </c>
      <c r="E2457">
        <v>27.16</v>
      </c>
      <c r="F2457">
        <v>26.946770000000001</v>
      </c>
      <c r="G2457">
        <v>5335500</v>
      </c>
      <c r="I2457">
        <f t="shared" si="39"/>
        <v>1.5525404295049765E-3</v>
      </c>
    </row>
    <row r="2458" spans="1:9" x14ac:dyDescent="0.3">
      <c r="A2458" s="5">
        <v>45204</v>
      </c>
      <c r="B2458">
        <v>27.129999000000002</v>
      </c>
      <c r="C2458">
        <v>27.299999</v>
      </c>
      <c r="D2458">
        <v>26.450001</v>
      </c>
      <c r="E2458">
        <v>26.530000999999999</v>
      </c>
      <c r="F2458">
        <v>26.321718000000001</v>
      </c>
      <c r="G2458">
        <v>4425100</v>
      </c>
      <c r="I2458">
        <f t="shared" si="39"/>
        <v>2.5537700985224233E-4</v>
      </c>
    </row>
    <row r="2459" spans="1:9" x14ac:dyDescent="0.3">
      <c r="A2459" s="5">
        <v>45205</v>
      </c>
      <c r="B2459">
        <v>26.57</v>
      </c>
      <c r="C2459">
        <v>27.5</v>
      </c>
      <c r="D2459">
        <v>26.129999000000002</v>
      </c>
      <c r="E2459">
        <v>27.15</v>
      </c>
      <c r="F2459">
        <v>26.93685</v>
      </c>
      <c r="G2459">
        <v>6242500</v>
      </c>
      <c r="I2459">
        <f t="shared" si="39"/>
        <v>1.0801138424014478E-3</v>
      </c>
    </row>
    <row r="2460" spans="1:9" x14ac:dyDescent="0.3">
      <c r="A2460" s="5">
        <v>45208</v>
      </c>
      <c r="B2460">
        <v>26.68</v>
      </c>
      <c r="C2460">
        <v>27.465</v>
      </c>
      <c r="D2460">
        <v>26.620000999999998</v>
      </c>
      <c r="E2460">
        <v>27.25</v>
      </c>
      <c r="F2460">
        <v>27.036064</v>
      </c>
      <c r="G2460">
        <v>3857100</v>
      </c>
      <c r="I2460">
        <f t="shared" si="39"/>
        <v>2.8055670435233633E-4</v>
      </c>
    </row>
    <row r="2461" spans="1:9" x14ac:dyDescent="0.3">
      <c r="A2461" s="5">
        <v>45209</v>
      </c>
      <c r="B2461">
        <v>27.639999</v>
      </c>
      <c r="C2461">
        <v>28.57</v>
      </c>
      <c r="D2461">
        <v>27.469999000000001</v>
      </c>
      <c r="E2461">
        <v>28.200001</v>
      </c>
      <c r="F2461">
        <v>27.978607</v>
      </c>
      <c r="G2461">
        <v>4850000</v>
      </c>
      <c r="I2461">
        <f t="shared" si="39"/>
        <v>5.9318811430343599E-4</v>
      </c>
    </row>
    <row r="2462" spans="1:9" x14ac:dyDescent="0.3">
      <c r="A2462" s="5">
        <v>45210</v>
      </c>
      <c r="B2462">
        <v>28.290001</v>
      </c>
      <c r="C2462">
        <v>28.4</v>
      </c>
      <c r="D2462">
        <v>27.6</v>
      </c>
      <c r="E2462">
        <v>28.040001</v>
      </c>
      <c r="F2462">
        <v>27.819863999999999</v>
      </c>
      <c r="G2462">
        <v>3749800</v>
      </c>
      <c r="I2462">
        <f t="shared" si="39"/>
        <v>4.4005353375975616E-4</v>
      </c>
    </row>
    <row r="2463" spans="1:9" x14ac:dyDescent="0.3">
      <c r="A2463" s="5">
        <v>45211</v>
      </c>
      <c r="B2463">
        <v>28.040001</v>
      </c>
      <c r="C2463">
        <v>28.059999000000001</v>
      </c>
      <c r="D2463">
        <v>26.41</v>
      </c>
      <c r="E2463">
        <v>26.9</v>
      </c>
      <c r="F2463">
        <v>26.688811999999999</v>
      </c>
      <c r="G2463">
        <v>4851800</v>
      </c>
      <c r="I2463">
        <f t="shared" si="39"/>
        <v>1.1310793609054215E-3</v>
      </c>
    </row>
    <row r="2464" spans="1:9" x14ac:dyDescent="0.3">
      <c r="A2464" s="5">
        <v>45212</v>
      </c>
      <c r="B2464">
        <v>27</v>
      </c>
      <c r="C2464">
        <v>27.25</v>
      </c>
      <c r="D2464">
        <v>26.33</v>
      </c>
      <c r="E2464">
        <v>26.58</v>
      </c>
      <c r="F2464">
        <v>26.371324999999999</v>
      </c>
      <c r="G2464">
        <v>4532500</v>
      </c>
      <c r="I2464">
        <f t="shared" si="39"/>
        <v>4.6690431266899923E-4</v>
      </c>
    </row>
    <row r="2465" spans="1:9" x14ac:dyDescent="0.3">
      <c r="A2465" s="5">
        <v>45215</v>
      </c>
      <c r="B2465">
        <v>27.200001</v>
      </c>
      <c r="C2465">
        <v>27.445</v>
      </c>
      <c r="D2465">
        <v>26.783000999999999</v>
      </c>
      <c r="E2465">
        <v>26.809999000000001</v>
      </c>
      <c r="F2465">
        <v>26.599518</v>
      </c>
      <c r="G2465">
        <v>4977700</v>
      </c>
      <c r="I2465">
        <f t="shared" si="39"/>
        <v>2.2547488650062955E-4</v>
      </c>
    </row>
    <row r="2466" spans="1:9" x14ac:dyDescent="0.3">
      <c r="A2466" s="5">
        <v>45216</v>
      </c>
      <c r="B2466">
        <v>26.299999</v>
      </c>
      <c r="C2466">
        <v>28.370000999999998</v>
      </c>
      <c r="D2466">
        <v>26.27</v>
      </c>
      <c r="E2466">
        <v>27.77</v>
      </c>
      <c r="F2466">
        <v>27.551983</v>
      </c>
      <c r="G2466">
        <v>6025200</v>
      </c>
      <c r="I2466">
        <f t="shared" si="39"/>
        <v>1.6828915279167495E-3</v>
      </c>
    </row>
    <row r="2467" spans="1:9" x14ac:dyDescent="0.3">
      <c r="A2467" s="5">
        <v>45217</v>
      </c>
      <c r="B2467">
        <v>27.1</v>
      </c>
      <c r="C2467">
        <v>27.43</v>
      </c>
      <c r="D2467">
        <v>26.5</v>
      </c>
      <c r="E2467">
        <v>26.52</v>
      </c>
      <c r="F2467">
        <v>26.311796000000001</v>
      </c>
      <c r="G2467">
        <v>6489400</v>
      </c>
      <c r="I2467">
        <f t="shared" si="39"/>
        <v>4.2524315450801593E-4</v>
      </c>
    </row>
    <row r="2468" spans="1:9" x14ac:dyDescent="0.3">
      <c r="A2468" s="5">
        <v>45218</v>
      </c>
      <c r="B2468">
        <v>26.16</v>
      </c>
      <c r="C2468">
        <v>26.219999000000001</v>
      </c>
      <c r="D2468">
        <v>24.215</v>
      </c>
      <c r="E2468">
        <v>24.24</v>
      </c>
      <c r="F2468">
        <v>24.049696000000001</v>
      </c>
      <c r="G2468">
        <v>13580600</v>
      </c>
      <c r="I2468">
        <f t="shared" si="39"/>
        <v>2.5960128247562865E-4</v>
      </c>
    </row>
    <row r="2469" spans="1:9" x14ac:dyDescent="0.3">
      <c r="A2469" s="5">
        <v>45219</v>
      </c>
      <c r="B2469">
        <v>23.5</v>
      </c>
      <c r="C2469">
        <v>24.370000999999998</v>
      </c>
      <c r="D2469">
        <v>23.26</v>
      </c>
      <c r="E2469">
        <v>24.01</v>
      </c>
      <c r="F2469">
        <v>23.821503</v>
      </c>
      <c r="G2469">
        <v>9203200</v>
      </c>
      <c r="I2469">
        <f t="shared" si="39"/>
        <v>8.6678701226254172E-4</v>
      </c>
    </row>
    <row r="2470" spans="1:9" x14ac:dyDescent="0.3">
      <c r="A2470" s="5">
        <v>45222</v>
      </c>
      <c r="B2470">
        <v>23.16</v>
      </c>
      <c r="C2470">
        <v>24.209999</v>
      </c>
      <c r="D2470">
        <v>23.07</v>
      </c>
      <c r="E2470">
        <v>23.41</v>
      </c>
      <c r="F2470">
        <v>23.226212</v>
      </c>
      <c r="G2470">
        <v>6780200</v>
      </c>
      <c r="I2470">
        <f t="shared" si="39"/>
        <v>1.5468654315217436E-3</v>
      </c>
    </row>
    <row r="2471" spans="1:9" x14ac:dyDescent="0.3">
      <c r="A2471" s="5">
        <v>45223</v>
      </c>
      <c r="B2471">
        <v>23.66</v>
      </c>
      <c r="C2471">
        <v>24.209999</v>
      </c>
      <c r="D2471">
        <v>23.360001</v>
      </c>
      <c r="E2471">
        <v>23.440000999999999</v>
      </c>
      <c r="F2471">
        <v>23.255976</v>
      </c>
      <c r="G2471">
        <v>7557400</v>
      </c>
      <c r="I2471">
        <f t="shared" si="39"/>
        <v>7.8637523248301121E-4</v>
      </c>
    </row>
    <row r="2472" spans="1:9" x14ac:dyDescent="0.3">
      <c r="A2472" s="5">
        <v>45224</v>
      </c>
      <c r="B2472">
        <v>23.334999</v>
      </c>
      <c r="C2472">
        <v>24.030000999999999</v>
      </c>
      <c r="D2472">
        <v>23.139999</v>
      </c>
      <c r="E2472">
        <v>23.84</v>
      </c>
      <c r="F2472">
        <v>23.652836000000001</v>
      </c>
      <c r="G2472">
        <v>5510200</v>
      </c>
      <c r="I2472">
        <f t="shared" si="39"/>
        <v>4.8306729333838614E-4</v>
      </c>
    </row>
    <row r="2473" spans="1:9" x14ac:dyDescent="0.3">
      <c r="A2473" s="5">
        <v>45225</v>
      </c>
      <c r="B2473">
        <v>23.99</v>
      </c>
      <c r="C2473">
        <v>24.190000999999999</v>
      </c>
      <c r="D2473">
        <v>23.370000999999998</v>
      </c>
      <c r="E2473">
        <v>23.51</v>
      </c>
      <c r="F2473">
        <v>23.325427999999999</v>
      </c>
      <c r="G2473">
        <v>6386800</v>
      </c>
      <c r="I2473">
        <f t="shared" si="39"/>
        <v>3.93115088027101E-4</v>
      </c>
    </row>
    <row r="2474" spans="1:9" x14ac:dyDescent="0.3">
      <c r="A2474" s="5">
        <v>45226</v>
      </c>
      <c r="B2474">
        <v>23.975000000000001</v>
      </c>
      <c r="C2474">
        <v>24.110001</v>
      </c>
      <c r="D2474">
        <v>23.17</v>
      </c>
      <c r="E2474">
        <v>23.51</v>
      </c>
      <c r="F2474">
        <v>23.325427999999999</v>
      </c>
      <c r="G2474">
        <v>6325000</v>
      </c>
      <c r="I2474">
        <f t="shared" si="39"/>
        <v>6.3903450013709181E-4</v>
      </c>
    </row>
    <row r="2475" spans="1:9" x14ac:dyDescent="0.3">
      <c r="A2475" s="5">
        <v>45229</v>
      </c>
      <c r="B2475">
        <v>24</v>
      </c>
      <c r="C2475">
        <v>25.424999</v>
      </c>
      <c r="D2475">
        <v>23.85</v>
      </c>
      <c r="E2475">
        <v>25.32</v>
      </c>
      <c r="F2475">
        <v>25.228527</v>
      </c>
      <c r="G2475">
        <v>9442600</v>
      </c>
      <c r="I2475">
        <f t="shared" si="39"/>
        <v>6.1368154841686176E-4</v>
      </c>
    </row>
    <row r="2476" spans="1:9" x14ac:dyDescent="0.3">
      <c r="A2476" s="5">
        <v>45230</v>
      </c>
      <c r="B2476">
        <v>25.280000999999999</v>
      </c>
      <c r="C2476">
        <v>25.889999</v>
      </c>
      <c r="D2476">
        <v>24.84</v>
      </c>
      <c r="E2476">
        <v>25.639999</v>
      </c>
      <c r="F2476">
        <v>25.547369</v>
      </c>
      <c r="G2476">
        <v>5156500</v>
      </c>
      <c r="I2476">
        <f t="shared" si="39"/>
        <v>7.8792444702493851E-4</v>
      </c>
    </row>
    <row r="2477" spans="1:9" x14ac:dyDescent="0.3">
      <c r="A2477" s="5">
        <v>45231</v>
      </c>
      <c r="B2477">
        <v>25.67</v>
      </c>
      <c r="C2477">
        <v>25.780000999999999</v>
      </c>
      <c r="D2477">
        <v>24.274999999999999</v>
      </c>
      <c r="E2477">
        <v>25.030000999999999</v>
      </c>
      <c r="F2477">
        <v>24.939575000000001</v>
      </c>
      <c r="G2477">
        <v>6202100</v>
      </c>
      <c r="I2477">
        <f t="shared" si="39"/>
        <v>1.8376222493302187E-3</v>
      </c>
    </row>
    <row r="2478" spans="1:9" x14ac:dyDescent="0.3">
      <c r="A2478" s="5">
        <v>45232</v>
      </c>
      <c r="B2478">
        <v>25.5</v>
      </c>
      <c r="C2478">
        <v>26.141999999999999</v>
      </c>
      <c r="D2478">
        <v>25.295000000000002</v>
      </c>
      <c r="E2478">
        <v>26.07</v>
      </c>
      <c r="F2478">
        <v>25.975816999999999</v>
      </c>
      <c r="G2478">
        <v>5825300</v>
      </c>
      <c r="I2478">
        <f t="shared" si="39"/>
        <v>3.1216850372176811E-4</v>
      </c>
    </row>
    <row r="2479" spans="1:9" x14ac:dyDescent="0.3">
      <c r="A2479" s="5">
        <v>45233</v>
      </c>
      <c r="B2479">
        <v>26.5</v>
      </c>
      <c r="C2479">
        <v>27.004999000000002</v>
      </c>
      <c r="D2479">
        <v>26.139999</v>
      </c>
      <c r="E2479">
        <v>26.530000999999999</v>
      </c>
      <c r="F2479">
        <v>26.434156000000002</v>
      </c>
      <c r="G2479">
        <v>5478000</v>
      </c>
      <c r="I2479">
        <f t="shared" si="39"/>
        <v>5.3755775107637669E-4</v>
      </c>
    </row>
    <row r="2480" spans="1:9" x14ac:dyDescent="0.3">
      <c r="A2480" s="5">
        <v>45236</v>
      </c>
      <c r="B2480">
        <v>26.709999</v>
      </c>
      <c r="C2480">
        <v>26.73</v>
      </c>
      <c r="D2480">
        <v>25.76</v>
      </c>
      <c r="E2480">
        <v>25.969999000000001</v>
      </c>
      <c r="F2480">
        <v>25.876176999999998</v>
      </c>
      <c r="G2480">
        <v>3869500</v>
      </c>
      <c r="I2480">
        <f t="shared" si="39"/>
        <v>3.1562472285849563E-4</v>
      </c>
    </row>
    <row r="2481" spans="1:9" x14ac:dyDescent="0.3">
      <c r="A2481" s="5">
        <v>45237</v>
      </c>
      <c r="B2481">
        <v>25.219999000000001</v>
      </c>
      <c r="C2481">
        <v>25.594999000000001</v>
      </c>
      <c r="D2481">
        <v>24.82</v>
      </c>
      <c r="E2481">
        <v>25.540001</v>
      </c>
      <c r="F2481">
        <v>25.447732999999999</v>
      </c>
      <c r="G2481">
        <v>4852900</v>
      </c>
      <c r="I2481">
        <f t="shared" si="39"/>
        <v>4.8893006343562583E-4</v>
      </c>
    </row>
    <row r="2482" spans="1:9" x14ac:dyDescent="0.3">
      <c r="A2482" s="5">
        <v>45238</v>
      </c>
      <c r="B2482">
        <v>25.120000999999998</v>
      </c>
      <c r="C2482">
        <v>25.66</v>
      </c>
      <c r="D2482">
        <v>24.965</v>
      </c>
      <c r="E2482">
        <v>25.530000999999999</v>
      </c>
      <c r="F2482">
        <v>25.437768999999999</v>
      </c>
      <c r="G2482">
        <v>3671400</v>
      </c>
      <c r="I2482">
        <f t="shared" si="39"/>
        <v>2.465453244575719E-4</v>
      </c>
    </row>
    <row r="2483" spans="1:9" x14ac:dyDescent="0.3">
      <c r="A2483" s="5">
        <v>45239</v>
      </c>
      <c r="B2483">
        <v>25.809999000000001</v>
      </c>
      <c r="C2483">
        <v>25.870000999999998</v>
      </c>
      <c r="D2483">
        <v>24.41</v>
      </c>
      <c r="E2483">
        <v>24.58</v>
      </c>
      <c r="F2483">
        <v>24.491199000000002</v>
      </c>
      <c r="G2483">
        <v>4078500</v>
      </c>
      <c r="I2483">
        <f t="shared" si="39"/>
        <v>5.0582526631026974E-4</v>
      </c>
    </row>
    <row r="2484" spans="1:9" x14ac:dyDescent="0.3">
      <c r="A2484" s="5">
        <v>45240</v>
      </c>
      <c r="B2484">
        <v>24.700001</v>
      </c>
      <c r="C2484">
        <v>24.889999</v>
      </c>
      <c r="D2484">
        <v>24.280000999999999</v>
      </c>
      <c r="E2484">
        <v>24.639999</v>
      </c>
      <c r="F2484">
        <v>24.550982999999999</v>
      </c>
      <c r="G2484">
        <v>3039400</v>
      </c>
      <c r="I2484">
        <f t="shared" si="39"/>
        <v>3.2977504711193006E-4</v>
      </c>
    </row>
    <row r="2485" spans="1:9" x14ac:dyDescent="0.3">
      <c r="A2485" s="5">
        <v>45243</v>
      </c>
      <c r="B2485">
        <v>24.49</v>
      </c>
      <c r="C2485">
        <v>25.024999999999999</v>
      </c>
      <c r="D2485">
        <v>24.299999</v>
      </c>
      <c r="E2485">
        <v>24.6</v>
      </c>
      <c r="F2485">
        <v>24.511126999999998</v>
      </c>
      <c r="G2485">
        <v>2839700</v>
      </c>
      <c r="I2485">
        <f t="shared" si="39"/>
        <v>4.6572962086829684E-4</v>
      </c>
    </row>
    <row r="2486" spans="1:9" x14ac:dyDescent="0.3">
      <c r="A2486" s="5">
        <v>45244</v>
      </c>
      <c r="B2486">
        <v>25.440000999999999</v>
      </c>
      <c r="C2486">
        <v>26.565000999999999</v>
      </c>
      <c r="D2486">
        <v>25.360001</v>
      </c>
      <c r="E2486">
        <v>26.17</v>
      </c>
      <c r="F2486">
        <v>26.075457</v>
      </c>
      <c r="G2486">
        <v>5472100</v>
      </c>
      <c r="I2486">
        <f t="shared" si="39"/>
        <v>7.4727540730969448E-4</v>
      </c>
    </row>
    <row r="2487" spans="1:9" x14ac:dyDescent="0.3">
      <c r="A2487" s="5">
        <v>45245</v>
      </c>
      <c r="B2487">
        <v>26.52</v>
      </c>
      <c r="C2487">
        <v>27.34</v>
      </c>
      <c r="D2487">
        <v>26.360001</v>
      </c>
      <c r="E2487">
        <v>26.950001</v>
      </c>
      <c r="F2487">
        <v>26.852637999999999</v>
      </c>
      <c r="G2487">
        <v>5857200</v>
      </c>
      <c r="I2487">
        <f t="shared" si="39"/>
        <v>5.7146589791234046E-4</v>
      </c>
    </row>
    <row r="2488" spans="1:9" x14ac:dyDescent="0.3">
      <c r="A2488" s="5">
        <v>45246</v>
      </c>
      <c r="B2488">
        <v>26.6</v>
      </c>
      <c r="C2488">
        <v>26.99</v>
      </c>
      <c r="D2488">
        <v>25.940000999999999</v>
      </c>
      <c r="E2488">
        <v>26</v>
      </c>
      <c r="F2488">
        <v>25.906071000000001</v>
      </c>
      <c r="G2488">
        <v>4080300</v>
      </c>
      <c r="I2488">
        <f t="shared" si="39"/>
        <v>6.0197342944277291E-4</v>
      </c>
    </row>
    <row r="2489" spans="1:9" x14ac:dyDescent="0.3">
      <c r="A2489" s="5">
        <v>45247</v>
      </c>
      <c r="B2489">
        <v>26.35</v>
      </c>
      <c r="C2489">
        <v>26.978000999999999</v>
      </c>
      <c r="D2489">
        <v>26.120000999999998</v>
      </c>
      <c r="E2489">
        <v>26.219999000000001</v>
      </c>
      <c r="F2489">
        <v>26.125274999999998</v>
      </c>
      <c r="G2489">
        <v>4988700</v>
      </c>
      <c r="I2489">
        <f t="shared" si="39"/>
        <v>7.0475740272165765E-4</v>
      </c>
    </row>
    <row r="2490" spans="1:9" x14ac:dyDescent="0.3">
      <c r="A2490" s="5">
        <v>45250</v>
      </c>
      <c r="B2490">
        <v>26.32</v>
      </c>
      <c r="C2490">
        <v>26.700001</v>
      </c>
      <c r="D2490">
        <v>25.969999000000001</v>
      </c>
      <c r="E2490">
        <v>26.469999000000001</v>
      </c>
      <c r="F2490">
        <v>26.374371</v>
      </c>
      <c r="G2490">
        <v>4231300</v>
      </c>
      <c r="I2490">
        <f t="shared" si="39"/>
        <v>3.7930892707251931E-4</v>
      </c>
    </row>
    <row r="2491" spans="1:9" x14ac:dyDescent="0.3">
      <c r="A2491" s="5">
        <v>45251</v>
      </c>
      <c r="B2491">
        <v>26.280000999999999</v>
      </c>
      <c r="C2491">
        <v>26.625</v>
      </c>
      <c r="D2491">
        <v>26.17</v>
      </c>
      <c r="E2491">
        <v>26.389999</v>
      </c>
      <c r="F2491">
        <v>26.294661000000001</v>
      </c>
      <c r="G2491">
        <v>2881900</v>
      </c>
      <c r="I2491">
        <f t="shared" si="39"/>
        <v>1.5074142574565422E-4</v>
      </c>
    </row>
    <row r="2492" spans="1:9" x14ac:dyDescent="0.3">
      <c r="A2492" s="5">
        <v>45252</v>
      </c>
      <c r="B2492">
        <v>26.280000999999999</v>
      </c>
      <c r="C2492">
        <v>26.620000999999998</v>
      </c>
      <c r="D2492">
        <v>25.98</v>
      </c>
      <c r="E2492">
        <v>26.379999000000002</v>
      </c>
      <c r="F2492">
        <v>26.284697000000001</v>
      </c>
      <c r="G2492">
        <v>2923700</v>
      </c>
      <c r="I2492">
        <f t="shared" si="39"/>
        <v>2.9184364929374547E-4</v>
      </c>
    </row>
    <row r="2493" spans="1:9" x14ac:dyDescent="0.3">
      <c r="A2493" s="5">
        <v>45254</v>
      </c>
      <c r="B2493">
        <v>26.16</v>
      </c>
      <c r="C2493">
        <v>26.559999000000001</v>
      </c>
      <c r="D2493">
        <v>26.16</v>
      </c>
      <c r="E2493">
        <v>26.24</v>
      </c>
      <c r="F2493">
        <v>26.145202999999999</v>
      </c>
      <c r="G2493">
        <v>1282300</v>
      </c>
      <c r="I2493">
        <f t="shared" si="39"/>
        <v>1.8393817008124775E-4</v>
      </c>
    </row>
    <row r="2494" spans="1:9" x14ac:dyDescent="0.3">
      <c r="A2494" s="5">
        <v>45257</v>
      </c>
      <c r="B2494">
        <v>26.219999000000001</v>
      </c>
      <c r="C2494">
        <v>26.596001000000001</v>
      </c>
      <c r="D2494">
        <v>25.870000999999998</v>
      </c>
      <c r="E2494">
        <v>26.299999</v>
      </c>
      <c r="F2494">
        <v>26.204985000000001</v>
      </c>
      <c r="G2494">
        <v>3429000</v>
      </c>
      <c r="I2494">
        <f t="shared" si="39"/>
        <v>3.8088628000093236E-4</v>
      </c>
    </row>
    <row r="2495" spans="1:9" x14ac:dyDescent="0.3">
      <c r="A2495" s="5">
        <v>45258</v>
      </c>
      <c r="B2495">
        <v>26.219999000000001</v>
      </c>
      <c r="C2495">
        <v>26.290001</v>
      </c>
      <c r="D2495">
        <v>25.639999</v>
      </c>
      <c r="E2495">
        <v>26.08</v>
      </c>
      <c r="F2495">
        <v>25.985780999999999</v>
      </c>
      <c r="G2495">
        <v>4382400</v>
      </c>
      <c r="I2495">
        <f t="shared" si="39"/>
        <v>4.0199221214009618E-4</v>
      </c>
    </row>
    <row r="2496" spans="1:9" x14ac:dyDescent="0.3">
      <c r="A2496" s="5">
        <v>45259</v>
      </c>
      <c r="B2496">
        <v>26.42</v>
      </c>
      <c r="C2496">
        <v>27.040001</v>
      </c>
      <c r="D2496">
        <v>26.219999000000001</v>
      </c>
      <c r="E2496">
        <v>26.440000999999999</v>
      </c>
      <c r="F2496">
        <v>26.344480999999998</v>
      </c>
      <c r="G2496">
        <v>6103800</v>
      </c>
      <c r="I2496">
        <f t="shared" si="39"/>
        <v>5.8399337901609747E-4</v>
      </c>
    </row>
    <row r="2497" spans="1:9" x14ac:dyDescent="0.3">
      <c r="A2497" s="5">
        <v>45260</v>
      </c>
      <c r="B2497">
        <v>26.58</v>
      </c>
      <c r="C2497">
        <v>27.245000999999998</v>
      </c>
      <c r="D2497">
        <v>26.440000999999999</v>
      </c>
      <c r="E2497">
        <v>26.860001</v>
      </c>
      <c r="F2497">
        <v>26.762964</v>
      </c>
      <c r="G2497">
        <v>4823500</v>
      </c>
      <c r="I2497">
        <f t="shared" si="39"/>
        <v>4.3491217769460401E-4</v>
      </c>
    </row>
    <row r="2498" spans="1:9" x14ac:dyDescent="0.3">
      <c r="A2498" s="5">
        <v>45261</v>
      </c>
      <c r="B2498">
        <v>27</v>
      </c>
      <c r="C2498">
        <v>28.014999</v>
      </c>
      <c r="D2498">
        <v>26.51</v>
      </c>
      <c r="E2498">
        <v>27.74</v>
      </c>
      <c r="F2498">
        <v>27.639783999999999</v>
      </c>
      <c r="G2498">
        <v>5455100</v>
      </c>
      <c r="I2498">
        <f t="shared" si="39"/>
        <v>1.194676649824114E-3</v>
      </c>
    </row>
    <row r="2499" spans="1:9" x14ac:dyDescent="0.3">
      <c r="A2499" s="5">
        <v>45264</v>
      </c>
      <c r="B2499">
        <v>27.280000999999999</v>
      </c>
      <c r="C2499">
        <v>27.93</v>
      </c>
      <c r="D2499">
        <v>26.764999</v>
      </c>
      <c r="E2499">
        <v>26.809999000000001</v>
      </c>
      <c r="F2499">
        <v>26.713142000000001</v>
      </c>
      <c r="G2499">
        <v>4965000</v>
      </c>
      <c r="I2499">
        <f t="shared" si="39"/>
        <v>9.9573308812295896E-4</v>
      </c>
    </row>
    <row r="2500" spans="1:9" x14ac:dyDescent="0.3">
      <c r="A2500" s="5">
        <v>45265</v>
      </c>
      <c r="B2500">
        <v>26.5</v>
      </c>
      <c r="C2500">
        <v>26.530000999999999</v>
      </c>
      <c r="D2500">
        <v>25.129999000000002</v>
      </c>
      <c r="E2500">
        <v>25.24</v>
      </c>
      <c r="F2500">
        <v>25.148814999999999</v>
      </c>
      <c r="G2500">
        <v>7715800</v>
      </c>
      <c r="I2500">
        <f t="shared" si="39"/>
        <v>2.8824905259494974E-4</v>
      </c>
    </row>
    <row r="2501" spans="1:9" x14ac:dyDescent="0.3">
      <c r="A2501" s="5">
        <v>45266</v>
      </c>
      <c r="B2501">
        <v>25.6</v>
      </c>
      <c r="C2501">
        <v>25.959999</v>
      </c>
      <c r="D2501">
        <v>25.040001</v>
      </c>
      <c r="E2501">
        <v>25.120000999999998</v>
      </c>
      <c r="F2501">
        <v>25.029249</v>
      </c>
      <c r="G2501">
        <v>4055000</v>
      </c>
      <c r="I2501">
        <f t="shared" si="39"/>
        <v>5.2987812666234176E-4</v>
      </c>
    </row>
    <row r="2502" spans="1:9" x14ac:dyDescent="0.3">
      <c r="A2502" s="5">
        <v>45267</v>
      </c>
      <c r="B2502">
        <v>25.16</v>
      </c>
      <c r="C2502">
        <v>25.290001</v>
      </c>
      <c r="D2502">
        <v>24.27</v>
      </c>
      <c r="E2502">
        <v>24.940000999999999</v>
      </c>
      <c r="F2502">
        <v>24.849899000000001</v>
      </c>
      <c r="G2502">
        <v>6780000</v>
      </c>
      <c r="I2502">
        <f t="shared" si="39"/>
        <v>1.0525651920074385E-3</v>
      </c>
    </row>
    <row r="2503" spans="1:9" x14ac:dyDescent="0.3">
      <c r="A2503" s="5">
        <v>45268</v>
      </c>
      <c r="B2503">
        <v>25.040001</v>
      </c>
      <c r="C2503">
        <v>25.725000000000001</v>
      </c>
      <c r="D2503">
        <v>24.870000999999998</v>
      </c>
      <c r="E2503">
        <v>25.02</v>
      </c>
      <c r="F2503">
        <v>24.929611000000001</v>
      </c>
      <c r="G2503">
        <v>5128100</v>
      </c>
      <c r="I2503">
        <f t="shared" si="39"/>
        <v>7.9091954377201554E-4</v>
      </c>
    </row>
    <row r="2504" spans="1:9" x14ac:dyDescent="0.3">
      <c r="A2504" s="5">
        <v>45271</v>
      </c>
      <c r="B2504">
        <v>24.75</v>
      </c>
      <c r="C2504">
        <v>25.32</v>
      </c>
      <c r="D2504">
        <v>24.67</v>
      </c>
      <c r="E2504">
        <v>24.93</v>
      </c>
      <c r="F2504">
        <v>24.839935000000001</v>
      </c>
      <c r="G2504">
        <v>4290700</v>
      </c>
      <c r="I2504">
        <f t="shared" si="39"/>
        <v>3.8738048707620391E-4</v>
      </c>
    </row>
    <row r="2505" spans="1:9" x14ac:dyDescent="0.3">
      <c r="A2505" s="5">
        <v>45272</v>
      </c>
      <c r="B2505">
        <v>24.68</v>
      </c>
      <c r="C2505">
        <v>24.75</v>
      </c>
      <c r="D2505">
        <v>23.799999</v>
      </c>
      <c r="E2505">
        <v>24.049999</v>
      </c>
      <c r="F2505">
        <v>23.963114000000001</v>
      </c>
      <c r="G2505">
        <v>5849300</v>
      </c>
      <c r="I2505">
        <f t="shared" si="39"/>
        <v>4.606537705763788E-4</v>
      </c>
    </row>
    <row r="2506" spans="1:9" x14ac:dyDescent="0.3">
      <c r="A2506" s="5">
        <v>45273</v>
      </c>
      <c r="B2506">
        <v>24.040001</v>
      </c>
      <c r="C2506">
        <v>26.040001</v>
      </c>
      <c r="D2506">
        <v>23.885000000000002</v>
      </c>
      <c r="E2506">
        <v>25.99</v>
      </c>
      <c r="F2506">
        <v>25.896107000000001</v>
      </c>
      <c r="G2506">
        <v>7919100</v>
      </c>
      <c r="I2506">
        <f t="shared" si="39"/>
        <v>6.9993428599738456E-4</v>
      </c>
    </row>
    <row r="2507" spans="1:9" x14ac:dyDescent="0.3">
      <c r="A2507" s="5">
        <v>45274</v>
      </c>
      <c r="B2507">
        <v>27.040001</v>
      </c>
      <c r="C2507">
        <v>30.135000000000002</v>
      </c>
      <c r="D2507">
        <v>26.940000999999999</v>
      </c>
      <c r="E2507">
        <v>29.9</v>
      </c>
      <c r="F2507">
        <v>29.791981</v>
      </c>
      <c r="G2507">
        <v>16594000</v>
      </c>
      <c r="I2507">
        <f t="shared" si="39"/>
        <v>1.2346485393119717E-3</v>
      </c>
    </row>
    <row r="2508" spans="1:9" x14ac:dyDescent="0.3">
      <c r="A2508" s="5">
        <v>45275</v>
      </c>
      <c r="B2508">
        <v>29.93</v>
      </c>
      <c r="C2508">
        <v>32.5</v>
      </c>
      <c r="D2508">
        <v>29.67</v>
      </c>
      <c r="E2508">
        <v>31.1</v>
      </c>
      <c r="F2508">
        <v>30.987646000000002</v>
      </c>
      <c r="G2508">
        <v>19183200</v>
      </c>
      <c r="I2508">
        <f t="shared" ref="I2508:I2566" si="40">LN(C2508/B2508)*(LN(C2508/B2508)-LN(E2508/B2508))+LN(D2508/B2508)*(LN(D2508/B2508)-LN(E2508/B2508))</f>
        <v>4.0380166844335551E-3</v>
      </c>
    </row>
    <row r="2509" spans="1:9" x14ac:dyDescent="0.3">
      <c r="A2509" s="5">
        <v>45278</v>
      </c>
      <c r="B2509">
        <v>31.440000999999999</v>
      </c>
      <c r="C2509">
        <v>32.310001</v>
      </c>
      <c r="D2509">
        <v>30.52</v>
      </c>
      <c r="E2509">
        <v>30.52</v>
      </c>
      <c r="F2509">
        <v>30.409739999999999</v>
      </c>
      <c r="G2509">
        <v>7270400</v>
      </c>
      <c r="I2509">
        <f t="shared" si="40"/>
        <v>1.5557139727902496E-3</v>
      </c>
    </row>
    <row r="2510" spans="1:9" x14ac:dyDescent="0.3">
      <c r="A2510" s="5">
        <v>45279</v>
      </c>
      <c r="B2510">
        <v>31.190000999999999</v>
      </c>
      <c r="C2510">
        <v>33</v>
      </c>
      <c r="D2510">
        <v>30.91</v>
      </c>
      <c r="E2510">
        <v>32.419998</v>
      </c>
      <c r="F2510">
        <v>32.302875999999998</v>
      </c>
      <c r="G2510">
        <v>7967200</v>
      </c>
      <c r="I2510">
        <f t="shared" si="40"/>
        <v>1.4303787073163302E-3</v>
      </c>
    </row>
    <row r="2511" spans="1:9" x14ac:dyDescent="0.3">
      <c r="A2511" s="5">
        <v>45280</v>
      </c>
      <c r="B2511">
        <v>32.009998000000003</v>
      </c>
      <c r="C2511">
        <v>32.474997999999999</v>
      </c>
      <c r="D2511">
        <v>30.559999000000001</v>
      </c>
      <c r="E2511">
        <v>30.65</v>
      </c>
      <c r="F2511">
        <v>30.539269999999998</v>
      </c>
      <c r="G2511">
        <v>7516900</v>
      </c>
      <c r="I2511">
        <f t="shared" si="40"/>
        <v>9.7047099909591686E-4</v>
      </c>
    </row>
    <row r="2512" spans="1:9" x14ac:dyDescent="0.3">
      <c r="A2512" s="5">
        <v>45281</v>
      </c>
      <c r="B2512">
        <v>31.25</v>
      </c>
      <c r="C2512">
        <v>32.139999000000003</v>
      </c>
      <c r="D2512">
        <v>30.59</v>
      </c>
      <c r="E2512">
        <v>32.020000000000003</v>
      </c>
      <c r="F2512">
        <v>31.904322000000001</v>
      </c>
      <c r="G2512">
        <v>5566100</v>
      </c>
      <c r="I2512">
        <f t="shared" si="40"/>
        <v>1.0803003511633488E-3</v>
      </c>
    </row>
    <row r="2513" spans="1:9" x14ac:dyDescent="0.3">
      <c r="A2513" s="5">
        <v>45282</v>
      </c>
      <c r="B2513">
        <v>32.959999000000003</v>
      </c>
      <c r="C2513">
        <v>34.439999</v>
      </c>
      <c r="D2513">
        <v>32.880001</v>
      </c>
      <c r="E2513">
        <v>33.770000000000003</v>
      </c>
      <c r="F2513">
        <v>33.647998999999999</v>
      </c>
      <c r="G2513">
        <v>9064600</v>
      </c>
      <c r="I2513">
        <f t="shared" si="40"/>
        <v>9.2782533972556947E-4</v>
      </c>
    </row>
    <row r="2514" spans="1:9" x14ac:dyDescent="0.3">
      <c r="A2514" s="5">
        <v>45286</v>
      </c>
      <c r="B2514">
        <v>33.860000999999997</v>
      </c>
      <c r="C2514">
        <v>34.119999</v>
      </c>
      <c r="D2514">
        <v>33.5</v>
      </c>
      <c r="E2514">
        <v>33.869999</v>
      </c>
      <c r="F2514">
        <v>33.747638999999999</v>
      </c>
      <c r="G2514">
        <v>4505900</v>
      </c>
      <c r="I2514">
        <f t="shared" si="40"/>
        <v>1.7366302508469241E-4</v>
      </c>
    </row>
    <row r="2515" spans="1:9" x14ac:dyDescent="0.3">
      <c r="A2515" s="5">
        <v>45287</v>
      </c>
      <c r="B2515">
        <v>34.229999999999997</v>
      </c>
      <c r="C2515">
        <v>35.034999999999997</v>
      </c>
      <c r="D2515">
        <v>33.75</v>
      </c>
      <c r="E2515">
        <v>34.810001</v>
      </c>
      <c r="F2515">
        <v>34.684241999999998</v>
      </c>
      <c r="G2515">
        <v>5798100</v>
      </c>
      <c r="I2515">
        <f t="shared" si="40"/>
        <v>5.8647855771672846E-4</v>
      </c>
    </row>
    <row r="2516" spans="1:9" x14ac:dyDescent="0.3">
      <c r="A2516" s="5">
        <v>45288</v>
      </c>
      <c r="B2516">
        <v>34.68</v>
      </c>
      <c r="C2516">
        <v>34.811999999999998</v>
      </c>
      <c r="D2516">
        <v>34.198002000000002</v>
      </c>
      <c r="E2516">
        <v>34.549999</v>
      </c>
      <c r="F2516">
        <v>34.425182</v>
      </c>
      <c r="G2516">
        <v>3909900</v>
      </c>
      <c r="I2516">
        <f t="shared" si="40"/>
        <v>1.7202260364485264E-4</v>
      </c>
    </row>
    <row r="2517" spans="1:9" x14ac:dyDescent="0.3">
      <c r="A2517" s="5">
        <v>45289</v>
      </c>
      <c r="B2517">
        <v>34.310001</v>
      </c>
      <c r="C2517">
        <v>34.740001999999997</v>
      </c>
      <c r="D2517">
        <v>33.93</v>
      </c>
      <c r="E2517">
        <v>34</v>
      </c>
      <c r="F2517">
        <v>33.877167</v>
      </c>
      <c r="G2517">
        <v>3294300</v>
      </c>
      <c r="I2517">
        <f t="shared" si="40"/>
        <v>2.9112419441002294E-4</v>
      </c>
    </row>
    <row r="2518" spans="1:9" x14ac:dyDescent="0.3">
      <c r="A2518" s="5">
        <v>45293</v>
      </c>
      <c r="B2518">
        <v>33.529998999999997</v>
      </c>
      <c r="C2518">
        <v>33.970001000000003</v>
      </c>
      <c r="D2518">
        <v>33.040000999999997</v>
      </c>
      <c r="E2518">
        <v>33.310001</v>
      </c>
      <c r="F2518">
        <v>33.189663000000003</v>
      </c>
      <c r="G2518">
        <v>3838000</v>
      </c>
      <c r="I2518">
        <f t="shared" si="40"/>
        <v>3.7560748096677902E-4</v>
      </c>
    </row>
    <row r="2519" spans="1:9" x14ac:dyDescent="0.3">
      <c r="A2519" s="5">
        <v>45294</v>
      </c>
      <c r="B2519">
        <v>32.119999</v>
      </c>
      <c r="C2519">
        <v>32.270000000000003</v>
      </c>
      <c r="D2519">
        <v>31.045000000000002</v>
      </c>
      <c r="E2519">
        <v>31.49</v>
      </c>
      <c r="F2519">
        <v>31.376235999999999</v>
      </c>
      <c r="G2519">
        <v>8245700</v>
      </c>
      <c r="I2519">
        <f t="shared" si="40"/>
        <v>5.9848193939914191E-4</v>
      </c>
    </row>
    <row r="2520" spans="1:9" x14ac:dyDescent="0.3">
      <c r="A2520" s="5">
        <v>45295</v>
      </c>
      <c r="B2520">
        <v>31.129999000000002</v>
      </c>
      <c r="C2520">
        <v>31.49</v>
      </c>
      <c r="D2520">
        <v>30.860001</v>
      </c>
      <c r="E2520">
        <v>31.129999000000002</v>
      </c>
      <c r="F2520">
        <v>31.017536</v>
      </c>
      <c r="G2520">
        <v>4543600</v>
      </c>
      <c r="I2520">
        <f t="shared" si="40"/>
        <v>2.0808870032946601E-4</v>
      </c>
    </row>
    <row r="2521" spans="1:9" x14ac:dyDescent="0.3">
      <c r="A2521" s="5">
        <v>45296</v>
      </c>
      <c r="B2521">
        <v>30.540001</v>
      </c>
      <c r="C2521">
        <v>32.305</v>
      </c>
      <c r="D2521">
        <v>30.09</v>
      </c>
      <c r="E2521">
        <v>32.130001</v>
      </c>
      <c r="F2521">
        <v>32.013924000000003</v>
      </c>
      <c r="G2521">
        <v>7313000</v>
      </c>
      <c r="I2521">
        <f t="shared" si="40"/>
        <v>1.2789401961611191E-3</v>
      </c>
    </row>
    <row r="2522" spans="1:9" x14ac:dyDescent="0.3">
      <c r="A2522" s="5">
        <v>45299</v>
      </c>
      <c r="B2522">
        <v>31.82</v>
      </c>
      <c r="C2522">
        <v>32.090000000000003</v>
      </c>
      <c r="D2522">
        <v>31.219999000000001</v>
      </c>
      <c r="E2522">
        <v>31.73</v>
      </c>
      <c r="F2522">
        <v>31.615368</v>
      </c>
      <c r="G2522">
        <v>4992100</v>
      </c>
      <c r="I2522">
        <f t="shared" si="40"/>
        <v>4.0378155118800813E-4</v>
      </c>
    </row>
    <row r="2523" spans="1:9" x14ac:dyDescent="0.3">
      <c r="A2523" s="5">
        <v>45300</v>
      </c>
      <c r="B2523">
        <v>31.82</v>
      </c>
      <c r="C2523">
        <v>32.450001</v>
      </c>
      <c r="D2523">
        <v>31.549999</v>
      </c>
      <c r="E2523">
        <v>31.940000999999999</v>
      </c>
      <c r="F2523">
        <v>31.824611999999998</v>
      </c>
      <c r="G2523">
        <v>5792100</v>
      </c>
      <c r="I2523">
        <f t="shared" si="40"/>
        <v>4.1526729049856507E-4</v>
      </c>
    </row>
    <row r="2524" spans="1:9" x14ac:dyDescent="0.3">
      <c r="A2524" s="5">
        <v>45301</v>
      </c>
      <c r="B2524">
        <v>31.799999</v>
      </c>
      <c r="C2524">
        <v>32.139999000000003</v>
      </c>
      <c r="D2524">
        <v>31.309999000000001</v>
      </c>
      <c r="E2524">
        <v>31.65</v>
      </c>
      <c r="F2524">
        <v>31.535658000000002</v>
      </c>
      <c r="G2524">
        <v>4733500</v>
      </c>
      <c r="I2524">
        <f t="shared" si="40"/>
        <v>3.3110908666681511E-4</v>
      </c>
    </row>
    <row r="2525" spans="1:9" x14ac:dyDescent="0.3">
      <c r="A2525" s="5">
        <v>45302</v>
      </c>
      <c r="B2525">
        <v>31.49</v>
      </c>
      <c r="C2525">
        <v>31.639999</v>
      </c>
      <c r="D2525">
        <v>30.66</v>
      </c>
      <c r="E2525">
        <v>30.879999000000002</v>
      </c>
      <c r="F2525">
        <v>30.768438</v>
      </c>
      <c r="G2525">
        <v>4419700</v>
      </c>
      <c r="I2525">
        <f t="shared" si="40"/>
        <v>3.0651919704598608E-4</v>
      </c>
    </row>
    <row r="2526" spans="1:9" x14ac:dyDescent="0.3">
      <c r="A2526" s="5">
        <v>45303</v>
      </c>
      <c r="B2526">
        <v>31.190000999999999</v>
      </c>
      <c r="C2526">
        <v>31.82</v>
      </c>
      <c r="D2526">
        <v>30.02</v>
      </c>
      <c r="E2526">
        <v>30.030000999999999</v>
      </c>
      <c r="F2526">
        <v>29.921510999999999</v>
      </c>
      <c r="G2526">
        <v>3933500</v>
      </c>
      <c r="I2526">
        <f t="shared" si="40"/>
        <v>1.1705503448046822E-3</v>
      </c>
    </row>
    <row r="2527" spans="1:9" x14ac:dyDescent="0.3">
      <c r="A2527" s="5">
        <v>45307</v>
      </c>
      <c r="B2527">
        <v>29.17</v>
      </c>
      <c r="C2527">
        <v>29.290001</v>
      </c>
      <c r="D2527">
        <v>27.274999999999999</v>
      </c>
      <c r="E2527">
        <v>27.870000999999998</v>
      </c>
      <c r="F2527">
        <v>27.769316</v>
      </c>
      <c r="G2527">
        <v>10715000</v>
      </c>
      <c r="I2527">
        <f t="shared" si="40"/>
        <v>1.6535769679832724E-3</v>
      </c>
    </row>
    <row r="2528" spans="1:9" x14ac:dyDescent="0.3">
      <c r="A2528" s="5">
        <v>45308</v>
      </c>
      <c r="B2528">
        <v>27.17</v>
      </c>
      <c r="C2528">
        <v>27.67</v>
      </c>
      <c r="D2528">
        <v>27.049999</v>
      </c>
      <c r="E2528">
        <v>27.18</v>
      </c>
      <c r="F2528">
        <v>27.081807999999999</v>
      </c>
      <c r="G2528">
        <v>9606400</v>
      </c>
      <c r="I2528">
        <f t="shared" si="40"/>
        <v>3.4704075945789117E-4</v>
      </c>
    </row>
    <row r="2529" spans="1:9" x14ac:dyDescent="0.3">
      <c r="A2529" s="5">
        <v>45309</v>
      </c>
      <c r="B2529">
        <v>27.620000999999998</v>
      </c>
      <c r="C2529">
        <v>28.719999000000001</v>
      </c>
      <c r="D2529">
        <v>26.58</v>
      </c>
      <c r="E2529">
        <v>26.75</v>
      </c>
      <c r="F2529">
        <v>26.653359999999999</v>
      </c>
      <c r="G2529">
        <v>12853200</v>
      </c>
      <c r="I2529">
        <f t="shared" si="40"/>
        <v>3.0198094944940538E-3</v>
      </c>
    </row>
    <row r="2530" spans="1:9" x14ac:dyDescent="0.3">
      <c r="A2530" s="5">
        <v>45310</v>
      </c>
      <c r="B2530">
        <v>26.73</v>
      </c>
      <c r="C2530">
        <v>27.379999000000002</v>
      </c>
      <c r="D2530">
        <v>26.344999000000001</v>
      </c>
      <c r="E2530">
        <v>27.360001</v>
      </c>
      <c r="F2530">
        <v>27.261157999999998</v>
      </c>
      <c r="G2530">
        <v>5999900</v>
      </c>
      <c r="I2530">
        <f t="shared" si="40"/>
        <v>5.6601286666240402E-4</v>
      </c>
    </row>
    <row r="2531" spans="1:9" x14ac:dyDescent="0.3">
      <c r="A2531" s="5">
        <v>45313</v>
      </c>
      <c r="B2531">
        <v>26.870000999999998</v>
      </c>
      <c r="C2531">
        <v>27.855</v>
      </c>
      <c r="D2531">
        <v>26.77</v>
      </c>
      <c r="E2531">
        <v>27.620000999999998</v>
      </c>
      <c r="F2531">
        <v>27.520218</v>
      </c>
      <c r="G2531">
        <v>5793800</v>
      </c>
      <c r="I2531">
        <f t="shared" si="40"/>
        <v>4.2156978810077979E-4</v>
      </c>
    </row>
    <row r="2532" spans="1:9" x14ac:dyDescent="0.3">
      <c r="A2532" s="5">
        <v>45314</v>
      </c>
      <c r="B2532">
        <v>29.15</v>
      </c>
      <c r="C2532">
        <v>30.485001</v>
      </c>
      <c r="D2532">
        <v>29.030000999999999</v>
      </c>
      <c r="E2532">
        <v>29.51</v>
      </c>
      <c r="F2532">
        <v>29.403389000000001</v>
      </c>
      <c r="G2532">
        <v>9363900</v>
      </c>
      <c r="I2532">
        <f t="shared" si="40"/>
        <v>1.5232460633922789E-3</v>
      </c>
    </row>
    <row r="2533" spans="1:9" x14ac:dyDescent="0.3">
      <c r="A2533" s="5">
        <v>45315</v>
      </c>
      <c r="B2533">
        <v>30.25</v>
      </c>
      <c r="C2533">
        <v>30.370000999999998</v>
      </c>
      <c r="D2533">
        <v>29.32</v>
      </c>
      <c r="E2533">
        <v>29.76</v>
      </c>
      <c r="F2533">
        <v>29.652487000000001</v>
      </c>
      <c r="G2533">
        <v>8916000</v>
      </c>
      <c r="I2533">
        <f t="shared" si="40"/>
        <v>5.454573473290317E-4</v>
      </c>
    </row>
    <row r="2534" spans="1:9" x14ac:dyDescent="0.3">
      <c r="A2534" s="5">
        <v>45316</v>
      </c>
      <c r="B2534">
        <v>29.959999</v>
      </c>
      <c r="C2534">
        <v>30.450001</v>
      </c>
      <c r="D2534">
        <v>29.209999</v>
      </c>
      <c r="E2534">
        <v>29.879999000000002</v>
      </c>
      <c r="F2534">
        <v>29.772051000000001</v>
      </c>
      <c r="G2534">
        <v>4683300</v>
      </c>
      <c r="I2534">
        <f t="shared" si="40"/>
        <v>8.8149914577026749E-4</v>
      </c>
    </row>
    <row r="2535" spans="1:9" x14ac:dyDescent="0.3">
      <c r="A2535" s="5">
        <v>45317</v>
      </c>
      <c r="B2535">
        <v>30.219999000000001</v>
      </c>
      <c r="C2535">
        <v>30.700001</v>
      </c>
      <c r="D2535">
        <v>29.870999999999999</v>
      </c>
      <c r="E2535">
        <v>30.610001</v>
      </c>
      <c r="F2535">
        <v>30.499416</v>
      </c>
      <c r="G2535">
        <v>5123900</v>
      </c>
      <c r="I2535">
        <f t="shared" si="40"/>
        <v>3.3014127957076882E-4</v>
      </c>
    </row>
    <row r="2536" spans="1:9" x14ac:dyDescent="0.3">
      <c r="A2536" s="5">
        <v>45320</v>
      </c>
      <c r="B2536">
        <v>30.459999</v>
      </c>
      <c r="C2536">
        <v>30.969999000000001</v>
      </c>
      <c r="D2536">
        <v>29.688998999999999</v>
      </c>
      <c r="E2536">
        <v>30.91</v>
      </c>
      <c r="F2536">
        <v>30.798331999999998</v>
      </c>
      <c r="G2536">
        <v>4649100</v>
      </c>
      <c r="I2536">
        <f t="shared" si="40"/>
        <v>1.0654824103545789E-3</v>
      </c>
    </row>
    <row r="2537" spans="1:9" x14ac:dyDescent="0.3">
      <c r="A2537" s="5">
        <v>45321</v>
      </c>
      <c r="B2537">
        <v>30.34</v>
      </c>
      <c r="C2537">
        <v>30.84</v>
      </c>
      <c r="D2537">
        <v>30</v>
      </c>
      <c r="E2537">
        <v>30.610001</v>
      </c>
      <c r="F2537">
        <v>30.499416</v>
      </c>
      <c r="G2537">
        <v>4714700</v>
      </c>
      <c r="I2537">
        <f t="shared" si="40"/>
        <v>3.4920927506424873E-4</v>
      </c>
    </row>
    <row r="2538" spans="1:9" x14ac:dyDescent="0.3">
      <c r="A2538" s="5">
        <v>45322</v>
      </c>
      <c r="B2538">
        <v>30.49</v>
      </c>
      <c r="C2538">
        <v>31.360001</v>
      </c>
      <c r="D2538">
        <v>29.715</v>
      </c>
      <c r="E2538">
        <v>29.75</v>
      </c>
      <c r="F2538">
        <v>29.642523000000001</v>
      </c>
      <c r="G2538">
        <v>5760400</v>
      </c>
      <c r="I2538">
        <f t="shared" si="40"/>
        <v>1.5131097745514376E-3</v>
      </c>
    </row>
    <row r="2539" spans="1:9" x14ac:dyDescent="0.3">
      <c r="A2539" s="5">
        <v>45323</v>
      </c>
      <c r="B2539">
        <v>30.08</v>
      </c>
      <c r="C2539">
        <v>30.405000999999999</v>
      </c>
      <c r="D2539">
        <v>29.15</v>
      </c>
      <c r="E2539">
        <v>29.690000999999999</v>
      </c>
      <c r="F2539">
        <v>29.582739</v>
      </c>
      <c r="G2539">
        <v>4174600</v>
      </c>
      <c r="I2539">
        <f t="shared" si="40"/>
        <v>8.3219692377203987E-4</v>
      </c>
    </row>
    <row r="2540" spans="1:9" x14ac:dyDescent="0.3">
      <c r="A2540" s="5">
        <v>45324</v>
      </c>
      <c r="B2540">
        <v>29</v>
      </c>
      <c r="C2540">
        <v>29.719999000000001</v>
      </c>
      <c r="D2540">
        <v>28.549999</v>
      </c>
      <c r="E2540">
        <v>29.49</v>
      </c>
      <c r="F2540">
        <v>29.383461</v>
      </c>
      <c r="G2540">
        <v>4954000</v>
      </c>
      <c r="I2540">
        <f t="shared" si="40"/>
        <v>6.9714132021709793E-4</v>
      </c>
    </row>
    <row r="2541" spans="1:9" x14ac:dyDescent="0.3">
      <c r="A2541" s="5">
        <v>45327</v>
      </c>
      <c r="B2541">
        <v>28.6</v>
      </c>
      <c r="C2541">
        <v>28.6</v>
      </c>
      <c r="D2541">
        <v>26.74</v>
      </c>
      <c r="E2541">
        <v>26.84</v>
      </c>
      <c r="F2541">
        <v>26.743036</v>
      </c>
      <c r="G2541">
        <v>8824300</v>
      </c>
      <c r="I2541">
        <f t="shared" si="40"/>
        <v>2.5101240848204501E-4</v>
      </c>
    </row>
    <row r="2542" spans="1:9" x14ac:dyDescent="0.3">
      <c r="A2542" s="5">
        <v>45328</v>
      </c>
      <c r="B2542">
        <v>26.940000999999999</v>
      </c>
      <c r="C2542">
        <v>27.790001</v>
      </c>
      <c r="D2542">
        <v>26.93</v>
      </c>
      <c r="E2542">
        <v>27.620000999999998</v>
      </c>
      <c r="F2542">
        <v>27.520218</v>
      </c>
      <c r="G2542">
        <v>7828400</v>
      </c>
      <c r="I2542">
        <f t="shared" si="40"/>
        <v>2.0000576581453167E-4</v>
      </c>
    </row>
    <row r="2543" spans="1:9" x14ac:dyDescent="0.3">
      <c r="A2543" s="5">
        <v>45329</v>
      </c>
      <c r="B2543">
        <v>27.6</v>
      </c>
      <c r="C2543">
        <v>27.764999</v>
      </c>
      <c r="D2543">
        <v>26.93</v>
      </c>
      <c r="E2543">
        <v>27.530000999999999</v>
      </c>
      <c r="F2543">
        <v>27.430544000000001</v>
      </c>
      <c r="G2543">
        <v>5017200</v>
      </c>
      <c r="I2543">
        <f t="shared" si="40"/>
        <v>5.9218088173878093E-4</v>
      </c>
    </row>
    <row r="2544" spans="1:9" x14ac:dyDescent="0.3">
      <c r="A2544" s="5">
        <v>45330</v>
      </c>
      <c r="B2544">
        <v>27.440000999999999</v>
      </c>
      <c r="C2544">
        <v>28.07</v>
      </c>
      <c r="D2544">
        <v>27.139999</v>
      </c>
      <c r="E2544">
        <v>27.709999</v>
      </c>
      <c r="F2544">
        <v>27.609891999999999</v>
      </c>
      <c r="G2544">
        <v>4854500</v>
      </c>
      <c r="I2544">
        <f t="shared" si="40"/>
        <v>5.2149821279631834E-4</v>
      </c>
    </row>
    <row r="2545" spans="1:9" x14ac:dyDescent="0.3">
      <c r="A2545" s="5">
        <v>45331</v>
      </c>
      <c r="B2545">
        <v>27.709999</v>
      </c>
      <c r="C2545">
        <v>27.733999000000001</v>
      </c>
      <c r="D2545">
        <v>26.700001</v>
      </c>
      <c r="E2545">
        <v>26.889999</v>
      </c>
      <c r="F2545">
        <v>26.792853999999998</v>
      </c>
      <c r="G2545">
        <v>4762100</v>
      </c>
      <c r="I2545">
        <f t="shared" si="40"/>
        <v>2.900358666738861E-4</v>
      </c>
    </row>
    <row r="2546" spans="1:9" x14ac:dyDescent="0.3">
      <c r="A2546" s="5">
        <v>45334</v>
      </c>
      <c r="B2546">
        <v>27.1</v>
      </c>
      <c r="C2546">
        <v>28.094999000000001</v>
      </c>
      <c r="D2546">
        <v>26.870000999999998</v>
      </c>
      <c r="E2546">
        <v>27.9</v>
      </c>
      <c r="F2546">
        <v>27.799206000000002</v>
      </c>
      <c r="G2546">
        <v>4374600</v>
      </c>
      <c r="I2546">
        <f t="shared" si="40"/>
        <v>5.717526041969876E-4</v>
      </c>
    </row>
    <row r="2547" spans="1:9" x14ac:dyDescent="0.3">
      <c r="A2547" s="5">
        <v>45335</v>
      </c>
      <c r="B2547">
        <v>26.9</v>
      </c>
      <c r="C2547">
        <v>27.200001</v>
      </c>
      <c r="D2547">
        <v>25.575001</v>
      </c>
      <c r="E2547">
        <v>25.85</v>
      </c>
      <c r="F2547">
        <v>25.756613000000002</v>
      </c>
      <c r="G2547">
        <v>7264200</v>
      </c>
      <c r="I2547">
        <f t="shared" si="40"/>
        <v>1.1048159912771778E-3</v>
      </c>
    </row>
    <row r="2548" spans="1:9" x14ac:dyDescent="0.3">
      <c r="A2548" s="5">
        <v>45336</v>
      </c>
      <c r="B2548">
        <v>26.209999</v>
      </c>
      <c r="C2548">
        <v>26.99</v>
      </c>
      <c r="D2548">
        <v>25.870000999999998</v>
      </c>
      <c r="E2548">
        <v>26.790001</v>
      </c>
      <c r="F2548">
        <v>26.693216</v>
      </c>
      <c r="G2548">
        <v>5100600</v>
      </c>
      <c r="I2548">
        <f t="shared" si="40"/>
        <v>6.7438488380353111E-4</v>
      </c>
    </row>
    <row r="2549" spans="1:9" x14ac:dyDescent="0.3">
      <c r="A2549" s="5">
        <v>45337</v>
      </c>
      <c r="B2549">
        <v>27.040001</v>
      </c>
      <c r="C2549">
        <v>27.639999</v>
      </c>
      <c r="D2549">
        <v>26.92</v>
      </c>
      <c r="E2549">
        <v>27.389999</v>
      </c>
      <c r="F2549">
        <v>27.291048</v>
      </c>
      <c r="G2549">
        <v>4385500</v>
      </c>
      <c r="I2549">
        <f t="shared" si="40"/>
        <v>2.7639203585204126E-4</v>
      </c>
    </row>
    <row r="2550" spans="1:9" x14ac:dyDescent="0.3">
      <c r="A2550" s="5">
        <v>45338</v>
      </c>
      <c r="B2550">
        <v>27.34</v>
      </c>
      <c r="C2550">
        <v>28.030000999999999</v>
      </c>
      <c r="D2550">
        <v>27.16</v>
      </c>
      <c r="E2550">
        <v>27.4</v>
      </c>
      <c r="F2550">
        <v>27.301012</v>
      </c>
      <c r="G2550">
        <v>4685800</v>
      </c>
      <c r="I2550">
        <f t="shared" si="40"/>
        <v>6.2470850212420839E-4</v>
      </c>
    </row>
    <row r="2551" spans="1:9" x14ac:dyDescent="0.3">
      <c r="A2551" s="5">
        <v>45342</v>
      </c>
      <c r="B2551">
        <v>26.879999000000002</v>
      </c>
      <c r="C2551">
        <v>26.879999000000002</v>
      </c>
      <c r="D2551">
        <v>26.16</v>
      </c>
      <c r="E2551">
        <v>26.690000999999999</v>
      </c>
      <c r="F2551">
        <v>26.593578000000001</v>
      </c>
      <c r="G2551">
        <v>4711800</v>
      </c>
      <c r="I2551">
        <f t="shared" si="40"/>
        <v>5.4457951907882485E-4</v>
      </c>
    </row>
    <row r="2552" spans="1:9" x14ac:dyDescent="0.3">
      <c r="A2552" s="5">
        <v>45343</v>
      </c>
      <c r="B2552">
        <v>27.120000999999998</v>
      </c>
      <c r="C2552">
        <v>28.040001</v>
      </c>
      <c r="D2552">
        <v>27.07</v>
      </c>
      <c r="E2552">
        <v>27.959999</v>
      </c>
      <c r="F2552">
        <v>27.858988</v>
      </c>
      <c r="G2552">
        <v>5642100</v>
      </c>
      <c r="I2552">
        <f t="shared" si="40"/>
        <v>1.5501475750292476E-4</v>
      </c>
    </row>
    <row r="2553" spans="1:9" x14ac:dyDescent="0.3">
      <c r="A2553" s="5">
        <v>45344</v>
      </c>
      <c r="B2553">
        <v>27.77</v>
      </c>
      <c r="C2553">
        <v>27.841000000000001</v>
      </c>
      <c r="D2553">
        <v>27.26</v>
      </c>
      <c r="E2553">
        <v>27.75</v>
      </c>
      <c r="F2553">
        <v>27.649747999999999</v>
      </c>
      <c r="G2553">
        <v>6720800</v>
      </c>
      <c r="I2553">
        <f t="shared" si="40"/>
        <v>3.3858407256206439E-4</v>
      </c>
    </row>
    <row r="2554" spans="1:9" x14ac:dyDescent="0.3">
      <c r="A2554" s="5">
        <v>45345</v>
      </c>
      <c r="B2554">
        <v>27.620000999999998</v>
      </c>
      <c r="C2554">
        <v>27.709999</v>
      </c>
      <c r="D2554">
        <v>26.469999000000001</v>
      </c>
      <c r="E2554">
        <v>26.52</v>
      </c>
      <c r="F2554">
        <v>26.424192000000001</v>
      </c>
      <c r="G2554">
        <v>5340300</v>
      </c>
      <c r="I2554">
        <f t="shared" si="40"/>
        <v>2.230524488892382E-4</v>
      </c>
    </row>
    <row r="2555" spans="1:9" x14ac:dyDescent="0.3">
      <c r="A2555" s="5">
        <v>45348</v>
      </c>
      <c r="B2555">
        <v>26.15</v>
      </c>
      <c r="C2555">
        <v>26.15</v>
      </c>
      <c r="D2555">
        <v>24.860001</v>
      </c>
      <c r="E2555">
        <v>25.34</v>
      </c>
      <c r="F2555">
        <v>25.248455</v>
      </c>
      <c r="G2555">
        <v>11130000</v>
      </c>
      <c r="I2555">
        <f t="shared" si="40"/>
        <v>9.6746772169834373E-4</v>
      </c>
    </row>
    <row r="2556" spans="1:9" x14ac:dyDescent="0.3">
      <c r="A2556" s="5">
        <v>45349</v>
      </c>
      <c r="B2556">
        <v>25.91</v>
      </c>
      <c r="C2556">
        <v>27</v>
      </c>
      <c r="D2556">
        <v>25.200001</v>
      </c>
      <c r="E2556">
        <v>26.700001</v>
      </c>
      <c r="F2556">
        <v>26.603542000000001</v>
      </c>
      <c r="G2556">
        <v>6822600</v>
      </c>
      <c r="I2556">
        <f t="shared" si="40"/>
        <v>2.0669408151848603E-3</v>
      </c>
    </row>
    <row r="2557" spans="1:9" x14ac:dyDescent="0.3">
      <c r="A2557" s="5">
        <v>45350</v>
      </c>
      <c r="B2557">
        <v>26.190000999999999</v>
      </c>
      <c r="C2557">
        <v>26.535</v>
      </c>
      <c r="D2557">
        <v>25.969999000000001</v>
      </c>
      <c r="E2557">
        <v>26.32</v>
      </c>
      <c r="F2557">
        <v>26.224913000000001</v>
      </c>
      <c r="G2557">
        <v>3748400</v>
      </c>
      <c r="I2557">
        <f t="shared" si="40"/>
        <v>2.1939861258077695E-4</v>
      </c>
    </row>
    <row r="2558" spans="1:9" x14ac:dyDescent="0.3">
      <c r="A2558" s="5">
        <v>45351</v>
      </c>
      <c r="B2558">
        <v>26.690000999999999</v>
      </c>
      <c r="C2558">
        <v>27.26</v>
      </c>
      <c r="D2558">
        <v>26.309999000000001</v>
      </c>
      <c r="E2558">
        <v>27.209999</v>
      </c>
      <c r="F2558">
        <v>27.111698000000001</v>
      </c>
      <c r="G2558">
        <v>6020200</v>
      </c>
      <c r="I2558">
        <f t="shared" si="40"/>
        <v>5.2112599300849465E-4</v>
      </c>
    </row>
    <row r="2559" spans="1:9" x14ac:dyDescent="0.3">
      <c r="A2559" s="5">
        <v>45352</v>
      </c>
      <c r="B2559">
        <v>27.5</v>
      </c>
      <c r="C2559">
        <v>27.82</v>
      </c>
      <c r="D2559">
        <v>26.879999000000002</v>
      </c>
      <c r="E2559">
        <v>27.68</v>
      </c>
      <c r="F2559">
        <v>27.58</v>
      </c>
      <c r="G2559">
        <v>6842600</v>
      </c>
      <c r="I2559">
        <f t="shared" si="40"/>
        <v>7.2714105535172228E-4</v>
      </c>
    </row>
    <row r="2560" spans="1:9" x14ac:dyDescent="0.3">
      <c r="A2560" s="5">
        <v>45355</v>
      </c>
      <c r="B2560">
        <v>27.5</v>
      </c>
      <c r="C2560">
        <v>27.549999</v>
      </c>
      <c r="D2560">
        <v>27.040001</v>
      </c>
      <c r="E2560">
        <v>27.48</v>
      </c>
      <c r="F2560">
        <v>27.48</v>
      </c>
      <c r="G2560">
        <v>3954700</v>
      </c>
      <c r="I2560">
        <f t="shared" si="40"/>
        <v>2.7690219646998399E-4</v>
      </c>
    </row>
    <row r="2561" spans="1:9" x14ac:dyDescent="0.3">
      <c r="A2561" s="5">
        <v>45356</v>
      </c>
      <c r="B2561">
        <v>27.049999</v>
      </c>
      <c r="C2561">
        <v>27.209999</v>
      </c>
      <c r="D2561">
        <v>26.57</v>
      </c>
      <c r="E2561">
        <v>26.91</v>
      </c>
      <c r="F2561">
        <v>26.91</v>
      </c>
      <c r="G2561">
        <v>5704800</v>
      </c>
      <c r="I2561">
        <f t="shared" si="40"/>
        <v>2.9303914688751532E-4</v>
      </c>
    </row>
    <row r="2562" spans="1:9" x14ac:dyDescent="0.3">
      <c r="A2562" s="5">
        <v>45357</v>
      </c>
      <c r="B2562">
        <v>27.67</v>
      </c>
      <c r="C2562">
        <v>28.725000000000001</v>
      </c>
      <c r="D2562">
        <v>26.9</v>
      </c>
      <c r="E2562">
        <v>28.219999000000001</v>
      </c>
      <c r="F2562">
        <v>28.219999000000001</v>
      </c>
      <c r="G2562">
        <v>6335600</v>
      </c>
      <c r="I2562">
        <f t="shared" si="40"/>
        <v>2.0156866750922872E-3</v>
      </c>
    </row>
    <row r="2563" spans="1:9" x14ac:dyDescent="0.3">
      <c r="A2563" s="5">
        <v>45358</v>
      </c>
      <c r="B2563">
        <v>28.860001</v>
      </c>
      <c r="C2563">
        <v>30.1</v>
      </c>
      <c r="D2563">
        <v>28.860001</v>
      </c>
      <c r="E2563">
        <v>29.870000999999998</v>
      </c>
      <c r="F2563">
        <v>29.870000999999998</v>
      </c>
      <c r="G2563">
        <v>7740500</v>
      </c>
      <c r="I2563">
        <f t="shared" si="40"/>
        <v>3.226873261718204E-4</v>
      </c>
    </row>
    <row r="2564" spans="1:9" x14ac:dyDescent="0.3">
      <c r="A2564" s="5">
        <v>45359</v>
      </c>
      <c r="B2564">
        <v>30.379999000000002</v>
      </c>
      <c r="C2564">
        <v>30.639999</v>
      </c>
      <c r="D2564">
        <v>29.27</v>
      </c>
      <c r="E2564">
        <v>29.85</v>
      </c>
      <c r="F2564">
        <v>29.85</v>
      </c>
      <c r="G2564">
        <v>6536400</v>
      </c>
      <c r="I2564">
        <f t="shared" si="40"/>
        <v>9.5295110265508588E-4</v>
      </c>
    </row>
    <row r="2565" spans="1:9" x14ac:dyDescent="0.3">
      <c r="A2565" s="5">
        <v>45362</v>
      </c>
      <c r="B2565">
        <v>29.58</v>
      </c>
      <c r="C2565">
        <v>30.790001</v>
      </c>
      <c r="D2565">
        <v>29.48</v>
      </c>
      <c r="E2565">
        <v>30.49</v>
      </c>
      <c r="F2565">
        <v>30.49</v>
      </c>
      <c r="G2565">
        <v>6270300</v>
      </c>
      <c r="I2565">
        <f t="shared" si="40"/>
        <v>5.0662187930812345E-4</v>
      </c>
    </row>
    <row r="2566" spans="1:9" x14ac:dyDescent="0.3">
      <c r="A2566" s="5">
        <v>45363</v>
      </c>
      <c r="B2566">
        <v>30.6</v>
      </c>
      <c r="C2566">
        <v>30.75</v>
      </c>
      <c r="D2566">
        <v>29.75</v>
      </c>
      <c r="E2566">
        <v>30.15</v>
      </c>
      <c r="F2566">
        <v>30.15</v>
      </c>
      <c r="G2566">
        <v>2264016</v>
      </c>
      <c r="I2566">
        <f t="shared" si="40"/>
        <v>4.72601857967431E-4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8B069-7A48-6D47-BE83-E88DAFB5B95A}">
  <sheetPr codeName="Sheet8"/>
  <dimension ref="A1:I2566"/>
  <sheetViews>
    <sheetView topLeftCell="A2477" workbookViewId="0">
      <selection activeCell="L2478" sqref="L2478"/>
    </sheetView>
  </sheetViews>
  <sheetFormatPr defaultColWidth="8.77734375" defaultRowHeight="14.4" x14ac:dyDescent="0.3"/>
  <cols>
    <col min="1" max="1" width="15.44140625" customWidth="1"/>
    <col min="2" max="6" width="9.44140625" customWidth="1"/>
    <col min="7" max="7" width="10" customWidth="1"/>
    <col min="9" max="9" width="11.77734375" bestFit="1" customWidth="1"/>
  </cols>
  <sheetData>
    <row r="1" spans="1:9" x14ac:dyDescent="0.3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I1" s="3" t="s">
        <v>52</v>
      </c>
    </row>
    <row r="2" spans="1:9" x14ac:dyDescent="0.3">
      <c r="A2" s="5">
        <v>41641</v>
      </c>
      <c r="B2">
        <v>25.780000999999999</v>
      </c>
      <c r="C2">
        <v>25.82</v>
      </c>
      <c r="D2">
        <v>25.469999000000001</v>
      </c>
      <c r="E2">
        <v>25.790001</v>
      </c>
      <c r="F2">
        <v>19.378852999999999</v>
      </c>
      <c r="G2">
        <v>31833300</v>
      </c>
      <c r="I2">
        <f t="shared" ref="I2:I10" si="0">LN(C2/B2)*(LN(C2/B2)-LN(E2/B2))+LN(D2/B2)*(LN(D2/B2)-LN(E2/B2))</f>
        <v>1.5285055447260737E-4</v>
      </c>
    </row>
    <row r="3" spans="1:9" x14ac:dyDescent="0.3">
      <c r="A3" s="5">
        <v>41642</v>
      </c>
      <c r="B3">
        <v>25.860001</v>
      </c>
      <c r="C3">
        <v>25.9</v>
      </c>
      <c r="D3">
        <v>25.6</v>
      </c>
      <c r="E3">
        <v>25.780000999999999</v>
      </c>
      <c r="F3">
        <v>19.371338000000002</v>
      </c>
      <c r="G3">
        <v>27796700</v>
      </c>
      <c r="I3">
        <f t="shared" si="0"/>
        <v>7.7980434964098819E-5</v>
      </c>
    </row>
    <row r="4" spans="1:9" x14ac:dyDescent="0.3">
      <c r="A4" s="5">
        <v>41645</v>
      </c>
      <c r="B4">
        <v>25.77</v>
      </c>
      <c r="C4">
        <v>25.790001</v>
      </c>
      <c r="D4">
        <v>25.450001</v>
      </c>
      <c r="E4">
        <v>25.459999</v>
      </c>
      <c r="F4">
        <v>19.130887999999999</v>
      </c>
      <c r="G4">
        <v>28682300</v>
      </c>
      <c r="I4">
        <f t="shared" si="0"/>
        <v>1.4899202660197832E-5</v>
      </c>
    </row>
    <row r="5" spans="1:9" x14ac:dyDescent="0.3">
      <c r="A5" s="5">
        <v>41646</v>
      </c>
      <c r="B5">
        <v>25.540001</v>
      </c>
      <c r="C5">
        <v>25.73</v>
      </c>
      <c r="D5">
        <v>25.469999000000001</v>
      </c>
      <c r="E5">
        <v>25.59</v>
      </c>
      <c r="F5">
        <v>19.228567000000002</v>
      </c>
      <c r="G5">
        <v>19665100</v>
      </c>
      <c r="I5">
        <f t="shared" si="0"/>
        <v>5.3339164763969394E-5</v>
      </c>
    </row>
    <row r="6" spans="1:9" x14ac:dyDescent="0.3">
      <c r="A6" s="5">
        <v>41647</v>
      </c>
      <c r="B6">
        <v>25.639999</v>
      </c>
      <c r="C6">
        <v>25.709999</v>
      </c>
      <c r="D6">
        <v>25.299999</v>
      </c>
      <c r="E6">
        <v>25.43</v>
      </c>
      <c r="F6">
        <v>19.108340999999999</v>
      </c>
      <c r="G6">
        <v>29680500</v>
      </c>
      <c r="I6">
        <f t="shared" si="0"/>
        <v>9.8272880495380542E-5</v>
      </c>
    </row>
    <row r="7" spans="1:9" x14ac:dyDescent="0.3">
      <c r="A7" s="5">
        <v>41648</v>
      </c>
      <c r="B7">
        <v>25.42</v>
      </c>
      <c r="C7">
        <v>25.549999</v>
      </c>
      <c r="D7">
        <v>25.25</v>
      </c>
      <c r="E7">
        <v>25.309999000000001</v>
      </c>
      <c r="F7">
        <v>19.018169</v>
      </c>
      <c r="G7">
        <v>20878000</v>
      </c>
      <c r="I7">
        <f t="shared" si="0"/>
        <v>6.4067671637511417E-5</v>
      </c>
    </row>
    <row r="8" spans="1:9" x14ac:dyDescent="0.3">
      <c r="A8" s="5">
        <v>41649</v>
      </c>
      <c r="B8">
        <v>25.5</v>
      </c>
      <c r="C8">
        <v>25.85</v>
      </c>
      <c r="D8">
        <v>25.5</v>
      </c>
      <c r="E8">
        <v>25.530000999999999</v>
      </c>
      <c r="F8">
        <v>19.183478999999998</v>
      </c>
      <c r="G8">
        <v>30588800</v>
      </c>
      <c r="I8">
        <f t="shared" si="0"/>
        <v>1.6980655118275481E-4</v>
      </c>
    </row>
    <row r="9" spans="1:9" x14ac:dyDescent="0.3">
      <c r="A9" s="5">
        <v>41652</v>
      </c>
      <c r="B9">
        <v>25.629999000000002</v>
      </c>
      <c r="C9">
        <v>25.99</v>
      </c>
      <c r="D9">
        <v>25.42</v>
      </c>
      <c r="E9">
        <v>25.5</v>
      </c>
      <c r="F9">
        <v>19.160944000000001</v>
      </c>
      <c r="G9">
        <v>40274500</v>
      </c>
      <c r="I9">
        <f t="shared" si="0"/>
        <v>2.9133593224755328E-4</v>
      </c>
    </row>
    <row r="10" spans="1:9" x14ac:dyDescent="0.3">
      <c r="A10" s="5">
        <v>41653</v>
      </c>
      <c r="B10">
        <v>26.01</v>
      </c>
      <c r="C10">
        <v>26.549999</v>
      </c>
      <c r="D10">
        <v>25.9</v>
      </c>
      <c r="E10">
        <v>26.51</v>
      </c>
      <c r="F10">
        <v>19.919867</v>
      </c>
      <c r="G10">
        <v>74142900</v>
      </c>
      <c r="I10">
        <f t="shared" si="0"/>
        <v>1.2964015803955986E-4</v>
      </c>
    </row>
    <row r="11" spans="1:9" x14ac:dyDescent="0.3">
      <c r="A11" s="5">
        <v>41654</v>
      </c>
      <c r="B11">
        <v>26.719999000000001</v>
      </c>
      <c r="C11">
        <v>27.120000999999998</v>
      </c>
      <c r="D11">
        <v>26.610001</v>
      </c>
      <c r="E11">
        <v>26.67</v>
      </c>
      <c r="F11">
        <v>20.040095999999998</v>
      </c>
      <c r="G11">
        <v>58277700</v>
      </c>
      <c r="I11">
        <f>LN(C11/B11)*(LN(C11/B11)-LN(E11/B11))+LN(D11/B11)*(LN(D11/B11)-LN(E11/B11))</f>
        <v>2.5791716324288219E-4</v>
      </c>
    </row>
    <row r="12" spans="1:9" x14ac:dyDescent="0.3">
      <c r="A12" s="5">
        <v>41655</v>
      </c>
      <c r="B12">
        <v>26.639999</v>
      </c>
      <c r="C12">
        <v>26.74</v>
      </c>
      <c r="D12">
        <v>26.33</v>
      </c>
      <c r="E12">
        <v>26.540001</v>
      </c>
      <c r="F12">
        <v>19.942408</v>
      </c>
      <c r="G12">
        <v>48960800</v>
      </c>
      <c r="I12">
        <f t="shared" ref="I12:I75" si="1">LN(C12/B12)*(LN(C12/B12)-LN(E12/B12))+LN(D12/B12)*(LN(D12/B12)-LN(E12/B12))</f>
        <v>1.2111314204175136E-4</v>
      </c>
    </row>
    <row r="13" spans="1:9" x14ac:dyDescent="0.3">
      <c r="A13" s="5">
        <v>41656</v>
      </c>
      <c r="B13">
        <v>25.360001</v>
      </c>
      <c r="C13">
        <v>25.860001</v>
      </c>
      <c r="D13">
        <v>25.25</v>
      </c>
      <c r="E13">
        <v>25.85</v>
      </c>
      <c r="F13">
        <v>19.423939000000001</v>
      </c>
      <c r="G13">
        <v>111758900</v>
      </c>
      <c r="I13">
        <f t="shared" si="1"/>
        <v>1.0963938841403483E-4</v>
      </c>
    </row>
    <row r="14" spans="1:9" x14ac:dyDescent="0.3">
      <c r="A14" s="5">
        <v>41660</v>
      </c>
      <c r="B14">
        <v>25.790001</v>
      </c>
      <c r="C14">
        <v>25.799999</v>
      </c>
      <c r="D14">
        <v>25.27</v>
      </c>
      <c r="E14">
        <v>25.59</v>
      </c>
      <c r="F14">
        <v>19.228567000000002</v>
      </c>
      <c r="G14">
        <v>42286400</v>
      </c>
      <c r="I14">
        <f t="shared" si="1"/>
        <v>2.5948491543465005E-4</v>
      </c>
    </row>
    <row r="15" spans="1:9" x14ac:dyDescent="0.3">
      <c r="A15" s="5">
        <v>41661</v>
      </c>
      <c r="B15">
        <v>25.389999</v>
      </c>
      <c r="C15">
        <v>25.540001</v>
      </c>
      <c r="D15">
        <v>25.15</v>
      </c>
      <c r="E15">
        <v>25.309999000000001</v>
      </c>
      <c r="F15">
        <v>19.018169</v>
      </c>
      <c r="G15">
        <v>48749900</v>
      </c>
      <c r="I15">
        <f t="shared" si="1"/>
        <v>1.1351731146559392E-4</v>
      </c>
    </row>
    <row r="16" spans="1:9" x14ac:dyDescent="0.3">
      <c r="A16" s="5">
        <v>41662</v>
      </c>
      <c r="B16">
        <v>25.17</v>
      </c>
      <c r="C16">
        <v>25.25</v>
      </c>
      <c r="D16">
        <v>24.9</v>
      </c>
      <c r="E16">
        <v>25.129999000000002</v>
      </c>
      <c r="F16">
        <v>18.882921</v>
      </c>
      <c r="G16">
        <v>40241000</v>
      </c>
      <c r="I16">
        <f t="shared" si="1"/>
        <v>1.1428015202673217E-4</v>
      </c>
    </row>
    <row r="17" spans="1:9" x14ac:dyDescent="0.3">
      <c r="A17" s="5">
        <v>41663</v>
      </c>
      <c r="B17">
        <v>24.879999000000002</v>
      </c>
      <c r="C17">
        <v>25.190000999999999</v>
      </c>
      <c r="D17">
        <v>24.790001</v>
      </c>
      <c r="E17">
        <v>24.809999000000001</v>
      </c>
      <c r="F17">
        <v>18.642467</v>
      </c>
      <c r="G17">
        <v>34838700</v>
      </c>
      <c r="I17">
        <f t="shared" si="1"/>
        <v>1.9114689149598351E-4</v>
      </c>
    </row>
    <row r="18" spans="1:9" x14ac:dyDescent="0.3">
      <c r="A18" s="5">
        <v>41666</v>
      </c>
      <c r="B18">
        <v>24.77</v>
      </c>
      <c r="C18">
        <v>24.99</v>
      </c>
      <c r="D18">
        <v>24.66</v>
      </c>
      <c r="E18">
        <v>24.719999000000001</v>
      </c>
      <c r="F18">
        <v>18.574840999999999</v>
      </c>
      <c r="G18">
        <v>32564900</v>
      </c>
      <c r="I18">
        <f t="shared" si="1"/>
        <v>1.0687317481998553E-4</v>
      </c>
    </row>
    <row r="19" spans="1:9" x14ac:dyDescent="0.3">
      <c r="A19" s="5">
        <v>41667</v>
      </c>
      <c r="B19">
        <v>24.709999</v>
      </c>
      <c r="C19">
        <v>25.049999</v>
      </c>
      <c r="D19">
        <v>24.57</v>
      </c>
      <c r="E19">
        <v>24.9</v>
      </c>
      <c r="F19">
        <v>18.710094000000002</v>
      </c>
      <c r="G19">
        <v>32453800</v>
      </c>
      <c r="I19">
        <f t="shared" si="1"/>
        <v>1.5788093228501226E-4</v>
      </c>
    </row>
    <row r="20" spans="1:9" x14ac:dyDescent="0.3">
      <c r="A20" s="5">
        <v>41668</v>
      </c>
      <c r="B20">
        <v>24.75</v>
      </c>
      <c r="C20">
        <v>24.959999</v>
      </c>
      <c r="D20">
        <v>24.629999000000002</v>
      </c>
      <c r="E20">
        <v>24.68</v>
      </c>
      <c r="F20">
        <v>18.544788</v>
      </c>
      <c r="G20">
        <v>27145700</v>
      </c>
      <c r="I20">
        <f t="shared" si="1"/>
        <v>1.0517276112075757E-4</v>
      </c>
    </row>
    <row r="21" spans="1:9" x14ac:dyDescent="0.3">
      <c r="A21" s="5">
        <v>41669</v>
      </c>
      <c r="B21">
        <v>24.75</v>
      </c>
      <c r="C21">
        <v>24.889999</v>
      </c>
      <c r="D21">
        <v>24.540001</v>
      </c>
      <c r="E21">
        <v>24.74</v>
      </c>
      <c r="F21">
        <v>18.589869</v>
      </c>
      <c r="G21">
        <v>24610100</v>
      </c>
      <c r="I21">
        <f t="shared" si="1"/>
        <v>1.0325977593803707E-4</v>
      </c>
    </row>
    <row r="22" spans="1:9" x14ac:dyDescent="0.3">
      <c r="A22" s="5">
        <v>41670</v>
      </c>
      <c r="B22">
        <v>24.450001</v>
      </c>
      <c r="C22">
        <v>24.65</v>
      </c>
      <c r="D22">
        <v>24.4</v>
      </c>
      <c r="E22">
        <v>24.540001</v>
      </c>
      <c r="F22">
        <v>18.439585000000001</v>
      </c>
      <c r="G22">
        <v>28623300</v>
      </c>
      <c r="I22">
        <f t="shared" si="1"/>
        <v>4.8147527030929001E-5</v>
      </c>
    </row>
    <row r="23" spans="1:9" x14ac:dyDescent="0.3">
      <c r="A23" s="5">
        <v>41673</v>
      </c>
      <c r="B23">
        <v>24.5</v>
      </c>
      <c r="C23">
        <v>24.51</v>
      </c>
      <c r="D23">
        <v>23.889999</v>
      </c>
      <c r="E23">
        <v>23.950001</v>
      </c>
      <c r="F23">
        <v>17.996255999999999</v>
      </c>
      <c r="G23">
        <v>52868200</v>
      </c>
      <c r="I23">
        <f t="shared" si="1"/>
        <v>7.2677833369451283E-5</v>
      </c>
    </row>
    <row r="24" spans="1:9" x14ac:dyDescent="0.3">
      <c r="A24" s="5">
        <v>41674</v>
      </c>
      <c r="B24">
        <v>23.99</v>
      </c>
      <c r="C24">
        <v>24.040001</v>
      </c>
      <c r="D24">
        <v>23.58</v>
      </c>
      <c r="E24">
        <v>23.82</v>
      </c>
      <c r="F24">
        <v>17.898568999999998</v>
      </c>
      <c r="G24">
        <v>50816300</v>
      </c>
      <c r="I24">
        <f t="shared" si="1"/>
        <v>1.9370709048439799E-4</v>
      </c>
    </row>
    <row r="25" spans="1:9" x14ac:dyDescent="0.3">
      <c r="A25" s="5">
        <v>41675</v>
      </c>
      <c r="B25">
        <v>23.700001</v>
      </c>
      <c r="C25">
        <v>23.76</v>
      </c>
      <c r="D25">
        <v>23.5</v>
      </c>
      <c r="E25">
        <v>23.52</v>
      </c>
      <c r="F25">
        <v>17.841681000000001</v>
      </c>
      <c r="G25">
        <v>32476200</v>
      </c>
      <c r="I25">
        <f t="shared" si="1"/>
        <v>3.287871524680977E-5</v>
      </c>
    </row>
    <row r="26" spans="1:9" x14ac:dyDescent="0.3">
      <c r="A26" s="5">
        <v>41676</v>
      </c>
      <c r="B26">
        <v>23.6</v>
      </c>
      <c r="C26">
        <v>24.08</v>
      </c>
      <c r="D26">
        <v>23.549999</v>
      </c>
      <c r="E26">
        <v>23.99</v>
      </c>
      <c r="F26">
        <v>18.19821</v>
      </c>
      <c r="G26">
        <v>28008400</v>
      </c>
      <c r="I26">
        <f t="shared" si="1"/>
        <v>1.1465728591004877E-4</v>
      </c>
    </row>
    <row r="27" spans="1:9" x14ac:dyDescent="0.3">
      <c r="A27" s="5">
        <v>41677</v>
      </c>
      <c r="B27">
        <v>24.200001</v>
      </c>
      <c r="C27">
        <v>24.26</v>
      </c>
      <c r="D27">
        <v>23.77</v>
      </c>
      <c r="E27">
        <v>24.209999</v>
      </c>
      <c r="F27">
        <v>18.365093000000002</v>
      </c>
      <c r="G27">
        <v>30808400</v>
      </c>
      <c r="I27">
        <f t="shared" si="1"/>
        <v>3.3394158592624728E-4</v>
      </c>
    </row>
    <row r="28" spans="1:9" x14ac:dyDescent="0.3">
      <c r="A28" s="5">
        <v>41680</v>
      </c>
      <c r="B28">
        <v>24.110001</v>
      </c>
      <c r="C28">
        <v>24.370000999999998</v>
      </c>
      <c r="D28">
        <v>24.059999000000001</v>
      </c>
      <c r="E28">
        <v>24.290001</v>
      </c>
      <c r="F28">
        <v>18.425782999999999</v>
      </c>
      <c r="G28">
        <v>24571300</v>
      </c>
      <c r="I28">
        <f t="shared" si="1"/>
        <v>5.5020917266911635E-5</v>
      </c>
    </row>
    <row r="29" spans="1:9" x14ac:dyDescent="0.3">
      <c r="A29" s="5">
        <v>41681</v>
      </c>
      <c r="B29">
        <v>24.35</v>
      </c>
      <c r="C29">
        <v>24.52</v>
      </c>
      <c r="D29">
        <v>24.33</v>
      </c>
      <c r="E29">
        <v>24.469999000000001</v>
      </c>
      <c r="F29">
        <v>18.562322999999999</v>
      </c>
      <c r="G29">
        <v>17911700</v>
      </c>
      <c r="I29">
        <f t="shared" si="1"/>
        <v>1.8916290220652936E-5</v>
      </c>
    </row>
    <row r="30" spans="1:9" x14ac:dyDescent="0.3">
      <c r="A30" s="5">
        <v>41682</v>
      </c>
      <c r="B30">
        <v>24.51</v>
      </c>
      <c r="C30">
        <v>24.690000999999999</v>
      </c>
      <c r="D30">
        <v>24.370000999999998</v>
      </c>
      <c r="E30">
        <v>24.549999</v>
      </c>
      <c r="F30">
        <v>18.623013</v>
      </c>
      <c r="G30">
        <v>25874100</v>
      </c>
      <c r="I30">
        <f t="shared" si="1"/>
        <v>8.37631072944594E-5</v>
      </c>
    </row>
    <row r="31" spans="1:9" x14ac:dyDescent="0.3">
      <c r="A31" s="5">
        <v>41683</v>
      </c>
      <c r="B31">
        <v>24.43</v>
      </c>
      <c r="C31">
        <v>24.74</v>
      </c>
      <c r="D31">
        <v>24.309999000000001</v>
      </c>
      <c r="E31">
        <v>24.700001</v>
      </c>
      <c r="F31">
        <v>18.736795000000001</v>
      </c>
      <c r="G31">
        <v>22922000</v>
      </c>
      <c r="I31">
        <f t="shared" si="1"/>
        <v>9.8773487406954692E-5</v>
      </c>
    </row>
    <row r="32" spans="1:9" x14ac:dyDescent="0.3">
      <c r="A32" s="5">
        <v>41684</v>
      </c>
      <c r="B32">
        <v>24.58</v>
      </c>
      <c r="C32">
        <v>24.76</v>
      </c>
      <c r="D32">
        <v>24.41</v>
      </c>
      <c r="E32">
        <v>24.76</v>
      </c>
      <c r="F32">
        <v>18.782316000000002</v>
      </c>
      <c r="G32">
        <v>20539700</v>
      </c>
      <c r="I32">
        <f t="shared" si="1"/>
        <v>9.8804878319067824E-5</v>
      </c>
    </row>
    <row r="33" spans="1:9" x14ac:dyDescent="0.3">
      <c r="A33" s="5">
        <v>41688</v>
      </c>
      <c r="B33">
        <v>24.67</v>
      </c>
      <c r="C33">
        <v>24.780000999999999</v>
      </c>
      <c r="D33">
        <v>24.549999</v>
      </c>
      <c r="E33">
        <v>24.76</v>
      </c>
      <c r="F33">
        <v>18.782316000000002</v>
      </c>
      <c r="G33">
        <v>17738100</v>
      </c>
      <c r="I33">
        <f t="shared" si="1"/>
        <v>4.5125398873721188E-5</v>
      </c>
    </row>
    <row r="34" spans="1:9" x14ac:dyDescent="0.3">
      <c r="A34" s="5">
        <v>41689</v>
      </c>
      <c r="B34">
        <v>24.65</v>
      </c>
      <c r="C34">
        <v>24.719999000000001</v>
      </c>
      <c r="D34">
        <v>24.42</v>
      </c>
      <c r="E34">
        <v>24.5</v>
      </c>
      <c r="F34">
        <v>18.585080999999999</v>
      </c>
      <c r="G34">
        <v>25686000</v>
      </c>
      <c r="I34">
        <f t="shared" si="1"/>
        <v>5.6010068193778221E-5</v>
      </c>
    </row>
    <row r="35" spans="1:9" x14ac:dyDescent="0.3">
      <c r="A35" s="5">
        <v>41690</v>
      </c>
      <c r="B35">
        <v>24.540001</v>
      </c>
      <c r="C35">
        <v>24.85</v>
      </c>
      <c r="D35">
        <v>24.5</v>
      </c>
      <c r="E35">
        <v>24.74</v>
      </c>
      <c r="F35">
        <v>18.767139</v>
      </c>
      <c r="G35">
        <v>20193800</v>
      </c>
      <c r="I35">
        <f t="shared" si="1"/>
        <v>7.1594085481575248E-5</v>
      </c>
    </row>
    <row r="36" spans="1:9" x14ac:dyDescent="0.3">
      <c r="A36" s="5">
        <v>41691</v>
      </c>
      <c r="B36">
        <v>24.950001</v>
      </c>
      <c r="C36">
        <v>24.959999</v>
      </c>
      <c r="D36">
        <v>24.35</v>
      </c>
      <c r="E36">
        <v>24.42</v>
      </c>
      <c r="F36">
        <v>18.524394999999998</v>
      </c>
      <c r="G36">
        <v>30579800</v>
      </c>
      <c r="I36">
        <f t="shared" si="1"/>
        <v>7.8639485406765988E-5</v>
      </c>
    </row>
    <row r="37" spans="1:9" x14ac:dyDescent="0.3">
      <c r="A37" s="5">
        <v>41694</v>
      </c>
      <c r="B37">
        <v>24.51</v>
      </c>
      <c r="C37">
        <v>24.879999000000002</v>
      </c>
      <c r="D37">
        <v>24.41</v>
      </c>
      <c r="E37">
        <v>24.629999000000002</v>
      </c>
      <c r="F37">
        <v>18.683699000000001</v>
      </c>
      <c r="G37">
        <v>24145500</v>
      </c>
      <c r="I37">
        <f t="shared" si="1"/>
        <v>1.879959819210426E-4</v>
      </c>
    </row>
    <row r="38" spans="1:9" x14ac:dyDescent="0.3">
      <c r="A38" s="5">
        <v>41695</v>
      </c>
      <c r="B38">
        <v>24.67</v>
      </c>
      <c r="C38">
        <v>24.709999</v>
      </c>
      <c r="D38">
        <v>24.459999</v>
      </c>
      <c r="E38">
        <v>24.620000999999998</v>
      </c>
      <c r="F38">
        <v>18.676110999999999</v>
      </c>
      <c r="G38">
        <v>21539100</v>
      </c>
      <c r="I38">
        <f t="shared" si="1"/>
        <v>6.1650324064946625E-5</v>
      </c>
    </row>
    <row r="39" spans="1:9" x14ac:dyDescent="0.3">
      <c r="A39" s="5">
        <v>41696</v>
      </c>
      <c r="B39">
        <v>24.74</v>
      </c>
      <c r="C39">
        <v>24.98</v>
      </c>
      <c r="D39">
        <v>24.610001</v>
      </c>
      <c r="E39">
        <v>24.799999</v>
      </c>
      <c r="F39">
        <v>18.812656</v>
      </c>
      <c r="G39">
        <v>19820200</v>
      </c>
      <c r="I39">
        <f t="shared" si="1"/>
        <v>1.1033588128214315E-4</v>
      </c>
    </row>
    <row r="40" spans="1:9" x14ac:dyDescent="0.3">
      <c r="A40" s="5">
        <v>41697</v>
      </c>
      <c r="B40">
        <v>24.799999</v>
      </c>
      <c r="C40">
        <v>24.799999</v>
      </c>
      <c r="D40">
        <v>24.51</v>
      </c>
      <c r="E40">
        <v>24.76</v>
      </c>
      <c r="F40">
        <v>18.782316000000002</v>
      </c>
      <c r="G40">
        <v>20863900</v>
      </c>
      <c r="I40">
        <f t="shared" si="1"/>
        <v>1.1936793440362417E-4</v>
      </c>
    </row>
    <row r="41" spans="1:9" x14ac:dyDescent="0.3">
      <c r="A41" s="5">
        <v>41698</v>
      </c>
      <c r="B41">
        <v>24.790001</v>
      </c>
      <c r="C41">
        <v>24.85</v>
      </c>
      <c r="D41">
        <v>24.57</v>
      </c>
      <c r="E41">
        <v>24.76</v>
      </c>
      <c r="F41">
        <v>18.782316000000002</v>
      </c>
      <c r="G41">
        <v>23482700</v>
      </c>
      <c r="I41">
        <f t="shared" si="1"/>
        <v>7.7439351649567119E-5</v>
      </c>
    </row>
    <row r="42" spans="1:9" x14ac:dyDescent="0.3">
      <c r="A42" s="5">
        <v>41701</v>
      </c>
      <c r="B42">
        <v>24.549999</v>
      </c>
      <c r="C42">
        <v>24.59</v>
      </c>
      <c r="D42">
        <v>24.299999</v>
      </c>
      <c r="E42">
        <v>24.5</v>
      </c>
      <c r="F42">
        <v>18.585080999999999</v>
      </c>
      <c r="G42">
        <v>25728500</v>
      </c>
      <c r="I42">
        <f t="shared" si="1"/>
        <v>8.9868074498702699E-5</v>
      </c>
    </row>
    <row r="43" spans="1:9" x14ac:dyDescent="0.3">
      <c r="A43" s="5">
        <v>41702</v>
      </c>
      <c r="B43">
        <v>24.719999000000001</v>
      </c>
      <c r="C43">
        <v>24.780000999999999</v>
      </c>
      <c r="D43">
        <v>24.5</v>
      </c>
      <c r="E43">
        <v>24.610001</v>
      </c>
      <c r="F43">
        <v>18.668533</v>
      </c>
      <c r="G43">
        <v>23661200</v>
      </c>
      <c r="I43">
        <f t="shared" si="1"/>
        <v>5.6736023613811136E-5</v>
      </c>
    </row>
    <row r="44" spans="1:9" x14ac:dyDescent="0.3">
      <c r="A44" s="5">
        <v>41703</v>
      </c>
      <c r="B44">
        <v>24.700001</v>
      </c>
      <c r="C44">
        <v>24.709999</v>
      </c>
      <c r="D44">
        <v>24.4</v>
      </c>
      <c r="E44">
        <v>24.5</v>
      </c>
      <c r="F44">
        <v>18.585080999999999</v>
      </c>
      <c r="G44">
        <v>21036200</v>
      </c>
      <c r="I44">
        <f t="shared" si="1"/>
        <v>5.3434260197313325E-5</v>
      </c>
    </row>
    <row r="45" spans="1:9" x14ac:dyDescent="0.3">
      <c r="A45" s="5">
        <v>41704</v>
      </c>
      <c r="B45">
        <v>24.57</v>
      </c>
      <c r="C45">
        <v>24.65</v>
      </c>
      <c r="D45">
        <v>24.379999000000002</v>
      </c>
      <c r="E45">
        <v>24.629999000000002</v>
      </c>
      <c r="F45">
        <v>18.683699000000001</v>
      </c>
      <c r="G45">
        <v>22371700</v>
      </c>
      <c r="I45">
        <f t="shared" si="1"/>
        <v>8.1838567528434117E-5</v>
      </c>
    </row>
    <row r="46" spans="1:9" x14ac:dyDescent="0.3">
      <c r="A46" s="5">
        <v>41705</v>
      </c>
      <c r="B46">
        <v>24.700001</v>
      </c>
      <c r="C46">
        <v>24.85</v>
      </c>
      <c r="D46">
        <v>24.57</v>
      </c>
      <c r="E46">
        <v>24.639999</v>
      </c>
      <c r="F46">
        <v>18.691284</v>
      </c>
      <c r="G46">
        <v>25373400</v>
      </c>
      <c r="I46">
        <f t="shared" si="1"/>
        <v>6.639505731771766E-5</v>
      </c>
    </row>
    <row r="47" spans="1:9" x14ac:dyDescent="0.3">
      <c r="A47" s="5">
        <v>41708</v>
      </c>
      <c r="B47">
        <v>24.610001</v>
      </c>
      <c r="C47">
        <v>24.889999</v>
      </c>
      <c r="D47">
        <v>24.58</v>
      </c>
      <c r="E47">
        <v>24.84</v>
      </c>
      <c r="F47">
        <v>18.842998999999999</v>
      </c>
      <c r="G47">
        <v>24908100</v>
      </c>
      <c r="I47">
        <f t="shared" si="1"/>
        <v>3.558367268537366E-5</v>
      </c>
    </row>
    <row r="48" spans="1:9" x14ac:dyDescent="0.3">
      <c r="A48" s="5">
        <v>41709</v>
      </c>
      <c r="B48">
        <v>24.780000999999999</v>
      </c>
      <c r="C48">
        <v>24.85</v>
      </c>
      <c r="D48">
        <v>24.610001</v>
      </c>
      <c r="E48">
        <v>24.73</v>
      </c>
      <c r="F48">
        <v>18.759551999999999</v>
      </c>
      <c r="G48">
        <v>26656800</v>
      </c>
      <c r="I48">
        <f t="shared" si="1"/>
        <v>4.7139786015430969E-5</v>
      </c>
    </row>
    <row r="49" spans="1:9" x14ac:dyDescent="0.3">
      <c r="A49" s="5">
        <v>41710</v>
      </c>
      <c r="B49">
        <v>24.65</v>
      </c>
      <c r="C49">
        <v>24.879999000000002</v>
      </c>
      <c r="D49">
        <v>24.610001</v>
      </c>
      <c r="E49">
        <v>24.76</v>
      </c>
      <c r="F49">
        <v>18.782316000000002</v>
      </c>
      <c r="G49">
        <v>21244800</v>
      </c>
      <c r="I49">
        <f t="shared" si="1"/>
        <v>5.4770460300628606E-5</v>
      </c>
    </row>
    <row r="50" spans="1:9" x14ac:dyDescent="0.3">
      <c r="A50" s="5">
        <v>41711</v>
      </c>
      <c r="B50">
        <v>24.799999</v>
      </c>
      <c r="C50">
        <v>25</v>
      </c>
      <c r="D50">
        <v>24.43</v>
      </c>
      <c r="E50">
        <v>24.57</v>
      </c>
      <c r="F50">
        <v>18.638182</v>
      </c>
      <c r="G50">
        <v>26243300</v>
      </c>
      <c r="I50">
        <f t="shared" si="1"/>
        <v>2.2525179346993701E-4</v>
      </c>
    </row>
    <row r="51" spans="1:9" x14ac:dyDescent="0.3">
      <c r="A51" s="5">
        <v>41712</v>
      </c>
      <c r="B51">
        <v>24.48</v>
      </c>
      <c r="C51">
        <v>24.65</v>
      </c>
      <c r="D51">
        <v>24.4</v>
      </c>
      <c r="E51">
        <v>24.5</v>
      </c>
      <c r="F51">
        <v>18.585080999999999</v>
      </c>
      <c r="G51">
        <v>21807200</v>
      </c>
      <c r="I51">
        <f t="shared" si="1"/>
        <v>5.5628733342604527E-5</v>
      </c>
    </row>
    <row r="52" spans="1:9" x14ac:dyDescent="0.3">
      <c r="A52" s="5">
        <v>41715</v>
      </c>
      <c r="B52">
        <v>24.639999</v>
      </c>
      <c r="C52">
        <v>24.82</v>
      </c>
      <c r="D52">
        <v>24.49</v>
      </c>
      <c r="E52">
        <v>24.700001</v>
      </c>
      <c r="F52">
        <v>18.736795000000001</v>
      </c>
      <c r="G52">
        <v>18525800</v>
      </c>
      <c r="I52">
        <f t="shared" si="1"/>
        <v>8.7413589169937634E-5</v>
      </c>
    </row>
    <row r="53" spans="1:9" x14ac:dyDescent="0.3">
      <c r="A53" s="5">
        <v>41716</v>
      </c>
      <c r="B53">
        <v>24.68</v>
      </c>
      <c r="C53">
        <v>24.9</v>
      </c>
      <c r="D53">
        <v>24.549999</v>
      </c>
      <c r="E53">
        <v>24.82</v>
      </c>
      <c r="F53">
        <v>18.827824</v>
      </c>
      <c r="G53">
        <v>26344000</v>
      </c>
      <c r="I53">
        <f t="shared" si="1"/>
        <v>8.6326304123415687E-5</v>
      </c>
    </row>
    <row r="54" spans="1:9" x14ac:dyDescent="0.3">
      <c r="A54" s="5">
        <v>41717</v>
      </c>
      <c r="B54">
        <v>24.85</v>
      </c>
      <c r="C54">
        <v>25.25</v>
      </c>
      <c r="D54">
        <v>24.77</v>
      </c>
      <c r="E54">
        <v>25.02</v>
      </c>
      <c r="F54">
        <v>18.979541999999999</v>
      </c>
      <c r="G54">
        <v>34229400</v>
      </c>
      <c r="I54">
        <f t="shared" si="1"/>
        <v>1.7850264257100138E-4</v>
      </c>
    </row>
    <row r="55" spans="1:9" x14ac:dyDescent="0.3">
      <c r="A55" s="5">
        <v>41718</v>
      </c>
      <c r="B55">
        <v>25</v>
      </c>
      <c r="C55">
        <v>25.59</v>
      </c>
      <c r="D55">
        <v>24.940000999999999</v>
      </c>
      <c r="E55">
        <v>25.43</v>
      </c>
      <c r="F55">
        <v>19.290562000000001</v>
      </c>
      <c r="G55">
        <v>37009100</v>
      </c>
      <c r="I55">
        <f t="shared" si="1"/>
        <v>1.9305240881102202E-4</v>
      </c>
    </row>
    <row r="56" spans="1:9" x14ac:dyDescent="0.3">
      <c r="A56" s="5">
        <v>41719</v>
      </c>
      <c r="B56">
        <v>25.610001</v>
      </c>
      <c r="C56">
        <v>25.68</v>
      </c>
      <c r="D56">
        <v>25.16</v>
      </c>
      <c r="E56">
        <v>25.17</v>
      </c>
      <c r="F56">
        <v>19.093328</v>
      </c>
      <c r="G56">
        <v>56861900</v>
      </c>
      <c r="I56">
        <f t="shared" si="1"/>
        <v>6.1798171301452698E-5</v>
      </c>
    </row>
    <row r="57" spans="1:9" x14ac:dyDescent="0.3">
      <c r="A57" s="5">
        <v>41722</v>
      </c>
      <c r="B57">
        <v>25.209999</v>
      </c>
      <c r="C57">
        <v>25.379999000000002</v>
      </c>
      <c r="D57">
        <v>24.92</v>
      </c>
      <c r="E57">
        <v>25.120000999999998</v>
      </c>
      <c r="F57">
        <v>19.055396999999999</v>
      </c>
      <c r="G57">
        <v>36950600</v>
      </c>
      <c r="I57">
        <f t="shared" si="1"/>
        <v>1.6169057163033912E-4</v>
      </c>
    </row>
    <row r="58" spans="1:9" x14ac:dyDescent="0.3">
      <c r="A58" s="5">
        <v>41723</v>
      </c>
      <c r="B58">
        <v>25.190000999999999</v>
      </c>
      <c r="C58">
        <v>25.67</v>
      </c>
      <c r="D58">
        <v>25.17</v>
      </c>
      <c r="E58">
        <v>25.459999</v>
      </c>
      <c r="F58">
        <v>19.313310999999999</v>
      </c>
      <c r="G58">
        <v>32317400</v>
      </c>
      <c r="I58">
        <f t="shared" si="1"/>
        <v>1.6415421609921029E-4</v>
      </c>
    </row>
    <row r="59" spans="1:9" x14ac:dyDescent="0.3">
      <c r="A59" s="5">
        <v>41724</v>
      </c>
      <c r="B59">
        <v>25.59</v>
      </c>
      <c r="C59">
        <v>25.74</v>
      </c>
      <c r="D59">
        <v>25.32</v>
      </c>
      <c r="E59">
        <v>25.379999000000002</v>
      </c>
      <c r="F59">
        <v>19.252628000000001</v>
      </c>
      <c r="G59">
        <v>26442800</v>
      </c>
      <c r="I59">
        <f t="shared" si="1"/>
        <v>1.0742426930607754E-4</v>
      </c>
    </row>
    <row r="60" spans="1:9" x14ac:dyDescent="0.3">
      <c r="A60" s="5">
        <v>41725</v>
      </c>
      <c r="B60">
        <v>25.360001</v>
      </c>
      <c r="C60">
        <v>25.75</v>
      </c>
      <c r="D60">
        <v>25.290001</v>
      </c>
      <c r="E60">
        <v>25.309999000000001</v>
      </c>
      <c r="F60">
        <v>19.199532000000001</v>
      </c>
      <c r="G60">
        <v>27201100</v>
      </c>
      <c r="I60">
        <f t="shared" si="1"/>
        <v>2.6521745173056045E-4</v>
      </c>
    </row>
    <row r="61" spans="1:9" x14ac:dyDescent="0.3">
      <c r="A61" s="5">
        <v>41726</v>
      </c>
      <c r="B61">
        <v>25.41</v>
      </c>
      <c r="C61">
        <v>25.809999000000001</v>
      </c>
      <c r="D61">
        <v>25.32</v>
      </c>
      <c r="E61">
        <v>25.620000999999998</v>
      </c>
      <c r="F61">
        <v>19.43469</v>
      </c>
      <c r="G61">
        <v>22884500</v>
      </c>
      <c r="I61">
        <f t="shared" si="1"/>
        <v>1.5719779236926179E-4</v>
      </c>
    </row>
    <row r="62" spans="1:9" x14ac:dyDescent="0.3">
      <c r="A62" s="5">
        <v>41729</v>
      </c>
      <c r="B62">
        <v>25.65</v>
      </c>
      <c r="C62">
        <v>26.059999000000001</v>
      </c>
      <c r="D62">
        <v>25.620000999999998</v>
      </c>
      <c r="E62">
        <v>25.809999000000001</v>
      </c>
      <c r="F62">
        <v>19.578817000000001</v>
      </c>
      <c r="G62">
        <v>29336300</v>
      </c>
      <c r="I62">
        <f t="shared" si="1"/>
        <v>1.6151019976872084E-4</v>
      </c>
    </row>
    <row r="63" spans="1:9" x14ac:dyDescent="0.3">
      <c r="A63" s="5">
        <v>41730</v>
      </c>
      <c r="B63">
        <v>25.799999</v>
      </c>
      <c r="C63">
        <v>26</v>
      </c>
      <c r="D63">
        <v>25.639999</v>
      </c>
      <c r="E63">
        <v>25.99</v>
      </c>
      <c r="F63">
        <v>19.715357000000001</v>
      </c>
      <c r="G63">
        <v>23778700</v>
      </c>
      <c r="I63">
        <f t="shared" si="1"/>
        <v>8.7314615475871004E-5</v>
      </c>
    </row>
    <row r="64" spans="1:9" x14ac:dyDescent="0.3">
      <c r="A64" s="5">
        <v>41731</v>
      </c>
      <c r="B64">
        <v>25.959999</v>
      </c>
      <c r="C64">
        <v>26.049999</v>
      </c>
      <c r="D64">
        <v>25.639999</v>
      </c>
      <c r="E64">
        <v>25.889999</v>
      </c>
      <c r="F64">
        <v>19.639502</v>
      </c>
      <c r="G64">
        <v>22464700</v>
      </c>
      <c r="I64">
        <f t="shared" si="1"/>
        <v>1.4167321720016685E-4</v>
      </c>
    </row>
    <row r="65" spans="1:9" x14ac:dyDescent="0.3">
      <c r="A65" s="5">
        <v>41732</v>
      </c>
      <c r="B65">
        <v>26.15</v>
      </c>
      <c r="C65">
        <v>26.459999</v>
      </c>
      <c r="D65">
        <v>26.139999</v>
      </c>
      <c r="E65">
        <v>26.41</v>
      </c>
      <c r="F65">
        <v>20.033961999999999</v>
      </c>
      <c r="G65">
        <v>38581300</v>
      </c>
      <c r="I65">
        <f t="shared" si="1"/>
        <v>2.6220756453064318E-5</v>
      </c>
    </row>
    <row r="66" spans="1:9" x14ac:dyDescent="0.3">
      <c r="A66" s="5">
        <v>41733</v>
      </c>
      <c r="B66">
        <v>26.49</v>
      </c>
      <c r="C66">
        <v>26.73</v>
      </c>
      <c r="D66">
        <v>26.110001</v>
      </c>
      <c r="E66">
        <v>26.16</v>
      </c>
      <c r="F66">
        <v>19.844315999999999</v>
      </c>
      <c r="G66">
        <v>47918000</v>
      </c>
      <c r="I66">
        <f t="shared" si="1"/>
        <v>2.2205170451970716E-4</v>
      </c>
    </row>
    <row r="67" spans="1:9" x14ac:dyDescent="0.3">
      <c r="A67" s="5">
        <v>41736</v>
      </c>
      <c r="B67">
        <v>26.299999</v>
      </c>
      <c r="C67">
        <v>26.74</v>
      </c>
      <c r="D67">
        <v>26.200001</v>
      </c>
      <c r="E67">
        <v>26.49</v>
      </c>
      <c r="F67">
        <v>20.094645</v>
      </c>
      <c r="G67">
        <v>49813500</v>
      </c>
      <c r="I67">
        <f t="shared" si="1"/>
        <v>1.9778390941534884E-4</v>
      </c>
    </row>
    <row r="68" spans="1:9" x14ac:dyDescent="0.3">
      <c r="A68" s="5">
        <v>41737</v>
      </c>
      <c r="B68">
        <v>26.360001</v>
      </c>
      <c r="C68">
        <v>26.98</v>
      </c>
      <c r="D68">
        <v>26.35</v>
      </c>
      <c r="E68">
        <v>26.91</v>
      </c>
      <c r="F68">
        <v>20.413250000000001</v>
      </c>
      <c r="G68">
        <v>56699500</v>
      </c>
      <c r="I68">
        <f t="shared" si="1"/>
        <v>6.8376113495635549E-5</v>
      </c>
    </row>
    <row r="69" spans="1:9" x14ac:dyDescent="0.3">
      <c r="A69" s="5">
        <v>41738</v>
      </c>
      <c r="B69">
        <v>26.93</v>
      </c>
      <c r="C69">
        <v>27.02</v>
      </c>
      <c r="D69">
        <v>26.73</v>
      </c>
      <c r="E69">
        <v>26.98</v>
      </c>
      <c r="F69">
        <v>20.466349000000001</v>
      </c>
      <c r="G69">
        <v>34481800</v>
      </c>
      <c r="I69">
        <f t="shared" si="1"/>
        <v>7.4338036339283517E-5</v>
      </c>
    </row>
    <row r="70" spans="1:9" x14ac:dyDescent="0.3">
      <c r="A70" s="5">
        <v>41739</v>
      </c>
      <c r="B70">
        <v>27.01</v>
      </c>
      <c r="C70">
        <v>27.09</v>
      </c>
      <c r="D70">
        <v>26.360001</v>
      </c>
      <c r="E70">
        <v>26.43</v>
      </c>
      <c r="F70">
        <v>20.049133000000001</v>
      </c>
      <c r="G70">
        <v>40478200</v>
      </c>
      <c r="I70">
        <f t="shared" si="1"/>
        <v>1.37546955002193E-4</v>
      </c>
    </row>
    <row r="71" spans="1:9" x14ac:dyDescent="0.3">
      <c r="A71" s="5">
        <v>41740</v>
      </c>
      <c r="B71">
        <v>26.27</v>
      </c>
      <c r="C71">
        <v>26.59</v>
      </c>
      <c r="D71">
        <v>26.17</v>
      </c>
      <c r="E71">
        <v>26.18</v>
      </c>
      <c r="F71">
        <v>19.859490999999998</v>
      </c>
      <c r="G71">
        <v>36121100</v>
      </c>
      <c r="I71">
        <f t="shared" si="1"/>
        <v>1.8960247821247662E-4</v>
      </c>
    </row>
    <row r="72" spans="1:9" x14ac:dyDescent="0.3">
      <c r="A72" s="5">
        <v>41743</v>
      </c>
      <c r="B72">
        <v>26.309999000000001</v>
      </c>
      <c r="C72">
        <v>26.65</v>
      </c>
      <c r="D72">
        <v>26.139999</v>
      </c>
      <c r="E72">
        <v>26.559999000000001</v>
      </c>
      <c r="F72">
        <v>20.147746999999999</v>
      </c>
      <c r="G72">
        <v>26957900</v>
      </c>
      <c r="I72">
        <f t="shared" si="1"/>
        <v>1.4676305363143786E-4</v>
      </c>
    </row>
    <row r="73" spans="1:9" x14ac:dyDescent="0.3">
      <c r="A73" s="5">
        <v>41744</v>
      </c>
      <c r="B73">
        <v>26.51</v>
      </c>
      <c r="C73">
        <v>26.83</v>
      </c>
      <c r="D73">
        <v>26.360001</v>
      </c>
      <c r="E73">
        <v>26.77</v>
      </c>
      <c r="F73">
        <v>20.307053</v>
      </c>
      <c r="G73">
        <v>45074400</v>
      </c>
      <c r="I73">
        <f t="shared" si="1"/>
        <v>1.1443999661992071E-4</v>
      </c>
    </row>
    <row r="74" spans="1:9" x14ac:dyDescent="0.3">
      <c r="A74" s="5">
        <v>41745</v>
      </c>
      <c r="B74">
        <v>26.98</v>
      </c>
      <c r="C74">
        <v>27.24</v>
      </c>
      <c r="D74">
        <v>26.6</v>
      </c>
      <c r="E74">
        <v>26.93</v>
      </c>
      <c r="F74">
        <v>20.428417</v>
      </c>
      <c r="G74">
        <v>59033600</v>
      </c>
      <c r="I74">
        <f t="shared" si="1"/>
        <v>2.8466244241169894E-4</v>
      </c>
    </row>
    <row r="75" spans="1:9" x14ac:dyDescent="0.3">
      <c r="A75" s="5">
        <v>41746</v>
      </c>
      <c r="B75">
        <v>26.879999000000002</v>
      </c>
      <c r="C75">
        <v>27.16</v>
      </c>
      <c r="D75">
        <v>26.790001</v>
      </c>
      <c r="E75">
        <v>27.040001</v>
      </c>
      <c r="F75">
        <v>20.511870999999999</v>
      </c>
      <c r="G75">
        <v>38108500</v>
      </c>
      <c r="I75">
        <f t="shared" si="1"/>
        <v>7.7038339128040879E-5</v>
      </c>
    </row>
    <row r="76" spans="1:9" x14ac:dyDescent="0.3">
      <c r="A76" s="5">
        <v>41750</v>
      </c>
      <c r="B76">
        <v>27.049999</v>
      </c>
      <c r="C76">
        <v>27.049999</v>
      </c>
      <c r="D76">
        <v>26.73</v>
      </c>
      <c r="E76">
        <v>26.950001</v>
      </c>
      <c r="F76">
        <v>20.44359</v>
      </c>
      <c r="G76">
        <v>20398600</v>
      </c>
      <c r="I76">
        <f t="shared" ref="I76:I139" si="2">LN(C76/B76)*(LN(C76/B76)-LN(E76/B76))+LN(D76/B76)*(LN(D76/B76)-LN(E76/B76))</f>
        <v>9.7545562907191741E-5</v>
      </c>
    </row>
    <row r="77" spans="1:9" x14ac:dyDescent="0.3">
      <c r="A77" s="5">
        <v>41751</v>
      </c>
      <c r="B77">
        <v>26.91</v>
      </c>
      <c r="C77">
        <v>26.98</v>
      </c>
      <c r="D77">
        <v>26.66</v>
      </c>
      <c r="E77">
        <v>26.84</v>
      </c>
      <c r="F77">
        <v>20.360147000000001</v>
      </c>
      <c r="G77">
        <v>29601600</v>
      </c>
      <c r="I77">
        <f t="shared" si="2"/>
        <v>7.6321708667427302E-5</v>
      </c>
    </row>
    <row r="78" spans="1:9" x14ac:dyDescent="0.3">
      <c r="A78" s="5">
        <v>41752</v>
      </c>
      <c r="B78">
        <v>26.799999</v>
      </c>
      <c r="C78">
        <v>26.969999000000001</v>
      </c>
      <c r="D78">
        <v>26.719999000000001</v>
      </c>
      <c r="E78">
        <v>26.75</v>
      </c>
      <c r="F78">
        <v>20.291878000000001</v>
      </c>
      <c r="G78">
        <v>25574300</v>
      </c>
      <c r="I78">
        <f t="shared" si="2"/>
        <v>5.514612672832658E-5</v>
      </c>
    </row>
    <row r="79" spans="1:9" x14ac:dyDescent="0.3">
      <c r="A79" s="5">
        <v>41753</v>
      </c>
      <c r="B79">
        <v>26.809999000000001</v>
      </c>
      <c r="C79">
        <v>26.959999</v>
      </c>
      <c r="D79">
        <v>26.639999</v>
      </c>
      <c r="E79">
        <v>26.75</v>
      </c>
      <c r="F79">
        <v>20.291878000000001</v>
      </c>
      <c r="G79">
        <v>25432800</v>
      </c>
      <c r="I79">
        <f t="shared" si="2"/>
        <v>6.9841131490813556E-5</v>
      </c>
    </row>
    <row r="80" spans="1:9" x14ac:dyDescent="0.3">
      <c r="A80" s="5">
        <v>41754</v>
      </c>
      <c r="B80">
        <v>26.65</v>
      </c>
      <c r="C80">
        <v>26.719999000000001</v>
      </c>
      <c r="D80">
        <v>26.190000999999999</v>
      </c>
      <c r="E80">
        <v>26.26</v>
      </c>
      <c r="F80">
        <v>19.920176000000001</v>
      </c>
      <c r="G80">
        <v>33614400</v>
      </c>
      <c r="I80">
        <f t="shared" si="2"/>
        <v>9.2026513027895247E-5</v>
      </c>
    </row>
    <row r="81" spans="1:9" x14ac:dyDescent="0.3">
      <c r="A81" s="5">
        <v>41757</v>
      </c>
      <c r="B81">
        <v>26.17</v>
      </c>
      <c r="C81">
        <v>26.389999</v>
      </c>
      <c r="D81">
        <v>26.01</v>
      </c>
      <c r="E81">
        <v>26.33</v>
      </c>
      <c r="F81">
        <v>19.973275999999998</v>
      </c>
      <c r="G81">
        <v>33472800</v>
      </c>
      <c r="I81">
        <f t="shared" si="2"/>
        <v>9.404369852074108E-5</v>
      </c>
    </row>
    <row r="82" spans="1:9" x14ac:dyDescent="0.3">
      <c r="A82" s="5">
        <v>41758</v>
      </c>
      <c r="B82">
        <v>26.360001</v>
      </c>
      <c r="C82">
        <v>26.66</v>
      </c>
      <c r="D82">
        <v>26.35</v>
      </c>
      <c r="E82">
        <v>26.48</v>
      </c>
      <c r="F82">
        <v>20.087060999999999</v>
      </c>
      <c r="G82">
        <v>22146000</v>
      </c>
      <c r="I82">
        <f t="shared" si="2"/>
        <v>7.8532589003379069E-5</v>
      </c>
    </row>
    <row r="83" spans="1:9" x14ac:dyDescent="0.3">
      <c r="A83" s="5">
        <v>41759</v>
      </c>
      <c r="B83">
        <v>26.32</v>
      </c>
      <c r="C83">
        <v>26.700001</v>
      </c>
      <c r="D83">
        <v>26.219999000000001</v>
      </c>
      <c r="E83">
        <v>26.690000999999999</v>
      </c>
      <c r="F83">
        <v>20.246365000000001</v>
      </c>
      <c r="G83">
        <v>25863900</v>
      </c>
      <c r="I83">
        <f t="shared" si="2"/>
        <v>7.3001097803554509E-5</v>
      </c>
    </row>
    <row r="84" spans="1:9" x14ac:dyDescent="0.3">
      <c r="A84" s="5">
        <v>41760</v>
      </c>
      <c r="B84">
        <v>26.51</v>
      </c>
      <c r="C84">
        <v>26.67</v>
      </c>
      <c r="D84">
        <v>26.389999</v>
      </c>
      <c r="E84">
        <v>26.450001</v>
      </c>
      <c r="F84">
        <v>20.064305999999998</v>
      </c>
      <c r="G84">
        <v>19755200</v>
      </c>
      <c r="I84">
        <f t="shared" si="2"/>
        <v>6.0145995185142736E-5</v>
      </c>
    </row>
    <row r="85" spans="1:9" x14ac:dyDescent="0.3">
      <c r="A85" s="5">
        <v>41761</v>
      </c>
      <c r="B85">
        <v>26.559999000000001</v>
      </c>
      <c r="C85">
        <v>26.639999</v>
      </c>
      <c r="D85">
        <v>26.4</v>
      </c>
      <c r="E85">
        <v>26.41</v>
      </c>
      <c r="F85">
        <v>20.033961999999999</v>
      </c>
      <c r="G85">
        <v>24235200</v>
      </c>
      <c r="I85">
        <f t="shared" si="2"/>
        <v>2.8366770068062217E-5</v>
      </c>
    </row>
    <row r="86" spans="1:9" x14ac:dyDescent="0.3">
      <c r="A86" s="5">
        <v>41764</v>
      </c>
      <c r="B86">
        <v>26.16</v>
      </c>
      <c r="C86">
        <v>26.26</v>
      </c>
      <c r="D86">
        <v>25.99</v>
      </c>
      <c r="E86">
        <v>26.17</v>
      </c>
      <c r="F86">
        <v>20.022483999999999</v>
      </c>
      <c r="G86">
        <v>20738900</v>
      </c>
      <c r="I86">
        <f t="shared" si="2"/>
        <v>5.8096607055726211E-5</v>
      </c>
    </row>
    <row r="87" spans="1:9" x14ac:dyDescent="0.3">
      <c r="A87" s="5">
        <v>41765</v>
      </c>
      <c r="B87">
        <v>26.16</v>
      </c>
      <c r="C87">
        <v>26.379999000000002</v>
      </c>
      <c r="D87">
        <v>26</v>
      </c>
      <c r="E87">
        <v>26.200001</v>
      </c>
      <c r="F87">
        <v>20.045438999999998</v>
      </c>
      <c r="G87">
        <v>21818000</v>
      </c>
      <c r="I87">
        <f t="shared" si="2"/>
        <v>1.043497956121809E-4</v>
      </c>
    </row>
    <row r="88" spans="1:9" x14ac:dyDescent="0.3">
      <c r="A88" s="5">
        <v>41766</v>
      </c>
      <c r="B88">
        <v>26.26</v>
      </c>
      <c r="C88">
        <v>26.450001</v>
      </c>
      <c r="D88">
        <v>26.219999000000001</v>
      </c>
      <c r="E88">
        <v>26.370000999999998</v>
      </c>
      <c r="F88">
        <v>20.175501000000001</v>
      </c>
      <c r="G88">
        <v>24692800</v>
      </c>
      <c r="I88">
        <f t="shared" si="2"/>
        <v>3.0534442933196593E-5</v>
      </c>
    </row>
    <row r="89" spans="1:9" x14ac:dyDescent="0.3">
      <c r="A89" s="5">
        <v>41767</v>
      </c>
      <c r="B89">
        <v>26.32</v>
      </c>
      <c r="C89">
        <v>26.530000999999999</v>
      </c>
      <c r="D89">
        <v>26.219999000000001</v>
      </c>
      <c r="E89">
        <v>26.34</v>
      </c>
      <c r="F89">
        <v>20.152550000000002</v>
      </c>
      <c r="G89">
        <v>24166900</v>
      </c>
      <c r="I89">
        <f t="shared" si="2"/>
        <v>7.4502065654515515E-5</v>
      </c>
    </row>
    <row r="90" spans="1:9" x14ac:dyDescent="0.3">
      <c r="A90" s="5">
        <v>41768</v>
      </c>
      <c r="B90">
        <v>26.370000999999998</v>
      </c>
      <c r="C90">
        <v>26.41</v>
      </c>
      <c r="D90">
        <v>26.219999000000001</v>
      </c>
      <c r="E90">
        <v>26.299999</v>
      </c>
      <c r="F90">
        <v>20.121943999999999</v>
      </c>
      <c r="G90">
        <v>20324400</v>
      </c>
      <c r="I90">
        <f t="shared" si="2"/>
        <v>2.3705052181369012E-5</v>
      </c>
    </row>
    <row r="91" spans="1:9" x14ac:dyDescent="0.3">
      <c r="A91" s="5">
        <v>41771</v>
      </c>
      <c r="B91">
        <v>26.41</v>
      </c>
      <c r="C91">
        <v>26.540001</v>
      </c>
      <c r="D91">
        <v>26.299999</v>
      </c>
      <c r="E91">
        <v>26.370000999999998</v>
      </c>
      <c r="F91">
        <v>20.175501000000001</v>
      </c>
      <c r="G91">
        <v>20607800</v>
      </c>
      <c r="I91">
        <f t="shared" si="2"/>
        <v>4.2648585127893853E-5</v>
      </c>
    </row>
    <row r="92" spans="1:9" x14ac:dyDescent="0.3">
      <c r="A92" s="5">
        <v>41772</v>
      </c>
      <c r="B92">
        <v>26.49</v>
      </c>
      <c r="C92">
        <v>26.540001</v>
      </c>
      <c r="D92">
        <v>26.33</v>
      </c>
      <c r="E92">
        <v>26.450001</v>
      </c>
      <c r="F92">
        <v>20.236713000000002</v>
      </c>
      <c r="G92">
        <v>20525000</v>
      </c>
      <c r="I92">
        <f t="shared" si="2"/>
        <v>3.3954267761310703E-5</v>
      </c>
    </row>
    <row r="93" spans="1:9" x14ac:dyDescent="0.3">
      <c r="A93" s="5">
        <v>41773</v>
      </c>
      <c r="B93">
        <v>26.49</v>
      </c>
      <c r="C93">
        <v>26.52</v>
      </c>
      <c r="D93">
        <v>26.33</v>
      </c>
      <c r="E93">
        <v>26.33</v>
      </c>
      <c r="F93">
        <v>20.144894000000001</v>
      </c>
      <c r="G93">
        <v>17811900</v>
      </c>
      <c r="I93">
        <f t="shared" si="2"/>
        <v>8.1383051240119E-6</v>
      </c>
    </row>
    <row r="94" spans="1:9" x14ac:dyDescent="0.3">
      <c r="A94" s="5">
        <v>41774</v>
      </c>
      <c r="B94">
        <v>26.33</v>
      </c>
      <c r="C94">
        <v>26.5</v>
      </c>
      <c r="D94">
        <v>26.01</v>
      </c>
      <c r="E94">
        <v>26.01</v>
      </c>
      <c r="F94">
        <v>19.900074</v>
      </c>
      <c r="G94">
        <v>31752700</v>
      </c>
      <c r="I94">
        <f t="shared" si="2"/>
        <v>1.2011478522141788E-4</v>
      </c>
    </row>
    <row r="95" spans="1:9" x14ac:dyDescent="0.3">
      <c r="A95" s="5">
        <v>41775</v>
      </c>
      <c r="B95">
        <v>26.049999</v>
      </c>
      <c r="C95">
        <v>26.07</v>
      </c>
      <c r="D95">
        <v>25.74</v>
      </c>
      <c r="E95">
        <v>25.82</v>
      </c>
      <c r="F95">
        <v>19.754702000000002</v>
      </c>
      <c r="G95">
        <v>30017200</v>
      </c>
      <c r="I95">
        <f t="shared" si="2"/>
        <v>4.4545335223478772E-5</v>
      </c>
    </row>
    <row r="96" spans="1:9" x14ac:dyDescent="0.3">
      <c r="A96" s="5">
        <v>41778</v>
      </c>
      <c r="B96">
        <v>25.75</v>
      </c>
      <c r="C96">
        <v>26.09</v>
      </c>
      <c r="D96">
        <v>25.75</v>
      </c>
      <c r="E96">
        <v>26.040001</v>
      </c>
      <c r="F96">
        <v>19.923024999999999</v>
      </c>
      <c r="G96">
        <v>22679600</v>
      </c>
      <c r="I96">
        <f t="shared" si="2"/>
        <v>2.516250423951968E-5</v>
      </c>
    </row>
    <row r="97" spans="1:9" x14ac:dyDescent="0.3">
      <c r="A97" s="5">
        <v>41779</v>
      </c>
      <c r="B97">
        <v>26.02</v>
      </c>
      <c r="C97">
        <v>26.17</v>
      </c>
      <c r="D97">
        <v>25.879999000000002</v>
      </c>
      <c r="E97">
        <v>26.040001</v>
      </c>
      <c r="F97">
        <v>19.923024999999999</v>
      </c>
      <c r="G97">
        <v>22292600</v>
      </c>
      <c r="I97">
        <f t="shared" si="2"/>
        <v>6.1877388213685052E-5</v>
      </c>
    </row>
    <row r="98" spans="1:9" x14ac:dyDescent="0.3">
      <c r="A98" s="5">
        <v>41780</v>
      </c>
      <c r="B98">
        <v>26.1</v>
      </c>
      <c r="C98">
        <v>26.25</v>
      </c>
      <c r="D98">
        <v>26</v>
      </c>
      <c r="E98">
        <v>26.200001</v>
      </c>
      <c r="F98">
        <v>20.045438999999998</v>
      </c>
      <c r="G98">
        <v>18721300</v>
      </c>
      <c r="I98">
        <f t="shared" si="2"/>
        <v>4.0341962006578007E-5</v>
      </c>
    </row>
    <row r="99" spans="1:9" x14ac:dyDescent="0.3">
      <c r="A99" s="5">
        <v>41781</v>
      </c>
      <c r="B99">
        <v>26.209999</v>
      </c>
      <c r="C99">
        <v>26.27</v>
      </c>
      <c r="D99">
        <v>26.08</v>
      </c>
      <c r="E99">
        <v>26.15</v>
      </c>
      <c r="F99">
        <v>20.007183000000001</v>
      </c>
      <c r="G99">
        <v>15926500</v>
      </c>
      <c r="I99">
        <f t="shared" si="2"/>
        <v>2.3796975400889121E-5</v>
      </c>
    </row>
    <row r="100" spans="1:9" x14ac:dyDescent="0.3">
      <c r="A100" s="5">
        <v>41782</v>
      </c>
      <c r="B100">
        <v>26.15</v>
      </c>
      <c r="C100">
        <v>26.299999</v>
      </c>
      <c r="D100">
        <v>26.139999</v>
      </c>
      <c r="E100">
        <v>26.290001</v>
      </c>
      <c r="F100">
        <v>20.114296</v>
      </c>
      <c r="G100">
        <v>17172200</v>
      </c>
      <c r="I100">
        <f t="shared" si="2"/>
        <v>4.3635587659141716E-6</v>
      </c>
    </row>
    <row r="101" spans="1:9" x14ac:dyDescent="0.3">
      <c r="A101" s="5">
        <v>41786</v>
      </c>
      <c r="B101">
        <v>26.33</v>
      </c>
      <c r="C101">
        <v>26.74</v>
      </c>
      <c r="D101">
        <v>26.18</v>
      </c>
      <c r="E101">
        <v>26.709999</v>
      </c>
      <c r="F101">
        <v>20.435632999999999</v>
      </c>
      <c r="G101">
        <v>27271900</v>
      </c>
      <c r="I101">
        <f t="shared" si="2"/>
        <v>1.3185121078449933E-4</v>
      </c>
    </row>
    <row r="102" spans="1:9" x14ac:dyDescent="0.3">
      <c r="A102" s="5">
        <v>41787</v>
      </c>
      <c r="B102">
        <v>26.700001</v>
      </c>
      <c r="C102">
        <v>26.940000999999999</v>
      </c>
      <c r="D102">
        <v>26.66</v>
      </c>
      <c r="E102">
        <v>26.879999000000002</v>
      </c>
      <c r="F102">
        <v>20.565701000000001</v>
      </c>
      <c r="G102">
        <v>27150100</v>
      </c>
      <c r="I102">
        <f t="shared" si="2"/>
        <v>3.2274365542425833E-5</v>
      </c>
    </row>
    <row r="103" spans="1:9" x14ac:dyDescent="0.3">
      <c r="A103" s="5">
        <v>41788</v>
      </c>
      <c r="B103">
        <v>26.91</v>
      </c>
      <c r="C103">
        <v>26.959999</v>
      </c>
      <c r="D103">
        <v>26.719999000000001</v>
      </c>
      <c r="E103">
        <v>26.959999</v>
      </c>
      <c r="F103">
        <v>20.626911</v>
      </c>
      <c r="G103">
        <v>20638900</v>
      </c>
      <c r="I103">
        <f t="shared" si="2"/>
        <v>6.3359472183239599E-5</v>
      </c>
    </row>
    <row r="104" spans="1:9" x14ac:dyDescent="0.3">
      <c r="A104" s="5">
        <v>41789</v>
      </c>
      <c r="B104">
        <v>26.940000999999999</v>
      </c>
      <c r="C104">
        <v>27.32</v>
      </c>
      <c r="D104">
        <v>26.93</v>
      </c>
      <c r="E104">
        <v>27.32</v>
      </c>
      <c r="F104">
        <v>20.902342000000001</v>
      </c>
      <c r="G104">
        <v>43641000</v>
      </c>
      <c r="I104">
        <f t="shared" si="2"/>
        <v>5.3386172601228015E-6</v>
      </c>
    </row>
    <row r="105" spans="1:9" x14ac:dyDescent="0.3">
      <c r="A105" s="5">
        <v>41792</v>
      </c>
      <c r="B105">
        <v>27.309999000000001</v>
      </c>
      <c r="C105">
        <v>27.35</v>
      </c>
      <c r="D105">
        <v>27.120000999999998</v>
      </c>
      <c r="E105">
        <v>27.26</v>
      </c>
      <c r="F105">
        <v>20.856434</v>
      </c>
      <c r="G105">
        <v>20264900</v>
      </c>
      <c r="I105">
        <f t="shared" si="2"/>
        <v>4.0770983334105532E-5</v>
      </c>
    </row>
    <row r="106" spans="1:9" x14ac:dyDescent="0.3">
      <c r="A106" s="5">
        <v>41793</v>
      </c>
      <c r="B106">
        <v>27.219999000000001</v>
      </c>
      <c r="C106">
        <v>27.700001</v>
      </c>
      <c r="D106">
        <v>27.120000999999998</v>
      </c>
      <c r="E106">
        <v>27.66</v>
      </c>
      <c r="F106">
        <v>21.162468000000001</v>
      </c>
      <c r="G106">
        <v>33256300</v>
      </c>
      <c r="I106">
        <f t="shared" si="2"/>
        <v>9.7824778122421901E-5</v>
      </c>
    </row>
    <row r="107" spans="1:9" x14ac:dyDescent="0.3">
      <c r="A107" s="5">
        <v>41794</v>
      </c>
      <c r="B107">
        <v>27.51</v>
      </c>
      <c r="C107">
        <v>27.76</v>
      </c>
      <c r="D107">
        <v>27.5</v>
      </c>
      <c r="E107">
        <v>27.6</v>
      </c>
      <c r="F107">
        <v>21.116565999999999</v>
      </c>
      <c r="G107">
        <v>21612500</v>
      </c>
      <c r="I107">
        <f t="shared" si="2"/>
        <v>5.3612079723608318E-5</v>
      </c>
    </row>
    <row r="108" spans="1:9" x14ac:dyDescent="0.3">
      <c r="A108" s="5">
        <v>41795</v>
      </c>
      <c r="B108">
        <v>27.559999000000001</v>
      </c>
      <c r="C108">
        <v>27.66</v>
      </c>
      <c r="D108">
        <v>27.43</v>
      </c>
      <c r="E108">
        <v>27.66</v>
      </c>
      <c r="F108">
        <v>21.162468000000001</v>
      </c>
      <c r="G108">
        <v>26546200</v>
      </c>
      <c r="I108">
        <f t="shared" si="2"/>
        <v>3.9479776658460478E-5</v>
      </c>
    </row>
    <row r="109" spans="1:9" x14ac:dyDescent="0.3">
      <c r="A109" s="5">
        <v>41796</v>
      </c>
      <c r="B109">
        <v>27.780000999999999</v>
      </c>
      <c r="C109">
        <v>28.209999</v>
      </c>
      <c r="D109">
        <v>27.73</v>
      </c>
      <c r="E109">
        <v>28.17</v>
      </c>
      <c r="F109">
        <v>21.552668000000001</v>
      </c>
      <c r="G109">
        <v>34795600</v>
      </c>
      <c r="I109">
        <f t="shared" si="2"/>
        <v>5.0155316617670209E-5</v>
      </c>
    </row>
    <row r="110" spans="1:9" x14ac:dyDescent="0.3">
      <c r="A110" s="5">
        <v>41799</v>
      </c>
      <c r="B110">
        <v>28.1</v>
      </c>
      <c r="C110">
        <v>28.42</v>
      </c>
      <c r="D110">
        <v>27.83</v>
      </c>
      <c r="E110">
        <v>27.91</v>
      </c>
      <c r="F110">
        <v>21.353748</v>
      </c>
      <c r="G110">
        <v>39933000</v>
      </c>
      <c r="I110">
        <f t="shared" si="2"/>
        <v>2.3276203712568606E-4</v>
      </c>
    </row>
    <row r="111" spans="1:9" x14ac:dyDescent="0.3">
      <c r="A111" s="5">
        <v>41800</v>
      </c>
      <c r="B111">
        <v>27.85</v>
      </c>
      <c r="C111">
        <v>28.33</v>
      </c>
      <c r="D111">
        <v>27.719999000000001</v>
      </c>
      <c r="E111">
        <v>28.24</v>
      </c>
      <c r="F111">
        <v>21.606228000000002</v>
      </c>
      <c r="G111">
        <v>34256900</v>
      </c>
      <c r="I111">
        <f t="shared" si="2"/>
        <v>1.4133073811773794E-4</v>
      </c>
    </row>
    <row r="112" spans="1:9" x14ac:dyDescent="0.3">
      <c r="A112" s="5">
        <v>41801</v>
      </c>
      <c r="B112">
        <v>28.139999</v>
      </c>
      <c r="C112">
        <v>28.209999</v>
      </c>
      <c r="D112">
        <v>27.799999</v>
      </c>
      <c r="E112">
        <v>27.93</v>
      </c>
      <c r="F112">
        <v>21.369049</v>
      </c>
      <c r="G112">
        <v>27747700</v>
      </c>
      <c r="I112">
        <f t="shared" si="2"/>
        <v>8.149558568558169E-5</v>
      </c>
    </row>
    <row r="113" spans="1:9" x14ac:dyDescent="0.3">
      <c r="A113" s="5">
        <v>41802</v>
      </c>
      <c r="B113">
        <v>27.860001</v>
      </c>
      <c r="C113">
        <v>28.1</v>
      </c>
      <c r="D113">
        <v>27.77</v>
      </c>
      <c r="E113">
        <v>27.959999</v>
      </c>
      <c r="F113">
        <v>21.391998000000001</v>
      </c>
      <c r="G113">
        <v>31211400</v>
      </c>
      <c r="I113">
        <f t="shared" si="2"/>
        <v>6.4905254389655719E-5</v>
      </c>
    </row>
    <row r="114" spans="1:9" x14ac:dyDescent="0.3">
      <c r="A114" s="5">
        <v>41803</v>
      </c>
      <c r="B114">
        <v>29.75</v>
      </c>
      <c r="C114">
        <v>30.059999000000001</v>
      </c>
      <c r="D114">
        <v>29.559999000000001</v>
      </c>
      <c r="E114">
        <v>29.870000999999998</v>
      </c>
      <c r="F114">
        <v>22.853331000000001</v>
      </c>
      <c r="G114">
        <v>122194300</v>
      </c>
      <c r="I114">
        <f t="shared" si="2"/>
        <v>1.3257135130950365E-4</v>
      </c>
    </row>
    <row r="115" spans="1:9" x14ac:dyDescent="0.3">
      <c r="A115" s="5">
        <v>41806</v>
      </c>
      <c r="B115">
        <v>29.719999000000001</v>
      </c>
      <c r="C115">
        <v>30.15</v>
      </c>
      <c r="D115">
        <v>29.67</v>
      </c>
      <c r="E115">
        <v>30.01</v>
      </c>
      <c r="F115">
        <v>22.960439999999998</v>
      </c>
      <c r="G115">
        <v>36407800</v>
      </c>
      <c r="I115">
        <f t="shared" si="2"/>
        <v>8.6042322383046596E-5</v>
      </c>
    </row>
    <row r="116" spans="1:9" x14ac:dyDescent="0.3">
      <c r="A116" s="5">
        <v>41807</v>
      </c>
      <c r="B116">
        <v>29.879999000000002</v>
      </c>
      <c r="C116">
        <v>30.1</v>
      </c>
      <c r="D116">
        <v>29.84</v>
      </c>
      <c r="E116">
        <v>29.950001</v>
      </c>
      <c r="F116">
        <v>22.914536999999999</v>
      </c>
      <c r="G116">
        <v>28440600</v>
      </c>
      <c r="I116">
        <f t="shared" si="2"/>
        <v>4.1577505775903444E-5</v>
      </c>
    </row>
    <row r="117" spans="1:9" x14ac:dyDescent="0.3">
      <c r="A117" s="5">
        <v>41808</v>
      </c>
      <c r="B117">
        <v>29.879999000000002</v>
      </c>
      <c r="C117">
        <v>29.98</v>
      </c>
      <c r="D117">
        <v>29.67</v>
      </c>
      <c r="E117">
        <v>29.93</v>
      </c>
      <c r="F117">
        <v>22.899236999999999</v>
      </c>
      <c r="G117">
        <v>34412300</v>
      </c>
      <c r="I117">
        <f t="shared" si="2"/>
        <v>6.7112670554918128E-5</v>
      </c>
    </row>
    <row r="118" spans="1:9" x14ac:dyDescent="0.3">
      <c r="A118" s="5">
        <v>41809</v>
      </c>
      <c r="B118">
        <v>29.969999000000001</v>
      </c>
      <c r="C118">
        <v>30.09</v>
      </c>
      <c r="D118">
        <v>29.889999</v>
      </c>
      <c r="E118">
        <v>30.09</v>
      </c>
      <c r="F118">
        <v>23.021647999999999</v>
      </c>
      <c r="G118">
        <v>27166600</v>
      </c>
      <c r="I118">
        <f t="shared" si="2"/>
        <v>1.7825464738824629E-5</v>
      </c>
    </row>
    <row r="119" spans="1:9" x14ac:dyDescent="0.3">
      <c r="A119" s="5">
        <v>41810</v>
      </c>
      <c r="B119">
        <v>30.07</v>
      </c>
      <c r="C119">
        <v>30.200001</v>
      </c>
      <c r="D119">
        <v>30.030000999999999</v>
      </c>
      <c r="E119">
        <v>30.200001</v>
      </c>
      <c r="F119">
        <v>23.105810000000002</v>
      </c>
      <c r="G119">
        <v>39826400</v>
      </c>
      <c r="I119">
        <f t="shared" si="2"/>
        <v>7.514012394827853E-6</v>
      </c>
    </row>
    <row r="120" spans="1:9" x14ac:dyDescent="0.3">
      <c r="A120" s="5">
        <v>41813</v>
      </c>
      <c r="B120">
        <v>30.1</v>
      </c>
      <c r="C120">
        <v>30.309999000000001</v>
      </c>
      <c r="D120">
        <v>29.85</v>
      </c>
      <c r="E120">
        <v>30.23</v>
      </c>
      <c r="F120">
        <v>23.128758999999999</v>
      </c>
      <c r="G120">
        <v>26528900</v>
      </c>
      <c r="I120">
        <f t="shared" si="2"/>
        <v>1.2387931330864172E-4</v>
      </c>
    </row>
    <row r="121" spans="1:9" x14ac:dyDescent="0.3">
      <c r="A121" s="5">
        <v>41814</v>
      </c>
      <c r="B121">
        <v>30.16</v>
      </c>
      <c r="C121">
        <v>30.83</v>
      </c>
      <c r="D121">
        <v>30.09</v>
      </c>
      <c r="E121">
        <v>30.5</v>
      </c>
      <c r="F121">
        <v>23.335335000000001</v>
      </c>
      <c r="G121">
        <v>53397600</v>
      </c>
      <c r="I121">
        <f t="shared" si="2"/>
        <v>2.6789754864395222E-4</v>
      </c>
    </row>
    <row r="122" spans="1:9" x14ac:dyDescent="0.3">
      <c r="A122" s="5">
        <v>41815</v>
      </c>
      <c r="B122">
        <v>30.48</v>
      </c>
      <c r="C122">
        <v>31</v>
      </c>
      <c r="D122">
        <v>30.450001</v>
      </c>
      <c r="E122">
        <v>30.879999000000002</v>
      </c>
      <c r="F122">
        <v>23.626069999999999</v>
      </c>
      <c r="G122">
        <v>44293300</v>
      </c>
      <c r="I122">
        <f t="shared" si="2"/>
        <v>7.9418913824100745E-5</v>
      </c>
    </row>
    <row r="123" spans="1:9" x14ac:dyDescent="0.3">
      <c r="A123" s="5">
        <v>41816</v>
      </c>
      <c r="B123">
        <v>30.809999000000001</v>
      </c>
      <c r="C123">
        <v>30.9</v>
      </c>
      <c r="D123">
        <v>30.610001</v>
      </c>
      <c r="E123">
        <v>30.780000999999999</v>
      </c>
      <c r="F123">
        <v>23.549562000000002</v>
      </c>
      <c r="G123">
        <v>26722300</v>
      </c>
      <c r="I123">
        <f t="shared" si="2"/>
        <v>4.7418378244700588E-5</v>
      </c>
    </row>
    <row r="124" spans="1:9" x14ac:dyDescent="0.3">
      <c r="A124" s="5">
        <v>41817</v>
      </c>
      <c r="B124">
        <v>30.870000999999998</v>
      </c>
      <c r="C124">
        <v>31</v>
      </c>
      <c r="D124">
        <v>30.700001</v>
      </c>
      <c r="E124">
        <v>30.93</v>
      </c>
      <c r="F124">
        <v>23.664321999999999</v>
      </c>
      <c r="G124">
        <v>30776300</v>
      </c>
      <c r="I124">
        <f t="shared" si="2"/>
        <v>5.0716894672358205E-5</v>
      </c>
    </row>
    <row r="125" spans="1:9" x14ac:dyDescent="0.3">
      <c r="A125" s="5">
        <v>41820</v>
      </c>
      <c r="B125">
        <v>30.870000999999998</v>
      </c>
      <c r="C125">
        <v>31</v>
      </c>
      <c r="D125">
        <v>30.66</v>
      </c>
      <c r="E125">
        <v>30.9</v>
      </c>
      <c r="F125">
        <v>23.641376000000001</v>
      </c>
      <c r="G125">
        <v>21558400</v>
      </c>
      <c r="I125">
        <f t="shared" si="2"/>
        <v>6.6802247706542942E-5</v>
      </c>
    </row>
    <row r="126" spans="1:9" x14ac:dyDescent="0.3">
      <c r="A126" s="5">
        <v>41821</v>
      </c>
      <c r="B126">
        <v>30.99</v>
      </c>
      <c r="C126">
        <v>31.09</v>
      </c>
      <c r="D126">
        <v>30.870000999999998</v>
      </c>
      <c r="E126">
        <v>30.98</v>
      </c>
      <c r="F126">
        <v>23.702584999999999</v>
      </c>
      <c r="G126">
        <v>28240000</v>
      </c>
      <c r="I126">
        <f t="shared" si="2"/>
        <v>2.5218745850898371E-5</v>
      </c>
    </row>
    <row r="127" spans="1:9" x14ac:dyDescent="0.3">
      <c r="A127" s="5">
        <v>41822</v>
      </c>
      <c r="B127">
        <v>30.99</v>
      </c>
      <c r="C127">
        <v>31.049999</v>
      </c>
      <c r="D127">
        <v>30.799999</v>
      </c>
      <c r="E127">
        <v>30.98</v>
      </c>
      <c r="F127">
        <v>23.702584999999999</v>
      </c>
      <c r="G127">
        <v>16831200</v>
      </c>
      <c r="I127">
        <f t="shared" si="2"/>
        <v>4.0202027531408806E-5</v>
      </c>
    </row>
    <row r="128" spans="1:9" x14ac:dyDescent="0.3">
      <c r="A128" s="5">
        <v>41823</v>
      </c>
      <c r="B128">
        <v>31.08</v>
      </c>
      <c r="C128">
        <v>31.360001</v>
      </c>
      <c r="D128">
        <v>31.02</v>
      </c>
      <c r="E128">
        <v>31.139999</v>
      </c>
      <c r="F128">
        <v>23.824998999999998</v>
      </c>
      <c r="G128">
        <v>20437600</v>
      </c>
      <c r="I128">
        <f t="shared" si="2"/>
        <v>7.0601322511632144E-5</v>
      </c>
    </row>
    <row r="129" spans="1:9" x14ac:dyDescent="0.3">
      <c r="A129" s="5">
        <v>41827</v>
      </c>
      <c r="B129">
        <v>31.09</v>
      </c>
      <c r="C129">
        <v>31.200001</v>
      </c>
      <c r="D129">
        <v>30.92</v>
      </c>
      <c r="E129">
        <v>31.030000999999999</v>
      </c>
      <c r="F129">
        <v>23.740836999999999</v>
      </c>
      <c r="G129">
        <v>22233400</v>
      </c>
      <c r="I129">
        <f t="shared" si="2"/>
        <v>3.8768668954445337E-5</v>
      </c>
    </row>
    <row r="130" spans="1:9" x14ac:dyDescent="0.3">
      <c r="A130" s="5">
        <v>41828</v>
      </c>
      <c r="B130">
        <v>31</v>
      </c>
      <c r="C130">
        <v>31.08</v>
      </c>
      <c r="D130">
        <v>30.700001</v>
      </c>
      <c r="E130">
        <v>30.790001</v>
      </c>
      <c r="F130">
        <v>23.557219</v>
      </c>
      <c r="G130">
        <v>37608700</v>
      </c>
      <c r="I130">
        <f t="shared" si="2"/>
        <v>5.262782599526624E-5</v>
      </c>
    </row>
    <row r="131" spans="1:9" x14ac:dyDescent="0.3">
      <c r="A131" s="5">
        <v>41829</v>
      </c>
      <c r="B131">
        <v>30.84</v>
      </c>
      <c r="C131">
        <v>30.98</v>
      </c>
      <c r="D131">
        <v>30.690000999999999</v>
      </c>
      <c r="E131">
        <v>30.889999</v>
      </c>
      <c r="F131">
        <v>23.63372</v>
      </c>
      <c r="G131">
        <v>28302400</v>
      </c>
      <c r="I131">
        <f t="shared" si="2"/>
        <v>4.4847452117401818E-5</v>
      </c>
    </row>
    <row r="132" spans="1:9" x14ac:dyDescent="0.3">
      <c r="A132" s="5">
        <v>41830</v>
      </c>
      <c r="B132">
        <v>30.6</v>
      </c>
      <c r="C132">
        <v>31.33</v>
      </c>
      <c r="D132">
        <v>30.440000999999999</v>
      </c>
      <c r="E132">
        <v>31.26</v>
      </c>
      <c r="F132">
        <v>23.916810999999999</v>
      </c>
      <c r="G132">
        <v>32455100</v>
      </c>
      <c r="I132">
        <f t="shared" si="2"/>
        <v>1.9208789952227721E-4</v>
      </c>
    </row>
    <row r="133" spans="1:9" x14ac:dyDescent="0.3">
      <c r="A133" s="5">
        <v>41831</v>
      </c>
      <c r="B133">
        <v>31.26</v>
      </c>
      <c r="C133">
        <v>31.450001</v>
      </c>
      <c r="D133">
        <v>31.040001</v>
      </c>
      <c r="E133">
        <v>31.25</v>
      </c>
      <c r="F133">
        <v>23.909157</v>
      </c>
      <c r="G133">
        <v>20045000</v>
      </c>
      <c r="I133">
        <f t="shared" si="2"/>
        <v>8.6279246127228792E-5</v>
      </c>
    </row>
    <row r="134" spans="1:9" x14ac:dyDescent="0.3">
      <c r="A134" s="5">
        <v>41834</v>
      </c>
      <c r="B134">
        <v>31.41</v>
      </c>
      <c r="C134">
        <v>31.58</v>
      </c>
      <c r="D134">
        <v>31.34</v>
      </c>
      <c r="E134">
        <v>31.49</v>
      </c>
      <c r="F134">
        <v>24.092783000000001</v>
      </c>
      <c r="G134">
        <v>24244600</v>
      </c>
      <c r="I134">
        <f t="shared" si="2"/>
        <v>2.6057821048309966E-5</v>
      </c>
    </row>
    <row r="135" spans="1:9" x14ac:dyDescent="0.3">
      <c r="A135" s="5">
        <v>41835</v>
      </c>
      <c r="B135">
        <v>31.58</v>
      </c>
      <c r="C135">
        <v>31.799999</v>
      </c>
      <c r="D135">
        <v>31.16</v>
      </c>
      <c r="E135">
        <v>31.709999</v>
      </c>
      <c r="F135">
        <v>24.261099000000002</v>
      </c>
      <c r="G135">
        <v>61006100</v>
      </c>
      <c r="I135">
        <f t="shared" si="2"/>
        <v>2.5393715773798628E-4</v>
      </c>
    </row>
    <row r="136" spans="1:9" x14ac:dyDescent="0.3">
      <c r="A136" s="5">
        <v>41836</v>
      </c>
      <c r="B136">
        <v>33.310001</v>
      </c>
      <c r="C136">
        <v>34.740001999999997</v>
      </c>
      <c r="D136">
        <v>33.209999000000003</v>
      </c>
      <c r="E136">
        <v>34.650002000000001</v>
      </c>
      <c r="F136">
        <v>26.510477000000002</v>
      </c>
      <c r="G136">
        <v>135834600</v>
      </c>
      <c r="I136">
        <f t="shared" si="2"/>
        <v>2.3666177076608238E-4</v>
      </c>
    </row>
    <row r="137" spans="1:9" x14ac:dyDescent="0.3">
      <c r="A137" s="5">
        <v>41837</v>
      </c>
      <c r="B137">
        <v>34.200001</v>
      </c>
      <c r="C137">
        <v>34.360000999999997</v>
      </c>
      <c r="D137">
        <v>33.630001</v>
      </c>
      <c r="E137">
        <v>33.700001</v>
      </c>
      <c r="F137">
        <v>25.783638</v>
      </c>
      <c r="G137">
        <v>70591100</v>
      </c>
      <c r="I137">
        <f t="shared" si="2"/>
        <v>1.2547369307445782E-4</v>
      </c>
    </row>
    <row r="138" spans="1:9" x14ac:dyDescent="0.3">
      <c r="A138" s="5">
        <v>41838</v>
      </c>
      <c r="B138">
        <v>33.799999</v>
      </c>
      <c r="C138">
        <v>33.840000000000003</v>
      </c>
      <c r="D138">
        <v>33.389999000000003</v>
      </c>
      <c r="E138">
        <v>33.700001</v>
      </c>
      <c r="F138">
        <v>25.783638</v>
      </c>
      <c r="G138">
        <v>46528800</v>
      </c>
      <c r="I138">
        <f t="shared" si="2"/>
        <v>1.1768913253405744E-4</v>
      </c>
    </row>
    <row r="139" spans="1:9" x14ac:dyDescent="0.3">
      <c r="A139" s="5">
        <v>41841</v>
      </c>
      <c r="B139">
        <v>33.549999</v>
      </c>
      <c r="C139">
        <v>34.229999999999997</v>
      </c>
      <c r="D139">
        <v>33.540000999999997</v>
      </c>
      <c r="E139">
        <v>34.060001</v>
      </c>
      <c r="F139">
        <v>26.059066999999999</v>
      </c>
      <c r="G139">
        <v>32097200</v>
      </c>
      <c r="I139">
        <f t="shared" si="2"/>
        <v>1.0448709401080316E-4</v>
      </c>
    </row>
    <row r="140" spans="1:9" x14ac:dyDescent="0.3">
      <c r="A140" s="5">
        <v>41842</v>
      </c>
      <c r="B140">
        <v>34.159999999999997</v>
      </c>
      <c r="C140">
        <v>34.830002</v>
      </c>
      <c r="D140">
        <v>34.07</v>
      </c>
      <c r="E140">
        <v>34.790000999999997</v>
      </c>
      <c r="F140">
        <v>26.617588000000001</v>
      </c>
      <c r="G140">
        <v>42915100</v>
      </c>
      <c r="I140">
        <f t="shared" ref="I140:I203" si="3">LN(C140/B140)*(LN(C140/B140)-LN(E140/B140))+LN(D140/B140)*(LN(D140/B140)-LN(E140/B140))</f>
        <v>7.7491121802084051E-5</v>
      </c>
    </row>
    <row r="141" spans="1:9" x14ac:dyDescent="0.3">
      <c r="A141" s="5">
        <v>41843</v>
      </c>
      <c r="B141">
        <v>34.68</v>
      </c>
      <c r="C141">
        <v>34.709999000000003</v>
      </c>
      <c r="D141">
        <v>34.299999</v>
      </c>
      <c r="E141">
        <v>34.5</v>
      </c>
      <c r="F141">
        <v>26.395706000000001</v>
      </c>
      <c r="G141">
        <v>26077000</v>
      </c>
      <c r="I141">
        <f t="shared" si="3"/>
        <v>6.9304738279084283E-5</v>
      </c>
    </row>
    <row r="142" spans="1:9" x14ac:dyDescent="0.3">
      <c r="A142" s="5">
        <v>41844</v>
      </c>
      <c r="B142">
        <v>34.380001</v>
      </c>
      <c r="C142">
        <v>34.669998</v>
      </c>
      <c r="D142">
        <v>34.099997999999999</v>
      </c>
      <c r="E142">
        <v>34.25</v>
      </c>
      <c r="F142">
        <v>26.204440999999999</v>
      </c>
      <c r="G142">
        <v>33180400</v>
      </c>
      <c r="I142">
        <f t="shared" si="3"/>
        <v>1.3827026271228844E-4</v>
      </c>
    </row>
    <row r="143" spans="1:9" x14ac:dyDescent="0.3">
      <c r="A143" s="5">
        <v>41845</v>
      </c>
      <c r="B143">
        <v>34.150002000000001</v>
      </c>
      <c r="C143">
        <v>34.369999</v>
      </c>
      <c r="D143">
        <v>33.93</v>
      </c>
      <c r="E143">
        <v>34.25</v>
      </c>
      <c r="F143">
        <v>26.204440999999999</v>
      </c>
      <c r="G143">
        <v>31614000</v>
      </c>
      <c r="I143">
        <f t="shared" si="3"/>
        <v>8.3127595194225373E-5</v>
      </c>
    </row>
    <row r="144" spans="1:9" x14ac:dyDescent="0.3">
      <c r="A144" s="5">
        <v>41848</v>
      </c>
      <c r="B144">
        <v>34.229999999999997</v>
      </c>
      <c r="C144">
        <v>34.32</v>
      </c>
      <c r="D144">
        <v>33.880001</v>
      </c>
      <c r="E144">
        <v>34.229999999999997</v>
      </c>
      <c r="F144">
        <v>26.189139999999998</v>
      </c>
      <c r="G144">
        <v>30972200</v>
      </c>
      <c r="I144">
        <f t="shared" si="3"/>
        <v>1.1252304223192104E-4</v>
      </c>
    </row>
    <row r="145" spans="1:9" x14ac:dyDescent="0.3">
      <c r="A145" s="5">
        <v>41849</v>
      </c>
      <c r="B145">
        <v>34.270000000000003</v>
      </c>
      <c r="C145">
        <v>34.369999</v>
      </c>
      <c r="D145">
        <v>34.090000000000003</v>
      </c>
      <c r="E145">
        <v>34.189999</v>
      </c>
      <c r="F145">
        <v>26.158525000000001</v>
      </c>
      <c r="G145">
        <v>26141700</v>
      </c>
      <c r="I145">
        <f t="shared" si="3"/>
        <v>3.0724956646612336E-5</v>
      </c>
    </row>
    <row r="146" spans="1:9" x14ac:dyDescent="0.3">
      <c r="A146" s="5">
        <v>41850</v>
      </c>
      <c r="B146">
        <v>34.310001</v>
      </c>
      <c r="C146">
        <v>34.57</v>
      </c>
      <c r="D146">
        <v>34.040000999999997</v>
      </c>
      <c r="E146">
        <v>34.349997999999999</v>
      </c>
      <c r="F146">
        <v>26.280940999999999</v>
      </c>
      <c r="G146">
        <v>32782800</v>
      </c>
      <c r="I146">
        <f t="shared" si="3"/>
        <v>1.1982084929410156E-4</v>
      </c>
    </row>
    <row r="147" spans="1:9" x14ac:dyDescent="0.3">
      <c r="A147" s="5">
        <v>41851</v>
      </c>
      <c r="B147">
        <v>34.090000000000003</v>
      </c>
      <c r="C147">
        <v>34.25</v>
      </c>
      <c r="D147">
        <v>33.810001</v>
      </c>
      <c r="E147">
        <v>33.889999000000003</v>
      </c>
      <c r="F147">
        <v>25.928999000000001</v>
      </c>
      <c r="G147">
        <v>35431200</v>
      </c>
      <c r="I147">
        <f t="shared" si="3"/>
        <v>6.8969173740594783E-5</v>
      </c>
    </row>
    <row r="148" spans="1:9" x14ac:dyDescent="0.3">
      <c r="A148" s="5">
        <v>41852</v>
      </c>
      <c r="B148">
        <v>33.75</v>
      </c>
      <c r="C148">
        <v>34.029998999999997</v>
      </c>
      <c r="D148">
        <v>33.610000999999997</v>
      </c>
      <c r="E148">
        <v>33.740001999999997</v>
      </c>
      <c r="F148">
        <v>25.814233999999999</v>
      </c>
      <c r="G148">
        <v>33472400</v>
      </c>
      <c r="I148">
        <f t="shared" si="3"/>
        <v>8.6756191612750143E-5</v>
      </c>
    </row>
    <row r="149" spans="1:9" x14ac:dyDescent="0.3">
      <c r="A149" s="5">
        <v>41855</v>
      </c>
      <c r="B149">
        <v>33.790000999999997</v>
      </c>
      <c r="C149">
        <v>34.090000000000003</v>
      </c>
      <c r="D149">
        <v>33.549999</v>
      </c>
      <c r="E149">
        <v>34.049999</v>
      </c>
      <c r="F149">
        <v>26.051424000000001</v>
      </c>
      <c r="G149">
        <v>27250100</v>
      </c>
      <c r="I149">
        <f t="shared" si="3"/>
        <v>1.1582504556823775E-4</v>
      </c>
    </row>
    <row r="150" spans="1:9" x14ac:dyDescent="0.3">
      <c r="A150" s="5">
        <v>41856</v>
      </c>
      <c r="B150">
        <v>33.759998000000003</v>
      </c>
      <c r="C150">
        <v>33.779998999999997</v>
      </c>
      <c r="D150">
        <v>32.599997999999999</v>
      </c>
      <c r="E150">
        <v>32.82</v>
      </c>
      <c r="F150">
        <v>25.277384000000001</v>
      </c>
      <c r="G150">
        <v>49845100</v>
      </c>
      <c r="I150">
        <f t="shared" si="3"/>
        <v>2.5224115338644867E-4</v>
      </c>
    </row>
    <row r="151" spans="1:9" x14ac:dyDescent="0.3">
      <c r="A151" s="5">
        <v>41857</v>
      </c>
      <c r="B151">
        <v>32.599997999999999</v>
      </c>
      <c r="C151">
        <v>33.189999</v>
      </c>
      <c r="D151">
        <v>32.389999000000003</v>
      </c>
      <c r="E151">
        <v>32.849997999999999</v>
      </c>
      <c r="F151">
        <v>25.300491000000001</v>
      </c>
      <c r="G151">
        <v>27923900</v>
      </c>
      <c r="I151">
        <f t="shared" si="3"/>
        <v>2.7582360636323265E-4</v>
      </c>
    </row>
    <row r="152" spans="1:9" x14ac:dyDescent="0.3">
      <c r="A152" s="5">
        <v>41858</v>
      </c>
      <c r="B152">
        <v>32.93</v>
      </c>
      <c r="C152">
        <v>33.150002000000001</v>
      </c>
      <c r="D152">
        <v>32.540000999999997</v>
      </c>
      <c r="E152">
        <v>32.68</v>
      </c>
      <c r="F152">
        <v>25.169564999999999</v>
      </c>
      <c r="G152">
        <v>27820100</v>
      </c>
      <c r="I152">
        <f t="shared" si="3"/>
        <v>1.462309603836657E-4</v>
      </c>
    </row>
    <row r="153" spans="1:9" x14ac:dyDescent="0.3">
      <c r="A153" s="5">
        <v>41859</v>
      </c>
      <c r="B153">
        <v>32.779998999999997</v>
      </c>
      <c r="C153">
        <v>33</v>
      </c>
      <c r="D153">
        <v>32.540000999999997</v>
      </c>
      <c r="E153">
        <v>32.599997999999999</v>
      </c>
      <c r="F153">
        <v>25.107942999999999</v>
      </c>
      <c r="G153">
        <v>35484000</v>
      </c>
      <c r="I153">
        <f t="shared" si="3"/>
        <v>9.5111285801794372E-5</v>
      </c>
    </row>
    <row r="154" spans="1:9" x14ac:dyDescent="0.3">
      <c r="A154" s="5">
        <v>41862</v>
      </c>
      <c r="B154">
        <v>32.82</v>
      </c>
      <c r="C154">
        <v>33.240001999999997</v>
      </c>
      <c r="D154">
        <v>32.810001</v>
      </c>
      <c r="E154">
        <v>33.020000000000003</v>
      </c>
      <c r="F154">
        <v>25.431419000000002</v>
      </c>
      <c r="G154">
        <v>27718600</v>
      </c>
      <c r="I154">
        <f t="shared" si="3"/>
        <v>8.6385451983888E-5</v>
      </c>
    </row>
    <row r="155" spans="1:9" x14ac:dyDescent="0.3">
      <c r="A155" s="5">
        <v>41863</v>
      </c>
      <c r="B155">
        <v>32.909999999999997</v>
      </c>
      <c r="C155">
        <v>33.150002000000001</v>
      </c>
      <c r="D155">
        <v>32.68</v>
      </c>
      <c r="E155">
        <v>33.130001</v>
      </c>
      <c r="F155">
        <v>25.516144000000001</v>
      </c>
      <c r="G155">
        <v>24805600</v>
      </c>
      <c r="I155">
        <f t="shared" si="3"/>
        <v>1.0029901132405497E-4</v>
      </c>
    </row>
    <row r="156" spans="1:9" x14ac:dyDescent="0.3">
      <c r="A156" s="5">
        <v>41864</v>
      </c>
      <c r="B156">
        <v>33.240001999999997</v>
      </c>
      <c r="C156">
        <v>34.150002000000001</v>
      </c>
      <c r="D156">
        <v>33.229999999999997</v>
      </c>
      <c r="E156">
        <v>34.099997999999999</v>
      </c>
      <c r="F156">
        <v>26.263214000000001</v>
      </c>
      <c r="G156">
        <v>36291000</v>
      </c>
      <c r="I156">
        <f t="shared" si="3"/>
        <v>4.7354002233277373E-5</v>
      </c>
    </row>
    <row r="157" spans="1:9" x14ac:dyDescent="0.3">
      <c r="A157" s="5">
        <v>41865</v>
      </c>
      <c r="B157">
        <v>34.049999</v>
      </c>
      <c r="C157">
        <v>34.229999999999997</v>
      </c>
      <c r="D157">
        <v>33.740001999999997</v>
      </c>
      <c r="E157">
        <v>33.939999</v>
      </c>
      <c r="F157">
        <v>26.139982</v>
      </c>
      <c r="G157">
        <v>25458000</v>
      </c>
      <c r="I157">
        <f t="shared" si="3"/>
        <v>9.89121025221792E-5</v>
      </c>
    </row>
    <row r="158" spans="1:9" x14ac:dyDescent="0.3">
      <c r="A158" s="5">
        <v>41866</v>
      </c>
      <c r="B158">
        <v>34.099997999999999</v>
      </c>
      <c r="C158">
        <v>34.209999000000003</v>
      </c>
      <c r="D158">
        <v>33.709999000000003</v>
      </c>
      <c r="E158">
        <v>34.169998</v>
      </c>
      <c r="F158">
        <v>26.317129000000001</v>
      </c>
      <c r="G158">
        <v>28577600</v>
      </c>
      <c r="I158">
        <f t="shared" si="3"/>
        <v>1.5967167692128837E-4</v>
      </c>
    </row>
    <row r="159" spans="1:9" x14ac:dyDescent="0.3">
      <c r="A159" s="5">
        <v>41869</v>
      </c>
      <c r="B159">
        <v>34.259998000000003</v>
      </c>
      <c r="C159">
        <v>34.470001000000003</v>
      </c>
      <c r="D159">
        <v>33.979999999999997</v>
      </c>
      <c r="E159">
        <v>34.409999999999997</v>
      </c>
      <c r="F159">
        <v>26.501968000000002</v>
      </c>
      <c r="G159">
        <v>27232200</v>
      </c>
      <c r="I159">
        <f t="shared" si="3"/>
        <v>1.1384178012330016E-4</v>
      </c>
    </row>
    <row r="160" spans="1:9" x14ac:dyDescent="0.3">
      <c r="A160" s="5">
        <v>41870</v>
      </c>
      <c r="B160">
        <v>34.5</v>
      </c>
      <c r="C160">
        <v>34.5</v>
      </c>
      <c r="D160">
        <v>34.25</v>
      </c>
      <c r="E160">
        <v>34.340000000000003</v>
      </c>
      <c r="F160">
        <v>26.448060999999999</v>
      </c>
      <c r="G160">
        <v>29281900</v>
      </c>
      <c r="I160">
        <f t="shared" si="3"/>
        <v>1.9085835114973757E-5</v>
      </c>
    </row>
    <row r="161" spans="1:9" x14ac:dyDescent="0.3">
      <c r="A161" s="5">
        <v>41871</v>
      </c>
      <c r="B161">
        <v>34.229999999999997</v>
      </c>
      <c r="C161">
        <v>34.509998000000003</v>
      </c>
      <c r="D161">
        <v>34.18</v>
      </c>
      <c r="E161">
        <v>34.5</v>
      </c>
      <c r="F161">
        <v>26.571285</v>
      </c>
      <c r="G161">
        <v>27140300</v>
      </c>
      <c r="I161">
        <f t="shared" si="3"/>
        <v>1.5982289672429361E-5</v>
      </c>
    </row>
    <row r="162" spans="1:9" x14ac:dyDescent="0.3">
      <c r="A162" s="5">
        <v>41872</v>
      </c>
      <c r="B162">
        <v>34.459999000000003</v>
      </c>
      <c r="C162">
        <v>35.189999</v>
      </c>
      <c r="D162">
        <v>34.450001</v>
      </c>
      <c r="E162">
        <v>35.150002000000001</v>
      </c>
      <c r="F162">
        <v>27.071912999999999</v>
      </c>
      <c r="G162">
        <v>37164900</v>
      </c>
      <c r="I162">
        <f t="shared" si="3"/>
        <v>2.9676877616319988E-5</v>
      </c>
    </row>
    <row r="163" spans="1:9" x14ac:dyDescent="0.3">
      <c r="A163" s="5">
        <v>41873</v>
      </c>
      <c r="B163">
        <v>35.200001</v>
      </c>
      <c r="C163">
        <v>35.200001</v>
      </c>
      <c r="D163">
        <v>34.909999999999997</v>
      </c>
      <c r="E163">
        <v>34.939999</v>
      </c>
      <c r="F163">
        <v>26.910174999999999</v>
      </c>
      <c r="G163">
        <v>21196700</v>
      </c>
      <c r="I163">
        <f t="shared" si="3"/>
        <v>7.1059539844743166E-6</v>
      </c>
    </row>
    <row r="164" spans="1:9" x14ac:dyDescent="0.3">
      <c r="A164" s="5">
        <v>41876</v>
      </c>
      <c r="B164">
        <v>35.090000000000003</v>
      </c>
      <c r="C164">
        <v>35.150002000000001</v>
      </c>
      <c r="D164">
        <v>34.650002000000001</v>
      </c>
      <c r="E164">
        <v>34.810001</v>
      </c>
      <c r="F164">
        <v>26.810048999999999</v>
      </c>
      <c r="G164">
        <v>18614500</v>
      </c>
      <c r="I164">
        <f t="shared" si="3"/>
        <v>7.4738716232702719E-5</v>
      </c>
    </row>
    <row r="165" spans="1:9" x14ac:dyDescent="0.3">
      <c r="A165" s="5">
        <v>41877</v>
      </c>
      <c r="B165">
        <v>34.790000999999997</v>
      </c>
      <c r="C165">
        <v>35.049999</v>
      </c>
      <c r="D165">
        <v>34.689999</v>
      </c>
      <c r="E165">
        <v>34.799999</v>
      </c>
      <c r="F165">
        <v>26.802344999999999</v>
      </c>
      <c r="G165">
        <v>19664700</v>
      </c>
      <c r="I165">
        <f t="shared" si="3"/>
        <v>6.2410447486509673E-5</v>
      </c>
    </row>
    <row r="166" spans="1:9" x14ac:dyDescent="0.3">
      <c r="A166" s="5">
        <v>41878</v>
      </c>
      <c r="B166">
        <v>34.889999000000003</v>
      </c>
      <c r="C166">
        <v>34.939999</v>
      </c>
      <c r="D166">
        <v>34.630001</v>
      </c>
      <c r="E166">
        <v>34.790000999999997</v>
      </c>
      <c r="F166">
        <v>26.794640999999999</v>
      </c>
      <c r="G166">
        <v>17168900</v>
      </c>
      <c r="I166">
        <f t="shared" si="3"/>
        <v>4.0640342876918695E-5</v>
      </c>
    </row>
    <row r="167" spans="1:9" x14ac:dyDescent="0.3">
      <c r="A167" s="5">
        <v>41879</v>
      </c>
      <c r="B167">
        <v>34.610000999999997</v>
      </c>
      <c r="C167">
        <v>34.810001</v>
      </c>
      <c r="D167">
        <v>34.610000999999997</v>
      </c>
      <c r="E167">
        <v>34.650002000000001</v>
      </c>
      <c r="F167">
        <v>26.686817000000001</v>
      </c>
      <c r="G167">
        <v>18908900</v>
      </c>
      <c r="I167">
        <f t="shared" si="3"/>
        <v>2.6545432488336997E-5</v>
      </c>
    </row>
    <row r="168" spans="1:9" x14ac:dyDescent="0.3">
      <c r="A168" s="5">
        <v>41880</v>
      </c>
      <c r="B168">
        <v>34.810001</v>
      </c>
      <c r="C168">
        <v>34.939999</v>
      </c>
      <c r="D168">
        <v>34.669998</v>
      </c>
      <c r="E168">
        <v>34.919998</v>
      </c>
      <c r="F168">
        <v>26.894767999999999</v>
      </c>
      <c r="G168">
        <v>32302800</v>
      </c>
      <c r="I168">
        <f t="shared" si="3"/>
        <v>3.1090042437296809E-5</v>
      </c>
    </row>
    <row r="169" spans="1:9" x14ac:dyDescent="0.3">
      <c r="A169" s="5">
        <v>41884</v>
      </c>
      <c r="B169">
        <v>34.759998000000003</v>
      </c>
      <c r="C169">
        <v>34.909999999999997</v>
      </c>
      <c r="D169">
        <v>34.43</v>
      </c>
      <c r="E169">
        <v>34.57</v>
      </c>
      <c r="F169">
        <v>26.625198000000001</v>
      </c>
      <c r="G169">
        <v>32094800</v>
      </c>
      <c r="I169">
        <f t="shared" si="3"/>
        <v>8.0852775863776537E-5</v>
      </c>
    </row>
    <row r="170" spans="1:9" x14ac:dyDescent="0.3">
      <c r="A170" s="5">
        <v>41885</v>
      </c>
      <c r="B170">
        <v>34.82</v>
      </c>
      <c r="C170">
        <v>34.880001</v>
      </c>
      <c r="D170">
        <v>34.450001</v>
      </c>
      <c r="E170">
        <v>34.57</v>
      </c>
      <c r="F170">
        <v>26.625198000000001</v>
      </c>
      <c r="G170">
        <v>26668800</v>
      </c>
      <c r="I170">
        <f t="shared" si="3"/>
        <v>5.2517100639371266E-5</v>
      </c>
    </row>
    <row r="171" spans="1:9" x14ac:dyDescent="0.3">
      <c r="A171" s="5">
        <v>41886</v>
      </c>
      <c r="B171">
        <v>34.529998999999997</v>
      </c>
      <c r="C171">
        <v>35.090000000000003</v>
      </c>
      <c r="D171">
        <v>34.520000000000003</v>
      </c>
      <c r="E171">
        <v>34.909999999999997</v>
      </c>
      <c r="F171">
        <v>26.887067999999999</v>
      </c>
      <c r="G171">
        <v>27632400</v>
      </c>
      <c r="I171">
        <f t="shared" si="3"/>
        <v>8.5990642439881453E-5</v>
      </c>
    </row>
    <row r="172" spans="1:9" x14ac:dyDescent="0.3">
      <c r="A172" s="5">
        <v>41887</v>
      </c>
      <c r="B172">
        <v>34.919998</v>
      </c>
      <c r="C172">
        <v>35.119999</v>
      </c>
      <c r="D172">
        <v>34.830002</v>
      </c>
      <c r="E172">
        <v>35</v>
      </c>
      <c r="F172">
        <v>26.956377</v>
      </c>
      <c r="G172">
        <v>20841900</v>
      </c>
      <c r="I172">
        <f t="shared" si="3"/>
        <v>3.2111549150843957E-5</v>
      </c>
    </row>
    <row r="173" spans="1:9" x14ac:dyDescent="0.3">
      <c r="A173" s="5">
        <v>41890</v>
      </c>
      <c r="B173">
        <v>34.959999000000003</v>
      </c>
      <c r="C173">
        <v>35.560001</v>
      </c>
      <c r="D173">
        <v>34.880001</v>
      </c>
      <c r="E173">
        <v>35.330002</v>
      </c>
      <c r="F173">
        <v>27.210540999999999</v>
      </c>
      <c r="G173">
        <v>24859600</v>
      </c>
      <c r="I173">
        <f t="shared" si="3"/>
        <v>1.3978814861783579E-4</v>
      </c>
    </row>
    <row r="174" spans="1:9" x14ac:dyDescent="0.3">
      <c r="A174" s="5">
        <v>41891</v>
      </c>
      <c r="B174">
        <v>35.290000999999997</v>
      </c>
      <c r="C174">
        <v>35.290000999999997</v>
      </c>
      <c r="D174">
        <v>34.849997999999999</v>
      </c>
      <c r="E174">
        <v>34.909999999999997</v>
      </c>
      <c r="F174">
        <v>26.887067999999999</v>
      </c>
      <c r="G174">
        <v>22333100</v>
      </c>
      <c r="I174">
        <f t="shared" si="3"/>
        <v>2.1583155755981161E-5</v>
      </c>
    </row>
    <row r="175" spans="1:9" x14ac:dyDescent="0.3">
      <c r="A175" s="5">
        <v>41892</v>
      </c>
      <c r="B175">
        <v>34.849997999999999</v>
      </c>
      <c r="C175">
        <v>35.130001</v>
      </c>
      <c r="D175">
        <v>34.669998</v>
      </c>
      <c r="E175">
        <v>35.020000000000003</v>
      </c>
      <c r="F175">
        <v>26.971785000000001</v>
      </c>
      <c r="G175">
        <v>19964200</v>
      </c>
      <c r="I175">
        <f t="shared" si="3"/>
        <v>7.7111779093962563E-5</v>
      </c>
    </row>
    <row r="176" spans="1:9" x14ac:dyDescent="0.3">
      <c r="A176" s="5">
        <v>41893</v>
      </c>
      <c r="B176">
        <v>34.790000999999997</v>
      </c>
      <c r="C176">
        <v>35.020000000000003</v>
      </c>
      <c r="D176">
        <v>34.529998999999997</v>
      </c>
      <c r="E176">
        <v>35.020000000000003</v>
      </c>
      <c r="F176">
        <v>26.971785000000001</v>
      </c>
      <c r="G176">
        <v>21949000</v>
      </c>
      <c r="I176">
        <f t="shared" si="3"/>
        <v>1.0570296913582526E-4</v>
      </c>
    </row>
    <row r="177" spans="1:9" x14ac:dyDescent="0.3">
      <c r="A177" s="5">
        <v>41894</v>
      </c>
      <c r="B177">
        <v>34.900002000000001</v>
      </c>
      <c r="C177">
        <v>34.909999999999997</v>
      </c>
      <c r="D177">
        <v>34.5</v>
      </c>
      <c r="E177">
        <v>34.619999</v>
      </c>
      <c r="F177">
        <v>26.663715</v>
      </c>
      <c r="G177">
        <v>26732600</v>
      </c>
      <c r="I177">
        <f t="shared" si="3"/>
        <v>4.2415346078585446E-5</v>
      </c>
    </row>
    <row r="178" spans="1:9" x14ac:dyDescent="0.3">
      <c r="A178" s="5">
        <v>41897</v>
      </c>
      <c r="B178">
        <v>34.709999000000003</v>
      </c>
      <c r="C178">
        <v>34.770000000000003</v>
      </c>
      <c r="D178">
        <v>34.229999999999997</v>
      </c>
      <c r="E178">
        <v>34.540000999999997</v>
      </c>
      <c r="F178">
        <v>26.602104000000001</v>
      </c>
      <c r="G178">
        <v>22438000</v>
      </c>
      <c r="I178">
        <f t="shared" si="3"/>
        <v>1.3700884850294129E-4</v>
      </c>
    </row>
    <row r="179" spans="1:9" x14ac:dyDescent="0.3">
      <c r="A179" s="5">
        <v>41898</v>
      </c>
      <c r="B179">
        <v>34.470001000000003</v>
      </c>
      <c r="C179">
        <v>35.080002</v>
      </c>
      <c r="D179">
        <v>34.470001000000003</v>
      </c>
      <c r="E179">
        <v>34.93</v>
      </c>
      <c r="F179">
        <v>26.902467999999999</v>
      </c>
      <c r="G179">
        <v>20875700</v>
      </c>
      <c r="I179">
        <f t="shared" si="3"/>
        <v>7.5169583816361396E-5</v>
      </c>
    </row>
    <row r="180" spans="1:9" x14ac:dyDescent="0.3">
      <c r="A180" s="5">
        <v>41899</v>
      </c>
      <c r="B180">
        <v>34.909999999999997</v>
      </c>
      <c r="C180">
        <v>35.200001</v>
      </c>
      <c r="D180">
        <v>34.740001999999997</v>
      </c>
      <c r="E180">
        <v>34.979999999999997</v>
      </c>
      <c r="F180">
        <v>26.940977</v>
      </c>
      <c r="G180">
        <v>26278900</v>
      </c>
      <c r="I180">
        <f t="shared" si="3"/>
        <v>8.5474869900169261E-5</v>
      </c>
    </row>
    <row r="181" spans="1:9" x14ac:dyDescent="0.3">
      <c r="A181" s="5">
        <v>41900</v>
      </c>
      <c r="B181">
        <v>35.119999</v>
      </c>
      <c r="C181">
        <v>35.169998</v>
      </c>
      <c r="D181">
        <v>34.860000999999997</v>
      </c>
      <c r="E181">
        <v>35.169998</v>
      </c>
      <c r="F181">
        <v>27.087306999999999</v>
      </c>
      <c r="G181">
        <v>23809600</v>
      </c>
      <c r="I181">
        <f t="shared" si="3"/>
        <v>6.5786118988381671E-5</v>
      </c>
    </row>
    <row r="182" spans="1:9" x14ac:dyDescent="0.3">
      <c r="A182" s="5">
        <v>41901</v>
      </c>
      <c r="B182">
        <v>35.159999999999997</v>
      </c>
      <c r="C182">
        <v>35.220001000000003</v>
      </c>
      <c r="D182">
        <v>34.82</v>
      </c>
      <c r="E182">
        <v>34.82</v>
      </c>
      <c r="F182">
        <v>26.817747000000001</v>
      </c>
      <c r="G182">
        <v>46851900</v>
      </c>
      <c r="I182">
        <f t="shared" si="3"/>
        <v>1.9475515935072889E-5</v>
      </c>
    </row>
    <row r="183" spans="1:9" x14ac:dyDescent="0.3">
      <c r="A183" s="5">
        <v>41904</v>
      </c>
      <c r="B183">
        <v>34.779998999999997</v>
      </c>
      <c r="C183">
        <v>35.029998999999997</v>
      </c>
      <c r="D183">
        <v>34.549999</v>
      </c>
      <c r="E183">
        <v>34.709999000000003</v>
      </c>
      <c r="F183">
        <v>26.733034</v>
      </c>
      <c r="G183">
        <v>25447700</v>
      </c>
      <c r="I183">
        <f t="shared" si="3"/>
        <v>9.6384109518025024E-5</v>
      </c>
    </row>
    <row r="184" spans="1:9" x14ac:dyDescent="0.3">
      <c r="A184" s="5">
        <v>41905</v>
      </c>
      <c r="B184">
        <v>34.709999000000003</v>
      </c>
      <c r="C184">
        <v>34.709999000000003</v>
      </c>
      <c r="D184">
        <v>34.380001</v>
      </c>
      <c r="E184">
        <v>34.419998</v>
      </c>
      <c r="F184">
        <v>26.509679999999999</v>
      </c>
      <c r="G184">
        <v>25690700</v>
      </c>
      <c r="I184">
        <f t="shared" si="3"/>
        <v>1.1107042766525444E-5</v>
      </c>
    </row>
    <row r="185" spans="1:9" x14ac:dyDescent="0.3">
      <c r="A185" s="5">
        <v>41906</v>
      </c>
      <c r="B185">
        <v>34.400002000000001</v>
      </c>
      <c r="C185">
        <v>34.849997999999999</v>
      </c>
      <c r="D185">
        <v>34.369999</v>
      </c>
      <c r="E185">
        <v>34.75</v>
      </c>
      <c r="F185">
        <v>26.763836000000001</v>
      </c>
      <c r="G185">
        <v>18829000</v>
      </c>
      <c r="I185">
        <f t="shared" si="3"/>
        <v>4.6939672200955562E-5</v>
      </c>
    </row>
    <row r="186" spans="1:9" x14ac:dyDescent="0.3">
      <c r="A186" s="5">
        <v>41907</v>
      </c>
      <c r="B186">
        <v>34.68</v>
      </c>
      <c r="C186">
        <v>34.790000999999997</v>
      </c>
      <c r="D186">
        <v>33.880001</v>
      </c>
      <c r="E186">
        <v>34.139999000000003</v>
      </c>
      <c r="F186">
        <v>26.294015999999999</v>
      </c>
      <c r="G186">
        <v>34639700</v>
      </c>
      <c r="I186">
        <f t="shared" si="3"/>
        <v>2.3814414881757212E-4</v>
      </c>
    </row>
    <row r="187" spans="1:9" x14ac:dyDescent="0.3">
      <c r="A187" s="5">
        <v>41908</v>
      </c>
      <c r="B187">
        <v>34.259998000000003</v>
      </c>
      <c r="C187">
        <v>34.360000999999997</v>
      </c>
      <c r="D187">
        <v>33.630001</v>
      </c>
      <c r="E187">
        <v>34.259998000000003</v>
      </c>
      <c r="F187">
        <v>26.386444000000001</v>
      </c>
      <c r="G187">
        <v>25882300</v>
      </c>
      <c r="I187">
        <f t="shared" si="3"/>
        <v>3.5296453736809429E-4</v>
      </c>
    </row>
    <row r="188" spans="1:9" x14ac:dyDescent="0.3">
      <c r="A188" s="5">
        <v>41911</v>
      </c>
      <c r="B188">
        <v>34.060001</v>
      </c>
      <c r="C188">
        <v>34.990001999999997</v>
      </c>
      <c r="D188">
        <v>33.939999</v>
      </c>
      <c r="E188">
        <v>34.900002000000001</v>
      </c>
      <c r="F188">
        <v>26.879363999999999</v>
      </c>
      <c r="G188">
        <v>29003100</v>
      </c>
      <c r="I188">
        <f t="shared" si="3"/>
        <v>1.6782630894947846E-4</v>
      </c>
    </row>
    <row r="189" spans="1:9" x14ac:dyDescent="0.3">
      <c r="A189" s="5">
        <v>41912</v>
      </c>
      <c r="B189">
        <v>34.900002000000001</v>
      </c>
      <c r="C189">
        <v>35</v>
      </c>
      <c r="D189">
        <v>34.409999999999997</v>
      </c>
      <c r="E189">
        <v>34.82</v>
      </c>
      <c r="F189">
        <v>26.817747000000001</v>
      </c>
      <c r="G189">
        <v>35274600</v>
      </c>
      <c r="I189">
        <f t="shared" si="3"/>
        <v>1.8223289765103155E-4</v>
      </c>
    </row>
    <row r="190" spans="1:9" x14ac:dyDescent="0.3">
      <c r="A190" s="5">
        <v>41913</v>
      </c>
      <c r="B190">
        <v>34.610000999999997</v>
      </c>
      <c r="C190">
        <v>34.779998999999997</v>
      </c>
      <c r="D190">
        <v>33.840000000000003</v>
      </c>
      <c r="E190">
        <v>33.990001999999997</v>
      </c>
      <c r="F190">
        <v>26.178497</v>
      </c>
      <c r="G190">
        <v>35086600</v>
      </c>
      <c r="I190">
        <f t="shared" si="3"/>
        <v>2.12089165132843E-4</v>
      </c>
    </row>
    <row r="191" spans="1:9" x14ac:dyDescent="0.3">
      <c r="A191" s="5">
        <v>41914</v>
      </c>
      <c r="B191">
        <v>33.959999000000003</v>
      </c>
      <c r="C191">
        <v>34</v>
      </c>
      <c r="D191">
        <v>33.259998000000003</v>
      </c>
      <c r="E191">
        <v>33.520000000000003</v>
      </c>
      <c r="F191">
        <v>25.816507000000001</v>
      </c>
      <c r="G191">
        <v>32910800</v>
      </c>
      <c r="I191">
        <f t="shared" si="3"/>
        <v>1.789217434487428E-4</v>
      </c>
    </row>
    <row r="192" spans="1:9" x14ac:dyDescent="0.3">
      <c r="A192" s="5">
        <v>41915</v>
      </c>
      <c r="B192">
        <v>33.659999999999997</v>
      </c>
      <c r="C192">
        <v>34.18</v>
      </c>
      <c r="D192">
        <v>33.470001000000003</v>
      </c>
      <c r="E192">
        <v>34.029998999999997</v>
      </c>
      <c r="F192">
        <v>26.209305000000001</v>
      </c>
      <c r="G192">
        <v>25834600</v>
      </c>
      <c r="I192">
        <f t="shared" si="3"/>
        <v>1.6135341454549002E-4</v>
      </c>
    </row>
    <row r="193" spans="1:9" x14ac:dyDescent="0.3">
      <c r="A193" s="5">
        <v>41918</v>
      </c>
      <c r="B193">
        <v>34.150002000000001</v>
      </c>
      <c r="C193">
        <v>34.479999999999997</v>
      </c>
      <c r="D193">
        <v>33.869999</v>
      </c>
      <c r="E193">
        <v>34.110000999999997</v>
      </c>
      <c r="F193">
        <v>26.270921999999999</v>
      </c>
      <c r="G193">
        <v>24321100</v>
      </c>
      <c r="I193">
        <f t="shared" si="3"/>
        <v>1.6188710695941137E-4</v>
      </c>
    </row>
    <row r="194" spans="1:9" x14ac:dyDescent="0.3">
      <c r="A194" s="5">
        <v>41919</v>
      </c>
      <c r="B194">
        <v>34.040000999999997</v>
      </c>
      <c r="C194">
        <v>34.049999</v>
      </c>
      <c r="D194">
        <v>33.419998</v>
      </c>
      <c r="E194">
        <v>33.470001000000003</v>
      </c>
      <c r="F194">
        <v>25.778002000000001</v>
      </c>
      <c r="G194">
        <v>25972100</v>
      </c>
      <c r="I194">
        <f t="shared" si="3"/>
        <v>3.2527786142822886E-5</v>
      </c>
    </row>
    <row r="195" spans="1:9" x14ac:dyDescent="0.3">
      <c r="A195" s="5">
        <v>41920</v>
      </c>
      <c r="B195">
        <v>33.490001999999997</v>
      </c>
      <c r="C195">
        <v>34.369999</v>
      </c>
      <c r="D195">
        <v>33.139999000000003</v>
      </c>
      <c r="E195">
        <v>34.270000000000003</v>
      </c>
      <c r="F195">
        <v>26.394148000000001</v>
      </c>
      <c r="G195">
        <v>34960600</v>
      </c>
      <c r="I195">
        <f t="shared" si="3"/>
        <v>4.2783185420184017E-4</v>
      </c>
    </row>
    <row r="196" spans="1:9" x14ac:dyDescent="0.3">
      <c r="A196" s="5">
        <v>41921</v>
      </c>
      <c r="B196">
        <v>34.150002000000001</v>
      </c>
      <c r="C196">
        <v>34.43</v>
      </c>
      <c r="D196">
        <v>33.580002</v>
      </c>
      <c r="E196">
        <v>33.619999</v>
      </c>
      <c r="F196">
        <v>25.893529999999998</v>
      </c>
      <c r="G196">
        <v>28185700</v>
      </c>
      <c r="I196">
        <f t="shared" si="3"/>
        <v>2.144371970369637E-4</v>
      </c>
    </row>
    <row r="197" spans="1:9" x14ac:dyDescent="0.3">
      <c r="A197" s="5">
        <v>41922</v>
      </c>
      <c r="B197">
        <v>32.619999</v>
      </c>
      <c r="C197">
        <v>32.860000999999997</v>
      </c>
      <c r="D197">
        <v>30.5</v>
      </c>
      <c r="E197">
        <v>31.91</v>
      </c>
      <c r="F197">
        <v>24.576523000000002</v>
      </c>
      <c r="G197">
        <v>80917600</v>
      </c>
      <c r="I197">
        <f t="shared" si="3"/>
        <v>3.2519577088165677E-3</v>
      </c>
    </row>
    <row r="198" spans="1:9" x14ac:dyDescent="0.3">
      <c r="A198" s="5">
        <v>41925</v>
      </c>
      <c r="B198">
        <v>31.719999000000001</v>
      </c>
      <c r="C198">
        <v>32.369999</v>
      </c>
      <c r="D198">
        <v>31.469999000000001</v>
      </c>
      <c r="E198">
        <v>31.469999000000001</v>
      </c>
      <c r="F198">
        <v>24.237639999999999</v>
      </c>
      <c r="G198">
        <v>42110200</v>
      </c>
      <c r="I198">
        <f t="shared" si="3"/>
        <v>5.7197414761964822E-4</v>
      </c>
    </row>
    <row r="199" spans="1:9" x14ac:dyDescent="0.3">
      <c r="A199" s="5">
        <v>41926</v>
      </c>
      <c r="B199">
        <v>31.99</v>
      </c>
      <c r="C199">
        <v>32.669998</v>
      </c>
      <c r="D199">
        <v>31.709999</v>
      </c>
      <c r="E199">
        <v>32.139999000000003</v>
      </c>
      <c r="F199">
        <v>24.753654000000001</v>
      </c>
      <c r="G199">
        <v>68671000</v>
      </c>
      <c r="I199">
        <f t="shared" si="3"/>
        <v>4.6243790846221751E-4</v>
      </c>
    </row>
    <row r="200" spans="1:9" x14ac:dyDescent="0.3">
      <c r="A200" s="5">
        <v>41927</v>
      </c>
      <c r="B200">
        <v>30.540001</v>
      </c>
      <c r="C200">
        <v>31.65</v>
      </c>
      <c r="D200">
        <v>29.65</v>
      </c>
      <c r="E200">
        <v>31.280000999999999</v>
      </c>
      <c r="F200">
        <v>24.091304999999998</v>
      </c>
      <c r="G200">
        <v>92305200</v>
      </c>
      <c r="I200">
        <f t="shared" si="3"/>
        <v>2.0025841693363162E-3</v>
      </c>
    </row>
    <row r="201" spans="1:9" x14ac:dyDescent="0.3">
      <c r="A201" s="5">
        <v>41928</v>
      </c>
      <c r="B201">
        <v>30.889999</v>
      </c>
      <c r="C201">
        <v>31.51</v>
      </c>
      <c r="D201">
        <v>30.75</v>
      </c>
      <c r="E201">
        <v>30.85</v>
      </c>
      <c r="F201">
        <v>23.760124000000001</v>
      </c>
      <c r="G201">
        <v>47787400</v>
      </c>
      <c r="I201">
        <f t="shared" si="3"/>
        <v>4.3541309008322403E-4</v>
      </c>
    </row>
    <row r="202" spans="1:9" x14ac:dyDescent="0.3">
      <c r="A202" s="5">
        <v>41929</v>
      </c>
      <c r="B202">
        <v>31.200001</v>
      </c>
      <c r="C202">
        <v>31.709999</v>
      </c>
      <c r="D202">
        <v>30.969999000000001</v>
      </c>
      <c r="E202">
        <v>31.379999000000002</v>
      </c>
      <c r="F202">
        <v>24.168322</v>
      </c>
      <c r="G202">
        <v>37504500</v>
      </c>
      <c r="I202">
        <f t="shared" si="3"/>
        <v>2.6693145980306198E-4</v>
      </c>
    </row>
    <row r="203" spans="1:9" x14ac:dyDescent="0.3">
      <c r="A203" s="5">
        <v>41932</v>
      </c>
      <c r="B203">
        <v>31.040001</v>
      </c>
      <c r="C203">
        <v>31.700001</v>
      </c>
      <c r="D203">
        <v>30.9</v>
      </c>
      <c r="E203">
        <v>31.58</v>
      </c>
      <c r="F203">
        <v>24.322358999999999</v>
      </c>
      <c r="G203">
        <v>30523700</v>
      </c>
      <c r="I203">
        <f t="shared" si="3"/>
        <v>1.7820082874629546E-4</v>
      </c>
    </row>
    <row r="204" spans="1:9" x14ac:dyDescent="0.3">
      <c r="A204" s="5">
        <v>41933</v>
      </c>
      <c r="B204">
        <v>31.67</v>
      </c>
      <c r="C204">
        <v>32.619999</v>
      </c>
      <c r="D204">
        <v>31.58</v>
      </c>
      <c r="E204">
        <v>32.610000999999997</v>
      </c>
      <c r="F204">
        <v>25.115648</v>
      </c>
      <c r="G204">
        <v>33278400</v>
      </c>
      <c r="I204">
        <f t="shared" ref="I204:I267" si="4">LN(C204/B204)*(LN(C204/B204)-LN(E204/B204))+LN(D204/B204)*(LN(D204/B204)-LN(E204/B204))</f>
        <v>1.0039782969565186E-4</v>
      </c>
    </row>
    <row r="205" spans="1:9" x14ac:dyDescent="0.3">
      <c r="A205" s="5">
        <v>41934</v>
      </c>
      <c r="B205">
        <v>32.659999999999997</v>
      </c>
      <c r="C205">
        <v>32.869999</v>
      </c>
      <c r="D205">
        <v>32.220001000000003</v>
      </c>
      <c r="E205">
        <v>32.270000000000003</v>
      </c>
      <c r="F205">
        <v>24.853785999999999</v>
      </c>
      <c r="G205">
        <v>26725600</v>
      </c>
      <c r="I205">
        <f t="shared" si="4"/>
        <v>1.3910562084796895E-4</v>
      </c>
    </row>
    <row r="206" spans="1:9" x14ac:dyDescent="0.3">
      <c r="A206" s="5">
        <v>41935</v>
      </c>
      <c r="B206">
        <v>32.720001000000003</v>
      </c>
      <c r="C206">
        <v>32.909999999999997</v>
      </c>
      <c r="D206">
        <v>32.599997999999999</v>
      </c>
      <c r="E206">
        <v>32.689999</v>
      </c>
      <c r="F206">
        <v>25.177256</v>
      </c>
      <c r="G206">
        <v>22254900</v>
      </c>
      <c r="I206">
        <f t="shared" si="4"/>
        <v>4.8965778842036616E-5</v>
      </c>
    </row>
    <row r="207" spans="1:9" x14ac:dyDescent="0.3">
      <c r="A207" s="5">
        <v>41936</v>
      </c>
      <c r="B207">
        <v>32.720001000000003</v>
      </c>
      <c r="C207">
        <v>33.330002</v>
      </c>
      <c r="D207">
        <v>32.57</v>
      </c>
      <c r="E207">
        <v>33.18</v>
      </c>
      <c r="F207">
        <v>25.554649000000001</v>
      </c>
      <c r="G207">
        <v>27814300</v>
      </c>
      <c r="I207">
        <f t="shared" si="4"/>
        <v>1.6858024429590392E-4</v>
      </c>
    </row>
    <row r="208" spans="1:9" x14ac:dyDescent="0.3">
      <c r="A208" s="5">
        <v>41939</v>
      </c>
      <c r="B208">
        <v>33.080002</v>
      </c>
      <c r="C208">
        <v>33.299999</v>
      </c>
      <c r="D208">
        <v>32.770000000000003</v>
      </c>
      <c r="E208">
        <v>33.200001</v>
      </c>
      <c r="F208">
        <v>25.570053000000001</v>
      </c>
      <c r="G208">
        <v>23751900</v>
      </c>
      <c r="I208">
        <f t="shared" si="4"/>
        <v>1.4267897699397889E-4</v>
      </c>
    </row>
    <row r="209" spans="1:9" x14ac:dyDescent="0.3">
      <c r="A209" s="5">
        <v>41940</v>
      </c>
      <c r="B209">
        <v>33.229999999999997</v>
      </c>
      <c r="C209">
        <v>33.75</v>
      </c>
      <c r="D209">
        <v>33.229999999999997</v>
      </c>
      <c r="E209">
        <v>33.740001999999997</v>
      </c>
      <c r="F209">
        <v>25.985949000000002</v>
      </c>
      <c r="G209">
        <v>21857800</v>
      </c>
      <c r="I209">
        <f t="shared" si="4"/>
        <v>4.6004531452271209E-6</v>
      </c>
    </row>
    <row r="210" spans="1:9" x14ac:dyDescent="0.3">
      <c r="A210" s="5">
        <v>41941</v>
      </c>
      <c r="B210">
        <v>33.759998000000003</v>
      </c>
      <c r="C210">
        <v>33.970001000000003</v>
      </c>
      <c r="D210">
        <v>33.509998000000003</v>
      </c>
      <c r="E210">
        <v>33.919998</v>
      </c>
      <c r="F210">
        <v>26.124582</v>
      </c>
      <c r="G210">
        <v>24615200</v>
      </c>
      <c r="I210">
        <f t="shared" si="4"/>
        <v>9.952396618894717E-5</v>
      </c>
    </row>
    <row r="211" spans="1:9" x14ac:dyDescent="0.3">
      <c r="A211" s="5">
        <v>41942</v>
      </c>
      <c r="B211">
        <v>33.580002</v>
      </c>
      <c r="C211">
        <v>33.610000999999997</v>
      </c>
      <c r="D211">
        <v>32.400002000000001</v>
      </c>
      <c r="E211">
        <v>32.580002</v>
      </c>
      <c r="F211">
        <v>25.092545000000001</v>
      </c>
      <c r="G211">
        <v>55217900</v>
      </c>
      <c r="I211">
        <f t="shared" si="4"/>
        <v>2.2597797100177549E-4</v>
      </c>
    </row>
    <row r="212" spans="1:9" x14ac:dyDescent="0.3">
      <c r="A212" s="5">
        <v>41943</v>
      </c>
      <c r="B212">
        <v>33.740001999999997</v>
      </c>
      <c r="C212">
        <v>34.009998000000003</v>
      </c>
      <c r="D212">
        <v>32.630001</v>
      </c>
      <c r="E212">
        <v>34.009998000000003</v>
      </c>
      <c r="F212">
        <v>26.193897</v>
      </c>
      <c r="G212">
        <v>52089700</v>
      </c>
      <c r="I212">
        <f t="shared" si="4"/>
        <v>1.3856618888451243E-3</v>
      </c>
    </row>
    <row r="213" spans="1:9" x14ac:dyDescent="0.3">
      <c r="A213" s="5">
        <v>41946</v>
      </c>
      <c r="B213">
        <v>33.810001</v>
      </c>
      <c r="C213">
        <v>34.479999999999997</v>
      </c>
      <c r="D213">
        <v>33.790000999999997</v>
      </c>
      <c r="E213">
        <v>34.310001</v>
      </c>
      <c r="F213">
        <v>26.424961</v>
      </c>
      <c r="G213">
        <v>28703600</v>
      </c>
      <c r="I213">
        <f t="shared" si="4"/>
        <v>1.0602351972685962E-4</v>
      </c>
    </row>
    <row r="214" spans="1:9" x14ac:dyDescent="0.3">
      <c r="A214" s="5">
        <v>41947</v>
      </c>
      <c r="B214">
        <v>34.25</v>
      </c>
      <c r="C214">
        <v>34.779998999999997</v>
      </c>
      <c r="D214">
        <v>34.209999000000003</v>
      </c>
      <c r="E214">
        <v>34.540000999999997</v>
      </c>
      <c r="F214">
        <v>26.602104000000001</v>
      </c>
      <c r="G214">
        <v>34695900</v>
      </c>
      <c r="I214">
        <f t="shared" si="4"/>
        <v>1.1754883662402863E-4</v>
      </c>
    </row>
    <row r="215" spans="1:9" x14ac:dyDescent="0.3">
      <c r="A215" s="5">
        <v>41948</v>
      </c>
      <c r="B215">
        <v>34.049999</v>
      </c>
      <c r="C215">
        <v>34.099997999999999</v>
      </c>
      <c r="D215">
        <v>33.599997999999999</v>
      </c>
      <c r="E215">
        <v>33.759998000000003</v>
      </c>
      <c r="F215">
        <v>26.171841000000001</v>
      </c>
      <c r="G215">
        <v>34705500</v>
      </c>
      <c r="I215">
        <f t="shared" si="4"/>
        <v>7.7905622735879851E-5</v>
      </c>
    </row>
    <row r="216" spans="1:9" x14ac:dyDescent="0.3">
      <c r="A216" s="5">
        <v>41949</v>
      </c>
      <c r="B216">
        <v>33.689999</v>
      </c>
      <c r="C216">
        <v>34.229999999999997</v>
      </c>
      <c r="D216">
        <v>33.409999999999997</v>
      </c>
      <c r="E216">
        <v>33.82</v>
      </c>
      <c r="F216">
        <v>26.218354999999999</v>
      </c>
      <c r="G216">
        <v>25240600</v>
      </c>
      <c r="I216">
        <f t="shared" si="4"/>
        <v>2.934080036070727E-4</v>
      </c>
    </row>
    <row r="217" spans="1:9" x14ac:dyDescent="0.3">
      <c r="A217" s="5">
        <v>41950</v>
      </c>
      <c r="B217">
        <v>33.979999999999997</v>
      </c>
      <c r="C217">
        <v>34</v>
      </c>
      <c r="D217">
        <v>33.189999</v>
      </c>
      <c r="E217">
        <v>33.580002</v>
      </c>
      <c r="F217">
        <v>26.032306999999999</v>
      </c>
      <c r="G217">
        <v>27604500</v>
      </c>
      <c r="I217">
        <f t="shared" si="4"/>
        <v>2.8211829387744011E-4</v>
      </c>
    </row>
    <row r="218" spans="1:9" x14ac:dyDescent="0.3">
      <c r="A218" s="5">
        <v>41953</v>
      </c>
      <c r="B218">
        <v>33.43</v>
      </c>
      <c r="C218">
        <v>33.490001999999997</v>
      </c>
      <c r="D218">
        <v>33.080002</v>
      </c>
      <c r="E218">
        <v>33.259998000000003</v>
      </c>
      <c r="F218">
        <v>25.784224999999999</v>
      </c>
      <c r="G218">
        <v>30653600</v>
      </c>
      <c r="I218">
        <f t="shared" si="4"/>
        <v>6.9470699113240956E-5</v>
      </c>
    </row>
    <row r="219" spans="1:9" x14ac:dyDescent="0.3">
      <c r="A219" s="5">
        <v>41954</v>
      </c>
      <c r="B219">
        <v>33.360000999999997</v>
      </c>
      <c r="C219">
        <v>33.540000999999997</v>
      </c>
      <c r="D219">
        <v>33.200001</v>
      </c>
      <c r="E219">
        <v>33.310001</v>
      </c>
      <c r="F219">
        <v>25.822994000000001</v>
      </c>
      <c r="G219">
        <v>19676600</v>
      </c>
      <c r="I219">
        <f t="shared" si="4"/>
        <v>5.2931250756734399E-5</v>
      </c>
    </row>
    <row r="220" spans="1:9" x14ac:dyDescent="0.3">
      <c r="A220" s="5">
        <v>41955</v>
      </c>
      <c r="B220">
        <v>33.229999999999997</v>
      </c>
      <c r="C220">
        <v>33.419998</v>
      </c>
      <c r="D220">
        <v>33</v>
      </c>
      <c r="E220">
        <v>33.380001</v>
      </c>
      <c r="F220">
        <v>25.87726</v>
      </c>
      <c r="G220">
        <v>22864200</v>
      </c>
      <c r="I220">
        <f t="shared" si="4"/>
        <v>8.6349444756130331E-5</v>
      </c>
    </row>
    <row r="221" spans="1:9" x14ac:dyDescent="0.3">
      <c r="A221" s="5">
        <v>41956</v>
      </c>
      <c r="B221">
        <v>33.349997999999999</v>
      </c>
      <c r="C221">
        <v>33.860000999999997</v>
      </c>
      <c r="D221">
        <v>33.340000000000003</v>
      </c>
      <c r="E221">
        <v>33.68</v>
      </c>
      <c r="F221">
        <v>26.109822999999999</v>
      </c>
      <c r="G221">
        <v>26449300</v>
      </c>
      <c r="I221">
        <f t="shared" si="4"/>
        <v>8.3937289658984169E-5</v>
      </c>
    </row>
    <row r="222" spans="1:9" x14ac:dyDescent="0.3">
      <c r="A222" s="5">
        <v>41957</v>
      </c>
      <c r="B222">
        <v>33.75</v>
      </c>
      <c r="C222">
        <v>33.970001000000003</v>
      </c>
      <c r="D222">
        <v>33.349997999999999</v>
      </c>
      <c r="E222">
        <v>33.950001</v>
      </c>
      <c r="F222">
        <v>26.319143</v>
      </c>
      <c r="G222">
        <v>18104600</v>
      </c>
      <c r="I222">
        <f t="shared" si="4"/>
        <v>2.1642228955019705E-4</v>
      </c>
    </row>
    <row r="223" spans="1:9" x14ac:dyDescent="0.3">
      <c r="A223" s="5">
        <v>41960</v>
      </c>
      <c r="B223">
        <v>33.82</v>
      </c>
      <c r="C223">
        <v>34.25</v>
      </c>
      <c r="D223">
        <v>33.759998000000003</v>
      </c>
      <c r="E223">
        <v>34.240001999999997</v>
      </c>
      <c r="F223">
        <v>26.543959000000001</v>
      </c>
      <c r="G223">
        <v>17646300</v>
      </c>
      <c r="I223">
        <f t="shared" si="4"/>
        <v>2.8758421208805666E-5</v>
      </c>
    </row>
    <row r="224" spans="1:9" x14ac:dyDescent="0.3">
      <c r="A224" s="5">
        <v>41961</v>
      </c>
      <c r="B224">
        <v>34.189999</v>
      </c>
      <c r="C224">
        <v>34.900002000000001</v>
      </c>
      <c r="D224">
        <v>34.159999999999997</v>
      </c>
      <c r="E224">
        <v>34.709999000000003</v>
      </c>
      <c r="F224">
        <v>26.908321000000001</v>
      </c>
      <c r="G224">
        <v>30674800</v>
      </c>
      <c r="I224">
        <f t="shared" si="4"/>
        <v>1.2622515926815993E-4</v>
      </c>
    </row>
    <row r="225" spans="1:9" x14ac:dyDescent="0.3">
      <c r="A225" s="5">
        <v>41962</v>
      </c>
      <c r="B225">
        <v>34.689999</v>
      </c>
      <c r="C225">
        <v>34.790000999999997</v>
      </c>
      <c r="D225">
        <v>34.25</v>
      </c>
      <c r="E225">
        <v>34.349997999999999</v>
      </c>
      <c r="F225">
        <v>26.629235999999999</v>
      </c>
      <c r="G225">
        <v>21289600</v>
      </c>
      <c r="I225">
        <f t="shared" si="4"/>
        <v>7.3853444999955422E-5</v>
      </c>
    </row>
    <row r="226" spans="1:9" x14ac:dyDescent="0.3">
      <c r="A226" s="5">
        <v>41963</v>
      </c>
      <c r="B226">
        <v>34.139999000000003</v>
      </c>
      <c r="C226">
        <v>35.970001000000003</v>
      </c>
      <c r="D226">
        <v>34</v>
      </c>
      <c r="E226">
        <v>35.950001</v>
      </c>
      <c r="F226">
        <v>27.869598</v>
      </c>
      <c r="G226">
        <v>61994700</v>
      </c>
      <c r="I226">
        <f t="shared" si="4"/>
        <v>2.5820317425362122E-4</v>
      </c>
    </row>
    <row r="227" spans="1:9" x14ac:dyDescent="0.3">
      <c r="A227" s="5">
        <v>41964</v>
      </c>
      <c r="B227">
        <v>35.979999999999997</v>
      </c>
      <c r="C227">
        <v>36.459999000000003</v>
      </c>
      <c r="D227">
        <v>35.5</v>
      </c>
      <c r="E227">
        <v>35.590000000000003</v>
      </c>
      <c r="F227">
        <v>27.590525</v>
      </c>
      <c r="G227">
        <v>56721600</v>
      </c>
      <c r="I227">
        <f t="shared" si="4"/>
        <v>3.5406815729026976E-4</v>
      </c>
    </row>
    <row r="228" spans="1:9" x14ac:dyDescent="0.3">
      <c r="A228" s="5">
        <v>41967</v>
      </c>
      <c r="B228">
        <v>35.889999000000003</v>
      </c>
      <c r="C228">
        <v>36.43</v>
      </c>
      <c r="D228">
        <v>35.840000000000003</v>
      </c>
      <c r="E228">
        <v>36.25</v>
      </c>
      <c r="F228">
        <v>28.102173000000001</v>
      </c>
      <c r="G228">
        <v>33321100</v>
      </c>
      <c r="I228">
        <f t="shared" si="4"/>
        <v>8.9828680583144415E-5</v>
      </c>
    </row>
    <row r="229" spans="1:9" x14ac:dyDescent="0.3">
      <c r="A229" s="5">
        <v>41968</v>
      </c>
      <c r="B229">
        <v>36.360000999999997</v>
      </c>
      <c r="C229">
        <v>36.479999999999997</v>
      </c>
      <c r="D229">
        <v>36.150002000000001</v>
      </c>
      <c r="E229">
        <v>36.32</v>
      </c>
      <c r="F229">
        <v>28.156438999999999</v>
      </c>
      <c r="G229">
        <v>29093200</v>
      </c>
      <c r="I229">
        <f t="shared" si="4"/>
        <v>4.1657791847425742E-5</v>
      </c>
    </row>
    <row r="230" spans="1:9" x14ac:dyDescent="0.3">
      <c r="A230" s="5">
        <v>41969</v>
      </c>
      <c r="B230">
        <v>36.369999</v>
      </c>
      <c r="C230">
        <v>36.990001999999997</v>
      </c>
      <c r="D230">
        <v>36.279998999999997</v>
      </c>
      <c r="E230">
        <v>36.900002000000001</v>
      </c>
      <c r="F230">
        <v>28.606071</v>
      </c>
      <c r="G230">
        <v>24060000</v>
      </c>
      <c r="I230">
        <f t="shared" si="4"/>
        <v>8.3161199470335186E-5</v>
      </c>
    </row>
    <row r="231" spans="1:9" x14ac:dyDescent="0.3">
      <c r="A231" s="5">
        <v>41971</v>
      </c>
      <c r="B231">
        <v>37.040000999999997</v>
      </c>
      <c r="C231">
        <v>37.689999</v>
      </c>
      <c r="D231">
        <v>36.939999</v>
      </c>
      <c r="E231">
        <v>37.25</v>
      </c>
      <c r="F231">
        <v>28.877399</v>
      </c>
      <c r="G231">
        <v>19128500</v>
      </c>
      <c r="I231">
        <f t="shared" si="4"/>
        <v>2.2687546331451281E-4</v>
      </c>
    </row>
    <row r="232" spans="1:9" x14ac:dyDescent="0.3">
      <c r="A232" s="5">
        <v>41974</v>
      </c>
      <c r="B232">
        <v>37.209999000000003</v>
      </c>
      <c r="C232">
        <v>37.619999</v>
      </c>
      <c r="D232">
        <v>36.900002000000001</v>
      </c>
      <c r="E232">
        <v>37.169998</v>
      </c>
      <c r="F232">
        <v>28.815387999999999</v>
      </c>
      <c r="G232">
        <v>30904000</v>
      </c>
      <c r="I232">
        <f t="shared" si="4"/>
        <v>1.9286071018867127E-4</v>
      </c>
    </row>
    <row r="233" spans="1:9" x14ac:dyDescent="0.3">
      <c r="A233" s="5">
        <v>41975</v>
      </c>
      <c r="B233">
        <v>37.18</v>
      </c>
      <c r="C233">
        <v>37.599997999999999</v>
      </c>
      <c r="D233">
        <v>37.18</v>
      </c>
      <c r="E233">
        <v>37.599997999999999</v>
      </c>
      <c r="F233">
        <v>29.148734999999999</v>
      </c>
      <c r="G233">
        <v>28361100</v>
      </c>
      <c r="I233">
        <f t="shared" si="4"/>
        <v>0</v>
      </c>
    </row>
    <row r="234" spans="1:9" x14ac:dyDescent="0.3">
      <c r="A234" s="5">
        <v>41976</v>
      </c>
      <c r="B234">
        <v>37.68</v>
      </c>
      <c r="C234">
        <v>37.889999000000003</v>
      </c>
      <c r="D234">
        <v>37.409999999999997</v>
      </c>
      <c r="E234">
        <v>37.43</v>
      </c>
      <c r="F234">
        <v>29.016940999999999</v>
      </c>
      <c r="G234">
        <v>30660800</v>
      </c>
      <c r="I234">
        <f t="shared" si="4"/>
        <v>7.1729720337023676E-5</v>
      </c>
    </row>
    <row r="235" spans="1:9" x14ac:dyDescent="0.3">
      <c r="A235" s="5">
        <v>41977</v>
      </c>
      <c r="B235">
        <v>37.400002000000001</v>
      </c>
      <c r="C235">
        <v>37.459999000000003</v>
      </c>
      <c r="D235">
        <v>37.040000999999997</v>
      </c>
      <c r="E235">
        <v>37.459999000000003</v>
      </c>
      <c r="F235">
        <v>29.040206999999999</v>
      </c>
      <c r="G235">
        <v>23359100</v>
      </c>
      <c r="I235">
        <f t="shared" si="4"/>
        <v>1.0905767955685502E-4</v>
      </c>
    </row>
    <row r="236" spans="1:9" x14ac:dyDescent="0.3">
      <c r="A236" s="5">
        <v>41978</v>
      </c>
      <c r="B236">
        <v>37.57</v>
      </c>
      <c r="C236">
        <v>37.900002000000001</v>
      </c>
      <c r="D236">
        <v>37.520000000000003</v>
      </c>
      <c r="E236">
        <v>37.669998</v>
      </c>
      <c r="F236">
        <v>29.202997</v>
      </c>
      <c r="G236">
        <v>20527600</v>
      </c>
      <c r="I236">
        <f t="shared" si="4"/>
        <v>5.8547806757459374E-5</v>
      </c>
    </row>
    <row r="237" spans="1:9" x14ac:dyDescent="0.3">
      <c r="A237" s="5">
        <v>41981</v>
      </c>
      <c r="B237">
        <v>37.459999000000003</v>
      </c>
      <c r="C237">
        <v>37.729999999999997</v>
      </c>
      <c r="D237">
        <v>36.939999</v>
      </c>
      <c r="E237">
        <v>37.200001</v>
      </c>
      <c r="F237">
        <v>28.838647999999999</v>
      </c>
      <c r="G237">
        <v>28134800</v>
      </c>
      <c r="I237">
        <f t="shared" si="4"/>
        <v>1.9964452991889058E-4</v>
      </c>
    </row>
    <row r="238" spans="1:9" x14ac:dyDescent="0.3">
      <c r="A238" s="5">
        <v>41982</v>
      </c>
      <c r="B238">
        <v>36.669998</v>
      </c>
      <c r="C238">
        <v>37.090000000000003</v>
      </c>
      <c r="D238">
        <v>36.299999</v>
      </c>
      <c r="E238">
        <v>36.889999000000003</v>
      </c>
      <c r="F238">
        <v>28.598320000000001</v>
      </c>
      <c r="G238">
        <v>28487300</v>
      </c>
      <c r="I238">
        <f t="shared" si="4"/>
        <v>2.2508083134054239E-4</v>
      </c>
    </row>
    <row r="239" spans="1:9" x14ac:dyDescent="0.3">
      <c r="A239" s="5">
        <v>41983</v>
      </c>
      <c r="B239">
        <v>36.93</v>
      </c>
      <c r="C239">
        <v>37.020000000000003</v>
      </c>
      <c r="D239">
        <v>36.299999</v>
      </c>
      <c r="E239">
        <v>36.419998</v>
      </c>
      <c r="F239">
        <v>28.233958999999999</v>
      </c>
      <c r="G239">
        <v>27499900</v>
      </c>
      <c r="I239">
        <f t="shared" si="4"/>
        <v>9.6560298887553796E-5</v>
      </c>
    </row>
    <row r="240" spans="1:9" x14ac:dyDescent="0.3">
      <c r="A240" s="5">
        <v>41984</v>
      </c>
      <c r="B240">
        <v>36.5</v>
      </c>
      <c r="C240">
        <v>37.209999000000003</v>
      </c>
      <c r="D240">
        <v>36.439999</v>
      </c>
      <c r="E240">
        <v>36.700001</v>
      </c>
      <c r="F240">
        <v>28.451028999999998</v>
      </c>
      <c r="G240">
        <v>25088200</v>
      </c>
      <c r="I240">
        <f t="shared" si="4"/>
        <v>2.7757169346584784E-4</v>
      </c>
    </row>
    <row r="241" spans="1:9" x14ac:dyDescent="0.3">
      <c r="A241" s="5">
        <v>41985</v>
      </c>
      <c r="B241">
        <v>36.450001</v>
      </c>
      <c r="C241">
        <v>36.82</v>
      </c>
      <c r="D241">
        <v>36.220001000000003</v>
      </c>
      <c r="E241">
        <v>36.229999999999997</v>
      </c>
      <c r="F241">
        <v>28.086666000000001</v>
      </c>
      <c r="G241">
        <v>29322500</v>
      </c>
      <c r="I241">
        <f t="shared" si="4"/>
        <v>1.6489430592699645E-4</v>
      </c>
    </row>
    <row r="242" spans="1:9" x14ac:dyDescent="0.3">
      <c r="A242" s="5">
        <v>41988</v>
      </c>
      <c r="B242">
        <v>36.389999000000003</v>
      </c>
      <c r="C242">
        <v>36.779998999999997</v>
      </c>
      <c r="D242">
        <v>35.900002000000001</v>
      </c>
      <c r="E242">
        <v>35.919998</v>
      </c>
      <c r="F242">
        <v>27.846346</v>
      </c>
      <c r="G242">
        <v>30633400</v>
      </c>
      <c r="I242">
        <f t="shared" si="4"/>
        <v>2.5976939141727557E-4</v>
      </c>
    </row>
    <row r="243" spans="1:9" x14ac:dyDescent="0.3">
      <c r="A243" s="5">
        <v>41989</v>
      </c>
      <c r="B243">
        <v>35.860000999999997</v>
      </c>
      <c r="C243">
        <v>36.5</v>
      </c>
      <c r="D243">
        <v>35.560001</v>
      </c>
      <c r="E243">
        <v>35.560001</v>
      </c>
      <c r="F243">
        <v>27.567259</v>
      </c>
      <c r="G243">
        <v>31166300</v>
      </c>
      <c r="I243">
        <f t="shared" si="4"/>
        <v>4.6154049428791174E-4</v>
      </c>
    </row>
    <row r="244" spans="1:9" x14ac:dyDescent="0.3">
      <c r="A244" s="5">
        <v>41990</v>
      </c>
      <c r="B244">
        <v>35.619999</v>
      </c>
      <c r="C244">
        <v>36.330002</v>
      </c>
      <c r="D244">
        <v>35.330002</v>
      </c>
      <c r="E244">
        <v>36.240001999999997</v>
      </c>
      <c r="F244">
        <v>28.094421000000001</v>
      </c>
      <c r="G244">
        <v>31637700</v>
      </c>
      <c r="I244">
        <f t="shared" si="4"/>
        <v>2.5684585290211212E-4</v>
      </c>
    </row>
    <row r="245" spans="1:9" x14ac:dyDescent="0.3">
      <c r="A245" s="5">
        <v>41991</v>
      </c>
      <c r="B245">
        <v>36.75</v>
      </c>
      <c r="C245">
        <v>37.020000000000003</v>
      </c>
      <c r="D245">
        <v>36.43</v>
      </c>
      <c r="E245">
        <v>37.020000000000003</v>
      </c>
      <c r="F245">
        <v>28.699106</v>
      </c>
      <c r="G245">
        <v>32128100</v>
      </c>
      <c r="I245">
        <f t="shared" si="4"/>
        <v>1.405043872053981E-4</v>
      </c>
    </row>
    <row r="246" spans="1:9" x14ac:dyDescent="0.3">
      <c r="A246" s="5">
        <v>41992</v>
      </c>
      <c r="B246">
        <v>37.020000000000003</v>
      </c>
      <c r="C246">
        <v>37.159999999999997</v>
      </c>
      <c r="D246">
        <v>36.229999999999997</v>
      </c>
      <c r="E246">
        <v>36.369999</v>
      </c>
      <c r="F246">
        <v>28.195208000000001</v>
      </c>
      <c r="G246">
        <v>76786800</v>
      </c>
      <c r="I246">
        <f t="shared" si="4"/>
        <v>1.6430401357985647E-4</v>
      </c>
    </row>
    <row r="247" spans="1:9" x14ac:dyDescent="0.3">
      <c r="A247" s="5">
        <v>41995</v>
      </c>
      <c r="B247">
        <v>36.389999000000003</v>
      </c>
      <c r="C247">
        <v>37.259998000000003</v>
      </c>
      <c r="D247">
        <v>36.389999000000003</v>
      </c>
      <c r="E247">
        <v>37.209999000000003</v>
      </c>
      <c r="F247">
        <v>28.846397</v>
      </c>
      <c r="G247">
        <v>29227100</v>
      </c>
      <c r="I247">
        <f t="shared" si="4"/>
        <v>3.1725338160038876E-5</v>
      </c>
    </row>
    <row r="248" spans="1:9" x14ac:dyDescent="0.3">
      <c r="A248" s="5">
        <v>41996</v>
      </c>
      <c r="B248">
        <v>37.400002000000001</v>
      </c>
      <c r="C248">
        <v>37.700001</v>
      </c>
      <c r="D248">
        <v>37.299999</v>
      </c>
      <c r="E248">
        <v>37.43</v>
      </c>
      <c r="F248">
        <v>29.016940999999999</v>
      </c>
      <c r="G248">
        <v>22169700</v>
      </c>
      <c r="I248">
        <f t="shared" si="4"/>
        <v>6.673980978374135E-5</v>
      </c>
    </row>
    <row r="249" spans="1:9" x14ac:dyDescent="0.3">
      <c r="A249" s="5">
        <v>41997</v>
      </c>
      <c r="B249">
        <v>37.470001000000003</v>
      </c>
      <c r="C249">
        <v>37.599997999999999</v>
      </c>
      <c r="D249">
        <v>37.18</v>
      </c>
      <c r="E249">
        <v>37.439999</v>
      </c>
      <c r="F249">
        <v>29.024702000000001</v>
      </c>
      <c r="G249">
        <v>12109100</v>
      </c>
      <c r="I249">
        <f t="shared" si="4"/>
        <v>6.891301090732483E-5</v>
      </c>
    </row>
    <row r="250" spans="1:9" x14ac:dyDescent="0.3">
      <c r="A250" s="5">
        <v>41999</v>
      </c>
      <c r="B250">
        <v>37.520000000000003</v>
      </c>
      <c r="C250">
        <v>37.740001999999997</v>
      </c>
      <c r="D250">
        <v>37.520000000000003</v>
      </c>
      <c r="E250">
        <v>37.549999</v>
      </c>
      <c r="F250">
        <v>29.109970000000001</v>
      </c>
      <c r="G250">
        <v>14037200</v>
      </c>
      <c r="I250">
        <f t="shared" si="4"/>
        <v>2.9508539094099852E-5</v>
      </c>
    </row>
    <row r="251" spans="1:9" x14ac:dyDescent="0.3">
      <c r="A251" s="5">
        <v>42002</v>
      </c>
      <c r="B251">
        <v>37.450001</v>
      </c>
      <c r="C251">
        <v>37.520000000000003</v>
      </c>
      <c r="D251">
        <v>37.169998</v>
      </c>
      <c r="E251">
        <v>37.18</v>
      </c>
      <c r="F251">
        <v>28.823135000000001</v>
      </c>
      <c r="G251">
        <v>12203300</v>
      </c>
      <c r="I251">
        <f t="shared" si="4"/>
        <v>1.9018274580569775E-5</v>
      </c>
    </row>
    <row r="252" spans="1:9" x14ac:dyDescent="0.3">
      <c r="A252" s="5">
        <v>42003</v>
      </c>
      <c r="B252">
        <v>37.080002</v>
      </c>
      <c r="C252">
        <v>37.189999</v>
      </c>
      <c r="D252">
        <v>36.759998000000003</v>
      </c>
      <c r="E252">
        <v>36.759998000000003</v>
      </c>
      <c r="F252">
        <v>28.497534000000002</v>
      </c>
      <c r="G252">
        <v>15214100</v>
      </c>
      <c r="I252">
        <f t="shared" si="4"/>
        <v>3.4447992611016538E-5</v>
      </c>
    </row>
    <row r="253" spans="1:9" x14ac:dyDescent="0.3">
      <c r="A253" s="5">
        <v>42004</v>
      </c>
      <c r="B253">
        <v>36.630001</v>
      </c>
      <c r="C253">
        <v>37.040000999999997</v>
      </c>
      <c r="D253">
        <v>36.290000999999997</v>
      </c>
      <c r="E253">
        <v>36.290000999999997</v>
      </c>
      <c r="F253">
        <v>28.133177</v>
      </c>
      <c r="G253">
        <v>20393600</v>
      </c>
      <c r="I253">
        <f t="shared" si="4"/>
        <v>2.2769440594708971E-4</v>
      </c>
    </row>
    <row r="254" spans="1:9" x14ac:dyDescent="0.3">
      <c r="A254" s="5">
        <v>42006</v>
      </c>
      <c r="B254">
        <v>36.669998</v>
      </c>
      <c r="C254">
        <v>37.159999999999997</v>
      </c>
      <c r="D254">
        <v>36.110000999999997</v>
      </c>
      <c r="E254">
        <v>36.360000999999997</v>
      </c>
      <c r="F254">
        <v>28.187449000000001</v>
      </c>
      <c r="G254">
        <v>23605600</v>
      </c>
      <c r="I254">
        <f t="shared" si="4"/>
        <v>3.9506579054058796E-4</v>
      </c>
    </row>
    <row r="255" spans="1:9" x14ac:dyDescent="0.3">
      <c r="A255" s="5">
        <v>42009</v>
      </c>
      <c r="B255">
        <v>36.200001</v>
      </c>
      <c r="C255">
        <v>36.450001</v>
      </c>
      <c r="D255">
        <v>35.939999</v>
      </c>
      <c r="E255">
        <v>35.950001</v>
      </c>
      <c r="F255">
        <v>27.869598</v>
      </c>
      <c r="G255">
        <v>32785000</v>
      </c>
      <c r="I255">
        <f t="shared" si="4"/>
        <v>9.7067214035741439E-5</v>
      </c>
    </row>
    <row r="256" spans="1:9" x14ac:dyDescent="0.3">
      <c r="A256" s="5">
        <v>42010</v>
      </c>
      <c r="B256">
        <v>36.080002</v>
      </c>
      <c r="C256">
        <v>36.229999999999997</v>
      </c>
      <c r="D256">
        <v>35.259998000000003</v>
      </c>
      <c r="E256">
        <v>35.279998999999997</v>
      </c>
      <c r="F256">
        <v>27.350203</v>
      </c>
      <c r="G256">
        <v>30847600</v>
      </c>
      <c r="I256">
        <f t="shared" si="4"/>
        <v>1.2327482149149135E-4</v>
      </c>
    </row>
    <row r="257" spans="1:9" x14ac:dyDescent="0.3">
      <c r="A257" s="5">
        <v>42011</v>
      </c>
      <c r="B257">
        <v>35.639999000000003</v>
      </c>
      <c r="C257">
        <v>36.07</v>
      </c>
      <c r="D257">
        <v>35.270000000000003</v>
      </c>
      <c r="E257">
        <v>36.020000000000003</v>
      </c>
      <c r="F257">
        <v>27.923860999999999</v>
      </c>
      <c r="G257">
        <v>27725200</v>
      </c>
      <c r="I257">
        <f t="shared" si="4"/>
        <v>2.3622256126749999E-4</v>
      </c>
    </row>
    <row r="258" spans="1:9" x14ac:dyDescent="0.3">
      <c r="A258" s="5">
        <v>42012</v>
      </c>
      <c r="B258">
        <v>36.369999</v>
      </c>
      <c r="C258">
        <v>37</v>
      </c>
      <c r="D258">
        <v>36.259998000000003</v>
      </c>
      <c r="E258">
        <v>36.689999</v>
      </c>
      <c r="F258">
        <v>28.443275</v>
      </c>
      <c r="G258">
        <v>31765400</v>
      </c>
      <c r="I258">
        <f t="shared" si="4"/>
        <v>1.8020425177730785E-4</v>
      </c>
    </row>
    <row r="259" spans="1:9" x14ac:dyDescent="0.3">
      <c r="A259" s="5">
        <v>42013</v>
      </c>
      <c r="B259">
        <v>36.770000000000003</v>
      </c>
      <c r="C259">
        <v>37.110000999999997</v>
      </c>
      <c r="D259">
        <v>36.400002000000001</v>
      </c>
      <c r="E259">
        <v>36.759998000000003</v>
      </c>
      <c r="F259">
        <v>28.497534000000002</v>
      </c>
      <c r="G259">
        <v>22850500</v>
      </c>
      <c r="I259">
        <f t="shared" si="4"/>
        <v>1.867522441244451E-4</v>
      </c>
    </row>
    <row r="260" spans="1:9" x14ac:dyDescent="0.3">
      <c r="A260" s="5">
        <v>42016</v>
      </c>
      <c r="B260">
        <v>36.900002000000001</v>
      </c>
      <c r="C260">
        <v>37</v>
      </c>
      <c r="D260">
        <v>36.229999999999997</v>
      </c>
      <c r="E260">
        <v>36.599997999999999</v>
      </c>
      <c r="F260">
        <v>28.373512000000002</v>
      </c>
      <c r="G260">
        <v>29400800</v>
      </c>
      <c r="I260">
        <f t="shared" si="4"/>
        <v>2.1560215778526891E-4</v>
      </c>
    </row>
    <row r="261" spans="1:9" x14ac:dyDescent="0.3">
      <c r="A261" s="5">
        <v>42017</v>
      </c>
      <c r="B261">
        <v>36.869999</v>
      </c>
      <c r="C261">
        <v>37.490001999999997</v>
      </c>
      <c r="D261">
        <v>36.290000999999997</v>
      </c>
      <c r="E261">
        <v>36.5</v>
      </c>
      <c r="F261">
        <v>28.295984000000001</v>
      </c>
      <c r="G261">
        <v>31478000</v>
      </c>
      <c r="I261">
        <f t="shared" si="4"/>
        <v>5.3777509260360718E-4</v>
      </c>
    </row>
    <row r="262" spans="1:9" x14ac:dyDescent="0.3">
      <c r="A262" s="5">
        <v>42018</v>
      </c>
      <c r="B262">
        <v>36.330002</v>
      </c>
      <c r="C262">
        <v>36.909999999999997</v>
      </c>
      <c r="D262">
        <v>35.909999999999997</v>
      </c>
      <c r="E262">
        <v>36.349997999999999</v>
      </c>
      <c r="F262">
        <v>28.179694999999999</v>
      </c>
      <c r="G262">
        <v>34250300</v>
      </c>
      <c r="I262">
        <f t="shared" si="4"/>
        <v>3.8375746668084976E-4</v>
      </c>
    </row>
    <row r="263" spans="1:9" x14ac:dyDescent="0.3">
      <c r="A263" s="5">
        <v>42019</v>
      </c>
      <c r="B263">
        <v>36.529998999999997</v>
      </c>
      <c r="C263">
        <v>36.880001</v>
      </c>
      <c r="D263">
        <v>36.029998999999997</v>
      </c>
      <c r="E263">
        <v>36.189999</v>
      </c>
      <c r="F263">
        <v>28.055651000000001</v>
      </c>
      <c r="G263">
        <v>47181800</v>
      </c>
      <c r="I263">
        <f t="shared" si="4"/>
        <v>2.4116191964837234E-4</v>
      </c>
    </row>
    <row r="264" spans="1:9" x14ac:dyDescent="0.3">
      <c r="A264" s="5">
        <v>42020</v>
      </c>
      <c r="B264">
        <v>36.119999</v>
      </c>
      <c r="C264">
        <v>36.659999999999997</v>
      </c>
      <c r="D264">
        <v>35.509998000000003</v>
      </c>
      <c r="E264">
        <v>36.450001</v>
      </c>
      <c r="F264">
        <v>28.257217000000001</v>
      </c>
      <c r="G264">
        <v>62812200</v>
      </c>
      <c r="I264">
        <f t="shared" si="4"/>
        <v>5.3025866087666777E-4</v>
      </c>
    </row>
    <row r="265" spans="1:9" x14ac:dyDescent="0.3">
      <c r="A265" s="5">
        <v>42024</v>
      </c>
      <c r="B265">
        <v>36.099997999999999</v>
      </c>
      <c r="C265">
        <v>36.459999000000003</v>
      </c>
      <c r="D265">
        <v>35.57</v>
      </c>
      <c r="E265">
        <v>36.090000000000003</v>
      </c>
      <c r="F265">
        <v>27.978134000000001</v>
      </c>
      <c r="G265">
        <v>35929400</v>
      </c>
      <c r="I265">
        <f t="shared" si="4"/>
        <v>3.1586710502048E-4</v>
      </c>
    </row>
    <row r="266" spans="1:9" x14ac:dyDescent="0.3">
      <c r="A266" s="5">
        <v>42025</v>
      </c>
      <c r="B266">
        <v>35.849997999999999</v>
      </c>
      <c r="C266">
        <v>36.68</v>
      </c>
      <c r="D266">
        <v>35.770000000000003</v>
      </c>
      <c r="E266">
        <v>36.479999999999997</v>
      </c>
      <c r="F266">
        <v>28.280479</v>
      </c>
      <c r="G266">
        <v>27442600</v>
      </c>
      <c r="I266">
        <f t="shared" si="4"/>
        <v>1.6904805378458425E-4</v>
      </c>
    </row>
    <row r="267" spans="1:9" x14ac:dyDescent="0.3">
      <c r="A267" s="5">
        <v>42026</v>
      </c>
      <c r="B267">
        <v>36.560001</v>
      </c>
      <c r="C267">
        <v>37</v>
      </c>
      <c r="D267">
        <v>36.139999000000003</v>
      </c>
      <c r="E267">
        <v>36.909999999999997</v>
      </c>
      <c r="F267">
        <v>28.613831999999999</v>
      </c>
      <c r="G267">
        <v>31809900</v>
      </c>
      <c r="I267">
        <f t="shared" si="4"/>
        <v>2.7273029002553522E-4</v>
      </c>
    </row>
    <row r="268" spans="1:9" x14ac:dyDescent="0.3">
      <c r="A268" s="5">
        <v>42027</v>
      </c>
      <c r="B268">
        <v>36.959999000000003</v>
      </c>
      <c r="C268">
        <v>37.029998999999997</v>
      </c>
      <c r="D268">
        <v>36.380001</v>
      </c>
      <c r="E268">
        <v>36.450001</v>
      </c>
      <c r="F268">
        <v>28.257217000000001</v>
      </c>
      <c r="G268">
        <v>27427100</v>
      </c>
      <c r="I268">
        <f t="shared" ref="I268:I331" si="5">LN(C268/B268)*(LN(C268/B268)-LN(E268/B268))+LN(D268/B268)*(LN(D268/B268)-LN(E268/B268))</f>
        <v>6.0275944038742959E-5</v>
      </c>
    </row>
    <row r="269" spans="1:9" x14ac:dyDescent="0.3">
      <c r="A269" s="5">
        <v>42030</v>
      </c>
      <c r="B269">
        <v>36.189999</v>
      </c>
      <c r="C269">
        <v>36.299999</v>
      </c>
      <c r="D269">
        <v>35.57</v>
      </c>
      <c r="E269">
        <v>35.810001</v>
      </c>
      <c r="F269">
        <v>27.761068000000002</v>
      </c>
      <c r="G269">
        <v>30906800</v>
      </c>
      <c r="I269">
        <f t="shared" si="5"/>
        <v>1.5744890828521587E-4</v>
      </c>
    </row>
    <row r="270" spans="1:9" x14ac:dyDescent="0.3">
      <c r="A270" s="5">
        <v>42031</v>
      </c>
      <c r="B270">
        <v>34.400002000000001</v>
      </c>
      <c r="C270">
        <v>34.720001000000003</v>
      </c>
      <c r="D270">
        <v>33.549999</v>
      </c>
      <c r="E270">
        <v>34.189999</v>
      </c>
      <c r="F270">
        <v>26.505192000000001</v>
      </c>
      <c r="G270">
        <v>58456200</v>
      </c>
      <c r="I270">
        <f t="shared" si="5"/>
        <v>6.1521584063869473E-4</v>
      </c>
    </row>
    <row r="271" spans="1:9" x14ac:dyDescent="0.3">
      <c r="A271" s="5">
        <v>42032</v>
      </c>
      <c r="B271">
        <v>34.470001000000003</v>
      </c>
      <c r="C271">
        <v>34.700001</v>
      </c>
      <c r="D271">
        <v>33.720001000000003</v>
      </c>
      <c r="E271">
        <v>33.779998999999997</v>
      </c>
      <c r="F271">
        <v>26.187349000000001</v>
      </c>
      <c r="G271">
        <v>34929100</v>
      </c>
      <c r="I271">
        <f t="shared" si="5"/>
        <v>2.1780597568989447E-4</v>
      </c>
    </row>
    <row r="272" spans="1:9" x14ac:dyDescent="0.3">
      <c r="A272" s="5">
        <v>42033</v>
      </c>
      <c r="B272">
        <v>33.840000000000003</v>
      </c>
      <c r="C272">
        <v>34.279998999999997</v>
      </c>
      <c r="D272">
        <v>33.459999000000003</v>
      </c>
      <c r="E272">
        <v>34.209999000000003</v>
      </c>
      <c r="F272">
        <v>26.520700000000001</v>
      </c>
      <c r="G272">
        <v>29569400</v>
      </c>
      <c r="I272">
        <f t="shared" si="5"/>
        <v>2.7673916221060565E-4</v>
      </c>
    </row>
    <row r="273" spans="1:9" x14ac:dyDescent="0.3">
      <c r="A273" s="5">
        <v>42034</v>
      </c>
      <c r="B273">
        <v>33.700001</v>
      </c>
      <c r="C273">
        <v>33.990001999999997</v>
      </c>
      <c r="D273">
        <v>33</v>
      </c>
      <c r="E273">
        <v>33.040000999999997</v>
      </c>
      <c r="F273">
        <v>25.613674</v>
      </c>
      <c r="G273">
        <v>38719700</v>
      </c>
      <c r="I273">
        <f t="shared" si="5"/>
        <v>2.6832466700329549E-4</v>
      </c>
    </row>
    <row r="274" spans="1:9" x14ac:dyDescent="0.3">
      <c r="A274" s="5">
        <v>42037</v>
      </c>
      <c r="B274">
        <v>33.060001</v>
      </c>
      <c r="C274">
        <v>33.75</v>
      </c>
      <c r="D274">
        <v>32.650002000000001</v>
      </c>
      <c r="E274">
        <v>33.650002000000001</v>
      </c>
      <c r="F274">
        <v>26.086576000000001</v>
      </c>
      <c r="G274">
        <v>38733800</v>
      </c>
      <c r="I274">
        <f t="shared" si="5"/>
        <v>4.3776861437564655E-4</v>
      </c>
    </row>
    <row r="275" spans="1:9" x14ac:dyDescent="0.3">
      <c r="A275" s="5">
        <v>42038</v>
      </c>
      <c r="B275">
        <v>33.779998999999997</v>
      </c>
      <c r="C275">
        <v>34.049999</v>
      </c>
      <c r="D275">
        <v>32.610000999999997</v>
      </c>
      <c r="E275">
        <v>33.700001</v>
      </c>
      <c r="F275">
        <v>26.125330000000002</v>
      </c>
      <c r="G275">
        <v>36038300</v>
      </c>
      <c r="I275">
        <f t="shared" si="5"/>
        <v>1.2412301725395352E-3</v>
      </c>
    </row>
    <row r="276" spans="1:9" x14ac:dyDescent="0.3">
      <c r="A276" s="5">
        <v>42039</v>
      </c>
      <c r="B276">
        <v>33.669998</v>
      </c>
      <c r="C276">
        <v>33.840000000000003</v>
      </c>
      <c r="D276">
        <v>33.299999</v>
      </c>
      <c r="E276">
        <v>33.599997999999999</v>
      </c>
      <c r="F276">
        <v>26.234635999999998</v>
      </c>
      <c r="G276">
        <v>25052800</v>
      </c>
      <c r="I276">
        <f t="shared" si="5"/>
        <v>1.349481814352218E-4</v>
      </c>
    </row>
    <row r="277" spans="1:9" x14ac:dyDescent="0.3">
      <c r="A277" s="5">
        <v>42040</v>
      </c>
      <c r="B277">
        <v>33.68</v>
      </c>
      <c r="C277">
        <v>33.990001999999997</v>
      </c>
      <c r="D277">
        <v>33.450001</v>
      </c>
      <c r="E277">
        <v>33.939999</v>
      </c>
      <c r="F277">
        <v>26.500114</v>
      </c>
      <c r="G277">
        <v>20491400</v>
      </c>
      <c r="I277">
        <f t="shared" si="5"/>
        <v>1.1313861106208753E-4</v>
      </c>
    </row>
    <row r="278" spans="1:9" x14ac:dyDescent="0.3">
      <c r="A278" s="5">
        <v>42041</v>
      </c>
      <c r="B278">
        <v>33.919998</v>
      </c>
      <c r="C278">
        <v>34</v>
      </c>
      <c r="D278">
        <v>33.139999000000003</v>
      </c>
      <c r="E278">
        <v>33.299999</v>
      </c>
      <c r="F278">
        <v>26.000408</v>
      </c>
      <c r="G278">
        <v>29342400</v>
      </c>
      <c r="I278">
        <f t="shared" si="5"/>
        <v>1.610547865764485E-4</v>
      </c>
    </row>
    <row r="279" spans="1:9" x14ac:dyDescent="0.3">
      <c r="A279" s="5">
        <v>42044</v>
      </c>
      <c r="B279">
        <v>33</v>
      </c>
      <c r="C279">
        <v>33.240001999999997</v>
      </c>
      <c r="D279">
        <v>32.669998</v>
      </c>
      <c r="E279">
        <v>32.93</v>
      </c>
      <c r="F279">
        <v>25.711507999999998</v>
      </c>
      <c r="G279">
        <v>28705500</v>
      </c>
      <c r="I279">
        <f t="shared" si="5"/>
        <v>1.4756774576180651E-4</v>
      </c>
    </row>
    <row r="280" spans="1:9" x14ac:dyDescent="0.3">
      <c r="A280" s="5">
        <v>42045</v>
      </c>
      <c r="B280">
        <v>33.200001</v>
      </c>
      <c r="C280">
        <v>33.729999999999997</v>
      </c>
      <c r="D280">
        <v>33.049999</v>
      </c>
      <c r="E280">
        <v>33.700001</v>
      </c>
      <c r="F280">
        <v>26.312721</v>
      </c>
      <c r="G280">
        <v>20200000</v>
      </c>
      <c r="I280">
        <f t="shared" si="5"/>
        <v>1.0228817234752921E-4</v>
      </c>
    </row>
    <row r="281" spans="1:9" x14ac:dyDescent="0.3">
      <c r="A281" s="5">
        <v>42046</v>
      </c>
      <c r="B281">
        <v>33.669998</v>
      </c>
      <c r="C281">
        <v>33.759998000000003</v>
      </c>
      <c r="D281">
        <v>33.32</v>
      </c>
      <c r="E281">
        <v>33.549999</v>
      </c>
      <c r="F281">
        <v>26.195601</v>
      </c>
      <c r="G281">
        <v>18364200</v>
      </c>
      <c r="I281">
        <f t="shared" si="5"/>
        <v>8.8537983115544684E-5</v>
      </c>
    </row>
    <row r="282" spans="1:9" x14ac:dyDescent="0.3">
      <c r="A282" s="5">
        <v>42047</v>
      </c>
      <c r="B282">
        <v>33.979999999999997</v>
      </c>
      <c r="C282">
        <v>34.130001</v>
      </c>
      <c r="D282">
        <v>33.759998000000003</v>
      </c>
      <c r="E282">
        <v>34.130001</v>
      </c>
      <c r="F282">
        <v>26.64846</v>
      </c>
      <c r="G282">
        <v>20056700</v>
      </c>
      <c r="I282">
        <f t="shared" si="5"/>
        <v>7.0802193202557201E-5</v>
      </c>
    </row>
    <row r="283" spans="1:9" x14ac:dyDescent="0.3">
      <c r="A283" s="5">
        <v>42048</v>
      </c>
      <c r="B283">
        <v>34.25</v>
      </c>
      <c r="C283">
        <v>34.369999</v>
      </c>
      <c r="D283">
        <v>33.950001</v>
      </c>
      <c r="E283">
        <v>34.360000999999997</v>
      </c>
      <c r="F283">
        <v>26.828047000000002</v>
      </c>
      <c r="G283">
        <v>18037900</v>
      </c>
      <c r="I283">
        <f t="shared" si="5"/>
        <v>1.0662704764998668E-4</v>
      </c>
    </row>
    <row r="284" spans="1:9" x14ac:dyDescent="0.3">
      <c r="A284" s="5">
        <v>42052</v>
      </c>
      <c r="B284">
        <v>34.400002000000001</v>
      </c>
      <c r="C284">
        <v>34.75</v>
      </c>
      <c r="D284">
        <v>34.259998000000003</v>
      </c>
      <c r="E284">
        <v>34.740001999999997</v>
      </c>
      <c r="F284">
        <v>27.124749999999999</v>
      </c>
      <c r="G284">
        <v>19374100</v>
      </c>
      <c r="I284">
        <f t="shared" si="5"/>
        <v>5.9654310551999544E-5</v>
      </c>
    </row>
    <row r="285" spans="1:9" x14ac:dyDescent="0.3">
      <c r="A285" s="5">
        <v>42053</v>
      </c>
      <c r="B285">
        <v>34.650002000000001</v>
      </c>
      <c r="C285">
        <v>34.709999000000003</v>
      </c>
      <c r="D285">
        <v>34.189999</v>
      </c>
      <c r="E285">
        <v>34.270000000000003</v>
      </c>
      <c r="F285">
        <v>26.757771999999999</v>
      </c>
      <c r="G285">
        <v>19992900</v>
      </c>
      <c r="I285">
        <f t="shared" si="5"/>
        <v>5.3305889949028722E-5</v>
      </c>
    </row>
    <row r="286" spans="1:9" x14ac:dyDescent="0.3">
      <c r="A286" s="5">
        <v>42054</v>
      </c>
      <c r="B286">
        <v>34.25</v>
      </c>
      <c r="C286">
        <v>34.419998</v>
      </c>
      <c r="D286">
        <v>34.049999</v>
      </c>
      <c r="E286">
        <v>34.209999000000003</v>
      </c>
      <c r="F286">
        <v>26.710926000000001</v>
      </c>
      <c r="G286">
        <v>11017500</v>
      </c>
      <c r="I286">
        <f t="shared" si="5"/>
        <v>5.7755338359683071E-5</v>
      </c>
    </row>
    <row r="287" spans="1:9" x14ac:dyDescent="0.3">
      <c r="A287" s="5">
        <v>42055</v>
      </c>
      <c r="B287">
        <v>34.150002000000001</v>
      </c>
      <c r="C287">
        <v>34.57</v>
      </c>
      <c r="D287">
        <v>33.909999999999997</v>
      </c>
      <c r="E287">
        <v>34.409999999999997</v>
      </c>
      <c r="F287">
        <v>26.867083000000001</v>
      </c>
      <c r="G287">
        <v>20955600</v>
      </c>
      <c r="I287">
        <f t="shared" si="5"/>
        <v>1.5993780125829373E-4</v>
      </c>
    </row>
    <row r="288" spans="1:9" x14ac:dyDescent="0.3">
      <c r="A288" s="5">
        <v>42058</v>
      </c>
      <c r="B288">
        <v>34.400002000000001</v>
      </c>
      <c r="C288">
        <v>34.5</v>
      </c>
      <c r="D288">
        <v>33.580002</v>
      </c>
      <c r="E288">
        <v>33.759998000000003</v>
      </c>
      <c r="F288">
        <v>26.359563999999999</v>
      </c>
      <c r="G288">
        <v>25565500</v>
      </c>
      <c r="I288">
        <f t="shared" si="5"/>
        <v>1.9191313738874187E-4</v>
      </c>
    </row>
    <row r="289" spans="1:9" x14ac:dyDescent="0.3">
      <c r="A289" s="5">
        <v>42059</v>
      </c>
      <c r="B289">
        <v>33.610000999999997</v>
      </c>
      <c r="C289">
        <v>34.490001999999997</v>
      </c>
      <c r="D289">
        <v>33.509998000000003</v>
      </c>
      <c r="E289">
        <v>34.409999999999997</v>
      </c>
      <c r="F289">
        <v>26.867083000000001</v>
      </c>
      <c r="G289">
        <v>29607500</v>
      </c>
      <c r="I289">
        <f t="shared" si="5"/>
        <v>1.3899637610081066E-4</v>
      </c>
    </row>
    <row r="290" spans="1:9" x14ac:dyDescent="0.3">
      <c r="A290" s="5">
        <v>42060</v>
      </c>
      <c r="B290">
        <v>34.029998999999997</v>
      </c>
      <c r="C290">
        <v>34.150002000000001</v>
      </c>
      <c r="D290">
        <v>33.729999999999997</v>
      </c>
      <c r="E290">
        <v>33.950001</v>
      </c>
      <c r="F290">
        <v>26.507921</v>
      </c>
      <c r="G290">
        <v>24686300</v>
      </c>
      <c r="I290">
        <f t="shared" si="5"/>
        <v>7.8243924071030974E-5</v>
      </c>
    </row>
    <row r="291" spans="1:9" x14ac:dyDescent="0.3">
      <c r="A291" s="5">
        <v>42061</v>
      </c>
      <c r="B291">
        <v>33.619999</v>
      </c>
      <c r="C291">
        <v>33.880001</v>
      </c>
      <c r="D291">
        <v>33.43</v>
      </c>
      <c r="E291">
        <v>33.650002000000001</v>
      </c>
      <c r="F291">
        <v>26.273682000000001</v>
      </c>
      <c r="G291">
        <v>25928400</v>
      </c>
      <c r="I291">
        <f t="shared" si="5"/>
        <v>8.9651441781759761E-5</v>
      </c>
    </row>
    <row r="292" spans="1:9" x14ac:dyDescent="0.3">
      <c r="A292" s="5">
        <v>42062</v>
      </c>
      <c r="B292">
        <v>33.630001</v>
      </c>
      <c r="C292">
        <v>33.639999000000003</v>
      </c>
      <c r="D292">
        <v>33.209999000000003</v>
      </c>
      <c r="E292">
        <v>33.25</v>
      </c>
      <c r="F292">
        <v>25.961365000000001</v>
      </c>
      <c r="G292">
        <v>24427300</v>
      </c>
      <c r="I292">
        <f t="shared" si="5"/>
        <v>1.8594579525221016E-5</v>
      </c>
    </row>
    <row r="293" spans="1:9" x14ac:dyDescent="0.3">
      <c r="A293" s="5">
        <v>42065</v>
      </c>
      <c r="B293">
        <v>33.290000999999997</v>
      </c>
      <c r="C293">
        <v>34.130001</v>
      </c>
      <c r="D293">
        <v>33.119999</v>
      </c>
      <c r="E293">
        <v>34.060001</v>
      </c>
      <c r="F293">
        <v>26.593809</v>
      </c>
      <c r="G293">
        <v>25406400</v>
      </c>
      <c r="I293">
        <f t="shared" si="5"/>
        <v>1.944466518132043E-4</v>
      </c>
    </row>
    <row r="294" spans="1:9" x14ac:dyDescent="0.3">
      <c r="A294" s="5">
        <v>42066</v>
      </c>
      <c r="B294">
        <v>33.950001</v>
      </c>
      <c r="C294">
        <v>34.380001</v>
      </c>
      <c r="D294">
        <v>33.909999999999997</v>
      </c>
      <c r="E294">
        <v>34.099997999999999</v>
      </c>
      <c r="F294">
        <v>26.625033999999999</v>
      </c>
      <c r="G294">
        <v>27332000</v>
      </c>
      <c r="I294">
        <f t="shared" si="5"/>
        <v>1.095128681165347E-4</v>
      </c>
    </row>
    <row r="295" spans="1:9" x14ac:dyDescent="0.3">
      <c r="A295" s="5">
        <v>42067</v>
      </c>
      <c r="B295">
        <v>33.860000999999997</v>
      </c>
      <c r="C295">
        <v>34.409999999999997</v>
      </c>
      <c r="D295">
        <v>33.720001000000003</v>
      </c>
      <c r="E295">
        <v>34.119999</v>
      </c>
      <c r="F295">
        <v>26.640661000000001</v>
      </c>
      <c r="G295">
        <v>23005800</v>
      </c>
      <c r="I295">
        <f t="shared" si="5"/>
        <v>1.8523054939866175E-4</v>
      </c>
    </row>
    <row r="296" spans="1:9" x14ac:dyDescent="0.3">
      <c r="A296" s="5">
        <v>42068</v>
      </c>
      <c r="B296">
        <v>34.259998000000003</v>
      </c>
      <c r="C296">
        <v>34.5</v>
      </c>
      <c r="D296">
        <v>33.590000000000003</v>
      </c>
      <c r="E296">
        <v>33.729999999999997</v>
      </c>
      <c r="F296">
        <v>26.336143</v>
      </c>
      <c r="G296">
        <v>21225800</v>
      </c>
      <c r="I296">
        <f t="shared" si="5"/>
        <v>2.3971559529177423E-4</v>
      </c>
    </row>
    <row r="297" spans="1:9" x14ac:dyDescent="0.3">
      <c r="A297" s="5">
        <v>42069</v>
      </c>
      <c r="B297">
        <v>33.540000999999997</v>
      </c>
      <c r="C297">
        <v>33.68</v>
      </c>
      <c r="D297">
        <v>33.080002</v>
      </c>
      <c r="E297">
        <v>33.189999</v>
      </c>
      <c r="F297">
        <v>25.91452</v>
      </c>
      <c r="G297">
        <v>32373100</v>
      </c>
      <c r="I297">
        <f t="shared" si="5"/>
        <v>1.0689055076591451E-4</v>
      </c>
    </row>
    <row r="298" spans="1:9" x14ac:dyDescent="0.3">
      <c r="A298" s="5">
        <v>42072</v>
      </c>
      <c r="B298">
        <v>33.200001</v>
      </c>
      <c r="C298">
        <v>33.270000000000003</v>
      </c>
      <c r="D298">
        <v>32.479999999999997</v>
      </c>
      <c r="E298">
        <v>32.720001000000003</v>
      </c>
      <c r="F298">
        <v>25.547543999999998</v>
      </c>
      <c r="G298">
        <v>33058800</v>
      </c>
      <c r="I298">
        <f t="shared" si="5"/>
        <v>1.9652445327237661E-4</v>
      </c>
    </row>
    <row r="299" spans="1:9" x14ac:dyDescent="0.3">
      <c r="A299" s="5">
        <v>42073</v>
      </c>
      <c r="B299">
        <v>32.240001999999997</v>
      </c>
      <c r="C299">
        <v>32.409999999999997</v>
      </c>
      <c r="D299">
        <v>31.5</v>
      </c>
      <c r="E299">
        <v>31.700001</v>
      </c>
      <c r="F299">
        <v>24.751131000000001</v>
      </c>
      <c r="G299">
        <v>50278900</v>
      </c>
      <c r="I299">
        <f t="shared" si="5"/>
        <v>2.6345527699288387E-4</v>
      </c>
    </row>
    <row r="300" spans="1:9" x14ac:dyDescent="0.3">
      <c r="A300" s="5">
        <v>42074</v>
      </c>
      <c r="B300">
        <v>31.969999000000001</v>
      </c>
      <c r="C300">
        <v>32.959999000000003</v>
      </c>
      <c r="D300">
        <v>31.950001</v>
      </c>
      <c r="E300">
        <v>32.330002</v>
      </c>
      <c r="F300">
        <v>25.243031999999999</v>
      </c>
      <c r="G300">
        <v>49683600</v>
      </c>
      <c r="I300">
        <f t="shared" si="5"/>
        <v>5.9595544484512396E-4</v>
      </c>
    </row>
    <row r="301" spans="1:9" x14ac:dyDescent="0.3">
      <c r="A301" s="5">
        <v>42075</v>
      </c>
      <c r="B301">
        <v>31.01</v>
      </c>
      <c r="C301">
        <v>31.6</v>
      </c>
      <c r="D301">
        <v>30.58</v>
      </c>
      <c r="E301">
        <v>30.799999</v>
      </c>
      <c r="F301">
        <v>24.048424000000001</v>
      </c>
      <c r="G301">
        <v>107402400</v>
      </c>
      <c r="I301">
        <f t="shared" si="5"/>
        <v>5.8339042088774147E-4</v>
      </c>
    </row>
    <row r="302" spans="1:9" x14ac:dyDescent="0.3">
      <c r="A302" s="5">
        <v>42076</v>
      </c>
      <c r="B302">
        <v>30.629999000000002</v>
      </c>
      <c r="C302">
        <v>30.98</v>
      </c>
      <c r="D302">
        <v>30.360001</v>
      </c>
      <c r="E302">
        <v>30.93</v>
      </c>
      <c r="F302">
        <v>24.149929</v>
      </c>
      <c r="G302">
        <v>47954700</v>
      </c>
      <c r="I302">
        <f t="shared" si="5"/>
        <v>1.8304027919619707E-4</v>
      </c>
    </row>
    <row r="303" spans="1:9" x14ac:dyDescent="0.3">
      <c r="A303" s="5">
        <v>42079</v>
      </c>
      <c r="B303">
        <v>30.93</v>
      </c>
      <c r="C303">
        <v>31.110001</v>
      </c>
      <c r="D303">
        <v>30.65</v>
      </c>
      <c r="E303">
        <v>30.83</v>
      </c>
      <c r="F303">
        <v>24.071843999999999</v>
      </c>
      <c r="G303">
        <v>33074600</v>
      </c>
      <c r="I303">
        <f t="shared" si="5"/>
        <v>1.0571350413652022E-4</v>
      </c>
    </row>
    <row r="304" spans="1:9" x14ac:dyDescent="0.3">
      <c r="A304" s="5">
        <v>42080</v>
      </c>
      <c r="B304">
        <v>30.58</v>
      </c>
      <c r="C304">
        <v>30.73</v>
      </c>
      <c r="D304">
        <v>30.41</v>
      </c>
      <c r="E304">
        <v>30.59</v>
      </c>
      <c r="F304">
        <v>23.884460000000001</v>
      </c>
      <c r="G304">
        <v>29215600</v>
      </c>
      <c r="I304">
        <f t="shared" si="5"/>
        <v>5.5243263921124029E-5</v>
      </c>
    </row>
    <row r="305" spans="1:9" x14ac:dyDescent="0.3">
      <c r="A305" s="5">
        <v>42081</v>
      </c>
      <c r="B305">
        <v>30.41</v>
      </c>
      <c r="C305">
        <v>31.200001</v>
      </c>
      <c r="D305">
        <v>30.299999</v>
      </c>
      <c r="E305">
        <v>30.889999</v>
      </c>
      <c r="F305">
        <v>24.118687000000001</v>
      </c>
      <c r="G305">
        <v>39834100</v>
      </c>
      <c r="I305">
        <f t="shared" si="5"/>
        <v>3.2598294989516664E-4</v>
      </c>
    </row>
    <row r="306" spans="1:9" x14ac:dyDescent="0.3">
      <c r="A306" s="5">
        <v>42082</v>
      </c>
      <c r="B306">
        <v>30.780000999999999</v>
      </c>
      <c r="C306">
        <v>31.1</v>
      </c>
      <c r="D306">
        <v>30.690000999999999</v>
      </c>
      <c r="E306">
        <v>30.74</v>
      </c>
      <c r="F306">
        <v>24.001574000000002</v>
      </c>
      <c r="G306">
        <v>27414200</v>
      </c>
      <c r="I306">
        <f t="shared" si="5"/>
        <v>1.25187138101366E-4</v>
      </c>
    </row>
    <row r="307" spans="1:9" x14ac:dyDescent="0.3">
      <c r="A307" s="5">
        <v>42083</v>
      </c>
      <c r="B307">
        <v>30.99</v>
      </c>
      <c r="C307">
        <v>31.620000999999998</v>
      </c>
      <c r="D307">
        <v>30.93</v>
      </c>
      <c r="E307">
        <v>31.309999000000001</v>
      </c>
      <c r="F307">
        <v>24.446622999999999</v>
      </c>
      <c r="G307">
        <v>64777100</v>
      </c>
      <c r="I307">
        <f t="shared" si="5"/>
        <v>2.2194619282488916E-4</v>
      </c>
    </row>
    <row r="308" spans="1:9" x14ac:dyDescent="0.3">
      <c r="A308" s="5">
        <v>42086</v>
      </c>
      <c r="B308">
        <v>31.290001</v>
      </c>
      <c r="C308">
        <v>31.790001</v>
      </c>
      <c r="D308">
        <v>31.200001</v>
      </c>
      <c r="E308">
        <v>31.200001</v>
      </c>
      <c r="F308">
        <v>24.360741000000001</v>
      </c>
      <c r="G308">
        <v>29694000</v>
      </c>
      <c r="I308">
        <f t="shared" si="5"/>
        <v>2.9698908163433812E-4</v>
      </c>
    </row>
    <row r="309" spans="1:9" x14ac:dyDescent="0.3">
      <c r="A309" s="5">
        <v>42087</v>
      </c>
      <c r="B309">
        <v>31.16</v>
      </c>
      <c r="C309">
        <v>31.32</v>
      </c>
      <c r="D309">
        <v>30.74</v>
      </c>
      <c r="E309">
        <v>30.790001</v>
      </c>
      <c r="F309">
        <v>24.040617000000001</v>
      </c>
      <c r="G309">
        <v>28471400</v>
      </c>
      <c r="I309">
        <f t="shared" si="5"/>
        <v>1.0946608401028388E-4</v>
      </c>
    </row>
    <row r="310" spans="1:9" x14ac:dyDescent="0.3">
      <c r="A310" s="5">
        <v>42088</v>
      </c>
      <c r="B310">
        <v>30.809999000000001</v>
      </c>
      <c r="C310">
        <v>30.889999</v>
      </c>
      <c r="D310">
        <v>29.860001</v>
      </c>
      <c r="E310">
        <v>29.889999</v>
      </c>
      <c r="F310">
        <v>23.337902</v>
      </c>
      <c r="G310">
        <v>37691000</v>
      </c>
      <c r="I310">
        <f t="shared" si="5"/>
        <v>1.1678662459537754E-4</v>
      </c>
    </row>
    <row r="311" spans="1:9" x14ac:dyDescent="0.3">
      <c r="A311" s="5">
        <v>42089</v>
      </c>
      <c r="B311">
        <v>29.5</v>
      </c>
      <c r="C311">
        <v>30.4</v>
      </c>
      <c r="D311">
        <v>29.309999000000001</v>
      </c>
      <c r="E311">
        <v>30.08</v>
      </c>
      <c r="F311">
        <v>23.486249999999998</v>
      </c>
      <c r="G311">
        <v>45450100</v>
      </c>
      <c r="I311">
        <f t="shared" si="5"/>
        <v>4.8557649611080959E-4</v>
      </c>
    </row>
    <row r="312" spans="1:9" x14ac:dyDescent="0.3">
      <c r="A312" s="5">
        <v>42090</v>
      </c>
      <c r="B312">
        <v>30.01</v>
      </c>
      <c r="C312">
        <v>33</v>
      </c>
      <c r="D312">
        <v>29.85</v>
      </c>
      <c r="E312">
        <v>32</v>
      </c>
      <c r="F312">
        <v>24.985372999999999</v>
      </c>
      <c r="G312">
        <v>73857200</v>
      </c>
      <c r="I312">
        <f t="shared" si="5"/>
        <v>3.2944042465355788E-3</v>
      </c>
    </row>
    <row r="313" spans="1:9" x14ac:dyDescent="0.3">
      <c r="A313" s="5">
        <v>42093</v>
      </c>
      <c r="B313">
        <v>31.66</v>
      </c>
      <c r="C313">
        <v>32.099997999999999</v>
      </c>
      <c r="D313">
        <v>31.299999</v>
      </c>
      <c r="E313">
        <v>31.459999</v>
      </c>
      <c r="F313">
        <v>24.563752999999998</v>
      </c>
      <c r="G313">
        <v>51391500</v>
      </c>
      <c r="I313">
        <f t="shared" si="5"/>
        <v>3.3626796392673591E-4</v>
      </c>
    </row>
    <row r="314" spans="1:9" x14ac:dyDescent="0.3">
      <c r="A314" s="5">
        <v>42094</v>
      </c>
      <c r="B314">
        <v>31.43</v>
      </c>
      <c r="C314">
        <v>31.93</v>
      </c>
      <c r="D314">
        <v>31.200001</v>
      </c>
      <c r="E314">
        <v>31.27</v>
      </c>
      <c r="F314">
        <v>24.415398</v>
      </c>
      <c r="G314">
        <v>32098500</v>
      </c>
      <c r="I314">
        <f t="shared" si="5"/>
        <v>3.4612003143014082E-4</v>
      </c>
    </row>
    <row r="315" spans="1:9" x14ac:dyDescent="0.3">
      <c r="A315" s="5">
        <v>42095</v>
      </c>
      <c r="B315">
        <v>31.129999000000002</v>
      </c>
      <c r="C315">
        <v>31.32</v>
      </c>
      <c r="D315">
        <v>30.65</v>
      </c>
      <c r="E315">
        <v>30.809999000000001</v>
      </c>
      <c r="F315">
        <v>24.056228999999998</v>
      </c>
      <c r="G315">
        <v>31532100</v>
      </c>
      <c r="I315">
        <f t="shared" si="5"/>
        <v>1.8080685099236587E-4</v>
      </c>
    </row>
    <row r="316" spans="1:9" x14ac:dyDescent="0.3">
      <c r="A316" s="5">
        <v>42096</v>
      </c>
      <c r="B316">
        <v>30.799999</v>
      </c>
      <c r="C316">
        <v>31.23</v>
      </c>
      <c r="D316">
        <v>30.67</v>
      </c>
      <c r="E316">
        <v>30.809999000000001</v>
      </c>
      <c r="F316">
        <v>24.056228999999998</v>
      </c>
      <c r="G316">
        <v>20909600</v>
      </c>
      <c r="I316">
        <f t="shared" si="5"/>
        <v>2.0698724477174517E-4</v>
      </c>
    </row>
    <row r="317" spans="1:9" x14ac:dyDescent="0.3">
      <c r="A317" s="5">
        <v>42100</v>
      </c>
      <c r="B317">
        <v>30.809999000000001</v>
      </c>
      <c r="C317">
        <v>31.25</v>
      </c>
      <c r="D317">
        <v>30.450001</v>
      </c>
      <c r="E317">
        <v>31.040001</v>
      </c>
      <c r="F317">
        <v>24.235817000000001</v>
      </c>
      <c r="G317">
        <v>21490900</v>
      </c>
      <c r="I317">
        <f t="shared" si="5"/>
        <v>3.2116456697927395E-4</v>
      </c>
    </row>
    <row r="318" spans="1:9" x14ac:dyDescent="0.3">
      <c r="A318" s="5">
        <v>42101</v>
      </c>
      <c r="B318">
        <v>31.07</v>
      </c>
      <c r="C318">
        <v>31.59</v>
      </c>
      <c r="D318">
        <v>31</v>
      </c>
      <c r="E318">
        <v>31.26</v>
      </c>
      <c r="F318">
        <v>24.407586999999999</v>
      </c>
      <c r="G318">
        <v>23258300</v>
      </c>
      <c r="I318">
        <f t="shared" si="5"/>
        <v>1.9313763392494614E-4</v>
      </c>
    </row>
    <row r="319" spans="1:9" x14ac:dyDescent="0.3">
      <c r="A319" s="5">
        <v>42102</v>
      </c>
      <c r="B319">
        <v>31.23</v>
      </c>
      <c r="C319">
        <v>31.559999000000001</v>
      </c>
      <c r="D319">
        <v>31.059999000000001</v>
      </c>
      <c r="E319">
        <v>31.309999000000001</v>
      </c>
      <c r="F319">
        <v>24.446622999999999</v>
      </c>
      <c r="G319">
        <v>18250300</v>
      </c>
      <c r="I319">
        <f t="shared" si="5"/>
        <v>1.2735424090506758E-4</v>
      </c>
    </row>
    <row r="320" spans="1:9" x14ac:dyDescent="0.3">
      <c r="A320" s="5">
        <v>42103</v>
      </c>
      <c r="B320">
        <v>30.68</v>
      </c>
      <c r="C320">
        <v>31.620000999999998</v>
      </c>
      <c r="D320">
        <v>30.57</v>
      </c>
      <c r="E320">
        <v>31.24</v>
      </c>
      <c r="F320">
        <v>24.391970000000001</v>
      </c>
      <c r="G320">
        <v>34167600</v>
      </c>
      <c r="I320">
        <f t="shared" si="5"/>
        <v>4.4275077532926618E-4</v>
      </c>
    </row>
    <row r="321" spans="1:9" x14ac:dyDescent="0.3">
      <c r="A321" s="5">
        <v>42104</v>
      </c>
      <c r="B321">
        <v>31.33</v>
      </c>
      <c r="C321">
        <v>31.940000999999999</v>
      </c>
      <c r="D321">
        <v>31.33</v>
      </c>
      <c r="E321">
        <v>31.93</v>
      </c>
      <c r="F321">
        <v>24.930717000000001</v>
      </c>
      <c r="G321">
        <v>28084900</v>
      </c>
      <c r="I321">
        <f t="shared" si="5"/>
        <v>6.0388280238141446E-6</v>
      </c>
    </row>
    <row r="322" spans="1:9" x14ac:dyDescent="0.3">
      <c r="A322" s="5">
        <v>42107</v>
      </c>
      <c r="B322">
        <v>31.809999000000001</v>
      </c>
      <c r="C322">
        <v>32.049999</v>
      </c>
      <c r="D322">
        <v>31.709999</v>
      </c>
      <c r="E322">
        <v>31.73</v>
      </c>
      <c r="F322">
        <v>24.774557000000001</v>
      </c>
      <c r="G322">
        <v>23489000</v>
      </c>
      <c r="I322">
        <f t="shared" si="5"/>
        <v>7.7409803116437303E-5</v>
      </c>
    </row>
    <row r="323" spans="1:9" x14ac:dyDescent="0.3">
      <c r="A323" s="5">
        <v>42108</v>
      </c>
      <c r="B323">
        <v>31.68</v>
      </c>
      <c r="C323">
        <v>31.940000999999999</v>
      </c>
      <c r="D323">
        <v>31.27</v>
      </c>
      <c r="E323">
        <v>31.49</v>
      </c>
      <c r="F323">
        <v>24.58717</v>
      </c>
      <c r="G323">
        <v>39754000</v>
      </c>
      <c r="I323">
        <f t="shared" si="5"/>
        <v>2.0730273027926932E-4</v>
      </c>
    </row>
    <row r="324" spans="1:9" x14ac:dyDescent="0.3">
      <c r="A324" s="5">
        <v>42109</v>
      </c>
      <c r="B324">
        <v>32.259998000000003</v>
      </c>
      <c r="C324">
        <v>32.990001999999997</v>
      </c>
      <c r="D324">
        <v>32.07</v>
      </c>
      <c r="E324">
        <v>32.830002</v>
      </c>
      <c r="F324">
        <v>25.633434000000001</v>
      </c>
      <c r="G324">
        <v>61083500</v>
      </c>
      <c r="I324">
        <f t="shared" si="5"/>
        <v>2.4714157320257952E-4</v>
      </c>
    </row>
    <row r="325" spans="1:9" x14ac:dyDescent="0.3">
      <c r="A325" s="5">
        <v>42110</v>
      </c>
      <c r="B325">
        <v>32.849997999999999</v>
      </c>
      <c r="C325">
        <v>32.990001999999997</v>
      </c>
      <c r="D325">
        <v>32.700001</v>
      </c>
      <c r="E325">
        <v>32.869999</v>
      </c>
      <c r="F325">
        <v>25.664660999999999</v>
      </c>
      <c r="G325">
        <v>28903200</v>
      </c>
      <c r="I325">
        <f t="shared" si="5"/>
        <v>3.9228913408141208E-5</v>
      </c>
    </row>
    <row r="326" spans="1:9" x14ac:dyDescent="0.3">
      <c r="A326" s="5">
        <v>42111</v>
      </c>
      <c r="B326">
        <v>32.509998000000003</v>
      </c>
      <c r="C326">
        <v>32.700001</v>
      </c>
      <c r="D326">
        <v>32.220001000000003</v>
      </c>
      <c r="E326">
        <v>32.470001000000003</v>
      </c>
      <c r="F326">
        <v>25.352345</v>
      </c>
      <c r="G326">
        <v>30593600</v>
      </c>
      <c r="I326">
        <f t="shared" si="5"/>
        <v>1.1038865110114327E-4</v>
      </c>
    </row>
    <row r="327" spans="1:9" x14ac:dyDescent="0.3">
      <c r="A327" s="5">
        <v>42114</v>
      </c>
      <c r="B327">
        <v>32.610000999999997</v>
      </c>
      <c r="C327">
        <v>32.790000999999997</v>
      </c>
      <c r="D327">
        <v>32.529998999999997</v>
      </c>
      <c r="E327">
        <v>32.729999999999997</v>
      </c>
      <c r="F327">
        <v>25.555353</v>
      </c>
      <c r="G327">
        <v>20649300</v>
      </c>
      <c r="I327">
        <f t="shared" si="5"/>
        <v>2.5137516089081471E-5</v>
      </c>
    </row>
    <row r="328" spans="1:9" x14ac:dyDescent="0.3">
      <c r="A328" s="5">
        <v>42115</v>
      </c>
      <c r="B328">
        <v>32.93</v>
      </c>
      <c r="C328">
        <v>32.970001000000003</v>
      </c>
      <c r="D328">
        <v>32.279998999999997</v>
      </c>
      <c r="E328">
        <v>32.43</v>
      </c>
      <c r="F328">
        <v>25.321114999999999</v>
      </c>
      <c r="G328">
        <v>19023800</v>
      </c>
      <c r="I328">
        <f t="shared" si="5"/>
        <v>1.1247481417212781E-4</v>
      </c>
    </row>
    <row r="329" spans="1:9" x14ac:dyDescent="0.3">
      <c r="A329" s="5">
        <v>42116</v>
      </c>
      <c r="B329">
        <v>32.409999999999997</v>
      </c>
      <c r="C329">
        <v>32.720001000000003</v>
      </c>
      <c r="D329">
        <v>32.029998999999997</v>
      </c>
      <c r="E329">
        <v>32.700001</v>
      </c>
      <c r="F329">
        <v>25.531921000000001</v>
      </c>
      <c r="G329">
        <v>21144200</v>
      </c>
      <c r="I329">
        <f t="shared" si="5"/>
        <v>2.499837788607031E-4</v>
      </c>
    </row>
    <row r="330" spans="1:9" x14ac:dyDescent="0.3">
      <c r="A330" s="5">
        <v>42117</v>
      </c>
      <c r="B330">
        <v>32.040000999999997</v>
      </c>
      <c r="C330">
        <v>32.409999999999997</v>
      </c>
      <c r="D330">
        <v>32.009998000000003</v>
      </c>
      <c r="E330">
        <v>32.349997999999999</v>
      </c>
      <c r="F330">
        <v>25.258648000000001</v>
      </c>
      <c r="G330">
        <v>23775300</v>
      </c>
      <c r="I330">
        <f t="shared" si="5"/>
        <v>3.1175131358080621E-5</v>
      </c>
    </row>
    <row r="331" spans="1:9" x14ac:dyDescent="0.3">
      <c r="A331" s="5">
        <v>42118</v>
      </c>
      <c r="B331">
        <v>32.409999999999997</v>
      </c>
      <c r="C331">
        <v>32.479999999999997</v>
      </c>
      <c r="D331">
        <v>32.020000000000003</v>
      </c>
      <c r="E331">
        <v>32.080002</v>
      </c>
      <c r="F331">
        <v>25.047840000000001</v>
      </c>
      <c r="G331">
        <v>22759900</v>
      </c>
      <c r="I331">
        <f t="shared" si="5"/>
        <v>4.9399684347278721E-5</v>
      </c>
    </row>
    <row r="332" spans="1:9" x14ac:dyDescent="0.3">
      <c r="A332" s="5">
        <v>42121</v>
      </c>
      <c r="B332">
        <v>32.080002</v>
      </c>
      <c r="C332">
        <v>32.689999</v>
      </c>
      <c r="D332">
        <v>32.080002</v>
      </c>
      <c r="E332">
        <v>32.5</v>
      </c>
      <c r="F332">
        <v>25.375771</v>
      </c>
      <c r="G332">
        <v>25869600</v>
      </c>
      <c r="I332">
        <f t="shared" ref="I332:I395" si="6">LN(C332/B332)*(LN(C332/B332)-LN(E332/B332))+LN(D332/B332)*(LN(D332/B332)-LN(E332/B332))</f>
        <v>1.0979895275080717E-4</v>
      </c>
    </row>
    <row r="333" spans="1:9" x14ac:dyDescent="0.3">
      <c r="A333" s="5">
        <v>42122</v>
      </c>
      <c r="B333">
        <v>32.299999</v>
      </c>
      <c r="C333">
        <v>33.040000999999997</v>
      </c>
      <c r="D333">
        <v>32.229999999999997</v>
      </c>
      <c r="E333">
        <v>33.020000000000003</v>
      </c>
      <c r="F333">
        <v>25.781786</v>
      </c>
      <c r="G333">
        <v>29572800</v>
      </c>
      <c r="I333">
        <f t="shared" si="6"/>
        <v>6.6252705374558922E-5</v>
      </c>
    </row>
    <row r="334" spans="1:9" x14ac:dyDescent="0.3">
      <c r="A334" s="5">
        <v>42123</v>
      </c>
      <c r="B334">
        <v>32.560001</v>
      </c>
      <c r="C334">
        <v>33</v>
      </c>
      <c r="D334">
        <v>32.549999</v>
      </c>
      <c r="E334">
        <v>32.889999000000003</v>
      </c>
      <c r="F334">
        <v>25.680275000000002</v>
      </c>
      <c r="G334">
        <v>21819000</v>
      </c>
      <c r="I334">
        <f t="shared" si="6"/>
        <v>4.8011002419131672E-5</v>
      </c>
    </row>
    <row r="335" spans="1:9" x14ac:dyDescent="0.3">
      <c r="A335" s="5">
        <v>42124</v>
      </c>
      <c r="B335">
        <v>32.709999000000003</v>
      </c>
      <c r="C335">
        <v>32.849997999999999</v>
      </c>
      <c r="D335">
        <v>32.299999</v>
      </c>
      <c r="E335">
        <v>32.549999</v>
      </c>
      <c r="F335">
        <v>25.414812000000001</v>
      </c>
      <c r="G335">
        <v>22013300</v>
      </c>
      <c r="I335">
        <f t="shared" si="6"/>
        <v>1.3643516308395998E-4</v>
      </c>
    </row>
    <row r="336" spans="1:9" x14ac:dyDescent="0.3">
      <c r="A336" s="5">
        <v>42125</v>
      </c>
      <c r="B336">
        <v>32.630001</v>
      </c>
      <c r="C336">
        <v>33.490001999999997</v>
      </c>
      <c r="D336">
        <v>32.619999</v>
      </c>
      <c r="E336">
        <v>33.419998</v>
      </c>
      <c r="F336">
        <v>26.094093000000001</v>
      </c>
      <c r="G336">
        <v>27091200</v>
      </c>
      <c r="I336">
        <f t="shared" si="6"/>
        <v>6.1863510181573868E-5</v>
      </c>
    </row>
    <row r="337" spans="1:9" x14ac:dyDescent="0.3">
      <c r="A337" s="5">
        <v>42128</v>
      </c>
      <c r="B337">
        <v>33.270000000000003</v>
      </c>
      <c r="C337">
        <v>33.5</v>
      </c>
      <c r="D337">
        <v>33.220001000000003</v>
      </c>
      <c r="E337">
        <v>33.43</v>
      </c>
      <c r="F337">
        <v>26.101904000000001</v>
      </c>
      <c r="G337">
        <v>21397300</v>
      </c>
      <c r="I337">
        <f t="shared" si="6"/>
        <v>2.3887992022718532E-5</v>
      </c>
    </row>
    <row r="338" spans="1:9" x14ac:dyDescent="0.3">
      <c r="A338" s="5">
        <v>42129</v>
      </c>
      <c r="B338">
        <v>33</v>
      </c>
      <c r="C338">
        <v>33.099997999999999</v>
      </c>
      <c r="D338">
        <v>32.57</v>
      </c>
      <c r="E338">
        <v>32.639999000000003</v>
      </c>
      <c r="F338">
        <v>25.669363000000001</v>
      </c>
      <c r="G338">
        <v>29779200</v>
      </c>
      <c r="I338">
        <f t="shared" si="6"/>
        <v>7.0501635171248437E-5</v>
      </c>
    </row>
    <row r="339" spans="1:9" x14ac:dyDescent="0.3">
      <c r="A339" s="5">
        <v>42130</v>
      </c>
      <c r="B339">
        <v>32.5</v>
      </c>
      <c r="C339">
        <v>32.790000999999997</v>
      </c>
      <c r="D339">
        <v>31.93</v>
      </c>
      <c r="E339">
        <v>32.220001000000003</v>
      </c>
      <c r="F339">
        <v>25.33906</v>
      </c>
      <c r="G339">
        <v>31985400</v>
      </c>
      <c r="I339">
        <f t="shared" si="6"/>
        <v>3.1576282075245464E-4</v>
      </c>
    </row>
    <row r="340" spans="1:9" x14ac:dyDescent="0.3">
      <c r="A340" s="5">
        <v>42131</v>
      </c>
      <c r="B340">
        <v>32.270000000000003</v>
      </c>
      <c r="C340">
        <v>32.630001</v>
      </c>
      <c r="D340">
        <v>32.18</v>
      </c>
      <c r="E340">
        <v>32.240001999999997</v>
      </c>
      <c r="F340">
        <v>25.354790000000001</v>
      </c>
      <c r="G340">
        <v>21475300</v>
      </c>
      <c r="I340">
        <f t="shared" si="6"/>
        <v>1.3860032849956103E-4</v>
      </c>
    </row>
    <row r="341" spans="1:9" x14ac:dyDescent="0.3">
      <c r="A341" s="5">
        <v>42132</v>
      </c>
      <c r="B341">
        <v>32.509998000000003</v>
      </c>
      <c r="C341">
        <v>32.880001</v>
      </c>
      <c r="D341">
        <v>32.340000000000003</v>
      </c>
      <c r="E341">
        <v>32.799999</v>
      </c>
      <c r="F341">
        <v>25.795195</v>
      </c>
      <c r="G341">
        <v>26926500</v>
      </c>
      <c r="I341">
        <f t="shared" si="6"/>
        <v>1.0161698017593682E-4</v>
      </c>
    </row>
    <row r="342" spans="1:9" x14ac:dyDescent="0.3">
      <c r="A342" s="5">
        <v>42135</v>
      </c>
      <c r="B342">
        <v>32.68</v>
      </c>
      <c r="C342">
        <v>32.709999000000003</v>
      </c>
      <c r="D342">
        <v>32.43</v>
      </c>
      <c r="E342">
        <v>32.689999</v>
      </c>
      <c r="F342">
        <v>25.708684999999999</v>
      </c>
      <c r="G342">
        <v>18358600</v>
      </c>
      <c r="I342">
        <f t="shared" si="6"/>
        <v>6.1882866410087136E-5</v>
      </c>
    </row>
    <row r="343" spans="1:9" x14ac:dyDescent="0.3">
      <c r="A343" s="5">
        <v>42136</v>
      </c>
      <c r="B343">
        <v>32.439999</v>
      </c>
      <c r="C343">
        <v>32.5</v>
      </c>
      <c r="D343">
        <v>32</v>
      </c>
      <c r="E343">
        <v>32.25</v>
      </c>
      <c r="F343">
        <v>25.362656000000001</v>
      </c>
      <c r="G343">
        <v>24530200</v>
      </c>
      <c r="I343">
        <f t="shared" si="6"/>
        <v>1.205447092627411E-4</v>
      </c>
    </row>
    <row r="344" spans="1:9" x14ac:dyDescent="0.3">
      <c r="A344" s="5">
        <v>42137</v>
      </c>
      <c r="B344">
        <v>32.270000000000003</v>
      </c>
      <c r="C344">
        <v>32.900002000000001</v>
      </c>
      <c r="D344">
        <v>32.270000000000003</v>
      </c>
      <c r="E344">
        <v>32.639999000000003</v>
      </c>
      <c r="F344">
        <v>25.669363000000001</v>
      </c>
      <c r="G344">
        <v>20470800</v>
      </c>
      <c r="I344">
        <f t="shared" si="6"/>
        <v>1.53405845249457E-4</v>
      </c>
    </row>
    <row r="345" spans="1:9" x14ac:dyDescent="0.3">
      <c r="A345" s="5">
        <v>42138</v>
      </c>
      <c r="B345">
        <v>32.860000999999997</v>
      </c>
      <c r="C345">
        <v>33.130001</v>
      </c>
      <c r="D345">
        <v>32.770000000000003</v>
      </c>
      <c r="E345">
        <v>32.970001000000003</v>
      </c>
      <c r="F345">
        <v>25.928892000000001</v>
      </c>
      <c r="G345">
        <v>21098900</v>
      </c>
      <c r="I345">
        <f t="shared" si="6"/>
        <v>5.6303886098962264E-5</v>
      </c>
    </row>
    <row r="346" spans="1:9" x14ac:dyDescent="0.3">
      <c r="A346" s="5">
        <v>42139</v>
      </c>
      <c r="B346">
        <v>33.090000000000003</v>
      </c>
      <c r="C346">
        <v>33.119999</v>
      </c>
      <c r="D346">
        <v>32.75</v>
      </c>
      <c r="E346">
        <v>32.990001999999997</v>
      </c>
      <c r="F346">
        <v>25.944614000000001</v>
      </c>
      <c r="G346">
        <v>17149700</v>
      </c>
      <c r="I346">
        <f t="shared" si="6"/>
        <v>7.8975696758383528E-5</v>
      </c>
    </row>
    <row r="347" spans="1:9" x14ac:dyDescent="0.3">
      <c r="A347" s="5">
        <v>42142</v>
      </c>
      <c r="B347">
        <v>32.979999999999997</v>
      </c>
      <c r="C347">
        <v>33.409999999999997</v>
      </c>
      <c r="D347">
        <v>32.849997999999999</v>
      </c>
      <c r="E347">
        <v>33.409999999999997</v>
      </c>
      <c r="F347">
        <v>26.274927000000002</v>
      </c>
      <c r="G347">
        <v>23689500</v>
      </c>
      <c r="I347">
        <f t="shared" si="6"/>
        <v>6.6762908470050213E-5</v>
      </c>
    </row>
    <row r="348" spans="1:9" x14ac:dyDescent="0.3">
      <c r="A348" s="5">
        <v>42143</v>
      </c>
      <c r="B348">
        <v>33.360000999999997</v>
      </c>
      <c r="C348">
        <v>33.380001</v>
      </c>
      <c r="D348">
        <v>32.990001999999997</v>
      </c>
      <c r="E348">
        <v>33.150002000000001</v>
      </c>
      <c r="F348">
        <v>26.070446</v>
      </c>
      <c r="G348">
        <v>21867100</v>
      </c>
      <c r="I348">
        <f t="shared" si="6"/>
        <v>5.8105033885488443E-5</v>
      </c>
    </row>
    <row r="349" spans="1:9" x14ac:dyDescent="0.3">
      <c r="A349" s="5">
        <v>42144</v>
      </c>
      <c r="B349">
        <v>33.060001</v>
      </c>
      <c r="C349">
        <v>33.5</v>
      </c>
      <c r="D349">
        <v>33.009998000000003</v>
      </c>
      <c r="E349">
        <v>33.369999</v>
      </c>
      <c r="F349">
        <v>26.243466999999999</v>
      </c>
      <c r="G349">
        <v>21359800</v>
      </c>
      <c r="I349">
        <f t="shared" si="6"/>
        <v>6.7824892484794503E-5</v>
      </c>
    </row>
    <row r="350" spans="1:9" x14ac:dyDescent="0.3">
      <c r="A350" s="5">
        <v>42145</v>
      </c>
      <c r="B350">
        <v>33.209999000000003</v>
      </c>
      <c r="C350">
        <v>33.560001</v>
      </c>
      <c r="D350">
        <v>33.07</v>
      </c>
      <c r="E350">
        <v>33.549999</v>
      </c>
      <c r="F350">
        <v>26.385020999999998</v>
      </c>
      <c r="G350">
        <v>21269800</v>
      </c>
      <c r="I350">
        <f t="shared" si="6"/>
        <v>6.4001046879404925E-5</v>
      </c>
    </row>
    <row r="351" spans="1:9" x14ac:dyDescent="0.3">
      <c r="A351" s="5">
        <v>42146</v>
      </c>
      <c r="B351">
        <v>33.470001000000003</v>
      </c>
      <c r="C351">
        <v>33.509998000000003</v>
      </c>
      <c r="D351">
        <v>33.32</v>
      </c>
      <c r="E351">
        <v>33.450001</v>
      </c>
      <c r="F351">
        <v>26.306383</v>
      </c>
      <c r="G351">
        <v>20845000</v>
      </c>
      <c r="I351">
        <f t="shared" si="6"/>
        <v>1.9630995067620682E-5</v>
      </c>
    </row>
    <row r="352" spans="1:9" x14ac:dyDescent="0.3">
      <c r="A352" s="5">
        <v>42150</v>
      </c>
      <c r="B352">
        <v>33.270000000000003</v>
      </c>
      <c r="C352">
        <v>33.290000999999997</v>
      </c>
      <c r="D352">
        <v>32.840000000000003</v>
      </c>
      <c r="E352">
        <v>33.099997999999999</v>
      </c>
      <c r="F352">
        <v>26.031127999999999</v>
      </c>
      <c r="G352">
        <v>28594500</v>
      </c>
      <c r="I352">
        <f t="shared" si="6"/>
        <v>1.0602661663632787E-4</v>
      </c>
    </row>
    <row r="353" spans="1:9" x14ac:dyDescent="0.3">
      <c r="A353" s="5">
        <v>42151</v>
      </c>
      <c r="B353">
        <v>33.200001</v>
      </c>
      <c r="C353">
        <v>33.849997999999999</v>
      </c>
      <c r="D353">
        <v>33.130001</v>
      </c>
      <c r="E353">
        <v>33.709999000000003</v>
      </c>
      <c r="F353">
        <v>26.510853000000001</v>
      </c>
      <c r="G353">
        <v>30172700</v>
      </c>
      <c r="I353">
        <f t="shared" si="6"/>
        <v>1.1698773307872569E-4</v>
      </c>
    </row>
    <row r="354" spans="1:9" x14ac:dyDescent="0.3">
      <c r="A354" s="5">
        <v>42152</v>
      </c>
      <c r="B354">
        <v>33.740001999999997</v>
      </c>
      <c r="C354">
        <v>34.150002000000001</v>
      </c>
      <c r="D354">
        <v>33.68</v>
      </c>
      <c r="E354">
        <v>34.009998000000003</v>
      </c>
      <c r="F354">
        <v>26.746786</v>
      </c>
      <c r="G354">
        <v>27065700</v>
      </c>
      <c r="I354">
        <f t="shared" si="6"/>
        <v>6.6974880180691094E-5</v>
      </c>
    </row>
    <row r="355" spans="1:9" x14ac:dyDescent="0.3">
      <c r="A355" s="5">
        <v>42153</v>
      </c>
      <c r="B355">
        <v>34.240001999999997</v>
      </c>
      <c r="C355">
        <v>34.75</v>
      </c>
      <c r="D355">
        <v>34.209999000000003</v>
      </c>
      <c r="E355">
        <v>34.459999000000003</v>
      </c>
      <c r="F355">
        <v>27.100679</v>
      </c>
      <c r="G355">
        <v>43545500</v>
      </c>
      <c r="I355">
        <f t="shared" si="6"/>
        <v>1.3028647266349926E-4</v>
      </c>
    </row>
    <row r="356" spans="1:9" x14ac:dyDescent="0.3">
      <c r="A356" s="5">
        <v>42156</v>
      </c>
      <c r="B356">
        <v>34.369999</v>
      </c>
      <c r="C356">
        <v>34.590000000000003</v>
      </c>
      <c r="D356">
        <v>33.68</v>
      </c>
      <c r="E356">
        <v>33.909999999999997</v>
      </c>
      <c r="F356">
        <v>26.668142</v>
      </c>
      <c r="G356">
        <v>46734500</v>
      </c>
      <c r="I356">
        <f t="shared" si="6"/>
        <v>2.6470399784378571E-4</v>
      </c>
    </row>
    <row r="357" spans="1:9" x14ac:dyDescent="0.3">
      <c r="A357" s="5">
        <v>42157</v>
      </c>
      <c r="B357">
        <v>33.639999000000003</v>
      </c>
      <c r="C357">
        <v>33.75</v>
      </c>
      <c r="D357">
        <v>33.139999000000003</v>
      </c>
      <c r="E357">
        <v>33.270000000000003</v>
      </c>
      <c r="F357">
        <v>26.164822000000001</v>
      </c>
      <c r="G357">
        <v>36351100</v>
      </c>
      <c r="I357">
        <f t="shared" si="6"/>
        <v>1.0539142449943637E-4</v>
      </c>
    </row>
    <row r="358" spans="1:9" x14ac:dyDescent="0.3">
      <c r="A358" s="5">
        <v>42158</v>
      </c>
      <c r="B358">
        <v>33.169998</v>
      </c>
      <c r="C358">
        <v>33.240001999999997</v>
      </c>
      <c r="D358">
        <v>32.590000000000003</v>
      </c>
      <c r="E358">
        <v>32.729999999999997</v>
      </c>
      <c r="F358">
        <v>25.740154</v>
      </c>
      <c r="G358">
        <v>38138700</v>
      </c>
      <c r="I358">
        <f t="shared" si="6"/>
        <v>1.0821427776109072E-4</v>
      </c>
    </row>
    <row r="359" spans="1:9" x14ac:dyDescent="0.3">
      <c r="A359" s="5">
        <v>42159</v>
      </c>
      <c r="B359">
        <v>32.509998000000003</v>
      </c>
      <c r="C359">
        <v>32.720001000000003</v>
      </c>
      <c r="D359">
        <v>32.200001</v>
      </c>
      <c r="E359">
        <v>32.310001</v>
      </c>
      <c r="F359">
        <v>25.409845000000001</v>
      </c>
      <c r="G359">
        <v>33761800</v>
      </c>
      <c r="I359">
        <f t="shared" si="6"/>
        <v>1.1386740554714426E-4</v>
      </c>
    </row>
    <row r="360" spans="1:9" x14ac:dyDescent="0.3">
      <c r="A360" s="5">
        <v>42160</v>
      </c>
      <c r="B360">
        <v>32.279998999999997</v>
      </c>
      <c r="C360">
        <v>32.299999</v>
      </c>
      <c r="D360">
        <v>31.83</v>
      </c>
      <c r="E360">
        <v>31.84</v>
      </c>
      <c r="F360">
        <v>25.040220000000001</v>
      </c>
      <c r="G360">
        <v>27778500</v>
      </c>
      <c r="I360">
        <f t="shared" si="6"/>
        <v>1.3294176261532166E-5</v>
      </c>
    </row>
    <row r="361" spans="1:9" x14ac:dyDescent="0.3">
      <c r="A361" s="5">
        <v>42163</v>
      </c>
      <c r="B361">
        <v>31.809999000000001</v>
      </c>
      <c r="C361">
        <v>31.950001</v>
      </c>
      <c r="D361">
        <v>31.209999</v>
      </c>
      <c r="E361">
        <v>31.299999</v>
      </c>
      <c r="F361">
        <v>24.615534</v>
      </c>
      <c r="G361">
        <v>38171600</v>
      </c>
      <c r="I361">
        <f t="shared" si="6"/>
        <v>1.4509697003397897E-4</v>
      </c>
    </row>
    <row r="362" spans="1:9" x14ac:dyDescent="0.3">
      <c r="A362" s="5">
        <v>42164</v>
      </c>
      <c r="B362">
        <v>31.33</v>
      </c>
      <c r="C362">
        <v>31.66</v>
      </c>
      <c r="D362">
        <v>31.15</v>
      </c>
      <c r="E362">
        <v>31.25</v>
      </c>
      <c r="F362">
        <v>24.576221</v>
      </c>
      <c r="G362">
        <v>33976700</v>
      </c>
      <c r="I362">
        <f t="shared" si="6"/>
        <v>1.550442154663125E-4</v>
      </c>
    </row>
    <row r="363" spans="1:9" x14ac:dyDescent="0.3">
      <c r="A363" s="5">
        <v>42165</v>
      </c>
      <c r="B363">
        <v>31.459999</v>
      </c>
      <c r="C363">
        <v>32.159999999999997</v>
      </c>
      <c r="D363">
        <v>31.370000999999998</v>
      </c>
      <c r="E363">
        <v>31.82</v>
      </c>
      <c r="F363">
        <v>25.024487000000001</v>
      </c>
      <c r="G363">
        <v>33336800</v>
      </c>
      <c r="I363">
        <f t="shared" si="6"/>
        <v>2.7469861419517007E-4</v>
      </c>
    </row>
    <row r="364" spans="1:9" x14ac:dyDescent="0.3">
      <c r="A364" s="5">
        <v>42166</v>
      </c>
      <c r="B364">
        <v>31.950001</v>
      </c>
      <c r="C364">
        <v>32.099997999999999</v>
      </c>
      <c r="D364">
        <v>31.84</v>
      </c>
      <c r="E364">
        <v>31.85</v>
      </c>
      <c r="F364">
        <v>25.048079000000001</v>
      </c>
      <c r="G364">
        <v>24293600</v>
      </c>
      <c r="I364">
        <f t="shared" si="6"/>
        <v>3.7703357760157892E-5</v>
      </c>
    </row>
    <row r="365" spans="1:9" x14ac:dyDescent="0.3">
      <c r="A365" s="5">
        <v>42167</v>
      </c>
      <c r="B365">
        <v>31.719999000000001</v>
      </c>
      <c r="C365">
        <v>32.099997999999999</v>
      </c>
      <c r="D365">
        <v>31.200001</v>
      </c>
      <c r="E365">
        <v>31.32</v>
      </c>
      <c r="F365">
        <v>24.631264000000002</v>
      </c>
      <c r="G365">
        <v>31629800</v>
      </c>
      <c r="I365">
        <f t="shared" si="6"/>
        <v>3.5639238562897989E-4</v>
      </c>
    </row>
    <row r="366" spans="1:9" x14ac:dyDescent="0.3">
      <c r="A366" s="5">
        <v>42170</v>
      </c>
      <c r="B366">
        <v>31.120000999999998</v>
      </c>
      <c r="C366">
        <v>31.51</v>
      </c>
      <c r="D366">
        <v>30.940000999999999</v>
      </c>
      <c r="E366">
        <v>31.389999</v>
      </c>
      <c r="F366">
        <v>24.686319000000001</v>
      </c>
      <c r="G366">
        <v>23175000</v>
      </c>
      <c r="I366">
        <f t="shared" si="6"/>
        <v>1.3128175509265216E-4</v>
      </c>
    </row>
    <row r="367" spans="1:9" x14ac:dyDescent="0.3">
      <c r="A367" s="5">
        <v>42171</v>
      </c>
      <c r="B367">
        <v>31.26</v>
      </c>
      <c r="C367">
        <v>31.76</v>
      </c>
      <c r="D367">
        <v>31.129999000000002</v>
      </c>
      <c r="E367">
        <v>31.639999</v>
      </c>
      <c r="F367">
        <v>24.882935</v>
      </c>
      <c r="G367">
        <v>20254500</v>
      </c>
      <c r="I367">
        <f t="shared" si="6"/>
        <v>1.2779035904508237E-4</v>
      </c>
    </row>
    <row r="368" spans="1:9" x14ac:dyDescent="0.3">
      <c r="A368" s="5">
        <v>42172</v>
      </c>
      <c r="B368">
        <v>31.75</v>
      </c>
      <c r="C368">
        <v>32.090000000000003</v>
      </c>
      <c r="D368">
        <v>31.690000999999999</v>
      </c>
      <c r="E368">
        <v>31.950001</v>
      </c>
      <c r="F368">
        <v>25.126723999999999</v>
      </c>
      <c r="G368">
        <v>28194200</v>
      </c>
      <c r="I368">
        <f t="shared" si="6"/>
        <v>6.2027574532994728E-5</v>
      </c>
    </row>
    <row r="369" spans="1:9" x14ac:dyDescent="0.3">
      <c r="A369" s="5">
        <v>42173</v>
      </c>
      <c r="B369">
        <v>32.080002</v>
      </c>
      <c r="C369">
        <v>32.5</v>
      </c>
      <c r="D369">
        <v>32</v>
      </c>
      <c r="E369">
        <v>32.380001</v>
      </c>
      <c r="F369">
        <v>25.464894999999999</v>
      </c>
      <c r="G369">
        <v>27722400</v>
      </c>
      <c r="I369">
        <f t="shared" si="6"/>
        <v>7.7591826283590726E-5</v>
      </c>
    </row>
    <row r="370" spans="1:9" x14ac:dyDescent="0.3">
      <c r="A370" s="5">
        <v>42174</v>
      </c>
      <c r="B370">
        <v>32.400002000000001</v>
      </c>
      <c r="C370">
        <v>32.57</v>
      </c>
      <c r="D370">
        <v>31.959999</v>
      </c>
      <c r="E370">
        <v>32.07</v>
      </c>
      <c r="F370">
        <v>25.2211</v>
      </c>
      <c r="G370">
        <v>39008400</v>
      </c>
      <c r="I370">
        <f t="shared" si="6"/>
        <v>1.2794051093101684E-4</v>
      </c>
    </row>
    <row r="371" spans="1:9" x14ac:dyDescent="0.3">
      <c r="A371" s="5">
        <v>42177</v>
      </c>
      <c r="B371">
        <v>32.259998000000003</v>
      </c>
      <c r="C371">
        <v>32.389999000000003</v>
      </c>
      <c r="D371">
        <v>32.080002</v>
      </c>
      <c r="E371">
        <v>32.259998000000003</v>
      </c>
      <c r="F371">
        <v>25.370519999999999</v>
      </c>
      <c r="G371">
        <v>23608400</v>
      </c>
      <c r="I371">
        <f t="shared" si="6"/>
        <v>4.7479878782779832E-5</v>
      </c>
    </row>
    <row r="372" spans="1:9" x14ac:dyDescent="0.3">
      <c r="A372" s="5">
        <v>42178</v>
      </c>
      <c r="B372">
        <v>32.310001</v>
      </c>
      <c r="C372">
        <v>32.340000000000003</v>
      </c>
      <c r="D372">
        <v>31.93</v>
      </c>
      <c r="E372">
        <v>32.090000000000003</v>
      </c>
      <c r="F372">
        <v>25.236822</v>
      </c>
      <c r="G372">
        <v>17995900</v>
      </c>
      <c r="I372">
        <f t="shared" si="6"/>
        <v>6.6337650372223902E-5</v>
      </c>
    </row>
    <row r="373" spans="1:9" x14ac:dyDescent="0.3">
      <c r="A373" s="5">
        <v>42179</v>
      </c>
      <c r="B373">
        <v>32.150002000000001</v>
      </c>
      <c r="C373">
        <v>32.150002000000001</v>
      </c>
      <c r="D373">
        <v>31.879999000000002</v>
      </c>
      <c r="E373">
        <v>31.91</v>
      </c>
      <c r="F373">
        <v>25.095264</v>
      </c>
      <c r="G373">
        <v>23313900</v>
      </c>
      <c r="I373">
        <f t="shared" si="6"/>
        <v>7.9328787095501856E-6</v>
      </c>
    </row>
    <row r="374" spans="1:9" x14ac:dyDescent="0.3">
      <c r="A374" s="5">
        <v>42180</v>
      </c>
      <c r="B374">
        <v>32.020000000000003</v>
      </c>
      <c r="C374">
        <v>32.32</v>
      </c>
      <c r="D374">
        <v>31.99</v>
      </c>
      <c r="E374">
        <v>31.99</v>
      </c>
      <c r="F374">
        <v>25.158182</v>
      </c>
      <c r="G374">
        <v>22743300</v>
      </c>
      <c r="I374">
        <f t="shared" si="6"/>
        <v>9.5706752263082401E-5</v>
      </c>
    </row>
    <row r="375" spans="1:9" x14ac:dyDescent="0.3">
      <c r="A375" s="5">
        <v>42181</v>
      </c>
      <c r="B375">
        <v>31.51</v>
      </c>
      <c r="C375">
        <v>31.530000999999999</v>
      </c>
      <c r="D375">
        <v>30.76</v>
      </c>
      <c r="E375">
        <v>31.02</v>
      </c>
      <c r="F375">
        <v>24.395337999999999</v>
      </c>
      <c r="G375">
        <v>62157200</v>
      </c>
      <c r="I375">
        <f t="shared" si="6"/>
        <v>2.1311207541298898E-4</v>
      </c>
    </row>
    <row r="376" spans="1:9" x14ac:dyDescent="0.3">
      <c r="A376" s="5">
        <v>42184</v>
      </c>
      <c r="B376">
        <v>30.700001</v>
      </c>
      <c r="C376">
        <v>30.98</v>
      </c>
      <c r="D376">
        <v>30.309999000000001</v>
      </c>
      <c r="E376">
        <v>30.389999</v>
      </c>
      <c r="F376">
        <v>23.899875999999999</v>
      </c>
      <c r="G376">
        <v>35194500</v>
      </c>
      <c r="I376">
        <f t="shared" si="6"/>
        <v>2.0827648571603466E-4</v>
      </c>
    </row>
    <row r="377" spans="1:9" x14ac:dyDescent="0.3">
      <c r="A377" s="5">
        <v>42185</v>
      </c>
      <c r="B377">
        <v>30.629999000000002</v>
      </c>
      <c r="C377">
        <v>30.690000999999999</v>
      </c>
      <c r="D377">
        <v>30.15</v>
      </c>
      <c r="E377">
        <v>30.42</v>
      </c>
      <c r="F377">
        <v>23.923470999999999</v>
      </c>
      <c r="G377">
        <v>34412200</v>
      </c>
      <c r="I377">
        <f t="shared" si="6"/>
        <v>1.5811122654202343E-4</v>
      </c>
    </row>
    <row r="378" spans="1:9" x14ac:dyDescent="0.3">
      <c r="A378" s="5">
        <v>42186</v>
      </c>
      <c r="B378">
        <v>30.49</v>
      </c>
      <c r="C378">
        <v>30.549999</v>
      </c>
      <c r="D378">
        <v>30.01</v>
      </c>
      <c r="E378">
        <v>30.18</v>
      </c>
      <c r="F378">
        <v>23.734725999999998</v>
      </c>
      <c r="G378">
        <v>27178900</v>
      </c>
      <c r="I378">
        <f t="shared" si="6"/>
        <v>1.1359041992121433E-4</v>
      </c>
    </row>
    <row r="379" spans="1:9" x14ac:dyDescent="0.3">
      <c r="A379" s="5">
        <v>42187</v>
      </c>
      <c r="B379">
        <v>30.18</v>
      </c>
      <c r="C379">
        <v>30.92</v>
      </c>
      <c r="D379">
        <v>30.1</v>
      </c>
      <c r="E379">
        <v>30.559999000000001</v>
      </c>
      <c r="F379">
        <v>24.033573000000001</v>
      </c>
      <c r="G379">
        <v>27105200</v>
      </c>
      <c r="I379">
        <f t="shared" si="6"/>
        <v>3.2394850302454829E-4</v>
      </c>
    </row>
    <row r="380" spans="1:9" x14ac:dyDescent="0.3">
      <c r="A380" s="5">
        <v>42191</v>
      </c>
      <c r="B380">
        <v>30.24</v>
      </c>
      <c r="C380">
        <v>30.450001</v>
      </c>
      <c r="D380">
        <v>29.84</v>
      </c>
      <c r="E380">
        <v>30.040001</v>
      </c>
      <c r="F380">
        <v>23.624621999999999</v>
      </c>
      <c r="G380">
        <v>32468100</v>
      </c>
      <c r="I380">
        <f t="shared" si="6"/>
        <v>1.8276563615921584E-4</v>
      </c>
    </row>
    <row r="381" spans="1:9" x14ac:dyDescent="0.3">
      <c r="A381" s="5">
        <v>42192</v>
      </c>
      <c r="B381">
        <v>29.870000999999998</v>
      </c>
      <c r="C381">
        <v>29.93</v>
      </c>
      <c r="D381">
        <v>29.09</v>
      </c>
      <c r="E381">
        <v>29.9</v>
      </c>
      <c r="F381">
        <v>23.514523000000001</v>
      </c>
      <c r="G381">
        <v>43833700</v>
      </c>
      <c r="I381">
        <f t="shared" si="6"/>
        <v>7.287153127918353E-4</v>
      </c>
    </row>
    <row r="382" spans="1:9" x14ac:dyDescent="0.3">
      <c r="A382" s="5">
        <v>42193</v>
      </c>
      <c r="B382">
        <v>29.4</v>
      </c>
      <c r="C382">
        <v>29.67</v>
      </c>
      <c r="D382">
        <v>29.15</v>
      </c>
      <c r="E382">
        <v>29.5</v>
      </c>
      <c r="F382">
        <v>23.199949</v>
      </c>
      <c r="G382">
        <v>45223800</v>
      </c>
      <c r="I382">
        <f t="shared" si="6"/>
        <v>1.5445516325085363E-4</v>
      </c>
    </row>
    <row r="383" spans="1:9" x14ac:dyDescent="0.3">
      <c r="A383" s="5">
        <v>42194</v>
      </c>
      <c r="B383">
        <v>29.719999000000001</v>
      </c>
      <c r="C383">
        <v>29.889999</v>
      </c>
      <c r="D383">
        <v>28.82</v>
      </c>
      <c r="E383">
        <v>28.93</v>
      </c>
      <c r="F383">
        <v>22.75168</v>
      </c>
      <c r="G383">
        <v>47167800</v>
      </c>
      <c r="I383">
        <f t="shared" si="6"/>
        <v>3.0334339861488304E-4</v>
      </c>
    </row>
    <row r="384" spans="1:9" x14ac:dyDescent="0.3">
      <c r="A384" s="5">
        <v>42195</v>
      </c>
      <c r="B384">
        <v>29.200001</v>
      </c>
      <c r="C384">
        <v>29.35</v>
      </c>
      <c r="D384">
        <v>28.940000999999999</v>
      </c>
      <c r="E384">
        <v>29.17</v>
      </c>
      <c r="F384">
        <v>22.94042</v>
      </c>
      <c r="G384">
        <v>31423800</v>
      </c>
      <c r="I384">
        <f t="shared" si="6"/>
        <v>1.02321275751311E-4</v>
      </c>
    </row>
    <row r="385" spans="1:9" x14ac:dyDescent="0.3">
      <c r="A385" s="5">
        <v>42198</v>
      </c>
      <c r="B385">
        <v>29.27</v>
      </c>
      <c r="C385">
        <v>29.82</v>
      </c>
      <c r="D385">
        <v>29.190000999999999</v>
      </c>
      <c r="E385">
        <v>29.73</v>
      </c>
      <c r="F385">
        <v>23.380825000000002</v>
      </c>
      <c r="G385">
        <v>26452400</v>
      </c>
      <c r="I385">
        <f t="shared" si="6"/>
        <v>1.0643888171549479E-4</v>
      </c>
    </row>
    <row r="386" spans="1:9" x14ac:dyDescent="0.3">
      <c r="A386" s="5">
        <v>42199</v>
      </c>
      <c r="B386">
        <v>29.66</v>
      </c>
      <c r="C386">
        <v>30.110001</v>
      </c>
      <c r="D386">
        <v>29.440000999999999</v>
      </c>
      <c r="E386">
        <v>29.65</v>
      </c>
      <c r="F386">
        <v>23.317914999999999</v>
      </c>
      <c r="G386">
        <v>39778300</v>
      </c>
      <c r="I386">
        <f t="shared" si="6"/>
        <v>2.8473989515940922E-4</v>
      </c>
    </row>
    <row r="387" spans="1:9" x14ac:dyDescent="0.3">
      <c r="A387" s="5">
        <v>42200</v>
      </c>
      <c r="B387">
        <v>29.65</v>
      </c>
      <c r="C387">
        <v>29.99</v>
      </c>
      <c r="D387">
        <v>29.469999000000001</v>
      </c>
      <c r="E387">
        <v>29.690000999999999</v>
      </c>
      <c r="F387">
        <v>23.349368999999999</v>
      </c>
      <c r="G387">
        <v>47852500</v>
      </c>
      <c r="I387">
        <f t="shared" si="6"/>
        <v>1.599206125645184E-4</v>
      </c>
    </row>
    <row r="388" spans="1:9" x14ac:dyDescent="0.3">
      <c r="A388" s="5">
        <v>42201</v>
      </c>
      <c r="B388">
        <v>30.469999000000001</v>
      </c>
      <c r="C388">
        <v>30.48</v>
      </c>
      <c r="D388">
        <v>29.1</v>
      </c>
      <c r="E388">
        <v>29.9</v>
      </c>
      <c r="F388">
        <v>23.514523000000001</v>
      </c>
      <c r="G388">
        <v>81166700</v>
      </c>
      <c r="I388">
        <f t="shared" si="6"/>
        <v>1.2539579322898848E-3</v>
      </c>
    </row>
    <row r="389" spans="1:9" x14ac:dyDescent="0.3">
      <c r="A389" s="5">
        <v>42202</v>
      </c>
      <c r="B389">
        <v>29.66</v>
      </c>
      <c r="C389">
        <v>29.799999</v>
      </c>
      <c r="D389">
        <v>29.1</v>
      </c>
      <c r="E389">
        <v>29.469999000000001</v>
      </c>
      <c r="F389">
        <v>23.176355000000001</v>
      </c>
      <c r="G389">
        <v>43697600</v>
      </c>
      <c r="I389">
        <f t="shared" si="6"/>
        <v>2.9326773334601992E-4</v>
      </c>
    </row>
    <row r="390" spans="1:9" x14ac:dyDescent="0.3">
      <c r="A390" s="5">
        <v>42205</v>
      </c>
      <c r="B390">
        <v>29.620000999999998</v>
      </c>
      <c r="C390">
        <v>29.620000999999998</v>
      </c>
      <c r="D390">
        <v>29.07</v>
      </c>
      <c r="E390">
        <v>29.1</v>
      </c>
      <c r="F390">
        <v>22.885376000000001</v>
      </c>
      <c r="G390">
        <v>33812900</v>
      </c>
      <c r="I390">
        <f t="shared" si="6"/>
        <v>1.9332779465279557E-5</v>
      </c>
    </row>
    <row r="391" spans="1:9" x14ac:dyDescent="0.3">
      <c r="A391" s="5">
        <v>42206</v>
      </c>
      <c r="B391">
        <v>28.959999</v>
      </c>
      <c r="C391">
        <v>29.26</v>
      </c>
      <c r="D391">
        <v>28.67</v>
      </c>
      <c r="E391">
        <v>28.719999000000001</v>
      </c>
      <c r="F391">
        <v>22.586527</v>
      </c>
      <c r="G391">
        <v>45191000</v>
      </c>
      <c r="I391">
        <f t="shared" si="6"/>
        <v>2.0951062608041539E-4</v>
      </c>
    </row>
    <row r="392" spans="1:9" x14ac:dyDescent="0.3">
      <c r="A392" s="5">
        <v>42207</v>
      </c>
      <c r="B392">
        <v>28.57</v>
      </c>
      <c r="C392">
        <v>28.85</v>
      </c>
      <c r="D392">
        <v>28.43</v>
      </c>
      <c r="E392">
        <v>28.610001</v>
      </c>
      <c r="F392">
        <v>22.500017</v>
      </c>
      <c r="G392">
        <v>36387200</v>
      </c>
      <c r="I392">
        <f t="shared" si="6"/>
        <v>1.124748034265468E-4</v>
      </c>
    </row>
    <row r="393" spans="1:9" x14ac:dyDescent="0.3">
      <c r="A393" s="5">
        <v>42208</v>
      </c>
      <c r="B393">
        <v>28.66</v>
      </c>
      <c r="C393">
        <v>28.969999000000001</v>
      </c>
      <c r="D393">
        <v>28.43</v>
      </c>
      <c r="E393">
        <v>28.6</v>
      </c>
      <c r="F393">
        <v>22.492151</v>
      </c>
      <c r="G393">
        <v>33775200</v>
      </c>
      <c r="I393">
        <f t="shared" si="6"/>
        <v>1.8632565375007777E-4</v>
      </c>
    </row>
    <row r="394" spans="1:9" x14ac:dyDescent="0.3">
      <c r="A394" s="5">
        <v>42209</v>
      </c>
      <c r="B394">
        <v>28.530000999999999</v>
      </c>
      <c r="C394">
        <v>28.639999</v>
      </c>
      <c r="D394">
        <v>28.059999000000001</v>
      </c>
      <c r="E394">
        <v>28.059999000000001</v>
      </c>
      <c r="F394">
        <v>22.067475999999999</v>
      </c>
      <c r="G394">
        <v>31621000</v>
      </c>
      <c r="I394">
        <f t="shared" si="6"/>
        <v>7.8729450898131317E-5</v>
      </c>
    </row>
    <row r="395" spans="1:9" x14ac:dyDescent="0.3">
      <c r="A395" s="5">
        <v>42212</v>
      </c>
      <c r="B395">
        <v>28.07</v>
      </c>
      <c r="C395">
        <v>28.42</v>
      </c>
      <c r="D395">
        <v>27.620000999999998</v>
      </c>
      <c r="E395">
        <v>28.35</v>
      </c>
      <c r="F395">
        <v>22.295542000000001</v>
      </c>
      <c r="G395">
        <v>42161100</v>
      </c>
      <c r="I395">
        <f t="shared" si="6"/>
        <v>4.5215405477938878E-4</v>
      </c>
    </row>
    <row r="396" spans="1:9" x14ac:dyDescent="0.3">
      <c r="A396" s="5">
        <v>42213</v>
      </c>
      <c r="B396">
        <v>28.51</v>
      </c>
      <c r="C396">
        <v>29.18</v>
      </c>
      <c r="D396">
        <v>28.440000999999999</v>
      </c>
      <c r="E396">
        <v>28.959999</v>
      </c>
      <c r="F396">
        <v>22.775266999999999</v>
      </c>
      <c r="G396">
        <v>33182400</v>
      </c>
      <c r="I396">
        <f t="shared" ref="I396:I459" si="7">LN(C396/B396)*(LN(C396/B396)-LN(E396/B396))+LN(D396/B396)*(LN(D396/B396)-LN(E396/B396))</f>
        <v>2.2033558446392203E-4</v>
      </c>
    </row>
    <row r="397" spans="1:9" x14ac:dyDescent="0.3">
      <c r="A397" s="5">
        <v>42214</v>
      </c>
      <c r="B397">
        <v>28.950001</v>
      </c>
      <c r="C397">
        <v>29.129999000000002</v>
      </c>
      <c r="D397">
        <v>28.790001</v>
      </c>
      <c r="E397">
        <v>29.01</v>
      </c>
      <c r="F397">
        <v>22.814592000000001</v>
      </c>
      <c r="G397">
        <v>26470200</v>
      </c>
      <c r="I397">
        <f t="shared" si="7"/>
        <v>6.7775195049573519E-5</v>
      </c>
    </row>
    <row r="398" spans="1:9" x14ac:dyDescent="0.3">
      <c r="A398" s="5">
        <v>42215</v>
      </c>
      <c r="B398">
        <v>29.1</v>
      </c>
      <c r="C398">
        <v>29.450001</v>
      </c>
      <c r="D398">
        <v>28.85</v>
      </c>
      <c r="E398">
        <v>28.91</v>
      </c>
      <c r="F398">
        <v>22.735949999999999</v>
      </c>
      <c r="G398">
        <v>26582400</v>
      </c>
      <c r="I398">
        <f t="shared" si="7"/>
        <v>2.391837071719812E-4</v>
      </c>
    </row>
    <row r="399" spans="1:9" x14ac:dyDescent="0.3">
      <c r="A399" s="5">
        <v>42216</v>
      </c>
      <c r="B399">
        <v>29.120000999999998</v>
      </c>
      <c r="C399">
        <v>29.120000999999998</v>
      </c>
      <c r="D399">
        <v>28.77</v>
      </c>
      <c r="E399">
        <v>28.950001</v>
      </c>
      <c r="F399">
        <v>22.767405</v>
      </c>
      <c r="G399">
        <v>27158800</v>
      </c>
      <c r="I399">
        <f t="shared" si="7"/>
        <v>7.5419041210199943E-5</v>
      </c>
    </row>
    <row r="400" spans="1:9" x14ac:dyDescent="0.3">
      <c r="A400" s="5">
        <v>42219</v>
      </c>
      <c r="B400">
        <v>29</v>
      </c>
      <c r="C400">
        <v>29.35</v>
      </c>
      <c r="D400">
        <v>28.9</v>
      </c>
      <c r="E400">
        <v>29.049999</v>
      </c>
      <c r="F400">
        <v>22.846050000000002</v>
      </c>
      <c r="G400">
        <v>26213600</v>
      </c>
      <c r="I400">
        <f t="shared" si="7"/>
        <v>1.4113750036581814E-4</v>
      </c>
    </row>
    <row r="401" spans="1:9" x14ac:dyDescent="0.3">
      <c r="A401" s="5">
        <v>42220</v>
      </c>
      <c r="B401">
        <v>28.98</v>
      </c>
      <c r="C401">
        <v>29.15</v>
      </c>
      <c r="D401">
        <v>28.860001</v>
      </c>
      <c r="E401">
        <v>29.129999000000002</v>
      </c>
      <c r="F401">
        <v>22.908968000000002</v>
      </c>
      <c r="G401">
        <v>25741700</v>
      </c>
      <c r="I401">
        <f t="shared" si="7"/>
        <v>4.2653121430061752E-5</v>
      </c>
    </row>
    <row r="402" spans="1:9" x14ac:dyDescent="0.3">
      <c r="A402" s="5">
        <v>42221</v>
      </c>
      <c r="B402">
        <v>29.190000999999999</v>
      </c>
      <c r="C402">
        <v>29.389999</v>
      </c>
      <c r="D402">
        <v>29.02</v>
      </c>
      <c r="E402">
        <v>29.120000999999998</v>
      </c>
      <c r="F402">
        <v>23.091351</v>
      </c>
      <c r="G402">
        <v>23622700</v>
      </c>
      <c r="I402">
        <f t="shared" si="7"/>
        <v>8.3112000508359617E-5</v>
      </c>
    </row>
    <row r="403" spans="1:9" x14ac:dyDescent="0.3">
      <c r="A403" s="5">
        <v>42222</v>
      </c>
      <c r="B403">
        <v>29.16</v>
      </c>
      <c r="C403">
        <v>29.23</v>
      </c>
      <c r="D403">
        <v>28.85</v>
      </c>
      <c r="E403">
        <v>29.01</v>
      </c>
      <c r="F403">
        <v>23.004125999999999</v>
      </c>
      <c r="G403">
        <v>27958200</v>
      </c>
      <c r="I403">
        <f t="shared" si="7"/>
        <v>7.7224999803064074E-5</v>
      </c>
    </row>
    <row r="404" spans="1:9" x14ac:dyDescent="0.3">
      <c r="A404" s="5">
        <v>42223</v>
      </c>
      <c r="B404">
        <v>28.799999</v>
      </c>
      <c r="C404">
        <v>28.959999</v>
      </c>
      <c r="D404">
        <v>28.690000999999999</v>
      </c>
      <c r="E404">
        <v>28.879999000000002</v>
      </c>
      <c r="F404">
        <v>22.901036999999999</v>
      </c>
      <c r="G404">
        <v>25606100</v>
      </c>
      <c r="I404">
        <f t="shared" si="7"/>
        <v>4.0584034035546316E-5</v>
      </c>
    </row>
    <row r="405" spans="1:9" x14ac:dyDescent="0.3">
      <c r="A405" s="5">
        <v>42226</v>
      </c>
      <c r="B405">
        <v>29.07</v>
      </c>
      <c r="C405">
        <v>29.68</v>
      </c>
      <c r="D405">
        <v>29.059999000000001</v>
      </c>
      <c r="E405">
        <v>29.639999</v>
      </c>
      <c r="F405">
        <v>23.503691</v>
      </c>
      <c r="G405">
        <v>22807400</v>
      </c>
      <c r="I405">
        <f t="shared" si="7"/>
        <v>3.480702078218061E-5</v>
      </c>
    </row>
    <row r="406" spans="1:9" x14ac:dyDescent="0.3">
      <c r="A406" s="5">
        <v>42227</v>
      </c>
      <c r="B406">
        <v>29.469999000000001</v>
      </c>
      <c r="C406">
        <v>29.48</v>
      </c>
      <c r="D406">
        <v>28.959999</v>
      </c>
      <c r="E406">
        <v>28.969999000000001</v>
      </c>
      <c r="F406">
        <v>22.972401000000001</v>
      </c>
      <c r="G406">
        <v>23758900</v>
      </c>
      <c r="I406">
        <f t="shared" si="7"/>
        <v>1.1948309991069785E-5</v>
      </c>
    </row>
    <row r="407" spans="1:9" x14ac:dyDescent="0.3">
      <c r="A407" s="5">
        <v>42228</v>
      </c>
      <c r="B407">
        <v>28.66</v>
      </c>
      <c r="C407">
        <v>29.57</v>
      </c>
      <c r="D407">
        <v>28.66</v>
      </c>
      <c r="E407">
        <v>29.459999</v>
      </c>
      <c r="F407">
        <v>23.360958</v>
      </c>
      <c r="G407">
        <v>33589100</v>
      </c>
      <c r="I407">
        <f t="shared" si="7"/>
        <v>1.1649688488049181E-4</v>
      </c>
    </row>
    <row r="408" spans="1:9" x14ac:dyDescent="0.3">
      <c r="A408" s="5">
        <v>42229</v>
      </c>
      <c r="B408">
        <v>29.4</v>
      </c>
      <c r="C408">
        <v>29.450001</v>
      </c>
      <c r="D408">
        <v>28.870000999999998</v>
      </c>
      <c r="E408">
        <v>28.870000999999998</v>
      </c>
      <c r="F408">
        <v>22.893101000000001</v>
      </c>
      <c r="G408">
        <v>18821900</v>
      </c>
      <c r="I408">
        <f t="shared" si="7"/>
        <v>3.3800030598587603E-5</v>
      </c>
    </row>
    <row r="409" spans="1:9" x14ac:dyDescent="0.3">
      <c r="A409" s="5">
        <v>42230</v>
      </c>
      <c r="B409">
        <v>28.92</v>
      </c>
      <c r="C409">
        <v>29.040001</v>
      </c>
      <c r="D409">
        <v>28.82</v>
      </c>
      <c r="E409">
        <v>29.02</v>
      </c>
      <c r="F409">
        <v>23.012053999999999</v>
      </c>
      <c r="G409">
        <v>14302700</v>
      </c>
      <c r="I409">
        <f t="shared" si="7"/>
        <v>2.6807433152690974E-5</v>
      </c>
    </row>
    <row r="410" spans="1:9" x14ac:dyDescent="0.3">
      <c r="A410" s="5">
        <v>42233</v>
      </c>
      <c r="B410">
        <v>28.83</v>
      </c>
      <c r="C410">
        <v>29.200001</v>
      </c>
      <c r="D410">
        <v>28.709999</v>
      </c>
      <c r="E410">
        <v>29.08</v>
      </c>
      <c r="F410">
        <v>23.059629000000001</v>
      </c>
      <c r="G410">
        <v>15548300</v>
      </c>
      <c r="I410">
        <f t="shared" si="7"/>
        <v>1.0592598130332077E-4</v>
      </c>
    </row>
    <row r="411" spans="1:9" x14ac:dyDescent="0.3">
      <c r="A411" s="5">
        <v>42234</v>
      </c>
      <c r="B411">
        <v>28.950001</v>
      </c>
      <c r="C411">
        <v>29.049999</v>
      </c>
      <c r="D411">
        <v>28.799999</v>
      </c>
      <c r="E411">
        <v>28.91</v>
      </c>
      <c r="F411">
        <v>22.924824000000001</v>
      </c>
      <c r="G411">
        <v>19182600</v>
      </c>
      <c r="I411">
        <f t="shared" si="7"/>
        <v>3.6461898229706545E-5</v>
      </c>
    </row>
    <row r="412" spans="1:9" x14ac:dyDescent="0.3">
      <c r="A412" s="5">
        <v>42235</v>
      </c>
      <c r="B412">
        <v>28.65</v>
      </c>
      <c r="C412">
        <v>28.799999</v>
      </c>
      <c r="D412">
        <v>28.280000999999999</v>
      </c>
      <c r="E412">
        <v>28.360001</v>
      </c>
      <c r="F412">
        <v>22.488690999999999</v>
      </c>
      <c r="G412">
        <v>30530100</v>
      </c>
      <c r="I412">
        <f t="shared" si="7"/>
        <v>1.1711364539473036E-4</v>
      </c>
    </row>
    <row r="413" spans="1:9" x14ac:dyDescent="0.3">
      <c r="A413" s="5">
        <v>42236</v>
      </c>
      <c r="B413">
        <v>28.030000999999999</v>
      </c>
      <c r="C413">
        <v>28.24</v>
      </c>
      <c r="D413">
        <v>27.530000999999999</v>
      </c>
      <c r="E413">
        <v>27.530000999999999</v>
      </c>
      <c r="F413">
        <v>21.830522999999999</v>
      </c>
      <c r="G413">
        <v>31936600</v>
      </c>
      <c r="I413">
        <f t="shared" si="7"/>
        <v>1.9005655829992774E-4</v>
      </c>
    </row>
    <row r="414" spans="1:9" x14ac:dyDescent="0.3">
      <c r="A414" s="5">
        <v>42237</v>
      </c>
      <c r="B414">
        <v>27.33</v>
      </c>
      <c r="C414">
        <v>27.629999000000002</v>
      </c>
      <c r="D414">
        <v>26.559999000000001</v>
      </c>
      <c r="E414">
        <v>26.559999000000001</v>
      </c>
      <c r="F414">
        <v>21.061337000000002</v>
      </c>
      <c r="G414">
        <v>52288400</v>
      </c>
      <c r="I414">
        <f t="shared" si="7"/>
        <v>4.3117988120707965E-4</v>
      </c>
    </row>
    <row r="415" spans="1:9" x14ac:dyDescent="0.3">
      <c r="A415" s="5">
        <v>42240</v>
      </c>
      <c r="B415">
        <v>25.200001</v>
      </c>
      <c r="C415">
        <v>27.629999000000002</v>
      </c>
      <c r="D415">
        <v>24.870000999999998</v>
      </c>
      <c r="E415">
        <v>26.25</v>
      </c>
      <c r="F415">
        <v>20.815521</v>
      </c>
      <c r="G415">
        <v>83234200</v>
      </c>
      <c r="I415">
        <f t="shared" si="7"/>
        <v>5.4285600747789953E-3</v>
      </c>
    </row>
    <row r="416" spans="1:9" x14ac:dyDescent="0.3">
      <c r="A416" s="5">
        <v>42241</v>
      </c>
      <c r="B416">
        <v>27.040001</v>
      </c>
      <c r="C416">
        <v>27.15</v>
      </c>
      <c r="D416">
        <v>25.870000999999998</v>
      </c>
      <c r="E416">
        <v>25.870000999999998</v>
      </c>
      <c r="F416">
        <v>20.514192999999999</v>
      </c>
      <c r="G416">
        <v>59371900</v>
      </c>
      <c r="I416">
        <f t="shared" si="7"/>
        <v>1.960579506577374E-4</v>
      </c>
    </row>
    <row r="417" spans="1:9" x14ac:dyDescent="0.3">
      <c r="A417" s="5">
        <v>42242</v>
      </c>
      <c r="B417">
        <v>26.51</v>
      </c>
      <c r="C417">
        <v>27.34</v>
      </c>
      <c r="D417">
        <v>26.08</v>
      </c>
      <c r="E417">
        <v>27.299999</v>
      </c>
      <c r="F417">
        <v>21.648136000000001</v>
      </c>
      <c r="G417">
        <v>47386700</v>
      </c>
      <c r="I417">
        <f t="shared" si="7"/>
        <v>7.9277672276691536E-4</v>
      </c>
    </row>
    <row r="418" spans="1:9" x14ac:dyDescent="0.3">
      <c r="A418" s="5">
        <v>42243</v>
      </c>
      <c r="B418">
        <v>27.719999000000001</v>
      </c>
      <c r="C418">
        <v>27.91</v>
      </c>
      <c r="D418">
        <v>27.01</v>
      </c>
      <c r="E418">
        <v>27.719999000000001</v>
      </c>
      <c r="F418">
        <v>21.981190000000002</v>
      </c>
      <c r="G418">
        <v>38649400</v>
      </c>
      <c r="I418">
        <f t="shared" si="7"/>
        <v>7.19906597011576E-4</v>
      </c>
    </row>
    <row r="419" spans="1:9" x14ac:dyDescent="0.3">
      <c r="A419" s="5">
        <v>42244</v>
      </c>
      <c r="B419">
        <v>27.67</v>
      </c>
      <c r="C419">
        <v>28.610001</v>
      </c>
      <c r="D419">
        <v>27.450001</v>
      </c>
      <c r="E419">
        <v>28.42</v>
      </c>
      <c r="F419">
        <v>22.536268</v>
      </c>
      <c r="G419">
        <v>43452400</v>
      </c>
      <c r="I419">
        <f t="shared" si="7"/>
        <v>4.9981255182218786E-4</v>
      </c>
    </row>
    <row r="420" spans="1:9" x14ac:dyDescent="0.3">
      <c r="A420" s="5">
        <v>42247</v>
      </c>
      <c r="B420">
        <v>28.33</v>
      </c>
      <c r="C420">
        <v>29.129999000000002</v>
      </c>
      <c r="D420">
        <v>28.16</v>
      </c>
      <c r="E420">
        <v>28.540001</v>
      </c>
      <c r="F420">
        <v>22.631426000000001</v>
      </c>
      <c r="G420">
        <v>42401800</v>
      </c>
      <c r="I420">
        <f t="shared" si="7"/>
        <v>6.5048325564886632E-4</v>
      </c>
    </row>
    <row r="421" spans="1:9" x14ac:dyDescent="0.3">
      <c r="A421" s="5">
        <v>42248</v>
      </c>
      <c r="B421">
        <v>27.91</v>
      </c>
      <c r="C421">
        <v>28.17</v>
      </c>
      <c r="D421">
        <v>27.66</v>
      </c>
      <c r="E421">
        <v>27.82</v>
      </c>
      <c r="F421">
        <v>22.060479999999998</v>
      </c>
      <c r="G421">
        <v>44144000</v>
      </c>
      <c r="I421">
        <f t="shared" si="7"/>
        <v>1.6782648978634201E-4</v>
      </c>
    </row>
    <row r="422" spans="1:9" x14ac:dyDescent="0.3">
      <c r="A422" s="5">
        <v>42249</v>
      </c>
      <c r="B422">
        <v>28.35</v>
      </c>
      <c r="C422">
        <v>28.6</v>
      </c>
      <c r="D422">
        <v>28.139999</v>
      </c>
      <c r="E422">
        <v>28.6</v>
      </c>
      <c r="F422">
        <v>22.679005</v>
      </c>
      <c r="G422">
        <v>34618800</v>
      </c>
      <c r="I422">
        <f t="shared" si="7"/>
        <v>1.2055653435924975E-4</v>
      </c>
    </row>
    <row r="423" spans="1:9" x14ac:dyDescent="0.3">
      <c r="A423" s="5">
        <v>42250</v>
      </c>
      <c r="B423">
        <v>28.799999</v>
      </c>
      <c r="C423">
        <v>29.42</v>
      </c>
      <c r="D423">
        <v>28.690000999999999</v>
      </c>
      <c r="E423">
        <v>29.08</v>
      </c>
      <c r="F423">
        <v>23.059629000000001</v>
      </c>
      <c r="G423">
        <v>38665900</v>
      </c>
      <c r="I423">
        <f t="shared" si="7"/>
        <v>2.9925301299067828E-4</v>
      </c>
    </row>
    <row r="424" spans="1:9" x14ac:dyDescent="0.3">
      <c r="A424" s="5">
        <v>42251</v>
      </c>
      <c r="B424">
        <v>28.57</v>
      </c>
      <c r="C424">
        <v>28.9</v>
      </c>
      <c r="D424">
        <v>28.41</v>
      </c>
      <c r="E424">
        <v>28.52</v>
      </c>
      <c r="F424">
        <v>22.615559000000001</v>
      </c>
      <c r="G424">
        <v>29116500</v>
      </c>
      <c r="I424">
        <f t="shared" si="7"/>
        <v>1.7370978123300098E-4</v>
      </c>
    </row>
    <row r="425" spans="1:9" x14ac:dyDescent="0.3">
      <c r="A425" s="5">
        <v>42255</v>
      </c>
      <c r="B425">
        <v>28.98</v>
      </c>
      <c r="C425">
        <v>29.5</v>
      </c>
      <c r="D425">
        <v>28.950001</v>
      </c>
      <c r="E425">
        <v>29.5</v>
      </c>
      <c r="F425">
        <v>23.392681</v>
      </c>
      <c r="G425">
        <v>27805000</v>
      </c>
      <c r="I425">
        <f t="shared" si="7"/>
        <v>1.9491868262748609E-5</v>
      </c>
    </row>
    <row r="426" spans="1:9" x14ac:dyDescent="0.3">
      <c r="A426" s="5">
        <v>42256</v>
      </c>
      <c r="B426">
        <v>29.719999000000001</v>
      </c>
      <c r="C426">
        <v>30.120000999999998</v>
      </c>
      <c r="D426">
        <v>29.17</v>
      </c>
      <c r="E426">
        <v>29.24</v>
      </c>
      <c r="F426">
        <v>23.186506000000001</v>
      </c>
      <c r="G426">
        <v>30774100</v>
      </c>
      <c r="I426">
        <f t="shared" si="7"/>
        <v>4.4119408596837706E-4</v>
      </c>
    </row>
    <row r="427" spans="1:9" x14ac:dyDescent="0.3">
      <c r="A427" s="5">
        <v>42257</v>
      </c>
      <c r="B427">
        <v>29.18</v>
      </c>
      <c r="C427">
        <v>29.66</v>
      </c>
      <c r="D427">
        <v>28.9</v>
      </c>
      <c r="E427">
        <v>29.27</v>
      </c>
      <c r="F427">
        <v>23.210297000000001</v>
      </c>
      <c r="G427">
        <v>25195800</v>
      </c>
      <c r="I427">
        <f t="shared" si="7"/>
        <v>3.3861978994924509E-4</v>
      </c>
    </row>
    <row r="428" spans="1:9" x14ac:dyDescent="0.3">
      <c r="A428" s="5">
        <v>42258</v>
      </c>
      <c r="B428">
        <v>29.08</v>
      </c>
      <c r="C428">
        <v>29.52</v>
      </c>
      <c r="D428">
        <v>29.040001</v>
      </c>
      <c r="E428">
        <v>29.469999000000001</v>
      </c>
      <c r="F428">
        <v>23.368887000000001</v>
      </c>
      <c r="G428">
        <v>21786900</v>
      </c>
      <c r="I428">
        <f t="shared" si="7"/>
        <v>4.5689444987149426E-5</v>
      </c>
    </row>
    <row r="429" spans="1:9" x14ac:dyDescent="0.3">
      <c r="A429" s="5">
        <v>42261</v>
      </c>
      <c r="B429">
        <v>29.469999000000001</v>
      </c>
      <c r="C429">
        <v>29.530000999999999</v>
      </c>
      <c r="D429">
        <v>29.09</v>
      </c>
      <c r="E429">
        <v>29.389999</v>
      </c>
      <c r="F429">
        <v>23.30545</v>
      </c>
      <c r="G429">
        <v>24065100</v>
      </c>
      <c r="I429">
        <f t="shared" si="7"/>
        <v>1.4282290612034019E-4</v>
      </c>
    </row>
    <row r="430" spans="1:9" x14ac:dyDescent="0.3">
      <c r="A430" s="5">
        <v>42262</v>
      </c>
      <c r="B430">
        <v>29.559999000000001</v>
      </c>
      <c r="C430">
        <v>29.940000999999999</v>
      </c>
      <c r="D430">
        <v>29.48</v>
      </c>
      <c r="E430">
        <v>29.73</v>
      </c>
      <c r="F430">
        <v>23.575060000000001</v>
      </c>
      <c r="G430">
        <v>29819000</v>
      </c>
      <c r="I430">
        <f t="shared" si="7"/>
        <v>1.1279348355146013E-4</v>
      </c>
    </row>
    <row r="431" spans="1:9" x14ac:dyDescent="0.3">
      <c r="A431" s="5">
        <v>42263</v>
      </c>
      <c r="B431">
        <v>29.620000999999998</v>
      </c>
      <c r="C431">
        <v>29.790001</v>
      </c>
      <c r="D431">
        <v>29.4</v>
      </c>
      <c r="E431">
        <v>29.77</v>
      </c>
      <c r="F431">
        <v>23.606783</v>
      </c>
      <c r="G431">
        <v>25957800</v>
      </c>
      <c r="I431">
        <f t="shared" si="7"/>
        <v>9.7081749867505588E-5</v>
      </c>
    </row>
    <row r="432" spans="1:9" x14ac:dyDescent="0.3">
      <c r="A432" s="5">
        <v>42264</v>
      </c>
      <c r="B432">
        <v>29.620000999999998</v>
      </c>
      <c r="C432">
        <v>30.200001</v>
      </c>
      <c r="D432">
        <v>29.549999</v>
      </c>
      <c r="E432">
        <v>29.709999</v>
      </c>
      <c r="F432">
        <v>23.559208000000002</v>
      </c>
      <c r="G432">
        <v>29805200</v>
      </c>
      <c r="I432">
        <f t="shared" si="7"/>
        <v>3.2999905333237474E-4</v>
      </c>
    </row>
    <row r="433" spans="1:9" x14ac:dyDescent="0.3">
      <c r="A433" s="5">
        <v>42265</v>
      </c>
      <c r="B433">
        <v>29.219999000000001</v>
      </c>
      <c r="C433">
        <v>29.42</v>
      </c>
      <c r="D433">
        <v>28.809999000000001</v>
      </c>
      <c r="E433">
        <v>29.02</v>
      </c>
      <c r="F433">
        <v>23.012053999999999</v>
      </c>
      <c r="G433">
        <v>60693400</v>
      </c>
      <c r="I433">
        <f t="shared" si="7"/>
        <v>1.9600920341567279E-4</v>
      </c>
    </row>
    <row r="434" spans="1:9" x14ac:dyDescent="0.3">
      <c r="A434" s="5">
        <v>42268</v>
      </c>
      <c r="B434">
        <v>29.09</v>
      </c>
      <c r="C434">
        <v>29.34</v>
      </c>
      <c r="D434">
        <v>28.940000999999999</v>
      </c>
      <c r="E434">
        <v>29.16</v>
      </c>
      <c r="F434">
        <v>23.123069999999998</v>
      </c>
      <c r="G434">
        <v>24417100</v>
      </c>
      <c r="I434">
        <f t="shared" si="7"/>
        <v>9.181152270863803E-5</v>
      </c>
    </row>
    <row r="435" spans="1:9" x14ac:dyDescent="0.3">
      <c r="A435" s="5">
        <v>42269</v>
      </c>
      <c r="B435">
        <v>28.67</v>
      </c>
      <c r="C435">
        <v>28.9</v>
      </c>
      <c r="D435">
        <v>28.48</v>
      </c>
      <c r="E435">
        <v>28.67</v>
      </c>
      <c r="F435">
        <v>22.734511999999999</v>
      </c>
      <c r="G435">
        <v>28576200</v>
      </c>
      <c r="I435">
        <f t="shared" si="7"/>
        <v>1.0805690959030814E-4</v>
      </c>
    </row>
    <row r="436" spans="1:9" x14ac:dyDescent="0.3">
      <c r="A436" s="5">
        <v>42270</v>
      </c>
      <c r="B436">
        <v>29.02</v>
      </c>
      <c r="C436">
        <v>29.09</v>
      </c>
      <c r="D436">
        <v>28.59</v>
      </c>
      <c r="E436">
        <v>28.74</v>
      </c>
      <c r="F436">
        <v>22.790022</v>
      </c>
      <c r="G436">
        <v>25984000</v>
      </c>
      <c r="I436">
        <f t="shared" si="7"/>
        <v>1.0728029549225366E-4</v>
      </c>
    </row>
    <row r="437" spans="1:9" x14ac:dyDescent="0.3">
      <c r="A437" s="5">
        <v>42271</v>
      </c>
      <c r="B437">
        <v>28.379999000000002</v>
      </c>
      <c r="C437">
        <v>28.67</v>
      </c>
      <c r="D437">
        <v>27.870000999999998</v>
      </c>
      <c r="E437">
        <v>28.48</v>
      </c>
      <c r="F437">
        <v>22.583846999999999</v>
      </c>
      <c r="G437">
        <v>32754700</v>
      </c>
      <c r="I437">
        <f t="shared" si="7"/>
        <v>4.6021778945043478E-4</v>
      </c>
    </row>
    <row r="438" spans="1:9" x14ac:dyDescent="0.3">
      <c r="A438" s="5">
        <v>42272</v>
      </c>
      <c r="B438">
        <v>28.940000999999999</v>
      </c>
      <c r="C438">
        <v>29.120000999999998</v>
      </c>
      <c r="D438">
        <v>28.629999000000002</v>
      </c>
      <c r="E438">
        <v>28.809999000000001</v>
      </c>
      <c r="F438">
        <v>22.845528000000002</v>
      </c>
      <c r="G438">
        <v>29192300</v>
      </c>
      <c r="I438">
        <f t="shared" si="7"/>
        <v>1.3386054511361215E-4</v>
      </c>
    </row>
    <row r="439" spans="1:9" x14ac:dyDescent="0.3">
      <c r="A439" s="5">
        <v>42275</v>
      </c>
      <c r="B439">
        <v>28.68</v>
      </c>
      <c r="C439">
        <v>29.360001</v>
      </c>
      <c r="D439">
        <v>28.639999</v>
      </c>
      <c r="E439">
        <v>28.76</v>
      </c>
      <c r="F439">
        <v>22.805879999999998</v>
      </c>
      <c r="G439">
        <v>42291000</v>
      </c>
      <c r="I439">
        <f t="shared" si="7"/>
        <v>4.8967802795707666E-4</v>
      </c>
    </row>
    <row r="440" spans="1:9" x14ac:dyDescent="0.3">
      <c r="A440" s="5">
        <v>42276</v>
      </c>
      <c r="B440">
        <v>28.83</v>
      </c>
      <c r="C440">
        <v>29.35</v>
      </c>
      <c r="D440">
        <v>28.76</v>
      </c>
      <c r="E440">
        <v>29.24</v>
      </c>
      <c r="F440">
        <v>23.186506000000001</v>
      </c>
      <c r="G440">
        <v>34169600</v>
      </c>
      <c r="I440">
        <f t="shared" si="7"/>
        <v>1.0736073514742991E-4</v>
      </c>
    </row>
    <row r="441" spans="1:9" x14ac:dyDescent="0.3">
      <c r="A441" s="5">
        <v>42277</v>
      </c>
      <c r="B441">
        <v>29.559999000000001</v>
      </c>
      <c r="C441">
        <v>30.32</v>
      </c>
      <c r="D441">
        <v>29.540001</v>
      </c>
      <c r="E441">
        <v>30.139999</v>
      </c>
      <c r="F441">
        <v>23.900181</v>
      </c>
      <c r="G441">
        <v>41051700</v>
      </c>
      <c r="I441">
        <f t="shared" si="7"/>
        <v>1.6476344444933514E-4</v>
      </c>
    </row>
    <row r="442" spans="1:9" x14ac:dyDescent="0.3">
      <c r="A442" s="5">
        <v>42278</v>
      </c>
      <c r="B442">
        <v>30.209999</v>
      </c>
      <c r="C442">
        <v>30.280000999999999</v>
      </c>
      <c r="D442">
        <v>29.459999</v>
      </c>
      <c r="E442">
        <v>30</v>
      </c>
      <c r="F442">
        <v>23.789162000000001</v>
      </c>
      <c r="G442">
        <v>29832800</v>
      </c>
      <c r="I442">
        <f t="shared" si="7"/>
        <v>4.781374241104178E-4</v>
      </c>
    </row>
    <row r="443" spans="1:9" x14ac:dyDescent="0.3">
      <c r="A443" s="5">
        <v>42279</v>
      </c>
      <c r="B443">
        <v>29.67</v>
      </c>
      <c r="C443">
        <v>30.530000999999999</v>
      </c>
      <c r="D443">
        <v>29.530000999999999</v>
      </c>
      <c r="E443">
        <v>30.51</v>
      </c>
      <c r="F443">
        <v>24.193580999999998</v>
      </c>
      <c r="G443">
        <v>27901500</v>
      </c>
      <c r="I443">
        <f t="shared" si="7"/>
        <v>1.7313962389144122E-4</v>
      </c>
    </row>
    <row r="444" spans="1:9" x14ac:dyDescent="0.3">
      <c r="A444" s="5">
        <v>42282</v>
      </c>
      <c r="B444">
        <v>30.73</v>
      </c>
      <c r="C444">
        <v>31.379999000000002</v>
      </c>
      <c r="D444">
        <v>30.559999000000001</v>
      </c>
      <c r="E444">
        <v>31.209999</v>
      </c>
      <c r="F444">
        <v>24.748659</v>
      </c>
      <c r="G444">
        <v>34842500</v>
      </c>
      <c r="I444">
        <f t="shared" si="7"/>
        <v>2.3045784316395293E-4</v>
      </c>
    </row>
    <row r="445" spans="1:9" x14ac:dyDescent="0.3">
      <c r="A445" s="5">
        <v>42283</v>
      </c>
      <c r="B445">
        <v>31.16</v>
      </c>
      <c r="C445">
        <v>31.85</v>
      </c>
      <c r="D445">
        <v>31.110001</v>
      </c>
      <c r="E445">
        <v>31.74</v>
      </c>
      <c r="F445">
        <v>25.168934</v>
      </c>
      <c r="G445">
        <v>34899800</v>
      </c>
      <c r="I445">
        <f t="shared" si="7"/>
        <v>1.0796942052018947E-4</v>
      </c>
    </row>
    <row r="446" spans="1:9" x14ac:dyDescent="0.3">
      <c r="A446" s="5">
        <v>42284</v>
      </c>
      <c r="B446">
        <v>32</v>
      </c>
      <c r="C446">
        <v>32.419998</v>
      </c>
      <c r="D446">
        <v>31.719999000000001</v>
      </c>
      <c r="E446">
        <v>32.32</v>
      </c>
      <c r="F446">
        <v>25.62886</v>
      </c>
      <c r="G446">
        <v>36930100</v>
      </c>
      <c r="I446">
        <f t="shared" si="7"/>
        <v>2.0496930569150054E-4</v>
      </c>
    </row>
    <row r="447" spans="1:9" x14ac:dyDescent="0.3">
      <c r="A447" s="5">
        <v>42285</v>
      </c>
      <c r="B447">
        <v>32.229999999999997</v>
      </c>
      <c r="C447">
        <v>32.599997999999999</v>
      </c>
      <c r="D447">
        <v>31.98</v>
      </c>
      <c r="E447">
        <v>32.520000000000003</v>
      </c>
      <c r="F447">
        <v>25.787455000000001</v>
      </c>
      <c r="G447">
        <v>27794600</v>
      </c>
      <c r="I447">
        <f t="shared" si="7"/>
        <v>1.5843467437873536E-4</v>
      </c>
    </row>
    <row r="448" spans="1:9" x14ac:dyDescent="0.3">
      <c r="A448" s="5">
        <v>42286</v>
      </c>
      <c r="B448">
        <v>32.369999</v>
      </c>
      <c r="C448">
        <v>32.549999</v>
      </c>
      <c r="D448">
        <v>31.940000999999999</v>
      </c>
      <c r="E448">
        <v>32.139999000000003</v>
      </c>
      <c r="F448">
        <v>25.486118000000001</v>
      </c>
      <c r="G448">
        <v>24209900</v>
      </c>
      <c r="I448">
        <f t="shared" si="7"/>
        <v>1.5376776715939563E-4</v>
      </c>
    </row>
    <row r="449" spans="1:9" x14ac:dyDescent="0.3">
      <c r="A449" s="5">
        <v>42289</v>
      </c>
      <c r="B449">
        <v>32.159999999999997</v>
      </c>
      <c r="C449">
        <v>32.32</v>
      </c>
      <c r="D449">
        <v>32</v>
      </c>
      <c r="E449">
        <v>32.209999000000003</v>
      </c>
      <c r="F449">
        <v>25.541630000000001</v>
      </c>
      <c r="G449">
        <v>18795000</v>
      </c>
      <c r="I449">
        <f t="shared" si="7"/>
        <v>4.9543300575717673E-5</v>
      </c>
    </row>
    <row r="450" spans="1:9" x14ac:dyDescent="0.3">
      <c r="A450" s="5">
        <v>42290</v>
      </c>
      <c r="B450">
        <v>32.029998999999997</v>
      </c>
      <c r="C450">
        <v>32.479999999999997</v>
      </c>
      <c r="D450">
        <v>31.98</v>
      </c>
      <c r="E450">
        <v>32.040000999999997</v>
      </c>
      <c r="F450">
        <v>25.406828000000001</v>
      </c>
      <c r="G450">
        <v>35588600</v>
      </c>
      <c r="I450">
        <f t="shared" si="7"/>
        <v>1.9321899431134918E-4</v>
      </c>
    </row>
    <row r="451" spans="1:9" x14ac:dyDescent="0.3">
      <c r="A451" s="5">
        <v>42291</v>
      </c>
      <c r="B451">
        <v>31.389999</v>
      </c>
      <c r="C451">
        <v>32.93</v>
      </c>
      <c r="D451">
        <v>30.85</v>
      </c>
      <c r="E451">
        <v>32.799999</v>
      </c>
      <c r="F451">
        <v>26.009482999999999</v>
      </c>
      <c r="G451">
        <v>75954800</v>
      </c>
      <c r="I451">
        <f t="shared" si="7"/>
        <v>1.2530233094683965E-3</v>
      </c>
    </row>
    <row r="452" spans="1:9" x14ac:dyDescent="0.3">
      <c r="A452" s="5">
        <v>42292</v>
      </c>
      <c r="B452">
        <v>32.840000000000003</v>
      </c>
      <c r="C452">
        <v>33.060001</v>
      </c>
      <c r="D452">
        <v>32.459999000000003</v>
      </c>
      <c r="E452">
        <v>32.75</v>
      </c>
      <c r="F452">
        <v>25.969840999999999</v>
      </c>
      <c r="G452">
        <v>37634800</v>
      </c>
      <c r="I452">
        <f t="shared" si="7"/>
        <v>1.6642364925462745E-4</v>
      </c>
    </row>
    <row r="453" spans="1:9" x14ac:dyDescent="0.3">
      <c r="A453" s="5">
        <v>42293</v>
      </c>
      <c r="B453">
        <v>32.75</v>
      </c>
      <c r="C453">
        <v>33.200001</v>
      </c>
      <c r="D453">
        <v>32.479999999999997</v>
      </c>
      <c r="E453">
        <v>33.040000999999997</v>
      </c>
      <c r="F453">
        <v>26.199797</v>
      </c>
      <c r="G453">
        <v>29371300</v>
      </c>
      <c r="I453">
        <f t="shared" si="7"/>
        <v>2.0744299923202537E-4</v>
      </c>
    </row>
    <row r="454" spans="1:9" x14ac:dyDescent="0.3">
      <c r="A454" s="5">
        <v>42296</v>
      </c>
      <c r="B454">
        <v>32.880001</v>
      </c>
      <c r="C454">
        <v>33.619999</v>
      </c>
      <c r="D454">
        <v>32.869999</v>
      </c>
      <c r="E454">
        <v>33.590000000000003</v>
      </c>
      <c r="F454">
        <v>26.635939</v>
      </c>
      <c r="G454">
        <v>37624000</v>
      </c>
      <c r="I454">
        <f t="shared" si="7"/>
        <v>2.6460614502163839E-5</v>
      </c>
    </row>
    <row r="455" spans="1:9" x14ac:dyDescent="0.3">
      <c r="A455" s="5">
        <v>42297</v>
      </c>
      <c r="B455">
        <v>33.400002000000001</v>
      </c>
      <c r="C455">
        <v>33.700001</v>
      </c>
      <c r="D455">
        <v>33.310001</v>
      </c>
      <c r="E455">
        <v>33.439999</v>
      </c>
      <c r="F455">
        <v>26.516988999999999</v>
      </c>
      <c r="G455">
        <v>24416100</v>
      </c>
      <c r="I455">
        <f t="shared" si="7"/>
        <v>7.9766039878980972E-5</v>
      </c>
    </row>
    <row r="456" spans="1:9" x14ac:dyDescent="0.3">
      <c r="A456" s="5">
        <v>42298</v>
      </c>
      <c r="B456">
        <v>33.669998</v>
      </c>
      <c r="C456">
        <v>34.049999</v>
      </c>
      <c r="D456">
        <v>33.32</v>
      </c>
      <c r="E456">
        <v>33.369999</v>
      </c>
      <c r="F456">
        <v>26.461483000000001</v>
      </c>
      <c r="G456">
        <v>31928800</v>
      </c>
      <c r="I456">
        <f t="shared" si="7"/>
        <v>2.4206346599223673E-4</v>
      </c>
    </row>
    <row r="457" spans="1:9" x14ac:dyDescent="0.3">
      <c r="A457" s="5">
        <v>42299</v>
      </c>
      <c r="B457">
        <v>33.700001</v>
      </c>
      <c r="C457">
        <v>34.5</v>
      </c>
      <c r="D457">
        <v>33.590000000000003</v>
      </c>
      <c r="E457">
        <v>34.400002000000001</v>
      </c>
      <c r="F457">
        <v>27.278241999999999</v>
      </c>
      <c r="G457">
        <v>39572600</v>
      </c>
      <c r="I457">
        <f t="shared" si="7"/>
        <v>1.4600709662107713E-4</v>
      </c>
    </row>
    <row r="458" spans="1:9" x14ac:dyDescent="0.3">
      <c r="A458" s="5">
        <v>42300</v>
      </c>
      <c r="B458">
        <v>34.540000999999997</v>
      </c>
      <c r="C458">
        <v>35.029998999999997</v>
      </c>
      <c r="D458">
        <v>34.400002000000001</v>
      </c>
      <c r="E458">
        <v>34.900002000000001</v>
      </c>
      <c r="F458">
        <v>27.674728000000002</v>
      </c>
      <c r="G458">
        <v>42796600</v>
      </c>
      <c r="I458">
        <f t="shared" si="7"/>
        <v>1.1098149628224893E-4</v>
      </c>
    </row>
    <row r="459" spans="1:9" x14ac:dyDescent="0.3">
      <c r="A459" s="5">
        <v>42303</v>
      </c>
      <c r="B459">
        <v>34.770000000000003</v>
      </c>
      <c r="C459">
        <v>34.959999000000003</v>
      </c>
      <c r="D459">
        <v>34.549999</v>
      </c>
      <c r="E459">
        <v>34.590000000000003</v>
      </c>
      <c r="F459">
        <v>27.428905</v>
      </c>
      <c r="G459">
        <v>22646900</v>
      </c>
      <c r="I459">
        <f t="shared" si="7"/>
        <v>6.5327557082707309E-5</v>
      </c>
    </row>
    <row r="460" spans="1:9" x14ac:dyDescent="0.3">
      <c r="A460" s="5">
        <v>42304</v>
      </c>
      <c r="B460">
        <v>34.409999999999997</v>
      </c>
      <c r="C460">
        <v>34.549999</v>
      </c>
      <c r="D460">
        <v>34.310001</v>
      </c>
      <c r="E460">
        <v>34.470001000000003</v>
      </c>
      <c r="F460">
        <v>27.333752</v>
      </c>
      <c r="G460">
        <v>22630100</v>
      </c>
      <c r="I460">
        <f t="shared" ref="I460:I523" si="8">LN(C460/B460)*(LN(C460/B460)-LN(E460/B460))+LN(D460/B460)*(LN(D460/B460)-LN(E460/B460))</f>
        <v>2.2952628878063858E-5</v>
      </c>
    </row>
    <row r="461" spans="1:9" x14ac:dyDescent="0.3">
      <c r="A461" s="5">
        <v>42305</v>
      </c>
      <c r="B461">
        <v>34.470001000000003</v>
      </c>
      <c r="C461">
        <v>34.709999000000003</v>
      </c>
      <c r="D461">
        <v>34.119999</v>
      </c>
      <c r="E461">
        <v>34.709999000000003</v>
      </c>
      <c r="F461">
        <v>27.524056999999999</v>
      </c>
      <c r="G461">
        <v>21908400</v>
      </c>
      <c r="I461">
        <f t="shared" si="8"/>
        <v>1.7496789859989753E-4</v>
      </c>
    </row>
    <row r="462" spans="1:9" x14ac:dyDescent="0.3">
      <c r="A462" s="5">
        <v>42306</v>
      </c>
      <c r="B462">
        <v>34.200001</v>
      </c>
      <c r="C462">
        <v>34.290000999999997</v>
      </c>
      <c r="D462">
        <v>33.770000000000003</v>
      </c>
      <c r="E462">
        <v>34.029998999999997</v>
      </c>
      <c r="F462">
        <v>26.984838</v>
      </c>
      <c r="G462">
        <v>21325200</v>
      </c>
      <c r="I462">
        <f t="shared" si="8"/>
        <v>1.1704604965079176E-4</v>
      </c>
    </row>
    <row r="463" spans="1:9" x14ac:dyDescent="0.3">
      <c r="A463" s="5">
        <v>42307</v>
      </c>
      <c r="B463">
        <v>34.099997999999999</v>
      </c>
      <c r="C463">
        <v>34.290000999999997</v>
      </c>
      <c r="D463">
        <v>33.860000999999997</v>
      </c>
      <c r="E463">
        <v>33.860000999999997</v>
      </c>
      <c r="F463">
        <v>26.850034999999998</v>
      </c>
      <c r="G463">
        <v>24693900</v>
      </c>
      <c r="I463">
        <f t="shared" si="8"/>
        <v>7.0119258609089856E-5</v>
      </c>
    </row>
    <row r="464" spans="1:9" x14ac:dyDescent="0.3">
      <c r="A464" s="5">
        <v>42310</v>
      </c>
      <c r="B464">
        <v>33.729999999999997</v>
      </c>
      <c r="C464">
        <v>34.279998999999997</v>
      </c>
      <c r="D464">
        <v>33.639999000000003</v>
      </c>
      <c r="E464">
        <v>34.110000999999997</v>
      </c>
      <c r="F464">
        <v>27.048283000000001</v>
      </c>
      <c r="G464">
        <v>21743100</v>
      </c>
      <c r="I464">
        <f t="shared" si="8"/>
        <v>1.1748146820540527E-4</v>
      </c>
    </row>
    <row r="465" spans="1:9" x14ac:dyDescent="0.3">
      <c r="A465" s="5">
        <v>42311</v>
      </c>
      <c r="B465">
        <v>34</v>
      </c>
      <c r="C465">
        <v>34.409999999999997</v>
      </c>
      <c r="D465">
        <v>33.979999999999997</v>
      </c>
      <c r="E465">
        <v>34.310001</v>
      </c>
      <c r="F465">
        <v>27.206869000000001</v>
      </c>
      <c r="G465">
        <v>18167000</v>
      </c>
      <c r="I465">
        <f t="shared" si="8"/>
        <v>4.0572115538629977E-5</v>
      </c>
    </row>
    <row r="466" spans="1:9" x14ac:dyDescent="0.3">
      <c r="A466" s="5">
        <v>42312</v>
      </c>
      <c r="B466">
        <v>34.270000000000003</v>
      </c>
      <c r="C466">
        <v>34.270000000000003</v>
      </c>
      <c r="D466">
        <v>33.900002000000001</v>
      </c>
      <c r="E466">
        <v>34.150002000000001</v>
      </c>
      <c r="F466">
        <v>27.270765000000001</v>
      </c>
      <c r="G466">
        <v>20762100</v>
      </c>
      <c r="I466">
        <f t="shared" si="8"/>
        <v>7.975981411965329E-5</v>
      </c>
    </row>
    <row r="467" spans="1:9" x14ac:dyDescent="0.3">
      <c r="A467" s="5">
        <v>42313</v>
      </c>
      <c r="B467">
        <v>34.099997999999999</v>
      </c>
      <c r="C467">
        <v>34.200001</v>
      </c>
      <c r="D467">
        <v>33.729999999999997</v>
      </c>
      <c r="E467">
        <v>34</v>
      </c>
      <c r="F467">
        <v>27.150977999999999</v>
      </c>
      <c r="G467">
        <v>16486100</v>
      </c>
      <c r="I467">
        <f t="shared" si="8"/>
        <v>1.041566879680808E-4</v>
      </c>
    </row>
    <row r="468" spans="1:9" x14ac:dyDescent="0.3">
      <c r="A468" s="5">
        <v>42314</v>
      </c>
      <c r="B468">
        <v>33.93</v>
      </c>
      <c r="C468">
        <v>33.970001000000003</v>
      </c>
      <c r="D468">
        <v>33.409999999999997</v>
      </c>
      <c r="E468">
        <v>33.840000000000003</v>
      </c>
      <c r="F468">
        <v>27.023206999999999</v>
      </c>
      <c r="G468">
        <v>23701700</v>
      </c>
      <c r="I468">
        <f t="shared" si="8"/>
        <v>2.0202396525779965E-4</v>
      </c>
    </row>
    <row r="469" spans="1:9" x14ac:dyDescent="0.3">
      <c r="A469" s="5">
        <v>42317</v>
      </c>
      <c r="B469">
        <v>33.599997999999999</v>
      </c>
      <c r="C469">
        <v>33.830002</v>
      </c>
      <c r="D469">
        <v>33.080002</v>
      </c>
      <c r="E469">
        <v>33.349997999999999</v>
      </c>
      <c r="F469">
        <v>26.631912</v>
      </c>
      <c r="G469">
        <v>24168700</v>
      </c>
      <c r="I469">
        <f t="shared" si="8"/>
        <v>2.2427435442986407E-4</v>
      </c>
    </row>
    <row r="470" spans="1:9" x14ac:dyDescent="0.3">
      <c r="A470" s="5">
        <v>42318</v>
      </c>
      <c r="B470">
        <v>33.169998</v>
      </c>
      <c r="C470">
        <v>33.270000000000003</v>
      </c>
      <c r="D470">
        <v>32.810001</v>
      </c>
      <c r="E470">
        <v>33.209999000000003</v>
      </c>
      <c r="F470">
        <v>26.520112999999998</v>
      </c>
      <c r="G470">
        <v>22451700</v>
      </c>
      <c r="I470">
        <f t="shared" si="8"/>
        <v>1.3766642809798343E-4</v>
      </c>
    </row>
    <row r="471" spans="1:9" x14ac:dyDescent="0.3">
      <c r="A471" s="5">
        <v>42319</v>
      </c>
      <c r="B471">
        <v>33.159999999999997</v>
      </c>
      <c r="C471">
        <v>33.380001</v>
      </c>
      <c r="D471">
        <v>32.799999</v>
      </c>
      <c r="E471">
        <v>32.860000999999997</v>
      </c>
      <c r="F471">
        <v>26.24062</v>
      </c>
      <c r="G471">
        <v>19864700</v>
      </c>
      <c r="I471">
        <f t="shared" si="8"/>
        <v>1.237738591942752E-4</v>
      </c>
    </row>
    <row r="472" spans="1:9" x14ac:dyDescent="0.3">
      <c r="A472" s="5">
        <v>42320</v>
      </c>
      <c r="B472">
        <v>32.709999000000003</v>
      </c>
      <c r="C472">
        <v>32.919998</v>
      </c>
      <c r="D472">
        <v>32.389999000000003</v>
      </c>
      <c r="E472">
        <v>32.400002000000001</v>
      </c>
      <c r="F472">
        <v>25.873280000000001</v>
      </c>
      <c r="G472">
        <v>23265400</v>
      </c>
      <c r="I472">
        <f t="shared" si="8"/>
        <v>1.0492749091350656E-4</v>
      </c>
    </row>
    <row r="473" spans="1:9" x14ac:dyDescent="0.3">
      <c r="A473" s="5">
        <v>42321</v>
      </c>
      <c r="B473">
        <v>32.270000000000003</v>
      </c>
      <c r="C473">
        <v>32.380001</v>
      </c>
      <c r="D473">
        <v>31.959999</v>
      </c>
      <c r="E473">
        <v>32.110000999999997</v>
      </c>
      <c r="F473">
        <v>25.641701000000001</v>
      </c>
      <c r="G473">
        <v>23673200</v>
      </c>
      <c r="I473">
        <f t="shared" si="8"/>
        <v>7.369388556893543E-5</v>
      </c>
    </row>
    <row r="474" spans="1:9" x14ac:dyDescent="0.3">
      <c r="A474" s="5">
        <v>42324</v>
      </c>
      <c r="B474">
        <v>32.090000000000003</v>
      </c>
      <c r="C474">
        <v>32.259998000000003</v>
      </c>
      <c r="D474">
        <v>31.93</v>
      </c>
      <c r="E474">
        <v>32.099997999999999</v>
      </c>
      <c r="F474">
        <v>25.633711000000002</v>
      </c>
      <c r="G474">
        <v>29899700</v>
      </c>
      <c r="I474">
        <f t="shared" si="8"/>
        <v>5.2811631403572764E-5</v>
      </c>
    </row>
    <row r="475" spans="1:9" x14ac:dyDescent="0.3">
      <c r="A475" s="5">
        <v>42325</v>
      </c>
      <c r="B475">
        <v>32.150002000000001</v>
      </c>
      <c r="C475">
        <v>32.880001</v>
      </c>
      <c r="D475">
        <v>32.009998000000003</v>
      </c>
      <c r="E475">
        <v>32.639999000000003</v>
      </c>
      <c r="F475">
        <v>26.064938000000001</v>
      </c>
      <c r="G475">
        <v>22636400</v>
      </c>
      <c r="I475">
        <f t="shared" si="8"/>
        <v>2.4954584790809269E-4</v>
      </c>
    </row>
    <row r="476" spans="1:9" x14ac:dyDescent="0.3">
      <c r="A476" s="5">
        <v>42326</v>
      </c>
      <c r="B476">
        <v>32.729999999999997</v>
      </c>
      <c r="C476">
        <v>33.240001999999997</v>
      </c>
      <c r="D476">
        <v>32.619999</v>
      </c>
      <c r="E476">
        <v>33.159999999999997</v>
      </c>
      <c r="F476">
        <v>26.480191999999999</v>
      </c>
      <c r="G476">
        <v>18619800</v>
      </c>
      <c r="I476">
        <f t="shared" si="8"/>
        <v>9.2532767975114018E-5</v>
      </c>
    </row>
    <row r="477" spans="1:9" x14ac:dyDescent="0.3">
      <c r="A477" s="5">
        <v>42327</v>
      </c>
      <c r="B477">
        <v>33.220001000000003</v>
      </c>
      <c r="C477">
        <v>34.729999999999997</v>
      </c>
      <c r="D477">
        <v>33.130001</v>
      </c>
      <c r="E477">
        <v>34.299999</v>
      </c>
      <c r="F477">
        <v>27.390544999999999</v>
      </c>
      <c r="G477">
        <v>45381600</v>
      </c>
      <c r="I477">
        <f t="shared" si="8"/>
        <v>6.4795746102614521E-4</v>
      </c>
    </row>
    <row r="478" spans="1:9" x14ac:dyDescent="0.3">
      <c r="A478" s="5">
        <v>42328</v>
      </c>
      <c r="B478">
        <v>34.479999999999997</v>
      </c>
      <c r="C478">
        <v>35.290000999999997</v>
      </c>
      <c r="D478">
        <v>34.479999999999997</v>
      </c>
      <c r="E478">
        <v>34.659999999999997</v>
      </c>
      <c r="F478">
        <v>27.678024000000001</v>
      </c>
      <c r="G478">
        <v>41137700</v>
      </c>
      <c r="I478">
        <f t="shared" si="8"/>
        <v>4.1827469097510846E-4</v>
      </c>
    </row>
    <row r="479" spans="1:9" x14ac:dyDescent="0.3">
      <c r="A479" s="5">
        <v>42331</v>
      </c>
      <c r="B479">
        <v>34.659999999999997</v>
      </c>
      <c r="C479">
        <v>34.849997999999999</v>
      </c>
      <c r="D479">
        <v>34.409999999999997</v>
      </c>
      <c r="E479">
        <v>34.479999999999997</v>
      </c>
      <c r="F479">
        <v>27.534282999999999</v>
      </c>
      <c r="G479">
        <v>20152900</v>
      </c>
      <c r="I479">
        <f t="shared" si="8"/>
        <v>7.3061989711794992E-5</v>
      </c>
    </row>
    <row r="480" spans="1:9" x14ac:dyDescent="0.3">
      <c r="A480" s="5">
        <v>42332</v>
      </c>
      <c r="B480">
        <v>34.330002</v>
      </c>
      <c r="C480">
        <v>34.439999</v>
      </c>
      <c r="D480">
        <v>33.900002000000001</v>
      </c>
      <c r="E480">
        <v>34.360000999999997</v>
      </c>
      <c r="F480">
        <v>27.438455999999999</v>
      </c>
      <c r="G480">
        <v>21413500</v>
      </c>
      <c r="I480">
        <f t="shared" si="8"/>
        <v>1.7732467848482637E-4</v>
      </c>
    </row>
    <row r="481" spans="1:9" x14ac:dyDescent="0.3">
      <c r="A481" s="5">
        <v>42333</v>
      </c>
      <c r="B481">
        <v>34.259998000000003</v>
      </c>
      <c r="C481">
        <v>34.740001999999997</v>
      </c>
      <c r="D481">
        <v>34.139999000000003</v>
      </c>
      <c r="E481">
        <v>34.450001</v>
      </c>
      <c r="F481">
        <v>27.510323</v>
      </c>
      <c r="G481">
        <v>17939400</v>
      </c>
      <c r="I481">
        <f t="shared" si="8"/>
        <v>1.4834974801663454E-4</v>
      </c>
    </row>
    <row r="482" spans="1:9" x14ac:dyDescent="0.3">
      <c r="A482" s="5">
        <v>42335</v>
      </c>
      <c r="B482">
        <v>34.540000999999997</v>
      </c>
      <c r="C482">
        <v>34.68</v>
      </c>
      <c r="D482">
        <v>34.400002000000001</v>
      </c>
      <c r="E482">
        <v>34.459999000000003</v>
      </c>
      <c r="F482">
        <v>27.518307</v>
      </c>
      <c r="G482">
        <v>6620900</v>
      </c>
      <c r="I482">
        <f t="shared" si="8"/>
        <v>3.2819947366010813E-5</v>
      </c>
    </row>
    <row r="483" spans="1:9" x14ac:dyDescent="0.3">
      <c r="A483" s="5">
        <v>42338</v>
      </c>
      <c r="B483">
        <v>34.549999</v>
      </c>
      <c r="C483">
        <v>34.900002000000001</v>
      </c>
      <c r="D483">
        <v>34.43</v>
      </c>
      <c r="E483">
        <v>34.770000000000003</v>
      </c>
      <c r="F483">
        <v>27.765865000000002</v>
      </c>
      <c r="G483">
        <v>21785800</v>
      </c>
      <c r="I483">
        <f t="shared" si="8"/>
        <v>7.1804968541737364E-5</v>
      </c>
    </row>
    <row r="484" spans="1:9" x14ac:dyDescent="0.3">
      <c r="A484" s="5">
        <v>42339</v>
      </c>
      <c r="B484">
        <v>35</v>
      </c>
      <c r="C484">
        <v>35.200001</v>
      </c>
      <c r="D484">
        <v>34.709999000000003</v>
      </c>
      <c r="E484">
        <v>35.090000000000003</v>
      </c>
      <c r="F484">
        <v>28.021408000000001</v>
      </c>
      <c r="G484">
        <v>23560200</v>
      </c>
      <c r="I484">
        <f t="shared" si="8"/>
        <v>1.0842867544586189E-4</v>
      </c>
    </row>
    <row r="485" spans="1:9" x14ac:dyDescent="0.3">
      <c r="A485" s="5">
        <v>42340</v>
      </c>
      <c r="B485">
        <v>35.090000000000003</v>
      </c>
      <c r="C485">
        <v>35.409999999999997</v>
      </c>
      <c r="D485">
        <v>34.810001</v>
      </c>
      <c r="E485">
        <v>34.830002</v>
      </c>
      <c r="F485">
        <v>27.813773999999999</v>
      </c>
      <c r="G485">
        <v>18688200</v>
      </c>
      <c r="I485">
        <f t="shared" si="8"/>
        <v>1.5452743469093487E-4</v>
      </c>
    </row>
    <row r="486" spans="1:9" x14ac:dyDescent="0.3">
      <c r="A486" s="5">
        <v>42341</v>
      </c>
      <c r="B486">
        <v>34.970001000000003</v>
      </c>
      <c r="C486">
        <v>34.990001999999997</v>
      </c>
      <c r="D486">
        <v>34</v>
      </c>
      <c r="E486">
        <v>34.040000999999997</v>
      </c>
      <c r="F486">
        <v>27.182917</v>
      </c>
      <c r="G486">
        <v>30131100</v>
      </c>
      <c r="I486">
        <f t="shared" si="8"/>
        <v>4.8814497041762068E-5</v>
      </c>
    </row>
    <row r="487" spans="1:9" x14ac:dyDescent="0.3">
      <c r="A487" s="5">
        <v>42342</v>
      </c>
      <c r="B487">
        <v>34.110000999999997</v>
      </c>
      <c r="C487">
        <v>35.029998999999997</v>
      </c>
      <c r="D487">
        <v>34</v>
      </c>
      <c r="E487">
        <v>34.939999</v>
      </c>
      <c r="F487">
        <v>27.901617000000002</v>
      </c>
      <c r="G487">
        <v>24901000</v>
      </c>
      <c r="I487">
        <f t="shared" si="8"/>
        <v>1.5655636783305083E-4</v>
      </c>
    </row>
    <row r="488" spans="1:9" x14ac:dyDescent="0.3">
      <c r="A488" s="5">
        <v>42345</v>
      </c>
      <c r="B488">
        <v>34.790000999999997</v>
      </c>
      <c r="C488">
        <v>35.169998</v>
      </c>
      <c r="D488">
        <v>34.75</v>
      </c>
      <c r="E488">
        <v>34.990001999999997</v>
      </c>
      <c r="F488">
        <v>27.941548999999998</v>
      </c>
      <c r="G488">
        <v>17731900</v>
      </c>
      <c r="I488">
        <f t="shared" si="8"/>
        <v>6.3658522846287484E-5</v>
      </c>
    </row>
    <row r="489" spans="1:9" x14ac:dyDescent="0.3">
      <c r="A489" s="5">
        <v>42346</v>
      </c>
      <c r="B489">
        <v>34.669998</v>
      </c>
      <c r="C489">
        <v>34.950001</v>
      </c>
      <c r="D489">
        <v>34.419998</v>
      </c>
      <c r="E489">
        <v>34.75</v>
      </c>
      <c r="F489">
        <v>27.749894999999999</v>
      </c>
      <c r="G489">
        <v>13380200</v>
      </c>
      <c r="I489">
        <f t="shared" si="8"/>
        <v>1.1521673873139187E-4</v>
      </c>
    </row>
    <row r="490" spans="1:9" x14ac:dyDescent="0.3">
      <c r="A490" s="5">
        <v>42347</v>
      </c>
      <c r="B490">
        <v>34.880001</v>
      </c>
      <c r="C490">
        <v>35.220001000000003</v>
      </c>
      <c r="D490">
        <v>34.509998000000003</v>
      </c>
      <c r="E490">
        <v>34.810001</v>
      </c>
      <c r="F490">
        <v>27.797809999999998</v>
      </c>
      <c r="G490">
        <v>22548300</v>
      </c>
      <c r="I490">
        <f t="shared" si="8"/>
        <v>2.0589570202238932E-4</v>
      </c>
    </row>
    <row r="491" spans="1:9" x14ac:dyDescent="0.3">
      <c r="A491" s="5">
        <v>42348</v>
      </c>
      <c r="B491">
        <v>34.849997999999999</v>
      </c>
      <c r="C491">
        <v>35.07</v>
      </c>
      <c r="D491">
        <v>34.659999999999997</v>
      </c>
      <c r="E491">
        <v>34.770000000000003</v>
      </c>
      <c r="F491">
        <v>27.765865000000002</v>
      </c>
      <c r="G491">
        <v>17400700</v>
      </c>
      <c r="I491">
        <f t="shared" si="8"/>
        <v>7.1386197616451629E-5</v>
      </c>
    </row>
    <row r="492" spans="1:9" x14ac:dyDescent="0.3">
      <c r="A492" s="5">
        <v>42349</v>
      </c>
      <c r="B492">
        <v>34.310001</v>
      </c>
      <c r="C492">
        <v>34.650002000000001</v>
      </c>
      <c r="D492">
        <v>34.200001</v>
      </c>
      <c r="E492">
        <v>34.270000000000003</v>
      </c>
      <c r="F492">
        <v>27.366585000000001</v>
      </c>
      <c r="G492">
        <v>21251400</v>
      </c>
      <c r="I492">
        <f t="shared" si="8"/>
        <v>1.1530637386873744E-4</v>
      </c>
    </row>
    <row r="493" spans="1:9" x14ac:dyDescent="0.3">
      <c r="A493" s="5">
        <v>42352</v>
      </c>
      <c r="B493">
        <v>34.380001</v>
      </c>
      <c r="C493">
        <v>34.479999999999997</v>
      </c>
      <c r="D493">
        <v>33.880001</v>
      </c>
      <c r="E493">
        <v>34.470001000000003</v>
      </c>
      <c r="F493">
        <v>27.526304</v>
      </c>
      <c r="G493">
        <v>19357100</v>
      </c>
      <c r="I493">
        <f t="shared" si="8"/>
        <v>2.5376970109801481E-4</v>
      </c>
    </row>
    <row r="494" spans="1:9" x14ac:dyDescent="0.3">
      <c r="A494" s="5">
        <v>42353</v>
      </c>
      <c r="B494">
        <v>34.650002000000001</v>
      </c>
      <c r="C494">
        <v>35.349997999999999</v>
      </c>
      <c r="D494">
        <v>34.639999000000003</v>
      </c>
      <c r="E494">
        <v>35.18</v>
      </c>
      <c r="F494">
        <v>28.093274999999998</v>
      </c>
      <c r="G494">
        <v>24365900</v>
      </c>
      <c r="I494">
        <f t="shared" si="8"/>
        <v>1.0088084259846365E-4</v>
      </c>
    </row>
    <row r="495" spans="1:9" x14ac:dyDescent="0.3">
      <c r="A495" s="5">
        <v>42354</v>
      </c>
      <c r="B495">
        <v>35.360000999999997</v>
      </c>
      <c r="C495">
        <v>35.470001000000003</v>
      </c>
      <c r="D495">
        <v>34.770000000000003</v>
      </c>
      <c r="E495">
        <v>35.299999</v>
      </c>
      <c r="F495">
        <v>28.189094999999998</v>
      </c>
      <c r="G495">
        <v>23257900</v>
      </c>
      <c r="I495">
        <f t="shared" si="8"/>
        <v>2.6947088926902155E-4</v>
      </c>
    </row>
    <row r="496" spans="1:9" x14ac:dyDescent="0.3">
      <c r="A496" s="5">
        <v>42355</v>
      </c>
      <c r="B496">
        <v>35.32</v>
      </c>
      <c r="C496">
        <v>35.369999</v>
      </c>
      <c r="D496">
        <v>34.759998000000003</v>
      </c>
      <c r="E496">
        <v>34.909999999999997</v>
      </c>
      <c r="F496">
        <v>27.877661</v>
      </c>
      <c r="G496">
        <v>24963600</v>
      </c>
      <c r="I496">
        <f t="shared" si="8"/>
        <v>8.7338343431469186E-5</v>
      </c>
    </row>
    <row r="497" spans="1:9" x14ac:dyDescent="0.3">
      <c r="A497" s="5">
        <v>42356</v>
      </c>
      <c r="B497">
        <v>34.729999999999997</v>
      </c>
      <c r="C497">
        <v>34.75</v>
      </c>
      <c r="D497">
        <v>33.860000999999997</v>
      </c>
      <c r="E497">
        <v>33.869999</v>
      </c>
      <c r="F497">
        <v>27.047156999999999</v>
      </c>
      <c r="G497">
        <v>41336600</v>
      </c>
      <c r="I497">
        <f t="shared" si="8"/>
        <v>2.2256655085214588E-5</v>
      </c>
    </row>
    <row r="498" spans="1:9" x14ac:dyDescent="0.3">
      <c r="A498" s="5">
        <v>42359</v>
      </c>
      <c r="B498">
        <v>34.110000999999997</v>
      </c>
      <c r="C498">
        <v>34.299999</v>
      </c>
      <c r="D498">
        <v>33.82</v>
      </c>
      <c r="E498">
        <v>34.240001999999997</v>
      </c>
      <c r="F498">
        <v>27.342631999999998</v>
      </c>
      <c r="G498">
        <v>18006800</v>
      </c>
      <c r="I498">
        <f t="shared" si="8"/>
        <v>1.1510645005610114E-4</v>
      </c>
    </row>
    <row r="499" spans="1:9" x14ac:dyDescent="0.3">
      <c r="A499" s="5">
        <v>42360</v>
      </c>
      <c r="B499">
        <v>34.360000999999997</v>
      </c>
      <c r="C499">
        <v>34.779998999999997</v>
      </c>
      <c r="D499">
        <v>34.270000000000003</v>
      </c>
      <c r="E499">
        <v>34.729999999999997</v>
      </c>
      <c r="F499">
        <v>27.733919</v>
      </c>
      <c r="G499">
        <v>18422000</v>
      </c>
      <c r="I499">
        <f t="shared" si="8"/>
        <v>5.2449279489812193E-5</v>
      </c>
    </row>
    <row r="500" spans="1:9" x14ac:dyDescent="0.3">
      <c r="A500" s="5">
        <v>42361</v>
      </c>
      <c r="B500">
        <v>34.950001</v>
      </c>
      <c r="C500">
        <v>35.049999</v>
      </c>
      <c r="D500">
        <v>34.779998999999997</v>
      </c>
      <c r="E500">
        <v>35</v>
      </c>
      <c r="F500">
        <v>27.949529999999999</v>
      </c>
      <c r="G500">
        <v>12526500</v>
      </c>
      <c r="I500">
        <f t="shared" si="8"/>
        <v>3.4824682094155223E-5</v>
      </c>
    </row>
    <row r="501" spans="1:9" x14ac:dyDescent="0.3">
      <c r="A501" s="5">
        <v>42362</v>
      </c>
      <c r="B501">
        <v>35.07</v>
      </c>
      <c r="C501">
        <v>35.259998000000003</v>
      </c>
      <c r="D501">
        <v>34.959999000000003</v>
      </c>
      <c r="E501">
        <v>34.979999999999997</v>
      </c>
      <c r="F501">
        <v>27.933558999999999</v>
      </c>
      <c r="G501">
        <v>5893800</v>
      </c>
      <c r="I501">
        <f t="shared" si="8"/>
        <v>4.4873475522675166E-5</v>
      </c>
    </row>
    <row r="502" spans="1:9" x14ac:dyDescent="0.3">
      <c r="A502" s="5">
        <v>42366</v>
      </c>
      <c r="B502">
        <v>34.950001</v>
      </c>
      <c r="C502">
        <v>35</v>
      </c>
      <c r="D502">
        <v>34.57</v>
      </c>
      <c r="E502">
        <v>34.93</v>
      </c>
      <c r="F502">
        <v>27.893630999999999</v>
      </c>
      <c r="G502">
        <v>9449400</v>
      </c>
      <c r="I502">
        <f t="shared" si="8"/>
        <v>1.1611789949346394E-4</v>
      </c>
    </row>
    <row r="503" spans="1:9" x14ac:dyDescent="0.3">
      <c r="A503" s="5">
        <v>42367</v>
      </c>
      <c r="B503">
        <v>35.009998000000003</v>
      </c>
      <c r="C503">
        <v>35.590000000000003</v>
      </c>
      <c r="D503">
        <v>35.009998000000003</v>
      </c>
      <c r="E503">
        <v>35.439999</v>
      </c>
      <c r="F503">
        <v>28.300901</v>
      </c>
      <c r="G503">
        <v>14188600</v>
      </c>
      <c r="I503">
        <f t="shared" si="8"/>
        <v>6.9398096070054109E-5</v>
      </c>
    </row>
    <row r="504" spans="1:9" x14ac:dyDescent="0.3">
      <c r="A504" s="5">
        <v>42368</v>
      </c>
      <c r="B504">
        <v>35.380001</v>
      </c>
      <c r="C504">
        <v>35.450001</v>
      </c>
      <c r="D504">
        <v>34.950001</v>
      </c>
      <c r="E504">
        <v>34.990001999999997</v>
      </c>
      <c r="F504">
        <v>27.941548999999998</v>
      </c>
      <c r="G504">
        <v>11566800</v>
      </c>
      <c r="I504">
        <f t="shared" si="8"/>
        <v>3.9803189896972528E-5</v>
      </c>
    </row>
    <row r="505" spans="1:9" x14ac:dyDescent="0.3">
      <c r="A505" s="5">
        <v>42369</v>
      </c>
      <c r="B505">
        <v>34.82</v>
      </c>
      <c r="C505">
        <v>34.959999000000003</v>
      </c>
      <c r="D505">
        <v>34.439999</v>
      </c>
      <c r="E505">
        <v>34.450001</v>
      </c>
      <c r="F505">
        <v>27.510323</v>
      </c>
      <c r="G505">
        <v>14736700</v>
      </c>
      <c r="I505">
        <f t="shared" si="8"/>
        <v>6.2153345242427853E-5</v>
      </c>
    </row>
    <row r="506" spans="1:9" x14ac:dyDescent="0.3">
      <c r="A506" s="5">
        <v>42373</v>
      </c>
      <c r="B506">
        <v>33.880001</v>
      </c>
      <c r="C506">
        <v>34.009998000000003</v>
      </c>
      <c r="D506">
        <v>33.459999000000003</v>
      </c>
      <c r="E506">
        <v>33.990001999999997</v>
      </c>
      <c r="F506">
        <v>27.142987999999999</v>
      </c>
      <c r="G506">
        <v>27882200</v>
      </c>
      <c r="I506">
        <f t="shared" si="8"/>
        <v>1.9829430238037102E-4</v>
      </c>
    </row>
    <row r="507" spans="1:9" x14ac:dyDescent="0.3">
      <c r="A507" s="5">
        <v>42374</v>
      </c>
      <c r="B507">
        <v>33.959999000000003</v>
      </c>
      <c r="C507">
        <v>34</v>
      </c>
      <c r="D507">
        <v>33.529998999999997</v>
      </c>
      <c r="E507">
        <v>33.830002</v>
      </c>
      <c r="F507">
        <v>27.015221</v>
      </c>
      <c r="G507">
        <v>16709500</v>
      </c>
      <c r="I507">
        <f t="shared" si="8"/>
        <v>1.194073040580913E-4</v>
      </c>
    </row>
    <row r="508" spans="1:9" x14ac:dyDescent="0.3">
      <c r="A508" s="5">
        <v>42375</v>
      </c>
      <c r="B508">
        <v>33.25</v>
      </c>
      <c r="C508">
        <v>33.520000000000003</v>
      </c>
      <c r="D508">
        <v>32.799999</v>
      </c>
      <c r="E508">
        <v>33.080002</v>
      </c>
      <c r="F508">
        <v>26.416305999999999</v>
      </c>
      <c r="G508">
        <v>25491300</v>
      </c>
      <c r="I508">
        <f t="shared" si="8"/>
        <v>2.226925122540806E-4</v>
      </c>
    </row>
    <row r="509" spans="1:9" x14ac:dyDescent="0.3">
      <c r="A509" s="5">
        <v>42376</v>
      </c>
      <c r="B509">
        <v>32.279998999999997</v>
      </c>
      <c r="C509">
        <v>33.009998000000003</v>
      </c>
      <c r="D509">
        <v>31.84</v>
      </c>
      <c r="E509">
        <v>31.84</v>
      </c>
      <c r="F509">
        <v>25.426088</v>
      </c>
      <c r="G509">
        <v>37680500</v>
      </c>
      <c r="I509">
        <f t="shared" si="8"/>
        <v>8.070045550108996E-4</v>
      </c>
    </row>
    <row r="510" spans="1:9" x14ac:dyDescent="0.3">
      <c r="A510" s="5">
        <v>42377</v>
      </c>
      <c r="B510">
        <v>32.090000000000003</v>
      </c>
      <c r="C510">
        <v>32.220001000000003</v>
      </c>
      <c r="D510">
        <v>31.43</v>
      </c>
      <c r="E510">
        <v>31.51</v>
      </c>
      <c r="F510">
        <v>25.162562999999999</v>
      </c>
      <c r="G510">
        <v>29953800</v>
      </c>
      <c r="I510">
        <f t="shared" si="8"/>
        <v>1.4291594445096521E-4</v>
      </c>
    </row>
    <row r="511" spans="1:9" x14ac:dyDescent="0.3">
      <c r="A511" s="5">
        <v>42380</v>
      </c>
      <c r="B511">
        <v>31.809999000000001</v>
      </c>
      <c r="C511">
        <v>32.220001000000003</v>
      </c>
      <c r="D511">
        <v>31.68</v>
      </c>
      <c r="E511">
        <v>32.060001</v>
      </c>
      <c r="F511">
        <v>25.601773999999999</v>
      </c>
      <c r="G511">
        <v>27732400</v>
      </c>
      <c r="I511">
        <f t="shared" si="8"/>
        <v>1.1258334410712425E-4</v>
      </c>
    </row>
    <row r="512" spans="1:9" x14ac:dyDescent="0.3">
      <c r="A512" s="5">
        <v>42381</v>
      </c>
      <c r="B512">
        <v>32.759998000000003</v>
      </c>
      <c r="C512">
        <v>32.889999000000003</v>
      </c>
      <c r="D512">
        <v>32.270000000000003</v>
      </c>
      <c r="E512">
        <v>32.68</v>
      </c>
      <c r="F512">
        <v>26.096886000000001</v>
      </c>
      <c r="G512">
        <v>28587700</v>
      </c>
      <c r="I512">
        <f t="shared" si="8"/>
        <v>2.1563314087216746E-4</v>
      </c>
    </row>
    <row r="513" spans="1:9" x14ac:dyDescent="0.3">
      <c r="A513" s="5">
        <v>42382</v>
      </c>
      <c r="B513">
        <v>32.759998000000003</v>
      </c>
      <c r="C513">
        <v>32.93</v>
      </c>
      <c r="D513">
        <v>31.83</v>
      </c>
      <c r="E513">
        <v>31.91</v>
      </c>
      <c r="F513">
        <v>25.481985000000002</v>
      </c>
      <c r="G513">
        <v>34445700</v>
      </c>
      <c r="I513">
        <f t="shared" si="8"/>
        <v>2.3514897688707321E-4</v>
      </c>
    </row>
    <row r="514" spans="1:9" x14ac:dyDescent="0.3">
      <c r="A514" s="5">
        <v>42383</v>
      </c>
      <c r="B514">
        <v>31.969999000000001</v>
      </c>
      <c r="C514">
        <v>32.869999</v>
      </c>
      <c r="D514">
        <v>31.799999</v>
      </c>
      <c r="E514">
        <v>32.740001999999997</v>
      </c>
      <c r="F514">
        <v>26.144793</v>
      </c>
      <c r="G514">
        <v>48728200</v>
      </c>
      <c r="I514">
        <f t="shared" si="8"/>
        <v>2.6533381294356471E-4</v>
      </c>
    </row>
    <row r="515" spans="1:9" x14ac:dyDescent="0.3">
      <c r="A515" s="5">
        <v>42384</v>
      </c>
      <c r="B515">
        <v>29.73</v>
      </c>
      <c r="C515">
        <v>30.5</v>
      </c>
      <c r="D515">
        <v>29.450001</v>
      </c>
      <c r="E515">
        <v>29.76</v>
      </c>
      <c r="F515">
        <v>23.765084999999999</v>
      </c>
      <c r="G515">
        <v>76373900</v>
      </c>
      <c r="I515">
        <f t="shared" si="8"/>
        <v>7.2712440002505854E-4</v>
      </c>
    </row>
    <row r="516" spans="1:9" x14ac:dyDescent="0.3">
      <c r="A516" s="5">
        <v>42388</v>
      </c>
      <c r="B516">
        <v>29.98</v>
      </c>
      <c r="C516">
        <v>30.059999000000001</v>
      </c>
      <c r="D516">
        <v>29.48</v>
      </c>
      <c r="E516">
        <v>29.799999</v>
      </c>
      <c r="F516">
        <v>23.797025999999999</v>
      </c>
      <c r="G516">
        <v>28878100</v>
      </c>
      <c r="I516">
        <f t="shared" si="8"/>
        <v>2.0472624281440803E-4</v>
      </c>
    </row>
    <row r="517" spans="1:9" x14ac:dyDescent="0.3">
      <c r="A517" s="5">
        <v>42389</v>
      </c>
      <c r="B517">
        <v>29.35</v>
      </c>
      <c r="C517">
        <v>29.870000999999998</v>
      </c>
      <c r="D517">
        <v>29.209999</v>
      </c>
      <c r="E517">
        <v>29.59</v>
      </c>
      <c r="F517">
        <v>23.629332999999999</v>
      </c>
      <c r="G517">
        <v>39598200</v>
      </c>
      <c r="I517">
        <f t="shared" si="8"/>
        <v>2.2720580172155225E-4</v>
      </c>
    </row>
    <row r="518" spans="1:9" x14ac:dyDescent="0.3">
      <c r="A518" s="5">
        <v>42390</v>
      </c>
      <c r="B518">
        <v>29.65</v>
      </c>
      <c r="C518">
        <v>30.030000999999999</v>
      </c>
      <c r="D518">
        <v>29.24</v>
      </c>
      <c r="E518">
        <v>29.66</v>
      </c>
      <c r="F518">
        <v>23.685230000000001</v>
      </c>
      <c r="G518">
        <v>30157400</v>
      </c>
      <c r="I518">
        <f t="shared" si="8"/>
        <v>3.5646749046125685E-4</v>
      </c>
    </row>
    <row r="519" spans="1:9" x14ac:dyDescent="0.3">
      <c r="A519" s="5">
        <v>42391</v>
      </c>
      <c r="B519">
        <v>30.120000999999998</v>
      </c>
      <c r="C519">
        <v>30.24</v>
      </c>
      <c r="D519">
        <v>29.51</v>
      </c>
      <c r="E519">
        <v>29.93</v>
      </c>
      <c r="F519">
        <v>23.900845</v>
      </c>
      <c r="G519">
        <v>25326500</v>
      </c>
      <c r="I519">
        <f t="shared" si="8"/>
        <v>3.3011773558934204E-4</v>
      </c>
    </row>
    <row r="520" spans="1:9" x14ac:dyDescent="0.3">
      <c r="A520" s="5">
        <v>42394</v>
      </c>
      <c r="B520">
        <v>29.99</v>
      </c>
      <c r="C520">
        <v>30.219999000000001</v>
      </c>
      <c r="D520">
        <v>29.57</v>
      </c>
      <c r="E520">
        <v>29.6</v>
      </c>
      <c r="F520">
        <v>23.637315999999998</v>
      </c>
      <c r="G520">
        <v>26441000</v>
      </c>
      <c r="I520">
        <f t="shared" si="8"/>
        <v>1.7267392392084625E-4</v>
      </c>
    </row>
    <row r="521" spans="1:9" x14ac:dyDescent="0.3">
      <c r="A521" s="5">
        <v>42395</v>
      </c>
      <c r="B521">
        <v>29.610001</v>
      </c>
      <c r="C521">
        <v>30.049999</v>
      </c>
      <c r="D521">
        <v>29.610001</v>
      </c>
      <c r="E521">
        <v>29.940000999999999</v>
      </c>
      <c r="F521">
        <v>23.908829000000001</v>
      </c>
      <c r="G521">
        <v>24754900</v>
      </c>
      <c r="I521">
        <f t="shared" si="8"/>
        <v>5.4093082759976957E-5</v>
      </c>
    </row>
    <row r="522" spans="1:9" x14ac:dyDescent="0.3">
      <c r="A522" s="5">
        <v>42396</v>
      </c>
      <c r="B522">
        <v>29.879999000000002</v>
      </c>
      <c r="C522">
        <v>30.219999000000001</v>
      </c>
      <c r="D522">
        <v>29.639999</v>
      </c>
      <c r="E522">
        <v>29.809999000000001</v>
      </c>
      <c r="F522">
        <v>23.805022999999998</v>
      </c>
      <c r="G522">
        <v>26384100</v>
      </c>
      <c r="I522">
        <f t="shared" si="8"/>
        <v>2.0068004156938106E-4</v>
      </c>
    </row>
    <row r="523" spans="1:9" x14ac:dyDescent="0.3">
      <c r="A523" s="5">
        <v>42397</v>
      </c>
      <c r="B523">
        <v>30.02</v>
      </c>
      <c r="C523">
        <v>30.18</v>
      </c>
      <c r="D523">
        <v>29.75</v>
      </c>
      <c r="E523">
        <v>29.969999000000001</v>
      </c>
      <c r="F523">
        <v>23.932783000000001</v>
      </c>
      <c r="G523">
        <v>22028100</v>
      </c>
      <c r="I523">
        <f t="shared" si="8"/>
        <v>1.0368198745939457E-4</v>
      </c>
    </row>
    <row r="524" spans="1:9" x14ac:dyDescent="0.3">
      <c r="A524" s="5">
        <v>42398</v>
      </c>
      <c r="B524">
        <v>30.209999</v>
      </c>
      <c r="C524">
        <v>31.030000999999999</v>
      </c>
      <c r="D524">
        <v>30.1</v>
      </c>
      <c r="E524">
        <v>31.02</v>
      </c>
      <c r="F524">
        <v>24.771273000000001</v>
      </c>
      <c r="G524">
        <v>38311400</v>
      </c>
      <c r="I524">
        <f t="shared" ref="I524:I587" si="9">LN(C524/B524)*(LN(C524/B524)-LN(E524/B524))+LN(D524/B524)*(LN(D524/B524)-LN(E524/B524))</f>
        <v>1.184570895877651E-4</v>
      </c>
    </row>
    <row r="525" spans="1:9" x14ac:dyDescent="0.3">
      <c r="A525" s="5">
        <v>42401</v>
      </c>
      <c r="B525">
        <v>30.719999000000001</v>
      </c>
      <c r="C525">
        <v>31.120000999999998</v>
      </c>
      <c r="D525">
        <v>30.639999</v>
      </c>
      <c r="E525">
        <v>30.82</v>
      </c>
      <c r="F525">
        <v>24.611560999999998</v>
      </c>
      <c r="G525">
        <v>19015100</v>
      </c>
      <c r="I525">
        <f t="shared" si="9"/>
        <v>1.4059189691229335E-4</v>
      </c>
    </row>
    <row r="526" spans="1:9" x14ac:dyDescent="0.3">
      <c r="A526" s="5">
        <v>42402</v>
      </c>
      <c r="B526">
        <v>30.450001</v>
      </c>
      <c r="C526">
        <v>30.49</v>
      </c>
      <c r="D526">
        <v>29.629999000000002</v>
      </c>
      <c r="E526">
        <v>29.799999</v>
      </c>
      <c r="F526">
        <v>23.797025999999999</v>
      </c>
      <c r="G526">
        <v>24994300</v>
      </c>
      <c r="I526">
        <f t="shared" si="9"/>
        <v>1.8622574249698215E-4</v>
      </c>
    </row>
    <row r="527" spans="1:9" x14ac:dyDescent="0.3">
      <c r="A527" s="5">
        <v>42403</v>
      </c>
      <c r="B527">
        <v>29.719999000000001</v>
      </c>
      <c r="C527">
        <v>29.719999000000001</v>
      </c>
      <c r="D527">
        <v>28.52</v>
      </c>
      <c r="E527">
        <v>29.34</v>
      </c>
      <c r="F527">
        <v>23.635916000000002</v>
      </c>
      <c r="G527">
        <v>44660100</v>
      </c>
      <c r="I527">
        <f t="shared" si="9"/>
        <v>1.1682760886745599E-3</v>
      </c>
    </row>
    <row r="528" spans="1:9" x14ac:dyDescent="0.3">
      <c r="A528" s="5">
        <v>42404</v>
      </c>
      <c r="B528">
        <v>29.139999</v>
      </c>
      <c r="C528">
        <v>29.879999000000002</v>
      </c>
      <c r="D528">
        <v>29.110001</v>
      </c>
      <c r="E528">
        <v>29.77</v>
      </c>
      <c r="F528">
        <v>23.982320999999999</v>
      </c>
      <c r="G528">
        <v>29257800</v>
      </c>
      <c r="I528">
        <f t="shared" si="9"/>
        <v>1.1558123769934151E-4</v>
      </c>
    </row>
    <row r="529" spans="1:9" x14ac:dyDescent="0.3">
      <c r="A529" s="5">
        <v>42405</v>
      </c>
      <c r="B529">
        <v>29.58</v>
      </c>
      <c r="C529">
        <v>29.76</v>
      </c>
      <c r="D529">
        <v>28.91</v>
      </c>
      <c r="E529">
        <v>29.040001</v>
      </c>
      <c r="F529">
        <v>23.394241000000001</v>
      </c>
      <c r="G529">
        <v>27957500</v>
      </c>
      <c r="I529">
        <f t="shared" si="9"/>
        <v>2.5137436825556705E-4</v>
      </c>
    </row>
    <row r="530" spans="1:9" x14ac:dyDescent="0.3">
      <c r="A530" s="5">
        <v>42408</v>
      </c>
      <c r="B530">
        <v>28.74</v>
      </c>
      <c r="C530">
        <v>28.98</v>
      </c>
      <c r="D530">
        <v>28.299999</v>
      </c>
      <c r="E530">
        <v>28.82</v>
      </c>
      <c r="F530">
        <v>23.217005</v>
      </c>
      <c r="G530">
        <v>28725900</v>
      </c>
      <c r="I530">
        <f t="shared" si="9"/>
        <v>3.2695286095759264E-4</v>
      </c>
    </row>
    <row r="531" spans="1:9" x14ac:dyDescent="0.3">
      <c r="A531" s="5">
        <v>42409</v>
      </c>
      <c r="B531">
        <v>28.49</v>
      </c>
      <c r="C531">
        <v>29.15</v>
      </c>
      <c r="D531">
        <v>28.41</v>
      </c>
      <c r="E531">
        <v>28.809999000000001</v>
      </c>
      <c r="F531">
        <v>23.208953999999999</v>
      </c>
      <c r="G531">
        <v>22902600</v>
      </c>
      <c r="I531">
        <f t="shared" si="9"/>
        <v>3.0800742848415794E-4</v>
      </c>
    </row>
    <row r="532" spans="1:9" x14ac:dyDescent="0.3">
      <c r="A532" s="5">
        <v>42410</v>
      </c>
      <c r="B532">
        <v>28.879999000000002</v>
      </c>
      <c r="C532">
        <v>29</v>
      </c>
      <c r="D532">
        <v>28.190000999999999</v>
      </c>
      <c r="E532">
        <v>28.23</v>
      </c>
      <c r="F532">
        <v>22.741714000000002</v>
      </c>
      <c r="G532">
        <v>27267800</v>
      </c>
      <c r="I532">
        <f t="shared" si="9"/>
        <v>1.4587372464073124E-4</v>
      </c>
    </row>
    <row r="533" spans="1:9" x14ac:dyDescent="0.3">
      <c r="A533" s="5">
        <v>42411</v>
      </c>
      <c r="B533">
        <v>27.83</v>
      </c>
      <c r="C533">
        <v>28.41</v>
      </c>
      <c r="D533">
        <v>27.68</v>
      </c>
      <c r="E533">
        <v>28.219999000000001</v>
      </c>
      <c r="F533">
        <v>22.733656</v>
      </c>
      <c r="G533">
        <v>28450200</v>
      </c>
      <c r="I533">
        <f t="shared" si="9"/>
        <v>2.4282858852955224E-4</v>
      </c>
    </row>
    <row r="534" spans="1:9" x14ac:dyDescent="0.3">
      <c r="A534" s="5">
        <v>42412</v>
      </c>
      <c r="B534">
        <v>28.57</v>
      </c>
      <c r="C534">
        <v>28.700001</v>
      </c>
      <c r="D534">
        <v>28.139999</v>
      </c>
      <c r="E534">
        <v>28.639999</v>
      </c>
      <c r="F534">
        <v>23.072001</v>
      </c>
      <c r="G534">
        <v>19699000</v>
      </c>
      <c r="I534">
        <f t="shared" si="9"/>
        <v>2.7659533576706273E-4</v>
      </c>
    </row>
    <row r="535" spans="1:9" x14ac:dyDescent="0.3">
      <c r="A535" s="5">
        <v>42416</v>
      </c>
      <c r="B535">
        <v>28.75</v>
      </c>
      <c r="C535">
        <v>28.950001</v>
      </c>
      <c r="D535">
        <v>28.360001</v>
      </c>
      <c r="E535">
        <v>28.780000999999999</v>
      </c>
      <c r="F535">
        <v>23.184778000000001</v>
      </c>
      <c r="G535">
        <v>30705200</v>
      </c>
      <c r="I535">
        <f t="shared" si="9"/>
        <v>2.4161550004655113E-4</v>
      </c>
    </row>
    <row r="536" spans="1:9" x14ac:dyDescent="0.3">
      <c r="A536" s="5">
        <v>42417</v>
      </c>
      <c r="B536">
        <v>28.860001</v>
      </c>
      <c r="C536">
        <v>29.620000999999998</v>
      </c>
      <c r="D536">
        <v>28.73</v>
      </c>
      <c r="E536">
        <v>29.469999000000001</v>
      </c>
      <c r="F536">
        <v>23.740637</v>
      </c>
      <c r="G536">
        <v>27691700</v>
      </c>
      <c r="I536">
        <f t="shared" si="9"/>
        <v>2.4678304734535863E-4</v>
      </c>
    </row>
    <row r="537" spans="1:9" x14ac:dyDescent="0.3">
      <c r="A537" s="5">
        <v>42418</v>
      </c>
      <c r="B537">
        <v>29.530000999999999</v>
      </c>
      <c r="C537">
        <v>29.76</v>
      </c>
      <c r="D537">
        <v>29.379999000000002</v>
      </c>
      <c r="E537">
        <v>29.42</v>
      </c>
      <c r="F537">
        <v>23.700361000000001</v>
      </c>
      <c r="G537">
        <v>20623300</v>
      </c>
      <c r="I537">
        <f t="shared" si="9"/>
        <v>9.6077650239055303E-5</v>
      </c>
    </row>
    <row r="538" spans="1:9" x14ac:dyDescent="0.3">
      <c r="A538" s="5">
        <v>42419</v>
      </c>
      <c r="B538">
        <v>29.200001</v>
      </c>
      <c r="C538">
        <v>29.33</v>
      </c>
      <c r="D538">
        <v>28.709999</v>
      </c>
      <c r="E538">
        <v>28.709999</v>
      </c>
      <c r="F538">
        <v>23.128392999999999</v>
      </c>
      <c r="G538">
        <v>42056700</v>
      </c>
      <c r="I538">
        <f t="shared" si="9"/>
        <v>9.4908191824321489E-5</v>
      </c>
    </row>
    <row r="539" spans="1:9" x14ac:dyDescent="0.3">
      <c r="A539" s="5">
        <v>42422</v>
      </c>
      <c r="B539">
        <v>29.110001</v>
      </c>
      <c r="C539">
        <v>29.540001</v>
      </c>
      <c r="D539">
        <v>29</v>
      </c>
      <c r="E539">
        <v>29.35</v>
      </c>
      <c r="F539">
        <v>23.643968999999998</v>
      </c>
      <c r="G539">
        <v>23893100</v>
      </c>
      <c r="I539">
        <f t="shared" si="9"/>
        <v>1.4003934998568142E-4</v>
      </c>
    </row>
    <row r="540" spans="1:9" x14ac:dyDescent="0.3">
      <c r="A540" s="5">
        <v>42423</v>
      </c>
      <c r="B540">
        <v>29.299999</v>
      </c>
      <c r="C540">
        <v>29.35</v>
      </c>
      <c r="D540">
        <v>28.6</v>
      </c>
      <c r="E540">
        <v>28.799999</v>
      </c>
      <c r="F540">
        <v>23.200901000000002</v>
      </c>
      <c r="G540">
        <v>26638200</v>
      </c>
      <c r="I540">
        <f t="shared" si="9"/>
        <v>2.0076194241259483E-4</v>
      </c>
    </row>
    <row r="541" spans="1:9" x14ac:dyDescent="0.3">
      <c r="A541" s="5">
        <v>42424</v>
      </c>
      <c r="B541">
        <v>28.52</v>
      </c>
      <c r="C541">
        <v>29.299999</v>
      </c>
      <c r="D541">
        <v>28.379999000000002</v>
      </c>
      <c r="E541">
        <v>29.190000999999999</v>
      </c>
      <c r="F541">
        <v>23.515076000000001</v>
      </c>
      <c r="G541">
        <v>21593600</v>
      </c>
      <c r="I541">
        <f t="shared" si="9"/>
        <v>2.3996954028020177E-4</v>
      </c>
    </row>
    <row r="542" spans="1:9" x14ac:dyDescent="0.3">
      <c r="A542" s="5">
        <v>42425</v>
      </c>
      <c r="B542">
        <v>29.32</v>
      </c>
      <c r="C542">
        <v>29.620000999999998</v>
      </c>
      <c r="D542">
        <v>28.950001</v>
      </c>
      <c r="E542">
        <v>29.620000999999998</v>
      </c>
      <c r="F542">
        <v>23.861477000000001</v>
      </c>
      <c r="G542">
        <v>17571400</v>
      </c>
      <c r="I542">
        <f t="shared" si="9"/>
        <v>2.9056269934154606E-4</v>
      </c>
    </row>
    <row r="543" spans="1:9" x14ac:dyDescent="0.3">
      <c r="A543" s="5">
        <v>42426</v>
      </c>
      <c r="B543">
        <v>29.879999000000002</v>
      </c>
      <c r="C543">
        <v>30.08</v>
      </c>
      <c r="D543">
        <v>29.700001</v>
      </c>
      <c r="E543">
        <v>29.799999</v>
      </c>
      <c r="F543">
        <v>24.006478999999999</v>
      </c>
      <c r="G543">
        <v>19902200</v>
      </c>
      <c r="I543">
        <f t="shared" si="9"/>
        <v>8.2699419285775305E-5</v>
      </c>
    </row>
    <row r="544" spans="1:9" x14ac:dyDescent="0.3">
      <c r="A544" s="5">
        <v>42429</v>
      </c>
      <c r="B544">
        <v>29.719999000000001</v>
      </c>
      <c r="C544">
        <v>30.139999</v>
      </c>
      <c r="D544">
        <v>29.58</v>
      </c>
      <c r="E544">
        <v>29.59</v>
      </c>
      <c r="F544">
        <v>23.837311</v>
      </c>
      <c r="G544">
        <v>22903100</v>
      </c>
      <c r="I544">
        <f t="shared" si="9"/>
        <v>2.6003696668691308E-4</v>
      </c>
    </row>
    <row r="545" spans="1:9" x14ac:dyDescent="0.3">
      <c r="A545" s="5">
        <v>42430</v>
      </c>
      <c r="B545">
        <v>29.93</v>
      </c>
      <c r="C545">
        <v>30.530000999999999</v>
      </c>
      <c r="D545">
        <v>29.75</v>
      </c>
      <c r="E545">
        <v>30.370000999999998</v>
      </c>
      <c r="F545">
        <v>24.465672000000001</v>
      </c>
      <c r="G545">
        <v>25502600</v>
      </c>
      <c r="I545">
        <f t="shared" si="9"/>
        <v>2.2871561615915521E-4</v>
      </c>
    </row>
    <row r="546" spans="1:9" x14ac:dyDescent="0.3">
      <c r="A546" s="5">
        <v>42431</v>
      </c>
      <c r="B546">
        <v>30.299999</v>
      </c>
      <c r="C546">
        <v>30.870000999999998</v>
      </c>
      <c r="D546">
        <v>30.120000999999998</v>
      </c>
      <c r="E546">
        <v>30.540001</v>
      </c>
      <c r="F546">
        <v>24.602619000000001</v>
      </c>
      <c r="G546">
        <v>23779800</v>
      </c>
      <c r="I546">
        <f t="shared" si="9"/>
        <v>2.8281306676578195E-4</v>
      </c>
    </row>
    <row r="547" spans="1:9" x14ac:dyDescent="0.3">
      <c r="A547" s="5">
        <v>42432</v>
      </c>
      <c r="B547">
        <v>31.129999000000002</v>
      </c>
      <c r="C547">
        <v>31.35</v>
      </c>
      <c r="D547">
        <v>30.540001</v>
      </c>
      <c r="E547">
        <v>30.58</v>
      </c>
      <c r="F547">
        <v>24.634840000000001</v>
      </c>
      <c r="G547">
        <v>25625200</v>
      </c>
      <c r="I547">
        <f t="shared" si="9"/>
        <v>2.0017344293723056E-4</v>
      </c>
    </row>
    <row r="548" spans="1:9" x14ac:dyDescent="0.3">
      <c r="A548" s="5">
        <v>42433</v>
      </c>
      <c r="B548">
        <v>30.5</v>
      </c>
      <c r="C548">
        <v>30.860001</v>
      </c>
      <c r="D548">
        <v>30.049999</v>
      </c>
      <c r="E548">
        <v>30.629999000000002</v>
      </c>
      <c r="F548">
        <v>24.675117</v>
      </c>
      <c r="G548">
        <v>20356800</v>
      </c>
      <c r="I548">
        <f t="shared" si="9"/>
        <v>3.7194344311400465E-4</v>
      </c>
    </row>
    <row r="549" spans="1:9" x14ac:dyDescent="0.3">
      <c r="A549" s="5">
        <v>42436</v>
      </c>
      <c r="B549">
        <v>30.59</v>
      </c>
      <c r="C549">
        <v>31.120000999999998</v>
      </c>
      <c r="D549">
        <v>30.5</v>
      </c>
      <c r="E549">
        <v>30.940000999999999</v>
      </c>
      <c r="F549">
        <v>24.924855999999998</v>
      </c>
      <c r="G549">
        <v>18858200</v>
      </c>
      <c r="I549">
        <f t="shared" si="9"/>
        <v>1.4184752045760893E-4</v>
      </c>
    </row>
    <row r="550" spans="1:9" x14ac:dyDescent="0.3">
      <c r="A550" s="5">
        <v>42437</v>
      </c>
      <c r="B550">
        <v>30.83</v>
      </c>
      <c r="C550">
        <v>30.879999000000002</v>
      </c>
      <c r="D550">
        <v>30.379999000000002</v>
      </c>
      <c r="E550">
        <v>30.559999000000001</v>
      </c>
      <c r="F550">
        <v>24.618731</v>
      </c>
      <c r="G550">
        <v>19104900</v>
      </c>
      <c r="I550">
        <f t="shared" si="9"/>
        <v>1.0374193579430857E-4</v>
      </c>
    </row>
    <row r="551" spans="1:9" x14ac:dyDescent="0.3">
      <c r="A551" s="5">
        <v>42438</v>
      </c>
      <c r="B551">
        <v>30.83</v>
      </c>
      <c r="C551">
        <v>31.040001</v>
      </c>
      <c r="D551">
        <v>30.67</v>
      </c>
      <c r="E551">
        <v>30.870000999999998</v>
      </c>
      <c r="F551">
        <v>24.868459999999999</v>
      </c>
      <c r="G551">
        <v>14707800</v>
      </c>
      <c r="I551">
        <f t="shared" si="9"/>
        <v>7.1102046422707934E-5</v>
      </c>
    </row>
    <row r="552" spans="1:9" x14ac:dyDescent="0.3">
      <c r="A552" s="5">
        <v>42439</v>
      </c>
      <c r="B552">
        <v>31.139999</v>
      </c>
      <c r="C552">
        <v>31.4</v>
      </c>
      <c r="D552">
        <v>30.379999000000002</v>
      </c>
      <c r="E552">
        <v>31.25</v>
      </c>
      <c r="F552">
        <v>25.174586999999999</v>
      </c>
      <c r="G552">
        <v>29584800</v>
      </c>
      <c r="I552">
        <f t="shared" si="9"/>
        <v>7.3746248333991153E-4</v>
      </c>
    </row>
    <row r="553" spans="1:9" x14ac:dyDescent="0.3">
      <c r="A553" s="5">
        <v>42440</v>
      </c>
      <c r="B553">
        <v>31.67</v>
      </c>
      <c r="C553">
        <v>31.790001</v>
      </c>
      <c r="D553">
        <v>31.530000999999999</v>
      </c>
      <c r="E553">
        <v>31.76</v>
      </c>
      <c r="F553">
        <v>25.585433999999999</v>
      </c>
      <c r="G553">
        <v>22811200</v>
      </c>
      <c r="I553">
        <f t="shared" si="9"/>
        <v>3.577120279926474E-5</v>
      </c>
    </row>
    <row r="554" spans="1:9" x14ac:dyDescent="0.3">
      <c r="A554" s="5">
        <v>42443</v>
      </c>
      <c r="B554">
        <v>31.66</v>
      </c>
      <c r="C554">
        <v>31.690000999999999</v>
      </c>
      <c r="D554">
        <v>31.299999</v>
      </c>
      <c r="E554">
        <v>31.43</v>
      </c>
      <c r="F554">
        <v>25.319588</v>
      </c>
      <c r="G554">
        <v>17438600</v>
      </c>
      <c r="I554">
        <f t="shared" si="9"/>
        <v>5.5202681550045212E-5</v>
      </c>
    </row>
    <row r="555" spans="1:9" x14ac:dyDescent="0.3">
      <c r="A555" s="5">
        <v>42444</v>
      </c>
      <c r="B555">
        <v>31.34</v>
      </c>
      <c r="C555">
        <v>31.65</v>
      </c>
      <c r="D555">
        <v>31.059999000000001</v>
      </c>
      <c r="E555">
        <v>31.65</v>
      </c>
      <c r="F555">
        <v>25.496813</v>
      </c>
      <c r="G555">
        <v>16927700</v>
      </c>
      <c r="I555">
        <f t="shared" si="9"/>
        <v>1.688755103645804E-4</v>
      </c>
    </row>
    <row r="556" spans="1:9" x14ac:dyDescent="0.3">
      <c r="A556" s="5">
        <v>42445</v>
      </c>
      <c r="B556">
        <v>31.49</v>
      </c>
      <c r="C556">
        <v>31.799999</v>
      </c>
      <c r="D556">
        <v>31.17</v>
      </c>
      <c r="E556">
        <v>31.690000999999999</v>
      </c>
      <c r="F556">
        <v>25.529043000000001</v>
      </c>
      <c r="G556">
        <v>26298400</v>
      </c>
      <c r="I556">
        <f t="shared" si="9"/>
        <v>2.0293523148300278E-4</v>
      </c>
    </row>
    <row r="557" spans="1:9" x14ac:dyDescent="0.3">
      <c r="A557" s="5">
        <v>42446</v>
      </c>
      <c r="B557">
        <v>31.76</v>
      </c>
      <c r="C557">
        <v>32.169998</v>
      </c>
      <c r="D557">
        <v>31.700001</v>
      </c>
      <c r="E557">
        <v>31.98</v>
      </c>
      <c r="F557">
        <v>25.762658999999999</v>
      </c>
      <c r="G557">
        <v>22865300</v>
      </c>
      <c r="I557">
        <f t="shared" si="9"/>
        <v>9.2608313119201335E-5</v>
      </c>
    </row>
    <row r="558" spans="1:9" x14ac:dyDescent="0.3">
      <c r="A558" s="5">
        <v>42447</v>
      </c>
      <c r="B558">
        <v>32.159999999999997</v>
      </c>
      <c r="C558">
        <v>32.689999</v>
      </c>
      <c r="D558">
        <v>32.060001</v>
      </c>
      <c r="E558">
        <v>32.68</v>
      </c>
      <c r="F558">
        <v>26.326581999999998</v>
      </c>
      <c r="G558">
        <v>49934200</v>
      </c>
      <c r="I558">
        <f t="shared" si="9"/>
        <v>6.4651428180805971E-5</v>
      </c>
    </row>
    <row r="559" spans="1:9" x14ac:dyDescent="0.3">
      <c r="A559" s="5">
        <v>42450</v>
      </c>
      <c r="B559">
        <v>32.229999999999997</v>
      </c>
      <c r="C559">
        <v>32.419998</v>
      </c>
      <c r="D559">
        <v>31.950001</v>
      </c>
      <c r="E559">
        <v>32.340000000000003</v>
      </c>
      <c r="F559">
        <v>26.052676999999999</v>
      </c>
      <c r="G559">
        <v>21760900</v>
      </c>
      <c r="I559">
        <f t="shared" si="9"/>
        <v>1.203847639182274E-4</v>
      </c>
    </row>
    <row r="560" spans="1:9" x14ac:dyDescent="0.3">
      <c r="A560" s="5">
        <v>42451</v>
      </c>
      <c r="B560">
        <v>32.159999999999997</v>
      </c>
      <c r="C560">
        <v>32.459999000000003</v>
      </c>
      <c r="D560">
        <v>31.950001</v>
      </c>
      <c r="E560">
        <v>32.32</v>
      </c>
      <c r="F560">
        <v>26.036557999999999</v>
      </c>
      <c r="G560">
        <v>22200400</v>
      </c>
      <c r="I560">
        <f t="shared" si="9"/>
        <v>1.1556393783227411E-4</v>
      </c>
    </row>
    <row r="561" spans="1:9" x14ac:dyDescent="0.3">
      <c r="A561" s="5">
        <v>42452</v>
      </c>
      <c r="B561">
        <v>32.470001000000003</v>
      </c>
      <c r="C561">
        <v>32.470001000000003</v>
      </c>
      <c r="D561">
        <v>31.98</v>
      </c>
      <c r="E561">
        <v>32</v>
      </c>
      <c r="F561">
        <v>25.778776000000001</v>
      </c>
      <c r="G561">
        <v>18765300</v>
      </c>
      <c r="I561">
        <f t="shared" si="9"/>
        <v>9.5066645838681807E-6</v>
      </c>
    </row>
    <row r="562" spans="1:9" x14ac:dyDescent="0.3">
      <c r="A562" s="5">
        <v>42453</v>
      </c>
      <c r="B562">
        <v>31.870000999999998</v>
      </c>
      <c r="C562">
        <v>31.950001</v>
      </c>
      <c r="D562">
        <v>31.700001</v>
      </c>
      <c r="E562">
        <v>31.879999000000002</v>
      </c>
      <c r="F562">
        <v>25.682103999999999</v>
      </c>
      <c r="G562">
        <v>14211900</v>
      </c>
      <c r="I562">
        <f t="shared" si="9"/>
        <v>3.5782440448634451E-5</v>
      </c>
    </row>
    <row r="563" spans="1:9" x14ac:dyDescent="0.3">
      <c r="A563" s="5">
        <v>42457</v>
      </c>
      <c r="B563">
        <v>31.870000999999998</v>
      </c>
      <c r="C563">
        <v>32</v>
      </c>
      <c r="D563">
        <v>31.620000999999998</v>
      </c>
      <c r="E563">
        <v>31.9</v>
      </c>
      <c r="F563">
        <v>25.69821</v>
      </c>
      <c r="G563">
        <v>11433000</v>
      </c>
      <c r="I563">
        <f t="shared" si="9"/>
        <v>8.217075591268559E-5</v>
      </c>
    </row>
    <row r="564" spans="1:9" x14ac:dyDescent="0.3">
      <c r="A564" s="5">
        <v>42458</v>
      </c>
      <c r="B564">
        <v>31.93</v>
      </c>
      <c r="C564">
        <v>32.439999</v>
      </c>
      <c r="D564">
        <v>31.73</v>
      </c>
      <c r="E564">
        <v>32.380001</v>
      </c>
      <c r="F564">
        <v>26.084896000000001</v>
      </c>
      <c r="G564">
        <v>15313200</v>
      </c>
      <c r="I564">
        <f t="shared" si="9"/>
        <v>1.5675193094424916E-4</v>
      </c>
    </row>
    <row r="565" spans="1:9" x14ac:dyDescent="0.3">
      <c r="A565" s="5">
        <v>42459</v>
      </c>
      <c r="B565">
        <v>32.450001</v>
      </c>
      <c r="C565">
        <v>32.75</v>
      </c>
      <c r="D565">
        <v>32.290000999999997</v>
      </c>
      <c r="E565">
        <v>32.709999000000003</v>
      </c>
      <c r="F565">
        <v>26.350746000000001</v>
      </c>
      <c r="G565">
        <v>16598000</v>
      </c>
      <c r="I565">
        <f t="shared" si="9"/>
        <v>7.5124352905766033E-5</v>
      </c>
    </row>
    <row r="566" spans="1:9" x14ac:dyDescent="0.3">
      <c r="A566" s="5">
        <v>42460</v>
      </c>
      <c r="B566">
        <v>32.529998999999997</v>
      </c>
      <c r="C566">
        <v>32.659999999999997</v>
      </c>
      <c r="D566">
        <v>32.32</v>
      </c>
      <c r="E566">
        <v>32.349997999999999</v>
      </c>
      <c r="F566">
        <v>26.060725999999999</v>
      </c>
      <c r="G566">
        <v>17880000</v>
      </c>
      <c r="I566">
        <f t="shared" si="9"/>
        <v>4.4046063070352893E-5</v>
      </c>
    </row>
    <row r="567" spans="1:9" x14ac:dyDescent="0.3">
      <c r="A567" s="5">
        <v>42461</v>
      </c>
      <c r="B567">
        <v>32.270000000000003</v>
      </c>
      <c r="C567">
        <v>32.470001000000003</v>
      </c>
      <c r="D567">
        <v>32.099997999999999</v>
      </c>
      <c r="E567">
        <v>32.450001</v>
      </c>
      <c r="F567">
        <v>26.141290999999999</v>
      </c>
      <c r="G567">
        <v>18049700</v>
      </c>
      <c r="I567">
        <f t="shared" si="9"/>
        <v>6.1088003519256523E-5</v>
      </c>
    </row>
    <row r="568" spans="1:9" x14ac:dyDescent="0.3">
      <c r="A568" s="5">
        <v>42464</v>
      </c>
      <c r="B568">
        <v>32.200001</v>
      </c>
      <c r="C568">
        <v>32.380001</v>
      </c>
      <c r="D568">
        <v>31.74</v>
      </c>
      <c r="E568">
        <v>32</v>
      </c>
      <c r="F568">
        <v>25.778776000000001</v>
      </c>
      <c r="G568">
        <v>21581600</v>
      </c>
      <c r="I568">
        <f t="shared" si="9"/>
        <v>1.8319361948944776E-4</v>
      </c>
    </row>
    <row r="569" spans="1:9" x14ac:dyDescent="0.3">
      <c r="A569" s="5">
        <v>42465</v>
      </c>
      <c r="B569">
        <v>31.889999</v>
      </c>
      <c r="C569">
        <v>32.119999</v>
      </c>
      <c r="D569">
        <v>31.719999000000001</v>
      </c>
      <c r="E569">
        <v>31.9</v>
      </c>
      <c r="F569">
        <v>25.69821</v>
      </c>
      <c r="G569">
        <v>20080000</v>
      </c>
      <c r="I569">
        <f t="shared" si="9"/>
        <v>7.963702573422997E-5</v>
      </c>
    </row>
    <row r="570" spans="1:9" x14ac:dyDescent="0.3">
      <c r="A570" s="5">
        <v>42466</v>
      </c>
      <c r="B570">
        <v>31.969999000000001</v>
      </c>
      <c r="C570">
        <v>32.229999999999997</v>
      </c>
      <c r="D570">
        <v>31.77</v>
      </c>
      <c r="E570">
        <v>32.080002</v>
      </c>
      <c r="F570">
        <v>25.843222000000001</v>
      </c>
      <c r="G570">
        <v>15740600</v>
      </c>
      <c r="I570">
        <f t="shared" si="9"/>
        <v>9.8721624827575224E-5</v>
      </c>
    </row>
    <row r="571" spans="1:9" x14ac:dyDescent="0.3">
      <c r="A571" s="5">
        <v>42467</v>
      </c>
      <c r="B571">
        <v>31.889999</v>
      </c>
      <c r="C571">
        <v>31.9</v>
      </c>
      <c r="D571">
        <v>31.35</v>
      </c>
      <c r="E571">
        <v>31.549999</v>
      </c>
      <c r="F571">
        <v>25.416264000000002</v>
      </c>
      <c r="G571">
        <v>23738200</v>
      </c>
      <c r="I571">
        <f t="shared" si="9"/>
        <v>1.1206445656550727E-4</v>
      </c>
    </row>
    <row r="572" spans="1:9" x14ac:dyDescent="0.3">
      <c r="A572" s="5">
        <v>42468</v>
      </c>
      <c r="B572">
        <v>31.76</v>
      </c>
      <c r="C572">
        <v>32.020000000000003</v>
      </c>
      <c r="D572">
        <v>31.48</v>
      </c>
      <c r="E572">
        <v>31.629999000000002</v>
      </c>
      <c r="F572">
        <v>25.480706999999999</v>
      </c>
      <c r="G572">
        <v>17031900</v>
      </c>
      <c r="I572">
        <f t="shared" si="9"/>
        <v>1.4200743839251224E-4</v>
      </c>
    </row>
    <row r="573" spans="1:9" x14ac:dyDescent="0.3">
      <c r="A573" s="5">
        <v>42471</v>
      </c>
      <c r="B573">
        <v>31.9</v>
      </c>
      <c r="C573">
        <v>32.340000000000003</v>
      </c>
      <c r="D573">
        <v>31.66</v>
      </c>
      <c r="E573">
        <v>31.67</v>
      </c>
      <c r="F573">
        <v>25.512927999999999</v>
      </c>
      <c r="G573">
        <v>19707700</v>
      </c>
      <c r="I573">
        <f t="shared" si="9"/>
        <v>2.8917017248891833E-4</v>
      </c>
    </row>
    <row r="574" spans="1:9" x14ac:dyDescent="0.3">
      <c r="A574" s="5">
        <v>42472</v>
      </c>
      <c r="B574">
        <v>31.879999000000002</v>
      </c>
      <c r="C574">
        <v>31.940000999999999</v>
      </c>
      <c r="D574">
        <v>31.379999000000002</v>
      </c>
      <c r="E574">
        <v>31.860001</v>
      </c>
      <c r="F574">
        <v>25.665994999999999</v>
      </c>
      <c r="G574">
        <v>16774200</v>
      </c>
      <c r="I574">
        <f t="shared" si="9"/>
        <v>2.446924913607943E-4</v>
      </c>
    </row>
    <row r="575" spans="1:9" x14ac:dyDescent="0.3">
      <c r="A575" s="5">
        <v>42473</v>
      </c>
      <c r="B575">
        <v>31.969999000000001</v>
      </c>
      <c r="C575">
        <v>32.18</v>
      </c>
      <c r="D575">
        <v>31.950001</v>
      </c>
      <c r="E575">
        <v>32.130001</v>
      </c>
      <c r="F575">
        <v>25.883495</v>
      </c>
      <c r="G575">
        <v>19968100</v>
      </c>
      <c r="I575">
        <f t="shared" si="9"/>
        <v>1.3695788950457201E-5</v>
      </c>
    </row>
    <row r="576" spans="1:9" x14ac:dyDescent="0.3">
      <c r="A576" s="5">
        <v>42474</v>
      </c>
      <c r="B576">
        <v>31.780000999999999</v>
      </c>
      <c r="C576">
        <v>31.889999</v>
      </c>
      <c r="D576">
        <v>31.549999</v>
      </c>
      <c r="E576">
        <v>31.799999</v>
      </c>
      <c r="F576">
        <v>25.617653000000001</v>
      </c>
      <c r="G576">
        <v>21620900</v>
      </c>
      <c r="I576">
        <f t="shared" si="9"/>
        <v>6.7094919424136291E-5</v>
      </c>
    </row>
    <row r="577" spans="1:9" x14ac:dyDescent="0.3">
      <c r="A577" s="5">
        <v>42475</v>
      </c>
      <c r="B577">
        <v>31.790001</v>
      </c>
      <c r="C577">
        <v>31.889999</v>
      </c>
      <c r="D577">
        <v>31.379999000000002</v>
      </c>
      <c r="E577">
        <v>31.459999</v>
      </c>
      <c r="F577">
        <v>25.343758000000001</v>
      </c>
      <c r="G577">
        <v>28782800</v>
      </c>
      <c r="I577">
        <f t="shared" si="9"/>
        <v>7.56878761411692E-5</v>
      </c>
    </row>
    <row r="578" spans="1:9" x14ac:dyDescent="0.3">
      <c r="A578" s="5">
        <v>42478</v>
      </c>
      <c r="B578">
        <v>31.43</v>
      </c>
      <c r="C578">
        <v>31.719999000000001</v>
      </c>
      <c r="D578">
        <v>31.379999000000002</v>
      </c>
      <c r="E578">
        <v>31.65</v>
      </c>
      <c r="F578">
        <v>25.496813</v>
      </c>
      <c r="G578">
        <v>21566600</v>
      </c>
      <c r="I578">
        <f t="shared" si="9"/>
        <v>3.3931095579336103E-5</v>
      </c>
    </row>
    <row r="579" spans="1:9" x14ac:dyDescent="0.3">
      <c r="A579" s="5">
        <v>42479</v>
      </c>
      <c r="B579">
        <v>31.700001</v>
      </c>
      <c r="C579">
        <v>31.809999000000001</v>
      </c>
      <c r="D579">
        <v>31.4</v>
      </c>
      <c r="E579">
        <v>31.6</v>
      </c>
      <c r="F579">
        <v>25.456541000000001</v>
      </c>
      <c r="G579">
        <v>33619300</v>
      </c>
      <c r="I579">
        <f t="shared" si="9"/>
        <v>8.3317397792835552E-5</v>
      </c>
    </row>
    <row r="580" spans="1:9" x14ac:dyDescent="0.3">
      <c r="A580" s="5">
        <v>42480</v>
      </c>
      <c r="B580">
        <v>31.32</v>
      </c>
      <c r="C580">
        <v>32.259998000000003</v>
      </c>
      <c r="D580">
        <v>31.25</v>
      </c>
      <c r="E580">
        <v>32</v>
      </c>
      <c r="F580">
        <v>25.778776000000001</v>
      </c>
      <c r="G580">
        <v>57629800</v>
      </c>
      <c r="I580">
        <f t="shared" si="9"/>
        <v>2.9235846052892022E-4</v>
      </c>
    </row>
    <row r="581" spans="1:9" x14ac:dyDescent="0.3">
      <c r="A581" s="5">
        <v>42481</v>
      </c>
      <c r="B581">
        <v>31.940000999999999</v>
      </c>
      <c r="C581">
        <v>32.060001</v>
      </c>
      <c r="D581">
        <v>31.809999000000001</v>
      </c>
      <c r="E581">
        <v>31.969999000000001</v>
      </c>
      <c r="F581">
        <v>25.754604</v>
      </c>
      <c r="G581">
        <v>28431400</v>
      </c>
      <c r="I581">
        <f t="shared" si="9"/>
        <v>3.1005070136823269E-5</v>
      </c>
    </row>
    <row r="582" spans="1:9" x14ac:dyDescent="0.3">
      <c r="A582" s="5">
        <v>42482</v>
      </c>
      <c r="B582">
        <v>31.74</v>
      </c>
      <c r="C582">
        <v>31.860001</v>
      </c>
      <c r="D582">
        <v>31.219999000000001</v>
      </c>
      <c r="E582">
        <v>31.639999</v>
      </c>
      <c r="F582">
        <v>25.488762000000001</v>
      </c>
      <c r="G582">
        <v>29625600</v>
      </c>
      <c r="I582">
        <f t="shared" si="9"/>
        <v>2.4689318857222119E-4</v>
      </c>
    </row>
    <row r="583" spans="1:9" x14ac:dyDescent="0.3">
      <c r="A583" s="5">
        <v>42485</v>
      </c>
      <c r="B583">
        <v>31.360001</v>
      </c>
      <c r="C583">
        <v>31.5</v>
      </c>
      <c r="D583">
        <v>31.200001</v>
      </c>
      <c r="E583">
        <v>31.389999</v>
      </c>
      <c r="F583">
        <v>25.287367</v>
      </c>
      <c r="G583">
        <v>19315700</v>
      </c>
      <c r="I583">
        <f t="shared" si="9"/>
        <v>4.6636987508513565E-5</v>
      </c>
    </row>
    <row r="584" spans="1:9" x14ac:dyDescent="0.3">
      <c r="A584" s="5">
        <v>42486</v>
      </c>
      <c r="B584">
        <v>31.389999</v>
      </c>
      <c r="C584">
        <v>31.700001</v>
      </c>
      <c r="D584">
        <v>31.17</v>
      </c>
      <c r="E584">
        <v>31.4</v>
      </c>
      <c r="F584">
        <v>25.295424000000001</v>
      </c>
      <c r="G584">
        <v>20976400</v>
      </c>
      <c r="I584">
        <f t="shared" si="9"/>
        <v>1.4515372637764672E-4</v>
      </c>
    </row>
    <row r="585" spans="1:9" x14ac:dyDescent="0.3">
      <c r="A585" s="5">
        <v>42487</v>
      </c>
      <c r="B585">
        <v>31.25</v>
      </c>
      <c r="C585">
        <v>31.799999</v>
      </c>
      <c r="D585">
        <v>31.190000999999999</v>
      </c>
      <c r="E585">
        <v>31.75</v>
      </c>
      <c r="F585">
        <v>25.577375</v>
      </c>
      <c r="G585">
        <v>20006200</v>
      </c>
      <c r="I585">
        <f t="shared" si="9"/>
        <v>6.1652228686997424E-5</v>
      </c>
    </row>
    <row r="586" spans="1:9" x14ac:dyDescent="0.3">
      <c r="A586" s="5">
        <v>42488</v>
      </c>
      <c r="B586">
        <v>31.450001</v>
      </c>
      <c r="C586">
        <v>31.709999</v>
      </c>
      <c r="D586">
        <v>31.030000999999999</v>
      </c>
      <c r="E586">
        <v>31.110001</v>
      </c>
      <c r="F586">
        <v>25.061803999999999</v>
      </c>
      <c r="G586">
        <v>25146400</v>
      </c>
      <c r="I586">
        <f t="shared" si="9"/>
        <v>1.9189079242802381E-4</v>
      </c>
    </row>
    <row r="587" spans="1:9" x14ac:dyDescent="0.3">
      <c r="A587" s="5">
        <v>42489</v>
      </c>
      <c r="B587">
        <v>30.860001</v>
      </c>
      <c r="C587">
        <v>30.870000999999998</v>
      </c>
      <c r="D587">
        <v>30.1</v>
      </c>
      <c r="E587">
        <v>30.280000999999999</v>
      </c>
      <c r="F587">
        <v>24.393163999999999</v>
      </c>
      <c r="G587">
        <v>36443700</v>
      </c>
      <c r="I587">
        <f t="shared" si="9"/>
        <v>1.5492611388535243E-4</v>
      </c>
    </row>
    <row r="588" spans="1:9" x14ac:dyDescent="0.3">
      <c r="A588" s="5">
        <v>42492</v>
      </c>
      <c r="B588">
        <v>30.450001</v>
      </c>
      <c r="C588">
        <v>30.690000999999999</v>
      </c>
      <c r="D588">
        <v>30.360001</v>
      </c>
      <c r="E588">
        <v>30.610001</v>
      </c>
      <c r="F588">
        <v>24.659008</v>
      </c>
      <c r="G588">
        <v>21086600</v>
      </c>
      <c r="I588">
        <f t="shared" ref="I588:I651" si="10">LN(C588/B588)*(LN(C588/B588)-LN(E588/B588))+LN(D588/B588)*(LN(D588/B588)-LN(E588/B588))</f>
        <v>4.4766398252013654E-5</v>
      </c>
    </row>
    <row r="589" spans="1:9" x14ac:dyDescent="0.3">
      <c r="A589" s="5">
        <v>42493</v>
      </c>
      <c r="B589">
        <v>30.41</v>
      </c>
      <c r="C589">
        <v>30.559999000000001</v>
      </c>
      <c r="D589">
        <v>30.09</v>
      </c>
      <c r="E589">
        <v>30.360001</v>
      </c>
      <c r="F589">
        <v>24.457609000000001</v>
      </c>
      <c r="G589">
        <v>27111100</v>
      </c>
      <c r="I589">
        <f t="shared" si="10"/>
        <v>1.2680701306166204E-4</v>
      </c>
    </row>
    <row r="590" spans="1:9" x14ac:dyDescent="0.3">
      <c r="A590" s="5">
        <v>42494</v>
      </c>
      <c r="B590">
        <v>30.17</v>
      </c>
      <c r="C590">
        <v>30.209999</v>
      </c>
      <c r="D590">
        <v>29.700001</v>
      </c>
      <c r="E590">
        <v>29.85</v>
      </c>
      <c r="F590">
        <v>24.254467000000002</v>
      </c>
      <c r="G590">
        <v>23278800</v>
      </c>
      <c r="I590">
        <f t="shared" si="10"/>
        <v>9.4980915727723429E-5</v>
      </c>
    </row>
    <row r="591" spans="1:9" x14ac:dyDescent="0.3">
      <c r="A591" s="5">
        <v>42495</v>
      </c>
      <c r="B591">
        <v>29.870000999999998</v>
      </c>
      <c r="C591">
        <v>30.02</v>
      </c>
      <c r="D591">
        <v>29.75</v>
      </c>
      <c r="E591">
        <v>29.9</v>
      </c>
      <c r="F591">
        <v>24.295105</v>
      </c>
      <c r="G591">
        <v>23393300</v>
      </c>
      <c r="I591">
        <f t="shared" si="10"/>
        <v>4.0309231576955023E-5</v>
      </c>
    </row>
    <row r="592" spans="1:9" x14ac:dyDescent="0.3">
      <c r="A592" s="5">
        <v>42496</v>
      </c>
      <c r="B592">
        <v>29.610001</v>
      </c>
      <c r="C592">
        <v>30.110001</v>
      </c>
      <c r="D592">
        <v>29.52</v>
      </c>
      <c r="E592">
        <v>30.040001</v>
      </c>
      <c r="F592">
        <v>24.408854999999999</v>
      </c>
      <c r="G592">
        <v>19632200</v>
      </c>
      <c r="I592">
        <f t="shared" si="10"/>
        <v>9.2131691657667598E-5</v>
      </c>
    </row>
    <row r="593" spans="1:9" x14ac:dyDescent="0.3">
      <c r="A593" s="5">
        <v>42499</v>
      </c>
      <c r="B593">
        <v>30.08</v>
      </c>
      <c r="C593">
        <v>30.17</v>
      </c>
      <c r="D593">
        <v>29.76</v>
      </c>
      <c r="E593">
        <v>29.799999</v>
      </c>
      <c r="F593">
        <v>24.213846</v>
      </c>
      <c r="G593">
        <v>16888300</v>
      </c>
      <c r="I593">
        <f t="shared" si="10"/>
        <v>5.1230878394520365E-5</v>
      </c>
    </row>
    <row r="594" spans="1:9" x14ac:dyDescent="0.3">
      <c r="A594" s="5">
        <v>42500</v>
      </c>
      <c r="B594">
        <v>30</v>
      </c>
      <c r="C594">
        <v>30.18</v>
      </c>
      <c r="D594">
        <v>29.82</v>
      </c>
      <c r="E594">
        <v>30.139999</v>
      </c>
      <c r="F594">
        <v>24.490113999999998</v>
      </c>
      <c r="G594">
        <v>17013800</v>
      </c>
      <c r="I594">
        <f t="shared" si="10"/>
        <v>7.2169987108916842E-5</v>
      </c>
    </row>
    <row r="595" spans="1:9" x14ac:dyDescent="0.3">
      <c r="A595" s="5">
        <v>42501</v>
      </c>
      <c r="B595">
        <v>30.16</v>
      </c>
      <c r="C595">
        <v>30.25</v>
      </c>
      <c r="D595">
        <v>29.969999000000001</v>
      </c>
      <c r="E595">
        <v>30.059999000000001</v>
      </c>
      <c r="F595">
        <v>24.42511</v>
      </c>
      <c r="G595">
        <v>15754200</v>
      </c>
      <c r="I595">
        <f t="shared" si="10"/>
        <v>3.7723849270526698E-5</v>
      </c>
    </row>
    <row r="596" spans="1:9" x14ac:dyDescent="0.3">
      <c r="A596" s="5">
        <v>42502</v>
      </c>
      <c r="B596">
        <v>30.110001</v>
      </c>
      <c r="C596">
        <v>30.24</v>
      </c>
      <c r="D596">
        <v>29.57</v>
      </c>
      <c r="E596">
        <v>29.76</v>
      </c>
      <c r="F596">
        <v>24.181342999999998</v>
      </c>
      <c r="G596">
        <v>20826700</v>
      </c>
      <c r="I596">
        <f t="shared" si="10"/>
        <v>1.8484159105460634E-4</v>
      </c>
    </row>
    <row r="597" spans="1:9" x14ac:dyDescent="0.3">
      <c r="A597" s="5">
        <v>42503</v>
      </c>
      <c r="B597">
        <v>29.860001</v>
      </c>
      <c r="C597">
        <v>30.200001</v>
      </c>
      <c r="D597">
        <v>29.84</v>
      </c>
      <c r="E597">
        <v>29.91</v>
      </c>
      <c r="F597">
        <v>24.303225000000001</v>
      </c>
      <c r="G597">
        <v>19999600</v>
      </c>
      <c r="I597">
        <f t="shared" si="10"/>
        <v>1.1081820430476932E-4</v>
      </c>
    </row>
    <row r="598" spans="1:9" x14ac:dyDescent="0.3">
      <c r="A598" s="5">
        <v>42506</v>
      </c>
      <c r="B598">
        <v>29.9</v>
      </c>
      <c r="C598">
        <v>30.559999000000001</v>
      </c>
      <c r="D598">
        <v>29.879999000000002</v>
      </c>
      <c r="E598">
        <v>30.389999</v>
      </c>
      <c r="F598">
        <v>24.693247</v>
      </c>
      <c r="G598">
        <v>21826100</v>
      </c>
      <c r="I598">
        <f t="shared" si="10"/>
        <v>1.3311971823136599E-4</v>
      </c>
    </row>
    <row r="599" spans="1:9" x14ac:dyDescent="0.3">
      <c r="A599" s="5">
        <v>42507</v>
      </c>
      <c r="B599">
        <v>30.57</v>
      </c>
      <c r="C599">
        <v>30.57</v>
      </c>
      <c r="D599">
        <v>29.860001</v>
      </c>
      <c r="E599">
        <v>29.98</v>
      </c>
      <c r="F599">
        <v>24.360102000000001</v>
      </c>
      <c r="G599">
        <v>25709900</v>
      </c>
      <c r="I599">
        <f t="shared" si="10"/>
        <v>9.4247910085323692E-5</v>
      </c>
    </row>
    <row r="600" spans="1:9" x14ac:dyDescent="0.3">
      <c r="A600" s="5">
        <v>42508</v>
      </c>
      <c r="B600">
        <v>30.030000999999999</v>
      </c>
      <c r="C600">
        <v>30.25</v>
      </c>
      <c r="D600">
        <v>29.780000999999999</v>
      </c>
      <c r="E600">
        <v>29.99</v>
      </c>
      <c r="F600">
        <v>24.368228999999999</v>
      </c>
      <c r="G600">
        <v>22469900</v>
      </c>
      <c r="I600">
        <f t="shared" si="10"/>
        <v>1.217528191576332E-4</v>
      </c>
    </row>
    <row r="601" spans="1:9" x14ac:dyDescent="0.3">
      <c r="A601" s="5">
        <v>42509</v>
      </c>
      <c r="B601">
        <v>29.77</v>
      </c>
      <c r="C601">
        <v>29.93</v>
      </c>
      <c r="D601">
        <v>29.5</v>
      </c>
      <c r="E601">
        <v>29.629999000000002</v>
      </c>
      <c r="F601">
        <v>24.075717999999998</v>
      </c>
      <c r="G601">
        <v>21740900</v>
      </c>
      <c r="I601">
        <f t="shared" si="10"/>
        <v>9.4059353457338636E-5</v>
      </c>
    </row>
    <row r="602" spans="1:9" x14ac:dyDescent="0.3">
      <c r="A602" s="5">
        <v>42510</v>
      </c>
      <c r="B602">
        <v>29.73</v>
      </c>
      <c r="C602">
        <v>30.379999000000002</v>
      </c>
      <c r="D602">
        <v>29.700001</v>
      </c>
      <c r="E602">
        <v>30.15</v>
      </c>
      <c r="F602">
        <v>24.498235999999999</v>
      </c>
      <c r="G602">
        <v>22777300</v>
      </c>
      <c r="I602">
        <f t="shared" si="10"/>
        <v>1.7954312990504313E-4</v>
      </c>
    </row>
    <row r="603" spans="1:9" x14ac:dyDescent="0.3">
      <c r="A603" s="5">
        <v>42513</v>
      </c>
      <c r="B603">
        <v>30.23</v>
      </c>
      <c r="C603">
        <v>30.48</v>
      </c>
      <c r="D603">
        <v>30.129999000000002</v>
      </c>
      <c r="E603">
        <v>30.23</v>
      </c>
      <c r="F603">
        <v>24.563236</v>
      </c>
      <c r="G603">
        <v>20881900</v>
      </c>
      <c r="I603">
        <f t="shared" si="10"/>
        <v>7.8809619920109492E-5</v>
      </c>
    </row>
    <row r="604" spans="1:9" x14ac:dyDescent="0.3">
      <c r="A604" s="5">
        <v>42514</v>
      </c>
      <c r="B604">
        <v>30.5</v>
      </c>
      <c r="C604">
        <v>31.120000999999998</v>
      </c>
      <c r="D604">
        <v>30.450001</v>
      </c>
      <c r="E604">
        <v>31.059999000000001</v>
      </c>
      <c r="F604">
        <v>25.237656000000001</v>
      </c>
      <c r="G604">
        <v>23699200</v>
      </c>
      <c r="I604">
        <f t="shared" si="10"/>
        <v>7.1380351806395089E-5</v>
      </c>
    </row>
    <row r="605" spans="1:9" x14ac:dyDescent="0.3">
      <c r="A605" s="5">
        <v>42515</v>
      </c>
      <c r="B605">
        <v>31.200001</v>
      </c>
      <c r="C605">
        <v>31.57</v>
      </c>
      <c r="D605">
        <v>31.15</v>
      </c>
      <c r="E605">
        <v>31.389999</v>
      </c>
      <c r="F605">
        <v>25.505790999999999</v>
      </c>
      <c r="G605">
        <v>18359600</v>
      </c>
      <c r="I605">
        <f t="shared" si="10"/>
        <v>7.9720019150429671E-5</v>
      </c>
    </row>
    <row r="606" spans="1:9" x14ac:dyDescent="0.3">
      <c r="A606" s="5">
        <v>42516</v>
      </c>
      <c r="B606">
        <v>31.49</v>
      </c>
      <c r="C606">
        <v>31.629999000000002</v>
      </c>
      <c r="D606">
        <v>31.4</v>
      </c>
      <c r="E606">
        <v>31.49</v>
      </c>
      <c r="F606">
        <v>25.587049</v>
      </c>
      <c r="G606">
        <v>12692300</v>
      </c>
      <c r="I606">
        <f t="shared" si="10"/>
        <v>2.7869693032810251E-5</v>
      </c>
    </row>
    <row r="607" spans="1:9" x14ac:dyDescent="0.3">
      <c r="A607" s="5">
        <v>42517</v>
      </c>
      <c r="B607">
        <v>31.6</v>
      </c>
      <c r="C607">
        <v>31.65</v>
      </c>
      <c r="D607">
        <v>31.450001</v>
      </c>
      <c r="E607">
        <v>31.57</v>
      </c>
      <c r="F607">
        <v>25.652052000000001</v>
      </c>
      <c r="G607">
        <v>13341300</v>
      </c>
      <c r="I607">
        <f t="shared" si="10"/>
        <v>2.2121573289260448E-5</v>
      </c>
    </row>
    <row r="608" spans="1:9" x14ac:dyDescent="0.3">
      <c r="A608" s="5">
        <v>42521</v>
      </c>
      <c r="B608">
        <v>31.51</v>
      </c>
      <c r="C608">
        <v>31.65</v>
      </c>
      <c r="D608">
        <v>31.309999000000001</v>
      </c>
      <c r="E608">
        <v>31.59</v>
      </c>
      <c r="F608">
        <v>25.668306000000001</v>
      </c>
      <c r="G608">
        <v>23040200</v>
      </c>
      <c r="I608">
        <f t="shared" si="10"/>
        <v>6.5102270985913817E-5</v>
      </c>
    </row>
    <row r="609" spans="1:9" x14ac:dyDescent="0.3">
      <c r="A609" s="5">
        <v>42522</v>
      </c>
      <c r="B609">
        <v>31.620000999999998</v>
      </c>
      <c r="C609">
        <v>31.719999000000001</v>
      </c>
      <c r="D609">
        <v>31.469999000000001</v>
      </c>
      <c r="E609">
        <v>31.66</v>
      </c>
      <c r="F609">
        <v>25.725180000000002</v>
      </c>
      <c r="G609">
        <v>17753500</v>
      </c>
      <c r="I609">
        <f t="shared" si="10"/>
        <v>3.4601369345095445E-5</v>
      </c>
    </row>
    <row r="610" spans="1:9" x14ac:dyDescent="0.3">
      <c r="A610" s="5">
        <v>42523</v>
      </c>
      <c r="B610">
        <v>31.559999000000001</v>
      </c>
      <c r="C610">
        <v>31.76</v>
      </c>
      <c r="D610">
        <v>31.450001</v>
      </c>
      <c r="E610">
        <v>31.76</v>
      </c>
      <c r="F610">
        <v>25.806431</v>
      </c>
      <c r="G610">
        <v>14140100</v>
      </c>
      <c r="I610">
        <f t="shared" si="10"/>
        <v>3.424630492767981E-5</v>
      </c>
    </row>
    <row r="611" spans="1:9" x14ac:dyDescent="0.3">
      <c r="A611" s="5">
        <v>42524</v>
      </c>
      <c r="B611">
        <v>31.74</v>
      </c>
      <c r="C611">
        <v>31.74</v>
      </c>
      <c r="D611">
        <v>31.4</v>
      </c>
      <c r="E611">
        <v>31.620000999999998</v>
      </c>
      <c r="F611">
        <v>25.692677</v>
      </c>
      <c r="G611">
        <v>15777500</v>
      </c>
      <c r="I611">
        <f t="shared" si="10"/>
        <v>7.519458070039055E-5</v>
      </c>
    </row>
    <row r="612" spans="1:9" x14ac:dyDescent="0.3">
      <c r="A612" s="5">
        <v>42527</v>
      </c>
      <c r="B612">
        <v>31.639999</v>
      </c>
      <c r="C612">
        <v>31.82</v>
      </c>
      <c r="D612">
        <v>31.58</v>
      </c>
      <c r="E612">
        <v>31.68</v>
      </c>
      <c r="F612">
        <v>25.741436</v>
      </c>
      <c r="G612">
        <v>15139600</v>
      </c>
      <c r="I612">
        <f t="shared" si="10"/>
        <v>3.1015415216810364E-5</v>
      </c>
    </row>
    <row r="613" spans="1:9" x14ac:dyDescent="0.3">
      <c r="A613" s="5">
        <v>42528</v>
      </c>
      <c r="B613">
        <v>31.75</v>
      </c>
      <c r="C613">
        <v>32.020000000000003</v>
      </c>
      <c r="D613">
        <v>31.700001</v>
      </c>
      <c r="E613">
        <v>31.879999000000002</v>
      </c>
      <c r="F613">
        <v>25.903942000000001</v>
      </c>
      <c r="G613">
        <v>19339100</v>
      </c>
      <c r="I613">
        <f t="shared" si="10"/>
        <v>4.6029283087359214E-5</v>
      </c>
    </row>
    <row r="614" spans="1:9" x14ac:dyDescent="0.3">
      <c r="A614" s="5">
        <v>42529</v>
      </c>
      <c r="B614">
        <v>31.799999</v>
      </c>
      <c r="C614">
        <v>32</v>
      </c>
      <c r="D614">
        <v>31.790001</v>
      </c>
      <c r="E614">
        <v>31.889999</v>
      </c>
      <c r="F614">
        <v>25.912067</v>
      </c>
      <c r="G614">
        <v>12732100</v>
      </c>
      <c r="I614">
        <f t="shared" si="10"/>
        <v>2.2576808313101811E-5</v>
      </c>
    </row>
    <row r="615" spans="1:9" x14ac:dyDescent="0.3">
      <c r="A615" s="5">
        <v>42530</v>
      </c>
      <c r="B615">
        <v>31.68</v>
      </c>
      <c r="C615">
        <v>32</v>
      </c>
      <c r="D615">
        <v>31.68</v>
      </c>
      <c r="E615">
        <v>31.940000999999999</v>
      </c>
      <c r="F615">
        <v>25.952698000000002</v>
      </c>
      <c r="G615">
        <v>11276800</v>
      </c>
      <c r="I615">
        <f t="shared" si="10"/>
        <v>1.8861753782683798E-5</v>
      </c>
    </row>
    <row r="616" spans="1:9" x14ac:dyDescent="0.3">
      <c r="A616" s="5">
        <v>42531</v>
      </c>
      <c r="B616">
        <v>31.700001</v>
      </c>
      <c r="C616">
        <v>32.240001999999997</v>
      </c>
      <c r="D616">
        <v>31.65</v>
      </c>
      <c r="E616">
        <v>32.040000999999997</v>
      </c>
      <c r="F616">
        <v>26.033944999999999</v>
      </c>
      <c r="G616">
        <v>35749100</v>
      </c>
      <c r="I616">
        <f t="shared" si="10"/>
        <v>1.2444410034981443E-4</v>
      </c>
    </row>
    <row r="617" spans="1:9" x14ac:dyDescent="0.3">
      <c r="A617" s="5">
        <v>42534</v>
      </c>
      <c r="B617">
        <v>32.049999</v>
      </c>
      <c r="C617">
        <v>32.5</v>
      </c>
      <c r="D617">
        <v>32.040000999999997</v>
      </c>
      <c r="E617">
        <v>32.169998</v>
      </c>
      <c r="F617">
        <v>26.139579999999999</v>
      </c>
      <c r="G617">
        <v>23004800</v>
      </c>
      <c r="I617">
        <f t="shared" si="10"/>
        <v>1.4356229331486525E-4</v>
      </c>
    </row>
    <row r="618" spans="1:9" x14ac:dyDescent="0.3">
      <c r="A618" s="5">
        <v>42535</v>
      </c>
      <c r="B618">
        <v>32.009998000000003</v>
      </c>
      <c r="C618">
        <v>32.240001999999997</v>
      </c>
      <c r="D618">
        <v>31.790001</v>
      </c>
      <c r="E618">
        <v>32.139999000000003</v>
      </c>
      <c r="F618">
        <v>26.115203999999999</v>
      </c>
      <c r="G618">
        <v>18754300</v>
      </c>
      <c r="I618">
        <f t="shared" si="10"/>
        <v>9.7755869876733147E-5</v>
      </c>
    </row>
    <row r="619" spans="1:9" x14ac:dyDescent="0.3">
      <c r="A619" s="5">
        <v>42536</v>
      </c>
      <c r="B619">
        <v>32.25</v>
      </c>
      <c r="C619">
        <v>32.259998000000003</v>
      </c>
      <c r="D619">
        <v>31.59</v>
      </c>
      <c r="E619">
        <v>31.610001</v>
      </c>
      <c r="F619">
        <v>25.684549000000001</v>
      </c>
      <c r="G619">
        <v>23783300</v>
      </c>
      <c r="I619">
        <f t="shared" si="10"/>
        <v>1.9396852621851406E-5</v>
      </c>
    </row>
    <row r="620" spans="1:9" x14ac:dyDescent="0.3">
      <c r="A620" s="5">
        <v>42537</v>
      </c>
      <c r="B620">
        <v>31.440000999999999</v>
      </c>
      <c r="C620">
        <v>31.77</v>
      </c>
      <c r="D620">
        <v>31.219999000000001</v>
      </c>
      <c r="E620">
        <v>31.690000999999999</v>
      </c>
      <c r="F620">
        <v>25.749562999999998</v>
      </c>
      <c r="G620">
        <v>18547900</v>
      </c>
      <c r="I620">
        <f t="shared" si="10"/>
        <v>1.3125215468296777E-4</v>
      </c>
    </row>
    <row r="621" spans="1:9" x14ac:dyDescent="0.3">
      <c r="A621" s="5">
        <v>42538</v>
      </c>
      <c r="B621">
        <v>31.73</v>
      </c>
      <c r="C621">
        <v>31.809999000000001</v>
      </c>
      <c r="D621">
        <v>31.469999000000001</v>
      </c>
      <c r="E621">
        <v>31.76</v>
      </c>
      <c r="F621">
        <v>25.806431</v>
      </c>
      <c r="G621">
        <v>27047900</v>
      </c>
      <c r="I621">
        <f t="shared" si="10"/>
        <v>7.9435432413740273E-5</v>
      </c>
    </row>
    <row r="622" spans="1:9" x14ac:dyDescent="0.3">
      <c r="A622" s="5">
        <v>42541</v>
      </c>
      <c r="B622">
        <v>32.07</v>
      </c>
      <c r="C622">
        <v>32.439999</v>
      </c>
      <c r="D622">
        <v>32.009998000000003</v>
      </c>
      <c r="E622">
        <v>32.169998</v>
      </c>
      <c r="F622">
        <v>26.139579999999999</v>
      </c>
      <c r="G622">
        <v>21961600</v>
      </c>
      <c r="I622">
        <f t="shared" si="10"/>
        <v>1.052126062376646E-4</v>
      </c>
    </row>
    <row r="623" spans="1:9" x14ac:dyDescent="0.3">
      <c r="A623" s="5">
        <v>42542</v>
      </c>
      <c r="B623">
        <v>32.259998000000003</v>
      </c>
      <c r="C623">
        <v>32.380001</v>
      </c>
      <c r="D623">
        <v>32.090000000000003</v>
      </c>
      <c r="E623">
        <v>32.32</v>
      </c>
      <c r="F623">
        <v>26.261467</v>
      </c>
      <c r="G623">
        <v>15476500</v>
      </c>
      <c r="I623">
        <f t="shared" si="10"/>
        <v>4.4620595218277759E-5</v>
      </c>
    </row>
    <row r="624" spans="1:9" x14ac:dyDescent="0.3">
      <c r="A624" s="5">
        <v>42543</v>
      </c>
      <c r="B624">
        <v>32.299999</v>
      </c>
      <c r="C624">
        <v>32.630001</v>
      </c>
      <c r="D624">
        <v>32.25</v>
      </c>
      <c r="E624">
        <v>32.290000999999997</v>
      </c>
      <c r="F624">
        <v>26.237082999999998</v>
      </c>
      <c r="G624">
        <v>18304800</v>
      </c>
      <c r="I624">
        <f t="shared" si="10"/>
        <v>1.0839323533851443E-4</v>
      </c>
    </row>
    <row r="625" spans="1:9" x14ac:dyDescent="0.3">
      <c r="A625" s="5">
        <v>42544</v>
      </c>
      <c r="B625">
        <v>32.580002</v>
      </c>
      <c r="C625">
        <v>33</v>
      </c>
      <c r="D625">
        <v>32.5</v>
      </c>
      <c r="E625">
        <v>32.990001999999997</v>
      </c>
      <c r="F625">
        <v>26.805868</v>
      </c>
      <c r="G625">
        <v>22048800</v>
      </c>
      <c r="I625">
        <f t="shared" si="10"/>
        <v>4.0672537687788099E-5</v>
      </c>
    </row>
    <row r="626" spans="1:9" x14ac:dyDescent="0.3">
      <c r="A626" s="5">
        <v>42545</v>
      </c>
      <c r="B626">
        <v>31.799999</v>
      </c>
      <c r="C626">
        <v>32.32</v>
      </c>
      <c r="D626">
        <v>31.4</v>
      </c>
      <c r="E626">
        <v>31.549999</v>
      </c>
      <c r="F626">
        <v>25.635798999999999</v>
      </c>
      <c r="G626">
        <v>38094300</v>
      </c>
      <c r="I626">
        <f t="shared" si="10"/>
        <v>4.5143253650201944E-4</v>
      </c>
    </row>
    <row r="627" spans="1:9" x14ac:dyDescent="0.3">
      <c r="A627" s="5">
        <v>42548</v>
      </c>
      <c r="B627">
        <v>31.41</v>
      </c>
      <c r="C627">
        <v>31.41</v>
      </c>
      <c r="D627">
        <v>30.440000999999999</v>
      </c>
      <c r="E627">
        <v>30.719999000000001</v>
      </c>
      <c r="F627">
        <v>24.961387999999999</v>
      </c>
      <c r="G627">
        <v>34965100</v>
      </c>
      <c r="I627">
        <f t="shared" si="10"/>
        <v>2.8722197461467634E-4</v>
      </c>
    </row>
    <row r="628" spans="1:9" x14ac:dyDescent="0.3">
      <c r="A628" s="5">
        <v>42549</v>
      </c>
      <c r="B628">
        <v>30.969999000000001</v>
      </c>
      <c r="C628">
        <v>31.200001</v>
      </c>
      <c r="D628">
        <v>30.809999000000001</v>
      </c>
      <c r="E628">
        <v>31.190000999999999</v>
      </c>
      <c r="F628">
        <v>25.343285000000002</v>
      </c>
      <c r="G628">
        <v>23693900</v>
      </c>
      <c r="I628">
        <f t="shared" si="10"/>
        <v>6.5865907138838866E-5</v>
      </c>
    </row>
    <row r="629" spans="1:9" x14ac:dyDescent="0.3">
      <c r="A629" s="5">
        <v>42550</v>
      </c>
      <c r="B629">
        <v>31.35</v>
      </c>
      <c r="C629">
        <v>31.98</v>
      </c>
      <c r="D629">
        <v>31.309999000000001</v>
      </c>
      <c r="E629">
        <v>31.93</v>
      </c>
      <c r="F629">
        <v>25.944569000000001</v>
      </c>
      <c r="G629">
        <v>22771100</v>
      </c>
      <c r="I629">
        <f t="shared" si="10"/>
        <v>5.6167398544776119E-5</v>
      </c>
    </row>
    <row r="630" spans="1:9" x14ac:dyDescent="0.3">
      <c r="A630" s="5">
        <v>42551</v>
      </c>
      <c r="B630">
        <v>32</v>
      </c>
      <c r="C630">
        <v>32.880001</v>
      </c>
      <c r="D630">
        <v>31.969999000000001</v>
      </c>
      <c r="E630">
        <v>32.799999</v>
      </c>
      <c r="F630">
        <v>26.651486999999999</v>
      </c>
      <c r="G630">
        <v>34528900</v>
      </c>
      <c r="I630">
        <f t="shared" si="10"/>
        <v>9.0129362335177382E-5</v>
      </c>
    </row>
    <row r="631" spans="1:9" x14ac:dyDescent="0.3">
      <c r="A631" s="5">
        <v>42552</v>
      </c>
      <c r="B631">
        <v>32.639999000000003</v>
      </c>
      <c r="C631">
        <v>32.889999000000003</v>
      </c>
      <c r="D631">
        <v>32.470001000000003</v>
      </c>
      <c r="E631">
        <v>32.75</v>
      </c>
      <c r="F631">
        <v>26.610856999999999</v>
      </c>
      <c r="G631">
        <v>17084600</v>
      </c>
      <c r="I631">
        <f t="shared" si="10"/>
        <v>7.7384486619438378E-5</v>
      </c>
    </row>
    <row r="632" spans="1:9" x14ac:dyDescent="0.3">
      <c r="A632" s="5">
        <v>42556</v>
      </c>
      <c r="B632">
        <v>32.5</v>
      </c>
      <c r="C632">
        <v>32.729999999999997</v>
      </c>
      <c r="D632">
        <v>32.459999000000003</v>
      </c>
      <c r="E632">
        <v>32.68</v>
      </c>
      <c r="F632">
        <v>26.553975999999999</v>
      </c>
      <c r="G632">
        <v>20107200</v>
      </c>
      <c r="I632">
        <f t="shared" si="10"/>
        <v>1.9100079834728346E-5</v>
      </c>
    </row>
    <row r="633" spans="1:9" x14ac:dyDescent="0.3">
      <c r="A633" s="5">
        <v>42557</v>
      </c>
      <c r="B633">
        <v>32.799999</v>
      </c>
      <c r="C633">
        <v>33</v>
      </c>
      <c r="D633">
        <v>32.380001</v>
      </c>
      <c r="E633">
        <v>32.970001000000003</v>
      </c>
      <c r="F633">
        <v>26.789618000000001</v>
      </c>
      <c r="G633">
        <v>21070200</v>
      </c>
      <c r="I633">
        <f t="shared" si="10"/>
        <v>2.3823984955569636E-4</v>
      </c>
    </row>
    <row r="634" spans="1:9" x14ac:dyDescent="0.3">
      <c r="A634" s="5">
        <v>42558</v>
      </c>
      <c r="B634">
        <v>32.959999000000003</v>
      </c>
      <c r="C634">
        <v>33.549999</v>
      </c>
      <c r="D634">
        <v>32.959999000000003</v>
      </c>
      <c r="E634">
        <v>33.200001</v>
      </c>
      <c r="F634">
        <v>26.976493999999999</v>
      </c>
      <c r="G634">
        <v>26119400</v>
      </c>
      <c r="I634">
        <f t="shared" si="10"/>
        <v>1.8606073539775025E-4</v>
      </c>
    </row>
    <row r="635" spans="1:9" x14ac:dyDescent="0.3">
      <c r="A635" s="5">
        <v>42559</v>
      </c>
      <c r="B635">
        <v>33.650002000000001</v>
      </c>
      <c r="C635">
        <v>34</v>
      </c>
      <c r="D635">
        <v>33.5</v>
      </c>
      <c r="E635">
        <v>34</v>
      </c>
      <c r="F635">
        <v>27.626536999999999</v>
      </c>
      <c r="G635">
        <v>23341900</v>
      </c>
      <c r="I635">
        <f t="shared" si="10"/>
        <v>6.6189013497859324E-5</v>
      </c>
    </row>
    <row r="636" spans="1:9" x14ac:dyDescent="0.3">
      <c r="A636" s="5">
        <v>42562</v>
      </c>
      <c r="B636">
        <v>34.040000999999997</v>
      </c>
      <c r="C636">
        <v>34.5</v>
      </c>
      <c r="D636">
        <v>34.040000999999997</v>
      </c>
      <c r="E636">
        <v>34.380001</v>
      </c>
      <c r="F636">
        <v>27.935303000000001</v>
      </c>
      <c r="G636">
        <v>23820700</v>
      </c>
      <c r="I636">
        <f t="shared" si="10"/>
        <v>4.6769660214745544E-5</v>
      </c>
    </row>
    <row r="637" spans="1:9" x14ac:dyDescent="0.3">
      <c r="A637" s="5">
        <v>42563</v>
      </c>
      <c r="B637">
        <v>34.509998000000003</v>
      </c>
      <c r="C637">
        <v>34.970001000000003</v>
      </c>
      <c r="D637">
        <v>34.479999999999997</v>
      </c>
      <c r="E637">
        <v>34.939999</v>
      </c>
      <c r="F637">
        <v>28.390329000000001</v>
      </c>
      <c r="G637">
        <v>28064100</v>
      </c>
      <c r="I637">
        <f t="shared" si="10"/>
        <v>2.2890330711141848E-5</v>
      </c>
    </row>
    <row r="638" spans="1:9" x14ac:dyDescent="0.3">
      <c r="A638" s="5">
        <v>42564</v>
      </c>
      <c r="B638">
        <v>35.040000999999997</v>
      </c>
      <c r="C638">
        <v>35.25</v>
      </c>
      <c r="D638">
        <v>34.880001</v>
      </c>
      <c r="E638">
        <v>35.009998000000003</v>
      </c>
      <c r="F638">
        <v>28.447205</v>
      </c>
      <c r="G638">
        <v>29120900</v>
      </c>
      <c r="I638">
        <f t="shared" si="10"/>
        <v>5.784734560778732E-5</v>
      </c>
    </row>
    <row r="639" spans="1:9" x14ac:dyDescent="0.3">
      <c r="A639" s="5">
        <v>42565</v>
      </c>
      <c r="B639">
        <v>35.130001</v>
      </c>
      <c r="C639">
        <v>35.299999</v>
      </c>
      <c r="D639">
        <v>34.959999000000003</v>
      </c>
      <c r="E639">
        <v>35.200001</v>
      </c>
      <c r="F639">
        <v>28.601590999999999</v>
      </c>
      <c r="G639">
        <v>25296400</v>
      </c>
      <c r="I639">
        <f t="shared" si="10"/>
        <v>4.6882962677320966E-5</v>
      </c>
    </row>
    <row r="640" spans="1:9" x14ac:dyDescent="0.3">
      <c r="A640" s="5">
        <v>42566</v>
      </c>
      <c r="B640">
        <v>35.259998000000003</v>
      </c>
      <c r="C640">
        <v>35.290000999999997</v>
      </c>
      <c r="D640">
        <v>34.900002000000001</v>
      </c>
      <c r="E640">
        <v>35.07</v>
      </c>
      <c r="F640">
        <v>28.495956</v>
      </c>
      <c r="G640">
        <v>23661900</v>
      </c>
      <c r="I640">
        <f t="shared" si="10"/>
        <v>5.5184991317733778E-5</v>
      </c>
    </row>
    <row r="641" spans="1:9" x14ac:dyDescent="0.3">
      <c r="A641" s="5">
        <v>42569</v>
      </c>
      <c r="B641">
        <v>35.18</v>
      </c>
      <c r="C641">
        <v>35.200001</v>
      </c>
      <c r="D641">
        <v>34.950001</v>
      </c>
      <c r="E641">
        <v>35.049999</v>
      </c>
      <c r="F641">
        <v>28.479707999999999</v>
      </c>
      <c r="G641">
        <v>19347200</v>
      </c>
      <c r="I641">
        <f t="shared" si="10"/>
        <v>2.1167575586533452E-5</v>
      </c>
    </row>
    <row r="642" spans="1:9" x14ac:dyDescent="0.3">
      <c r="A642" s="5">
        <v>42570</v>
      </c>
      <c r="B642">
        <v>34.889999000000003</v>
      </c>
      <c r="C642">
        <v>35.159999999999997</v>
      </c>
      <c r="D642">
        <v>34.849997999999999</v>
      </c>
      <c r="E642">
        <v>35.150002000000001</v>
      </c>
      <c r="F642">
        <v>28.560966000000001</v>
      </c>
      <c r="G642">
        <v>20395400</v>
      </c>
      <c r="I642">
        <f t="shared" si="10"/>
        <v>1.2025255325704807E-5</v>
      </c>
    </row>
    <row r="643" spans="1:9" x14ac:dyDescent="0.3">
      <c r="A643" s="5">
        <v>42571</v>
      </c>
      <c r="B643">
        <v>35.299999</v>
      </c>
      <c r="C643">
        <v>35.93</v>
      </c>
      <c r="D643">
        <v>35.060001</v>
      </c>
      <c r="E643">
        <v>35.689999</v>
      </c>
      <c r="F643">
        <v>28.999735000000001</v>
      </c>
      <c r="G643">
        <v>42994200</v>
      </c>
      <c r="I643">
        <f t="shared" si="10"/>
        <v>2.4005535207056379E-4</v>
      </c>
    </row>
    <row r="644" spans="1:9" x14ac:dyDescent="0.3">
      <c r="A644" s="5">
        <v>42572</v>
      </c>
      <c r="B644">
        <v>34.330002</v>
      </c>
      <c r="C644">
        <v>34.490001999999997</v>
      </c>
      <c r="D644">
        <v>33.860000999999997</v>
      </c>
      <c r="E644">
        <v>34.270000000000003</v>
      </c>
      <c r="F644">
        <v>27.845921000000001</v>
      </c>
      <c r="G644">
        <v>63708600</v>
      </c>
      <c r="I644">
        <f t="shared" si="10"/>
        <v>1.9567329956851561E-4</v>
      </c>
    </row>
    <row r="645" spans="1:9" x14ac:dyDescent="0.3">
      <c r="A645" s="5">
        <v>42573</v>
      </c>
      <c r="B645">
        <v>34.380001</v>
      </c>
      <c r="C645">
        <v>34.700001</v>
      </c>
      <c r="D645">
        <v>34.259998000000003</v>
      </c>
      <c r="E645">
        <v>34.659999999999997</v>
      </c>
      <c r="F645">
        <v>28.162814999999998</v>
      </c>
      <c r="G645">
        <v>33033700</v>
      </c>
      <c r="I645">
        <f t="shared" si="10"/>
        <v>5.1274125280947553E-5</v>
      </c>
    </row>
    <row r="646" spans="1:9" x14ac:dyDescent="0.3">
      <c r="A646" s="5">
        <v>42576</v>
      </c>
      <c r="B646">
        <v>34.619999</v>
      </c>
      <c r="C646">
        <v>34.759998000000003</v>
      </c>
      <c r="D646">
        <v>34.57</v>
      </c>
      <c r="E646">
        <v>34.689999</v>
      </c>
      <c r="F646">
        <v>28.187189</v>
      </c>
      <c r="G646">
        <v>20277700</v>
      </c>
      <c r="I646">
        <f t="shared" si="10"/>
        <v>1.3143359091161218E-5</v>
      </c>
    </row>
    <row r="647" spans="1:9" x14ac:dyDescent="0.3">
      <c r="A647" s="5">
        <v>42577</v>
      </c>
      <c r="B647">
        <v>34.75</v>
      </c>
      <c r="C647">
        <v>35.229999999999997</v>
      </c>
      <c r="D647">
        <v>34.700001</v>
      </c>
      <c r="E647">
        <v>35.090000000000003</v>
      </c>
      <c r="F647">
        <v>28.512207</v>
      </c>
      <c r="G647">
        <v>29644400</v>
      </c>
      <c r="I647">
        <f t="shared" si="10"/>
        <v>7.0716559526256469E-5</v>
      </c>
    </row>
    <row r="648" spans="1:9" x14ac:dyDescent="0.3">
      <c r="A648" s="5">
        <v>42578</v>
      </c>
      <c r="B648">
        <v>35</v>
      </c>
      <c r="C648">
        <v>35.279998999999997</v>
      </c>
      <c r="D648">
        <v>34.630001</v>
      </c>
      <c r="E648">
        <v>34.830002</v>
      </c>
      <c r="F648">
        <v>28.300947000000001</v>
      </c>
      <c r="G648">
        <v>23601800</v>
      </c>
      <c r="I648">
        <f t="shared" si="10"/>
        <v>1.6348968264308074E-4</v>
      </c>
    </row>
    <row r="649" spans="1:9" x14ac:dyDescent="0.3">
      <c r="A649" s="5">
        <v>42579</v>
      </c>
      <c r="B649">
        <v>34.830002</v>
      </c>
      <c r="C649">
        <v>34.830002</v>
      </c>
      <c r="D649">
        <v>34.520000000000003</v>
      </c>
      <c r="E649">
        <v>34.770000000000003</v>
      </c>
      <c r="F649">
        <v>28.252196999999999</v>
      </c>
      <c r="G649">
        <v>21667400</v>
      </c>
      <c r="I649">
        <f t="shared" si="10"/>
        <v>6.4513742091952433E-5</v>
      </c>
    </row>
    <row r="650" spans="1:9" x14ac:dyDescent="0.3">
      <c r="A650" s="5">
        <v>42580</v>
      </c>
      <c r="B650">
        <v>34.770000000000003</v>
      </c>
      <c r="C650">
        <v>34.919998</v>
      </c>
      <c r="D650">
        <v>34.599997999999999</v>
      </c>
      <c r="E650">
        <v>34.860000999999997</v>
      </c>
      <c r="F650">
        <v>28.325330999999998</v>
      </c>
      <c r="G650">
        <v>18171200</v>
      </c>
      <c r="I650">
        <f t="shared" si="10"/>
        <v>4.4095904309350564E-5</v>
      </c>
    </row>
    <row r="651" spans="1:9" x14ac:dyDescent="0.3">
      <c r="A651" s="5">
        <v>42583</v>
      </c>
      <c r="B651">
        <v>34.82</v>
      </c>
      <c r="C651">
        <v>34.909999999999997</v>
      </c>
      <c r="D651">
        <v>34.560001</v>
      </c>
      <c r="E651">
        <v>34.849997999999999</v>
      </c>
      <c r="F651">
        <v>28.317194000000001</v>
      </c>
      <c r="G651">
        <v>18824400</v>
      </c>
      <c r="I651">
        <f t="shared" si="10"/>
        <v>6.7069307739149868E-5</v>
      </c>
    </row>
    <row r="652" spans="1:9" x14ac:dyDescent="0.3">
      <c r="A652" s="5">
        <v>42584</v>
      </c>
      <c r="B652">
        <v>34.810001</v>
      </c>
      <c r="C652">
        <v>34.869999</v>
      </c>
      <c r="D652">
        <v>34.330002</v>
      </c>
      <c r="E652">
        <v>34.560001</v>
      </c>
      <c r="F652">
        <v>28.081564</v>
      </c>
      <c r="G652">
        <v>20057300</v>
      </c>
      <c r="I652">
        <f t="shared" ref="I652:I715" si="11">LN(C652/B652)*(LN(C652/B652)-LN(E652/B652))+LN(D652/B652)*(LN(D652/B652)-LN(E652/B652))</f>
        <v>1.0809296597908248E-4</v>
      </c>
    </row>
    <row r="653" spans="1:9" x14ac:dyDescent="0.3">
      <c r="A653" s="5">
        <v>42585</v>
      </c>
      <c r="B653">
        <v>34.099997999999999</v>
      </c>
      <c r="C653">
        <v>34.279998999999997</v>
      </c>
      <c r="D653">
        <v>33.990001999999997</v>
      </c>
      <c r="E653">
        <v>34.25</v>
      </c>
      <c r="F653">
        <v>28.040623</v>
      </c>
      <c r="G653">
        <v>18388800</v>
      </c>
      <c r="I653">
        <f t="shared" si="11"/>
        <v>2.9229218979236912E-5</v>
      </c>
    </row>
    <row r="654" spans="1:9" x14ac:dyDescent="0.3">
      <c r="A654" s="5">
        <v>42586</v>
      </c>
      <c r="B654">
        <v>34.290000999999997</v>
      </c>
      <c r="C654">
        <v>34.619999</v>
      </c>
      <c r="D654">
        <v>34.220001000000003</v>
      </c>
      <c r="E654">
        <v>34.580002</v>
      </c>
      <c r="F654">
        <v>28.310797000000001</v>
      </c>
      <c r="G654">
        <v>16362600</v>
      </c>
      <c r="I654">
        <f t="shared" si="11"/>
        <v>3.2457382671817334E-5</v>
      </c>
    </row>
    <row r="655" spans="1:9" x14ac:dyDescent="0.3">
      <c r="A655" s="5">
        <v>42587</v>
      </c>
      <c r="B655">
        <v>34.799999</v>
      </c>
      <c r="C655">
        <v>35.130001</v>
      </c>
      <c r="D655">
        <v>34.700001</v>
      </c>
      <c r="E655">
        <v>34.979999999999997</v>
      </c>
      <c r="F655">
        <v>28.638280999999999</v>
      </c>
      <c r="G655">
        <v>20046200</v>
      </c>
      <c r="I655">
        <f t="shared" si="11"/>
        <v>6.3512926862872718E-5</v>
      </c>
    </row>
    <row r="656" spans="1:9" x14ac:dyDescent="0.3">
      <c r="A656" s="5">
        <v>42590</v>
      </c>
      <c r="B656">
        <v>34.900002000000001</v>
      </c>
      <c r="C656">
        <v>35.169998</v>
      </c>
      <c r="D656">
        <v>34.860000999999997</v>
      </c>
      <c r="E656">
        <v>35.040000999999997</v>
      </c>
      <c r="F656">
        <v>28.687407</v>
      </c>
      <c r="G656">
        <v>19497300</v>
      </c>
      <c r="I656">
        <f t="shared" si="11"/>
        <v>3.4444283537032663E-5</v>
      </c>
    </row>
    <row r="657" spans="1:9" x14ac:dyDescent="0.3">
      <c r="A657" s="5">
        <v>42591</v>
      </c>
      <c r="B657">
        <v>35.040000999999997</v>
      </c>
      <c r="C657">
        <v>35.159999999999997</v>
      </c>
      <c r="D657">
        <v>34.840000000000003</v>
      </c>
      <c r="E657">
        <v>34.919998</v>
      </c>
      <c r="F657">
        <v>28.589161000000001</v>
      </c>
      <c r="G657">
        <v>12578900</v>
      </c>
      <c r="I657">
        <f t="shared" si="11"/>
        <v>3.6545021855982502E-5</v>
      </c>
    </row>
    <row r="658" spans="1:9" x14ac:dyDescent="0.3">
      <c r="A658" s="5">
        <v>42592</v>
      </c>
      <c r="B658">
        <v>35</v>
      </c>
      <c r="C658">
        <v>35</v>
      </c>
      <c r="D658">
        <v>34.5</v>
      </c>
      <c r="E658">
        <v>34.529998999999997</v>
      </c>
      <c r="F658">
        <v>28.269860999999999</v>
      </c>
      <c r="G658">
        <v>19579000</v>
      </c>
      <c r="I658">
        <f t="shared" si="11"/>
        <v>1.2506092083210913E-5</v>
      </c>
    </row>
    <row r="659" spans="1:9" x14ac:dyDescent="0.3">
      <c r="A659" s="5">
        <v>42593</v>
      </c>
      <c r="B659">
        <v>34.659999999999997</v>
      </c>
      <c r="C659">
        <v>34.740001999999997</v>
      </c>
      <c r="D659">
        <v>34.490001999999997</v>
      </c>
      <c r="E659">
        <v>34.68</v>
      </c>
      <c r="F659">
        <v>28.392668</v>
      </c>
      <c r="G659">
        <v>16364100</v>
      </c>
      <c r="I659">
        <f t="shared" si="11"/>
        <v>3.09967577103342E-5</v>
      </c>
    </row>
    <row r="660" spans="1:9" x14ac:dyDescent="0.3">
      <c r="A660" s="5">
        <v>42594</v>
      </c>
      <c r="B660">
        <v>34.520000000000003</v>
      </c>
      <c r="C660">
        <v>34.759998000000003</v>
      </c>
      <c r="D660">
        <v>34.439999</v>
      </c>
      <c r="E660">
        <v>34.57</v>
      </c>
      <c r="F660">
        <v>28.302610000000001</v>
      </c>
      <c r="G660">
        <v>15708300</v>
      </c>
      <c r="I660">
        <f t="shared" si="11"/>
        <v>4.6716008217803504E-5</v>
      </c>
    </row>
    <row r="661" spans="1:9" x14ac:dyDescent="0.3">
      <c r="A661" s="5">
        <v>42597</v>
      </c>
      <c r="B661">
        <v>34.700001</v>
      </c>
      <c r="C661">
        <v>35.159999999999997</v>
      </c>
      <c r="D661">
        <v>34.630001</v>
      </c>
      <c r="E661">
        <v>34.909999999999997</v>
      </c>
      <c r="F661">
        <v>28.580969</v>
      </c>
      <c r="G661">
        <v>18931100</v>
      </c>
      <c r="I661">
        <f t="shared" si="11"/>
        <v>1.1023478055140032E-4</v>
      </c>
    </row>
    <row r="662" spans="1:9" x14ac:dyDescent="0.3">
      <c r="A662" s="5">
        <v>42598</v>
      </c>
      <c r="B662">
        <v>34.770000000000003</v>
      </c>
      <c r="C662">
        <v>35.209999000000003</v>
      </c>
      <c r="D662">
        <v>34.770000000000003</v>
      </c>
      <c r="E662">
        <v>35.209999000000003</v>
      </c>
      <c r="F662">
        <v>28.826571999999999</v>
      </c>
      <c r="G662">
        <v>16320900</v>
      </c>
      <c r="I662">
        <f t="shared" si="11"/>
        <v>0</v>
      </c>
    </row>
    <row r="663" spans="1:9" x14ac:dyDescent="0.3">
      <c r="A663" s="5">
        <v>42599</v>
      </c>
      <c r="B663">
        <v>35.169998</v>
      </c>
      <c r="C663">
        <v>35.209999000000003</v>
      </c>
      <c r="D663">
        <v>34.770000000000003</v>
      </c>
      <c r="E663">
        <v>35.020000000000003</v>
      </c>
      <c r="F663">
        <v>28.671032</v>
      </c>
      <c r="G663">
        <v>18221600</v>
      </c>
      <c r="I663">
        <f t="shared" si="11"/>
        <v>8.8099879343563213E-5</v>
      </c>
    </row>
    <row r="664" spans="1:9" x14ac:dyDescent="0.3">
      <c r="A664" s="5">
        <v>42600</v>
      </c>
      <c r="B664">
        <v>34.959999000000003</v>
      </c>
      <c r="C664">
        <v>35.090000000000003</v>
      </c>
      <c r="D664">
        <v>34.75</v>
      </c>
      <c r="E664">
        <v>34.970001000000003</v>
      </c>
      <c r="F664">
        <v>28.630095000000001</v>
      </c>
      <c r="G664">
        <v>16085200</v>
      </c>
      <c r="I664">
        <f t="shared" si="11"/>
        <v>5.0738231412220462E-5</v>
      </c>
    </row>
    <row r="665" spans="1:9" x14ac:dyDescent="0.3">
      <c r="A665" s="5">
        <v>42601</v>
      </c>
      <c r="B665">
        <v>34.840000000000003</v>
      </c>
      <c r="C665">
        <v>35.270000000000003</v>
      </c>
      <c r="D665">
        <v>34.740001999999997</v>
      </c>
      <c r="E665">
        <v>35.240001999999997</v>
      </c>
      <c r="F665">
        <v>28.851143</v>
      </c>
      <c r="G665">
        <v>16417600</v>
      </c>
      <c r="I665">
        <f t="shared" si="11"/>
        <v>5.1511817368272785E-5</v>
      </c>
    </row>
    <row r="666" spans="1:9" x14ac:dyDescent="0.3">
      <c r="A666" s="5">
        <v>42604</v>
      </c>
      <c r="B666">
        <v>35.200001</v>
      </c>
      <c r="C666">
        <v>35.450001</v>
      </c>
      <c r="D666">
        <v>35.119999</v>
      </c>
      <c r="E666">
        <v>35.360000999999997</v>
      </c>
      <c r="F666">
        <v>28.949380999999999</v>
      </c>
      <c r="G666">
        <v>14941400</v>
      </c>
      <c r="I666">
        <f t="shared" si="11"/>
        <v>3.3486744603235431E-5</v>
      </c>
    </row>
    <row r="667" spans="1:9" x14ac:dyDescent="0.3">
      <c r="A667" s="5">
        <v>42605</v>
      </c>
      <c r="B667">
        <v>35.5</v>
      </c>
      <c r="C667">
        <v>35.689999</v>
      </c>
      <c r="D667">
        <v>35.299999</v>
      </c>
      <c r="E667">
        <v>35.400002000000001</v>
      </c>
      <c r="F667">
        <v>28.982136000000001</v>
      </c>
      <c r="G667">
        <v>18316000</v>
      </c>
      <c r="I667">
        <f t="shared" si="11"/>
        <v>5.9532096797426586E-5</v>
      </c>
    </row>
    <row r="668" spans="1:9" x14ac:dyDescent="0.3">
      <c r="A668" s="5">
        <v>42606</v>
      </c>
      <c r="B668">
        <v>35.32</v>
      </c>
      <c r="C668">
        <v>35.409999999999997</v>
      </c>
      <c r="D668">
        <v>35.020000000000003</v>
      </c>
      <c r="E668">
        <v>35.150002000000001</v>
      </c>
      <c r="F668">
        <v>28.777463999999998</v>
      </c>
      <c r="G668">
        <v>16343500</v>
      </c>
      <c r="I668">
        <f t="shared" si="11"/>
        <v>5.0361603310592783E-5</v>
      </c>
    </row>
    <row r="669" spans="1:9" x14ac:dyDescent="0.3">
      <c r="A669" s="5">
        <v>42607</v>
      </c>
      <c r="B669">
        <v>35.049999</v>
      </c>
      <c r="C669">
        <v>35.220001000000003</v>
      </c>
      <c r="D669">
        <v>34.900002000000001</v>
      </c>
      <c r="E669">
        <v>35.090000000000003</v>
      </c>
      <c r="F669">
        <v>28.728335999999999</v>
      </c>
      <c r="G669">
        <v>12428000</v>
      </c>
      <c r="I669">
        <f t="shared" si="11"/>
        <v>4.1177307336207267E-5</v>
      </c>
    </row>
    <row r="670" spans="1:9" x14ac:dyDescent="0.3">
      <c r="A670" s="5">
        <v>42608</v>
      </c>
      <c r="B670">
        <v>35.110000999999997</v>
      </c>
      <c r="C670">
        <v>35.580002</v>
      </c>
      <c r="D670">
        <v>35.049999</v>
      </c>
      <c r="E670">
        <v>35.259998000000003</v>
      </c>
      <c r="F670">
        <v>28.867509999999999</v>
      </c>
      <c r="G670">
        <v>14469900</v>
      </c>
      <c r="I670">
        <f t="shared" si="11"/>
        <v>1.3035715737105642E-4</v>
      </c>
    </row>
    <row r="671" spans="1:9" x14ac:dyDescent="0.3">
      <c r="A671" s="5">
        <v>42611</v>
      </c>
      <c r="B671">
        <v>35.479999999999997</v>
      </c>
      <c r="C671">
        <v>35.669998</v>
      </c>
      <c r="D671">
        <v>35.150002000000001</v>
      </c>
      <c r="E671">
        <v>35.549999</v>
      </c>
      <c r="F671">
        <v>29.104944</v>
      </c>
      <c r="G671">
        <v>15264300</v>
      </c>
      <c r="I671">
        <f t="shared" si="11"/>
        <v>1.2373451104982609E-4</v>
      </c>
    </row>
    <row r="672" spans="1:9" x14ac:dyDescent="0.3">
      <c r="A672" s="5">
        <v>42612</v>
      </c>
      <c r="B672">
        <v>35.590000000000003</v>
      </c>
      <c r="C672">
        <v>35.740001999999997</v>
      </c>
      <c r="D672">
        <v>35.520000000000003</v>
      </c>
      <c r="E672">
        <v>35.700001</v>
      </c>
      <c r="F672">
        <v>29.227751000000001</v>
      </c>
      <c r="G672">
        <v>15183200</v>
      </c>
      <c r="I672">
        <f t="shared" si="11"/>
        <v>1.4661728176714453E-5</v>
      </c>
    </row>
    <row r="673" spans="1:9" x14ac:dyDescent="0.3">
      <c r="A673" s="5">
        <v>42613</v>
      </c>
      <c r="B673">
        <v>35.619999</v>
      </c>
      <c r="C673">
        <v>35.900002000000001</v>
      </c>
      <c r="D673">
        <v>35.580002</v>
      </c>
      <c r="E673">
        <v>35.889999000000003</v>
      </c>
      <c r="F673">
        <v>29.383306999999999</v>
      </c>
      <c r="G673">
        <v>20562700</v>
      </c>
      <c r="I673">
        <f t="shared" si="11"/>
        <v>1.1928437116245496E-5</v>
      </c>
    </row>
    <row r="674" spans="1:9" x14ac:dyDescent="0.3">
      <c r="A674" s="5">
        <v>42614</v>
      </c>
      <c r="B674">
        <v>35.990001999999997</v>
      </c>
      <c r="C674">
        <v>36.040000999999997</v>
      </c>
      <c r="D674">
        <v>35.580002</v>
      </c>
      <c r="E674">
        <v>36.020000000000003</v>
      </c>
      <c r="F674">
        <v>29.489730999999999</v>
      </c>
      <c r="G674">
        <v>18925800</v>
      </c>
      <c r="I674">
        <f t="shared" si="11"/>
        <v>1.4158948185868971E-4</v>
      </c>
    </row>
    <row r="675" spans="1:9" x14ac:dyDescent="0.3">
      <c r="A675" s="5">
        <v>42615</v>
      </c>
      <c r="B675">
        <v>36.209999000000003</v>
      </c>
      <c r="C675">
        <v>36.330002</v>
      </c>
      <c r="D675">
        <v>35.950001</v>
      </c>
      <c r="E675">
        <v>36.080002</v>
      </c>
      <c r="F675">
        <v>29.53886</v>
      </c>
      <c r="G675">
        <v>16726700</v>
      </c>
      <c r="I675">
        <f t="shared" si="11"/>
        <v>4.8858137718422324E-5</v>
      </c>
    </row>
    <row r="676" spans="1:9" x14ac:dyDescent="0.3">
      <c r="A676" s="5">
        <v>42619</v>
      </c>
      <c r="B676">
        <v>36.380001</v>
      </c>
      <c r="C676">
        <v>36.599997999999999</v>
      </c>
      <c r="D676">
        <v>36.169998</v>
      </c>
      <c r="E676">
        <v>36.57</v>
      </c>
      <c r="F676">
        <v>29.940020000000001</v>
      </c>
      <c r="G676">
        <v>22337800</v>
      </c>
      <c r="I676">
        <f t="shared" si="11"/>
        <v>6.8614616729040657E-5</v>
      </c>
    </row>
    <row r="677" spans="1:9" x14ac:dyDescent="0.3">
      <c r="A677" s="5">
        <v>42620</v>
      </c>
      <c r="B677">
        <v>36.650002000000001</v>
      </c>
      <c r="C677">
        <v>36.650002000000001</v>
      </c>
      <c r="D677">
        <v>36.380001</v>
      </c>
      <c r="E677">
        <v>36.459999000000003</v>
      </c>
      <c r="F677">
        <v>29.849958000000001</v>
      </c>
      <c r="G677">
        <v>18495600</v>
      </c>
      <c r="I677">
        <f t="shared" si="11"/>
        <v>1.6241846109105027E-5</v>
      </c>
    </row>
    <row r="678" spans="1:9" x14ac:dyDescent="0.3">
      <c r="A678" s="5">
        <v>42621</v>
      </c>
      <c r="B678">
        <v>36.349997999999999</v>
      </c>
      <c r="C678">
        <v>36.590000000000003</v>
      </c>
      <c r="D678">
        <v>36.119999</v>
      </c>
      <c r="E678">
        <v>36.439999</v>
      </c>
      <c r="F678">
        <v>29.833587999999999</v>
      </c>
      <c r="G678">
        <v>20356500</v>
      </c>
      <c r="I678">
        <f t="shared" si="11"/>
        <v>8.302029241158861E-5</v>
      </c>
    </row>
    <row r="679" spans="1:9" x14ac:dyDescent="0.3">
      <c r="A679" s="5">
        <v>42622</v>
      </c>
      <c r="B679">
        <v>36.099997999999999</v>
      </c>
      <c r="C679">
        <v>36.389999000000003</v>
      </c>
      <c r="D679">
        <v>35.439999</v>
      </c>
      <c r="E679">
        <v>35.439999</v>
      </c>
      <c r="F679">
        <v>29.014876999999998</v>
      </c>
      <c r="G679">
        <v>29457900</v>
      </c>
      <c r="I679">
        <f t="shared" si="11"/>
        <v>2.1165415415039739E-4</v>
      </c>
    </row>
    <row r="680" spans="1:9" x14ac:dyDescent="0.3">
      <c r="A680" s="5">
        <v>42625</v>
      </c>
      <c r="B680">
        <v>35.189999</v>
      </c>
      <c r="C680">
        <v>36.119999</v>
      </c>
      <c r="D680">
        <v>35.060001</v>
      </c>
      <c r="E680">
        <v>36.080002</v>
      </c>
      <c r="F680">
        <v>29.53886</v>
      </c>
      <c r="G680">
        <v>22796600</v>
      </c>
      <c r="I680">
        <f t="shared" si="11"/>
        <v>1.3503775871945105E-4</v>
      </c>
    </row>
    <row r="681" spans="1:9" x14ac:dyDescent="0.3">
      <c r="A681" s="5">
        <v>42626</v>
      </c>
      <c r="B681">
        <v>35.75</v>
      </c>
      <c r="C681">
        <v>35.880001</v>
      </c>
      <c r="D681">
        <v>35.32</v>
      </c>
      <c r="E681">
        <v>35.610000999999997</v>
      </c>
      <c r="F681">
        <v>29.154062</v>
      </c>
      <c r="G681">
        <v>23591300</v>
      </c>
      <c r="I681">
        <f t="shared" si="11"/>
        <v>1.2636862365133933E-4</v>
      </c>
    </row>
    <row r="682" spans="1:9" x14ac:dyDescent="0.3">
      <c r="A682" s="5">
        <v>42627</v>
      </c>
      <c r="B682">
        <v>35.509998000000003</v>
      </c>
      <c r="C682">
        <v>35.82</v>
      </c>
      <c r="D682">
        <v>35.400002000000001</v>
      </c>
      <c r="E682">
        <v>35.619999</v>
      </c>
      <c r="F682">
        <v>29.162248999999999</v>
      </c>
      <c r="G682">
        <v>14074500</v>
      </c>
      <c r="I682">
        <f t="shared" si="11"/>
        <v>6.7888990258367071E-5</v>
      </c>
    </row>
    <row r="683" spans="1:9" x14ac:dyDescent="0.3">
      <c r="A683" s="5">
        <v>42628</v>
      </c>
      <c r="B683">
        <v>35.740001999999997</v>
      </c>
      <c r="C683">
        <v>36.650002000000001</v>
      </c>
      <c r="D683">
        <v>35.540000999999997</v>
      </c>
      <c r="E683">
        <v>36.560001</v>
      </c>
      <c r="F683">
        <v>29.931835</v>
      </c>
      <c r="G683">
        <v>23736000</v>
      </c>
      <c r="I683">
        <f t="shared" si="11"/>
        <v>2.2060776701234112E-4</v>
      </c>
    </row>
    <row r="684" spans="1:9" x14ac:dyDescent="0.3">
      <c r="A684" s="5">
        <v>42629</v>
      </c>
      <c r="B684">
        <v>37.720001000000003</v>
      </c>
      <c r="C684">
        <v>38.049999</v>
      </c>
      <c r="D684">
        <v>37.25</v>
      </c>
      <c r="E684">
        <v>37.669998</v>
      </c>
      <c r="F684">
        <v>30.840592999999998</v>
      </c>
      <c r="G684">
        <v>74577900</v>
      </c>
      <c r="I684">
        <f t="shared" si="11"/>
        <v>2.2801121014822643E-4</v>
      </c>
    </row>
    <row r="685" spans="1:9" x14ac:dyDescent="0.3">
      <c r="A685" s="5">
        <v>42632</v>
      </c>
      <c r="B685">
        <v>37.689999</v>
      </c>
      <c r="C685">
        <v>38.020000000000003</v>
      </c>
      <c r="D685">
        <v>37.090000000000003</v>
      </c>
      <c r="E685">
        <v>37.159999999999997</v>
      </c>
      <c r="F685">
        <v>30.423062999999999</v>
      </c>
      <c r="G685">
        <v>30531700</v>
      </c>
      <c r="I685">
        <f t="shared" si="11"/>
        <v>2.2971037201361687E-4</v>
      </c>
    </row>
    <row r="686" spans="1:9" x14ac:dyDescent="0.3">
      <c r="A686" s="5">
        <v>42633</v>
      </c>
      <c r="B686">
        <v>37.419998</v>
      </c>
      <c r="C686">
        <v>37.43</v>
      </c>
      <c r="D686">
        <v>36.939999</v>
      </c>
      <c r="E686">
        <v>37.139999000000003</v>
      </c>
      <c r="F686">
        <v>30.406683000000001</v>
      </c>
      <c r="G686">
        <v>24796900</v>
      </c>
      <c r="I686">
        <f t="shared" si="11"/>
        <v>7.1789024556920123E-5</v>
      </c>
    </row>
    <row r="687" spans="1:9" x14ac:dyDescent="0.3">
      <c r="A687" s="5">
        <v>42634</v>
      </c>
      <c r="B687">
        <v>37.209999000000003</v>
      </c>
      <c r="C687">
        <v>37.459999000000003</v>
      </c>
      <c r="D687">
        <v>36.860000999999997</v>
      </c>
      <c r="E687">
        <v>37.450001</v>
      </c>
      <c r="F687">
        <v>30.660477</v>
      </c>
      <c r="G687">
        <v>21233700</v>
      </c>
      <c r="I687">
        <f t="shared" si="11"/>
        <v>1.5185964885589581E-4</v>
      </c>
    </row>
    <row r="688" spans="1:9" x14ac:dyDescent="0.3">
      <c r="A688" s="5">
        <v>42635</v>
      </c>
      <c r="B688">
        <v>37.599997999999999</v>
      </c>
      <c r="C688">
        <v>37.830002</v>
      </c>
      <c r="D688">
        <v>37.439999</v>
      </c>
      <c r="E688">
        <v>37.549999</v>
      </c>
      <c r="F688">
        <v>30.742346000000001</v>
      </c>
      <c r="G688">
        <v>17013400</v>
      </c>
      <c r="I688">
        <f t="shared" si="11"/>
        <v>5.7817070404607144E-5</v>
      </c>
    </row>
    <row r="689" spans="1:9" x14ac:dyDescent="0.3">
      <c r="A689" s="5">
        <v>42636</v>
      </c>
      <c r="B689">
        <v>37.450001</v>
      </c>
      <c r="C689">
        <v>37.650002000000001</v>
      </c>
      <c r="D689">
        <v>37.119999</v>
      </c>
      <c r="E689">
        <v>37.189999</v>
      </c>
      <c r="F689">
        <v>30.447620000000001</v>
      </c>
      <c r="G689">
        <v>18062500</v>
      </c>
      <c r="I689">
        <f t="shared" si="11"/>
        <v>8.2151531269583834E-5</v>
      </c>
    </row>
    <row r="690" spans="1:9" x14ac:dyDescent="0.3">
      <c r="A690" s="5">
        <v>42639</v>
      </c>
      <c r="B690">
        <v>36.919998</v>
      </c>
      <c r="C690">
        <v>36.939999</v>
      </c>
      <c r="D690">
        <v>36.599997999999999</v>
      </c>
      <c r="E690">
        <v>36.650002000000001</v>
      </c>
      <c r="F690">
        <v>30.005524000000001</v>
      </c>
      <c r="G690">
        <v>25518800</v>
      </c>
      <c r="I690">
        <f t="shared" si="11"/>
        <v>1.615368344748934E-5</v>
      </c>
    </row>
    <row r="691" spans="1:9" x14ac:dyDescent="0.3">
      <c r="A691" s="5">
        <v>42640</v>
      </c>
      <c r="B691">
        <v>36.900002000000001</v>
      </c>
      <c r="C691">
        <v>37.220001000000003</v>
      </c>
      <c r="D691">
        <v>36.630001</v>
      </c>
      <c r="E691">
        <v>37.18</v>
      </c>
      <c r="F691">
        <v>30.439425</v>
      </c>
      <c r="G691">
        <v>22391600</v>
      </c>
      <c r="I691">
        <f t="shared" si="11"/>
        <v>1.1873525408212706E-4</v>
      </c>
    </row>
    <row r="692" spans="1:9" x14ac:dyDescent="0.3">
      <c r="A692" s="5">
        <v>42641</v>
      </c>
      <c r="B692">
        <v>37.310001</v>
      </c>
      <c r="C692">
        <v>37.5</v>
      </c>
      <c r="D692">
        <v>37.150002000000001</v>
      </c>
      <c r="E692">
        <v>37.439999</v>
      </c>
      <c r="F692">
        <v>30.652291999999999</v>
      </c>
      <c r="G692">
        <v>19020800</v>
      </c>
      <c r="I692">
        <f t="shared" si="11"/>
        <v>4.155106710196512E-5</v>
      </c>
    </row>
    <row r="693" spans="1:9" x14ac:dyDescent="0.3">
      <c r="A693" s="5">
        <v>42642</v>
      </c>
      <c r="B693">
        <v>37.490001999999997</v>
      </c>
      <c r="C693">
        <v>37.529998999999997</v>
      </c>
      <c r="D693">
        <v>37</v>
      </c>
      <c r="E693">
        <v>37.32</v>
      </c>
      <c r="F693">
        <v>30.554054000000001</v>
      </c>
      <c r="G693">
        <v>17675000</v>
      </c>
      <c r="I693">
        <f t="shared" si="11"/>
        <v>1.192788576539513E-4</v>
      </c>
    </row>
    <row r="694" spans="1:9" x14ac:dyDescent="0.3">
      <c r="A694" s="5">
        <v>42643</v>
      </c>
      <c r="B694">
        <v>37.470001000000003</v>
      </c>
      <c r="C694">
        <v>37.919998</v>
      </c>
      <c r="D694">
        <v>37.439999</v>
      </c>
      <c r="E694">
        <v>37.75</v>
      </c>
      <c r="F694">
        <v>30.906085999999998</v>
      </c>
      <c r="G694">
        <v>24279300</v>
      </c>
      <c r="I694">
        <f t="shared" si="11"/>
        <v>6.0244192258254396E-5</v>
      </c>
    </row>
    <row r="695" spans="1:9" x14ac:dyDescent="0.3">
      <c r="A695" s="5">
        <v>42646</v>
      </c>
      <c r="B695">
        <v>37.689999</v>
      </c>
      <c r="C695">
        <v>37.950001</v>
      </c>
      <c r="D695">
        <v>37.529998999999997</v>
      </c>
      <c r="E695">
        <v>37.659999999999997</v>
      </c>
      <c r="F695">
        <v>30.832405000000001</v>
      </c>
      <c r="G695">
        <v>14113600</v>
      </c>
      <c r="I695">
        <f t="shared" si="11"/>
        <v>6.7446985390548649E-5</v>
      </c>
    </row>
    <row r="696" spans="1:9" x14ac:dyDescent="0.3">
      <c r="A696" s="5">
        <v>42647</v>
      </c>
      <c r="B696">
        <v>37.770000000000003</v>
      </c>
      <c r="C696">
        <v>37.939999</v>
      </c>
      <c r="D696">
        <v>37.330002</v>
      </c>
      <c r="E696">
        <v>37.540000999999997</v>
      </c>
      <c r="F696">
        <v>30.734169000000001</v>
      </c>
      <c r="G696">
        <v>14393100</v>
      </c>
      <c r="I696">
        <f t="shared" si="11"/>
        <v>1.1333088713913014E-4</v>
      </c>
    </row>
    <row r="697" spans="1:9" x14ac:dyDescent="0.3">
      <c r="A697" s="5">
        <v>42648</v>
      </c>
      <c r="B697">
        <v>37.75</v>
      </c>
      <c r="C697">
        <v>38.310001</v>
      </c>
      <c r="D697">
        <v>37.639999000000003</v>
      </c>
      <c r="E697">
        <v>37.990001999999997</v>
      </c>
      <c r="F697">
        <v>31.102575000000002</v>
      </c>
      <c r="G697">
        <v>22420800</v>
      </c>
      <c r="I697">
        <f t="shared" si="11"/>
        <v>1.5052701562961269E-4</v>
      </c>
    </row>
    <row r="698" spans="1:9" x14ac:dyDescent="0.3">
      <c r="A698" s="5">
        <v>42649</v>
      </c>
      <c r="B698">
        <v>37.840000000000003</v>
      </c>
      <c r="C698">
        <v>38.159999999999997</v>
      </c>
      <c r="D698">
        <v>37.580002</v>
      </c>
      <c r="E698">
        <v>38.07</v>
      </c>
      <c r="F698">
        <v>31.168071999999999</v>
      </c>
      <c r="G698">
        <v>15171400</v>
      </c>
      <c r="I698">
        <f t="shared" si="11"/>
        <v>1.0920206043772175E-4</v>
      </c>
    </row>
    <row r="699" spans="1:9" x14ac:dyDescent="0.3">
      <c r="A699" s="5">
        <v>42650</v>
      </c>
      <c r="B699">
        <v>38.080002</v>
      </c>
      <c r="C699">
        <v>38.220001000000003</v>
      </c>
      <c r="D699">
        <v>37.779998999999997</v>
      </c>
      <c r="E699">
        <v>38.099997999999999</v>
      </c>
      <c r="F699">
        <v>31.192636</v>
      </c>
      <c r="G699">
        <v>16942500</v>
      </c>
      <c r="I699">
        <f t="shared" si="11"/>
        <v>7.8251465787611206E-5</v>
      </c>
    </row>
    <row r="700" spans="1:9" x14ac:dyDescent="0.3">
      <c r="A700" s="5">
        <v>42653</v>
      </c>
      <c r="B700">
        <v>38.25</v>
      </c>
      <c r="C700">
        <v>38.360000999999997</v>
      </c>
      <c r="D700">
        <v>37.900002000000001</v>
      </c>
      <c r="E700">
        <v>38.020000000000003</v>
      </c>
      <c r="F700">
        <v>31.127141999999999</v>
      </c>
      <c r="G700">
        <v>14954300</v>
      </c>
      <c r="I700">
        <f t="shared" si="11"/>
        <v>5.4625455610148268E-5</v>
      </c>
    </row>
    <row r="701" spans="1:9" x14ac:dyDescent="0.3">
      <c r="A701" s="5">
        <v>42654</v>
      </c>
      <c r="B701">
        <v>37.909999999999997</v>
      </c>
      <c r="C701">
        <v>38</v>
      </c>
      <c r="D701">
        <v>36.82</v>
      </c>
      <c r="E701">
        <v>37.270000000000003</v>
      </c>
      <c r="F701">
        <v>30.513110999999999</v>
      </c>
      <c r="G701">
        <v>27650500</v>
      </c>
      <c r="I701">
        <f t="shared" si="11"/>
        <v>4.0038508308267042E-4</v>
      </c>
    </row>
    <row r="702" spans="1:9" x14ac:dyDescent="0.3">
      <c r="A702" s="5">
        <v>42655</v>
      </c>
      <c r="B702">
        <v>37.200001</v>
      </c>
      <c r="C702">
        <v>37.25</v>
      </c>
      <c r="D702">
        <v>36.810001</v>
      </c>
      <c r="E702">
        <v>37.130001</v>
      </c>
      <c r="F702">
        <v>30.398499000000001</v>
      </c>
      <c r="G702">
        <v>14053900</v>
      </c>
      <c r="I702">
        <f t="shared" si="11"/>
        <v>9.5558383969214411E-5</v>
      </c>
    </row>
    <row r="703" spans="1:9" x14ac:dyDescent="0.3">
      <c r="A703" s="5">
        <v>42656</v>
      </c>
      <c r="B703">
        <v>36.849997999999999</v>
      </c>
      <c r="C703">
        <v>37.130001</v>
      </c>
      <c r="D703">
        <v>36.459999000000003</v>
      </c>
      <c r="E703">
        <v>36.970001000000003</v>
      </c>
      <c r="F703">
        <v>30.267499999999998</v>
      </c>
      <c r="G703">
        <v>16936000</v>
      </c>
      <c r="I703">
        <f t="shared" si="11"/>
        <v>1.8048823921719767E-4</v>
      </c>
    </row>
    <row r="704" spans="1:9" x14ac:dyDescent="0.3">
      <c r="A704" s="5">
        <v>42657</v>
      </c>
      <c r="B704">
        <v>37.189999</v>
      </c>
      <c r="C704">
        <v>37.700001</v>
      </c>
      <c r="D704">
        <v>37.159999999999997</v>
      </c>
      <c r="E704">
        <v>37.450001</v>
      </c>
      <c r="F704">
        <v>30.660477</v>
      </c>
      <c r="G704">
        <v>19123900</v>
      </c>
      <c r="I704">
        <f t="shared" si="11"/>
        <v>9.6893909900928185E-5</v>
      </c>
    </row>
    <row r="705" spans="1:9" x14ac:dyDescent="0.3">
      <c r="A705" s="5">
        <v>42660</v>
      </c>
      <c r="B705">
        <v>37.549999</v>
      </c>
      <c r="C705">
        <v>37.720001000000003</v>
      </c>
      <c r="D705">
        <v>37.240001999999997</v>
      </c>
      <c r="E705">
        <v>37.290000999999997</v>
      </c>
      <c r="F705">
        <v>30.529489999999999</v>
      </c>
      <c r="G705">
        <v>15788100</v>
      </c>
      <c r="I705">
        <f t="shared" si="11"/>
        <v>6.2912724716354782E-5</v>
      </c>
    </row>
    <row r="706" spans="1:9" x14ac:dyDescent="0.3">
      <c r="A706" s="5">
        <v>42661</v>
      </c>
      <c r="B706">
        <v>37.970001000000003</v>
      </c>
      <c r="C706">
        <v>38.049999</v>
      </c>
      <c r="D706">
        <v>37.529998999999997</v>
      </c>
      <c r="E706">
        <v>37.75</v>
      </c>
      <c r="F706">
        <v>30.906085999999998</v>
      </c>
      <c r="G706">
        <v>42907800</v>
      </c>
      <c r="I706">
        <f t="shared" si="11"/>
        <v>8.4786531044442088E-5</v>
      </c>
    </row>
    <row r="707" spans="1:9" x14ac:dyDescent="0.3">
      <c r="A707" s="5">
        <v>42662</v>
      </c>
      <c r="B707">
        <v>36.07</v>
      </c>
      <c r="C707">
        <v>36.090000000000003</v>
      </c>
      <c r="D707">
        <v>35.229999999999997</v>
      </c>
      <c r="E707">
        <v>35.509998000000003</v>
      </c>
      <c r="F707">
        <v>29.072184</v>
      </c>
      <c r="G707">
        <v>75229000</v>
      </c>
      <c r="I707">
        <f t="shared" si="11"/>
        <v>1.955166063919643E-4</v>
      </c>
    </row>
    <row r="708" spans="1:9" x14ac:dyDescent="0.3">
      <c r="A708" s="5">
        <v>42663</v>
      </c>
      <c r="B708">
        <v>35.409999999999997</v>
      </c>
      <c r="C708">
        <v>35.669998</v>
      </c>
      <c r="D708">
        <v>35.099997999999999</v>
      </c>
      <c r="E708">
        <v>35.43</v>
      </c>
      <c r="F708">
        <v>29.006692999999999</v>
      </c>
      <c r="G708">
        <v>25669500</v>
      </c>
      <c r="I708">
        <f t="shared" si="11"/>
        <v>1.3167365239903541E-4</v>
      </c>
    </row>
    <row r="709" spans="1:9" x14ac:dyDescent="0.3">
      <c r="A709" s="5">
        <v>42664</v>
      </c>
      <c r="B709">
        <v>35.209999000000003</v>
      </c>
      <c r="C709">
        <v>35.400002000000001</v>
      </c>
      <c r="D709">
        <v>34.810001</v>
      </c>
      <c r="E709">
        <v>35.150002000000001</v>
      </c>
      <c r="F709">
        <v>28.777463999999998</v>
      </c>
      <c r="G709">
        <v>20813200</v>
      </c>
      <c r="I709">
        <f t="shared" si="11"/>
        <v>1.4919570603824569E-4</v>
      </c>
    </row>
    <row r="710" spans="1:9" x14ac:dyDescent="0.3">
      <c r="A710" s="5">
        <v>42667</v>
      </c>
      <c r="B710">
        <v>35.43</v>
      </c>
      <c r="C710">
        <v>35.490001999999997</v>
      </c>
      <c r="D710">
        <v>35.110000999999997</v>
      </c>
      <c r="E710">
        <v>35.259998000000003</v>
      </c>
      <c r="F710">
        <v>28.867509999999999</v>
      </c>
      <c r="G710">
        <v>21524700</v>
      </c>
      <c r="I710">
        <f t="shared" si="11"/>
        <v>4.9680591848442731E-5</v>
      </c>
    </row>
    <row r="711" spans="1:9" x14ac:dyDescent="0.3">
      <c r="A711" s="5">
        <v>42668</v>
      </c>
      <c r="B711">
        <v>35.139999000000003</v>
      </c>
      <c r="C711">
        <v>35.25</v>
      </c>
      <c r="D711">
        <v>35.009998000000003</v>
      </c>
      <c r="E711">
        <v>35.099997999999999</v>
      </c>
      <c r="F711">
        <v>28.736522999999998</v>
      </c>
      <c r="G711">
        <v>17860300</v>
      </c>
      <c r="I711">
        <f t="shared" si="11"/>
        <v>2.2844184513593027E-5</v>
      </c>
    </row>
    <row r="712" spans="1:9" x14ac:dyDescent="0.3">
      <c r="A712" s="5">
        <v>42669</v>
      </c>
      <c r="B712">
        <v>35.040000999999997</v>
      </c>
      <c r="C712">
        <v>35.209999000000003</v>
      </c>
      <c r="D712">
        <v>34.740001999999997</v>
      </c>
      <c r="E712">
        <v>34.919998</v>
      </c>
      <c r="F712">
        <v>28.589161000000001</v>
      </c>
      <c r="G712">
        <v>19977600</v>
      </c>
      <c r="I712">
        <f t="shared" si="11"/>
        <v>8.4462997348491411E-5</v>
      </c>
    </row>
    <row r="713" spans="1:9" x14ac:dyDescent="0.3">
      <c r="A713" s="5">
        <v>42670</v>
      </c>
      <c r="B713">
        <v>35.099997999999999</v>
      </c>
      <c r="C713">
        <v>35.229999999999997</v>
      </c>
      <c r="D713">
        <v>34.75</v>
      </c>
      <c r="E713">
        <v>34.810001</v>
      </c>
      <c r="F713">
        <v>28.499105</v>
      </c>
      <c r="G713">
        <v>14634700</v>
      </c>
      <c r="I713">
        <f t="shared" si="11"/>
        <v>6.1626794629629508E-5</v>
      </c>
    </row>
    <row r="714" spans="1:9" x14ac:dyDescent="0.3">
      <c r="A714" s="5">
        <v>42671</v>
      </c>
      <c r="B714">
        <v>34.869999</v>
      </c>
      <c r="C714">
        <v>35.169998</v>
      </c>
      <c r="D714">
        <v>34.709999000000003</v>
      </c>
      <c r="E714">
        <v>34.740001999999997</v>
      </c>
      <c r="F714">
        <v>28.441801000000002</v>
      </c>
      <c r="G714">
        <v>22296400</v>
      </c>
      <c r="I714">
        <f t="shared" si="11"/>
        <v>1.0935576107237893E-4</v>
      </c>
    </row>
    <row r="715" spans="1:9" x14ac:dyDescent="0.3">
      <c r="A715" s="5">
        <v>42674</v>
      </c>
      <c r="B715">
        <v>34.919998</v>
      </c>
      <c r="C715">
        <v>35.080002</v>
      </c>
      <c r="D715">
        <v>34.840000000000003</v>
      </c>
      <c r="E715">
        <v>34.869999</v>
      </c>
      <c r="F715">
        <v>28.548223</v>
      </c>
      <c r="G715">
        <v>19188600</v>
      </c>
      <c r="I715">
        <f t="shared" si="11"/>
        <v>2.942337380819713E-5</v>
      </c>
    </row>
    <row r="716" spans="1:9" x14ac:dyDescent="0.3">
      <c r="A716" s="5">
        <v>42675</v>
      </c>
      <c r="B716">
        <v>34.900002000000001</v>
      </c>
      <c r="C716">
        <v>35.159999999999997</v>
      </c>
      <c r="D716">
        <v>34.270000000000003</v>
      </c>
      <c r="E716">
        <v>34.520000000000003</v>
      </c>
      <c r="F716">
        <v>28.261672999999998</v>
      </c>
      <c r="G716">
        <v>25368200</v>
      </c>
      <c r="I716">
        <f t="shared" ref="I716:I779" si="12">LN(C716/B716)*(LN(C716/B716)-LN(E716/B716))+LN(D716/B716)*(LN(D716/B716)-LN(E716/B716))</f>
        <v>2.6875464653190306E-4</v>
      </c>
    </row>
    <row r="717" spans="1:9" x14ac:dyDescent="0.3">
      <c r="A717" s="5">
        <v>42676</v>
      </c>
      <c r="B717">
        <v>34.599997999999999</v>
      </c>
      <c r="C717">
        <v>34.900002000000001</v>
      </c>
      <c r="D717">
        <v>34.470001000000003</v>
      </c>
      <c r="E717">
        <v>34.599997999999999</v>
      </c>
      <c r="F717">
        <v>28.327169000000001</v>
      </c>
      <c r="G717">
        <v>21416400</v>
      </c>
      <c r="I717">
        <f t="shared" si="12"/>
        <v>8.8702529623030604E-5</v>
      </c>
    </row>
    <row r="718" spans="1:9" x14ac:dyDescent="0.3">
      <c r="A718" s="5">
        <v>42677</v>
      </c>
      <c r="B718">
        <v>34.450001</v>
      </c>
      <c r="C718">
        <v>34.520000000000003</v>
      </c>
      <c r="D718">
        <v>33.869999</v>
      </c>
      <c r="E718">
        <v>33.93</v>
      </c>
      <c r="F718">
        <v>27.988963999999999</v>
      </c>
      <c r="G718">
        <v>19400000</v>
      </c>
      <c r="I718">
        <f t="shared" si="12"/>
        <v>6.5045515892741922E-5</v>
      </c>
    </row>
    <row r="719" spans="1:9" x14ac:dyDescent="0.3">
      <c r="A719" s="5">
        <v>42678</v>
      </c>
      <c r="B719">
        <v>33.529998999999997</v>
      </c>
      <c r="C719">
        <v>33.93</v>
      </c>
      <c r="D719">
        <v>33.419998</v>
      </c>
      <c r="E719">
        <v>33.610000999999997</v>
      </c>
      <c r="F719">
        <v>27.724995</v>
      </c>
      <c r="G719">
        <v>21914700</v>
      </c>
      <c r="I719">
        <f t="shared" si="12"/>
        <v>1.3100464068466162E-4</v>
      </c>
    </row>
    <row r="720" spans="1:9" x14ac:dyDescent="0.3">
      <c r="A720" s="5">
        <v>42681</v>
      </c>
      <c r="B720">
        <v>34.240001999999997</v>
      </c>
      <c r="C720">
        <v>34.75</v>
      </c>
      <c r="D720">
        <v>34.150002000000001</v>
      </c>
      <c r="E720">
        <v>34.689999</v>
      </c>
      <c r="F720">
        <v>28.615881000000002</v>
      </c>
      <c r="G720">
        <v>19296600</v>
      </c>
      <c r="I720">
        <f t="shared" si="12"/>
        <v>6.6842824060854203E-5</v>
      </c>
    </row>
    <row r="721" spans="1:9" x14ac:dyDescent="0.3">
      <c r="A721" s="5">
        <v>42682</v>
      </c>
      <c r="B721">
        <v>34.599997999999999</v>
      </c>
      <c r="C721">
        <v>34.950001</v>
      </c>
      <c r="D721">
        <v>34.490001999999997</v>
      </c>
      <c r="E721">
        <v>34.740001999999997</v>
      </c>
      <c r="F721">
        <v>28.657145</v>
      </c>
      <c r="G721">
        <v>14833100</v>
      </c>
      <c r="I721">
        <f t="shared" si="12"/>
        <v>8.3654673956320096E-5</v>
      </c>
    </row>
    <row r="722" spans="1:9" x14ac:dyDescent="0.3">
      <c r="A722" s="5">
        <v>42683</v>
      </c>
      <c r="B722">
        <v>34.130001</v>
      </c>
      <c r="C722">
        <v>34.849997999999999</v>
      </c>
      <c r="D722">
        <v>33.669998</v>
      </c>
      <c r="E722">
        <v>34.75</v>
      </c>
      <c r="F722">
        <v>28.665376999999999</v>
      </c>
      <c r="G722">
        <v>25999400</v>
      </c>
      <c r="I722">
        <f t="shared" si="12"/>
        <v>4.8841357289149611E-4</v>
      </c>
    </row>
    <row r="723" spans="1:9" x14ac:dyDescent="0.3">
      <c r="A723" s="5">
        <v>42684</v>
      </c>
      <c r="B723">
        <v>34.950001</v>
      </c>
      <c r="C723">
        <v>34.950001</v>
      </c>
      <c r="D723">
        <v>34.029998999999997</v>
      </c>
      <c r="E723">
        <v>34.5</v>
      </c>
      <c r="F723">
        <v>28.459156</v>
      </c>
      <c r="G723">
        <v>28249900</v>
      </c>
      <c r="I723">
        <f t="shared" si="12"/>
        <v>3.6591161185426052E-4</v>
      </c>
    </row>
    <row r="724" spans="1:9" x14ac:dyDescent="0.3">
      <c r="A724" s="5">
        <v>42685</v>
      </c>
      <c r="B724">
        <v>34.57</v>
      </c>
      <c r="C724">
        <v>34.869999</v>
      </c>
      <c r="D724">
        <v>34.340000000000003</v>
      </c>
      <c r="E724">
        <v>34.610000999999997</v>
      </c>
      <c r="F724">
        <v>28.549897999999999</v>
      </c>
      <c r="G724">
        <v>22665000</v>
      </c>
      <c r="I724">
        <f t="shared" si="12"/>
        <v>1.1694793636273198E-4</v>
      </c>
    </row>
    <row r="725" spans="1:9" x14ac:dyDescent="0.3">
      <c r="A725" s="5">
        <v>42688</v>
      </c>
      <c r="B725">
        <v>34.560001</v>
      </c>
      <c r="C725">
        <v>34.729999999999997</v>
      </c>
      <c r="D725">
        <v>34.200001</v>
      </c>
      <c r="E725">
        <v>34.479999999999997</v>
      </c>
      <c r="F725">
        <v>28.442658999999999</v>
      </c>
      <c r="G725">
        <v>22558900</v>
      </c>
      <c r="I725">
        <f t="shared" si="12"/>
        <v>1.2083006131263069E-4</v>
      </c>
    </row>
    <row r="726" spans="1:9" x14ac:dyDescent="0.3">
      <c r="A726" s="5">
        <v>42689</v>
      </c>
      <c r="B726">
        <v>34.639999000000003</v>
      </c>
      <c r="C726">
        <v>35.290000999999997</v>
      </c>
      <c r="D726">
        <v>34.610000999999997</v>
      </c>
      <c r="E726">
        <v>34.909999999999997</v>
      </c>
      <c r="F726">
        <v>28.797369</v>
      </c>
      <c r="G726">
        <v>20676100</v>
      </c>
      <c r="I726">
        <f t="shared" si="12"/>
        <v>2.0874567693690433E-4</v>
      </c>
    </row>
    <row r="727" spans="1:9" x14ac:dyDescent="0.3">
      <c r="A727" s="5">
        <v>42690</v>
      </c>
      <c r="B727">
        <v>34.900002000000001</v>
      </c>
      <c r="C727">
        <v>34.919998</v>
      </c>
      <c r="D727">
        <v>34.540000999999997</v>
      </c>
      <c r="E727">
        <v>34.840000000000003</v>
      </c>
      <c r="F727">
        <v>28.739623999999999</v>
      </c>
      <c r="G727">
        <v>18565500</v>
      </c>
      <c r="I727">
        <f t="shared" si="12"/>
        <v>9.098347286905307E-5</v>
      </c>
    </row>
    <row r="728" spans="1:9" x14ac:dyDescent="0.3">
      <c r="A728" s="5">
        <v>42691</v>
      </c>
      <c r="B728">
        <v>34.810001</v>
      </c>
      <c r="C728">
        <v>35.020000000000003</v>
      </c>
      <c r="D728">
        <v>34.630001</v>
      </c>
      <c r="E728">
        <v>35.020000000000003</v>
      </c>
      <c r="F728">
        <v>28.888109</v>
      </c>
      <c r="G728">
        <v>15748500</v>
      </c>
      <c r="I728">
        <f t="shared" si="12"/>
        <v>5.8059146858273678E-5</v>
      </c>
    </row>
    <row r="729" spans="1:9" x14ac:dyDescent="0.3">
      <c r="A729" s="5">
        <v>42692</v>
      </c>
      <c r="B729">
        <v>34.900002000000001</v>
      </c>
      <c r="C729">
        <v>35</v>
      </c>
      <c r="D729">
        <v>34.639999000000003</v>
      </c>
      <c r="E729">
        <v>34.950001</v>
      </c>
      <c r="F729">
        <v>28.830363999999999</v>
      </c>
      <c r="G729">
        <v>16806900</v>
      </c>
      <c r="I729">
        <f t="shared" si="12"/>
        <v>7.0713544511943346E-5</v>
      </c>
    </row>
    <row r="730" spans="1:9" x14ac:dyDescent="0.3">
      <c r="A730" s="5">
        <v>42695</v>
      </c>
      <c r="B730">
        <v>35.099997999999999</v>
      </c>
      <c r="C730">
        <v>35.200001</v>
      </c>
      <c r="D730">
        <v>34.840000000000003</v>
      </c>
      <c r="E730">
        <v>34.979999999999997</v>
      </c>
      <c r="F730">
        <v>28.855111999999998</v>
      </c>
      <c r="G730">
        <v>14259500</v>
      </c>
      <c r="I730">
        <f t="shared" si="12"/>
        <v>4.765376171487836E-5</v>
      </c>
    </row>
    <row r="731" spans="1:9" x14ac:dyDescent="0.3">
      <c r="A731" s="5">
        <v>42696</v>
      </c>
      <c r="B731">
        <v>35.18</v>
      </c>
      <c r="C731">
        <v>35.5</v>
      </c>
      <c r="D731">
        <v>35.110000999999997</v>
      </c>
      <c r="E731">
        <v>35.479999999999997</v>
      </c>
      <c r="F731">
        <v>29.267562999999999</v>
      </c>
      <c r="G731">
        <v>22327400</v>
      </c>
      <c r="I731">
        <f t="shared" si="12"/>
        <v>2.5982305825250618E-5</v>
      </c>
    </row>
    <row r="732" spans="1:9" x14ac:dyDescent="0.3">
      <c r="A732" s="5">
        <v>42697</v>
      </c>
      <c r="B732">
        <v>35.479999999999997</v>
      </c>
      <c r="C732">
        <v>35.520000000000003</v>
      </c>
      <c r="D732">
        <v>35.099997999999999</v>
      </c>
      <c r="E732">
        <v>35.200001</v>
      </c>
      <c r="F732">
        <v>29.036591000000001</v>
      </c>
      <c r="G732">
        <v>15843100</v>
      </c>
      <c r="I732">
        <f t="shared" si="12"/>
        <v>4.0832569707544749E-5</v>
      </c>
    </row>
    <row r="733" spans="1:9" x14ac:dyDescent="0.3">
      <c r="A733" s="5">
        <v>42699</v>
      </c>
      <c r="B733">
        <v>35.110000999999997</v>
      </c>
      <c r="C733">
        <v>35.450001</v>
      </c>
      <c r="D733">
        <v>35.110000999999997</v>
      </c>
      <c r="E733">
        <v>35.439999</v>
      </c>
      <c r="F733">
        <v>29.234562</v>
      </c>
      <c r="G733">
        <v>6372800</v>
      </c>
      <c r="I733">
        <f t="shared" si="12"/>
        <v>2.7194780762021233E-6</v>
      </c>
    </row>
    <row r="734" spans="1:9" x14ac:dyDescent="0.3">
      <c r="A734" s="5">
        <v>42702</v>
      </c>
      <c r="B734">
        <v>35.43</v>
      </c>
      <c r="C734">
        <v>35.659999999999997</v>
      </c>
      <c r="D734">
        <v>35.209999000000003</v>
      </c>
      <c r="E734">
        <v>35.509998000000003</v>
      </c>
      <c r="F734">
        <v>29.292303</v>
      </c>
      <c r="G734">
        <v>13549000</v>
      </c>
      <c r="I734">
        <f t="shared" si="12"/>
        <v>8.0122472280326842E-5</v>
      </c>
    </row>
    <row r="735" spans="1:9" x14ac:dyDescent="0.3">
      <c r="A735" s="5">
        <v>42703</v>
      </c>
      <c r="B735">
        <v>35.639999000000003</v>
      </c>
      <c r="C735">
        <v>35.639999000000003</v>
      </c>
      <c r="D735">
        <v>35.270000000000003</v>
      </c>
      <c r="E735">
        <v>35.310001</v>
      </c>
      <c r="F735">
        <v>29.127323000000001</v>
      </c>
      <c r="G735">
        <v>19581000</v>
      </c>
      <c r="I735">
        <f t="shared" si="12"/>
        <v>1.1828951160719895E-5</v>
      </c>
    </row>
    <row r="736" spans="1:9" x14ac:dyDescent="0.3">
      <c r="A736" s="5">
        <v>42704</v>
      </c>
      <c r="B736">
        <v>35.200001</v>
      </c>
      <c r="C736">
        <v>35.299999</v>
      </c>
      <c r="D736">
        <v>34.700001</v>
      </c>
      <c r="E736">
        <v>34.700001</v>
      </c>
      <c r="F736">
        <v>28.624140000000001</v>
      </c>
      <c r="G736">
        <v>27016100</v>
      </c>
      <c r="I736">
        <f t="shared" si="12"/>
        <v>4.8632307720652458E-5</v>
      </c>
    </row>
    <row r="737" spans="1:9" x14ac:dyDescent="0.3">
      <c r="A737" s="5">
        <v>42705</v>
      </c>
      <c r="B737">
        <v>34.860000999999997</v>
      </c>
      <c r="C737">
        <v>34.93</v>
      </c>
      <c r="D737">
        <v>33.560001</v>
      </c>
      <c r="E737">
        <v>33.759998000000003</v>
      </c>
      <c r="F737">
        <v>27.848721999999999</v>
      </c>
      <c r="G737">
        <v>29618700</v>
      </c>
      <c r="I737">
        <f t="shared" si="12"/>
        <v>2.9415818306452544E-4</v>
      </c>
    </row>
    <row r="738" spans="1:9" x14ac:dyDescent="0.3">
      <c r="A738" s="5">
        <v>42706</v>
      </c>
      <c r="B738">
        <v>33.720001000000003</v>
      </c>
      <c r="C738">
        <v>34.259998000000003</v>
      </c>
      <c r="D738">
        <v>33.599997999999999</v>
      </c>
      <c r="E738">
        <v>34.159999999999997</v>
      </c>
      <c r="F738">
        <v>28.17869</v>
      </c>
      <c r="G738">
        <v>21492500</v>
      </c>
      <c r="I738">
        <f t="shared" si="12"/>
        <v>1.0536927884597603E-4</v>
      </c>
    </row>
    <row r="739" spans="1:9" x14ac:dyDescent="0.3">
      <c r="A739" s="5">
        <v>42709</v>
      </c>
      <c r="B739">
        <v>34.310001</v>
      </c>
      <c r="C739">
        <v>34.419998</v>
      </c>
      <c r="D739">
        <v>33.970001000000003</v>
      </c>
      <c r="E739">
        <v>34.389999000000003</v>
      </c>
      <c r="F739">
        <v>28.36842</v>
      </c>
      <c r="G739">
        <v>14462000</v>
      </c>
      <c r="I739">
        <f t="shared" si="12"/>
        <v>1.2516788215771694E-4</v>
      </c>
    </row>
    <row r="740" spans="1:9" x14ac:dyDescent="0.3">
      <c r="A740" s="5">
        <v>42710</v>
      </c>
      <c r="B740">
        <v>34.389999000000003</v>
      </c>
      <c r="C740">
        <v>34.75</v>
      </c>
      <c r="D740">
        <v>34.299999</v>
      </c>
      <c r="E740">
        <v>34.720001000000003</v>
      </c>
      <c r="F740">
        <v>28.640647999999999</v>
      </c>
      <c r="G740">
        <v>15297700</v>
      </c>
      <c r="I740">
        <f t="shared" si="12"/>
        <v>4.0886573373339789E-5</v>
      </c>
    </row>
    <row r="741" spans="1:9" x14ac:dyDescent="0.3">
      <c r="A741" s="5">
        <v>42711</v>
      </c>
      <c r="B741">
        <v>34.669998</v>
      </c>
      <c r="C741">
        <v>35.57</v>
      </c>
      <c r="D741">
        <v>34.450001</v>
      </c>
      <c r="E741">
        <v>35.5</v>
      </c>
      <c r="F741">
        <v>29.284056</v>
      </c>
      <c r="G741">
        <v>21710300</v>
      </c>
      <c r="I741">
        <f t="shared" si="12"/>
        <v>2.4160504015238249E-4</v>
      </c>
    </row>
    <row r="742" spans="1:9" x14ac:dyDescent="0.3">
      <c r="A742" s="5">
        <v>42712</v>
      </c>
      <c r="B742">
        <v>35.479999999999997</v>
      </c>
      <c r="C742">
        <v>36.029998999999997</v>
      </c>
      <c r="D742">
        <v>35.220001000000003</v>
      </c>
      <c r="E742">
        <v>35.700001</v>
      </c>
      <c r="F742">
        <v>29.449043</v>
      </c>
      <c r="G742">
        <v>19966500</v>
      </c>
      <c r="I742">
        <f t="shared" si="12"/>
        <v>2.4110129565941635E-4</v>
      </c>
    </row>
    <row r="743" spans="1:9" x14ac:dyDescent="0.3">
      <c r="A743" s="5">
        <v>42713</v>
      </c>
      <c r="B743">
        <v>35.75</v>
      </c>
      <c r="C743">
        <v>35.900002000000001</v>
      </c>
      <c r="D743">
        <v>35.590000000000003</v>
      </c>
      <c r="E743">
        <v>35.759998000000003</v>
      </c>
      <c r="F743">
        <v>29.498543000000002</v>
      </c>
      <c r="G743">
        <v>16326900</v>
      </c>
      <c r="I743">
        <f t="shared" si="12"/>
        <v>3.7735455665025653E-5</v>
      </c>
    </row>
    <row r="744" spans="1:9" x14ac:dyDescent="0.3">
      <c r="A744" s="5">
        <v>42716</v>
      </c>
      <c r="B744">
        <v>35.779998999999997</v>
      </c>
      <c r="C744">
        <v>36.090000000000003</v>
      </c>
      <c r="D744">
        <v>35.669998</v>
      </c>
      <c r="E744">
        <v>35.970001000000003</v>
      </c>
      <c r="F744">
        <v>29.671751</v>
      </c>
      <c r="G744">
        <v>21985800</v>
      </c>
      <c r="I744">
        <f t="shared" si="12"/>
        <v>5.4520311909484175E-5</v>
      </c>
    </row>
    <row r="745" spans="1:9" x14ac:dyDescent="0.3">
      <c r="A745" s="5">
        <v>42717</v>
      </c>
      <c r="B745">
        <v>36.009998000000003</v>
      </c>
      <c r="C745">
        <v>36.889999000000003</v>
      </c>
      <c r="D745">
        <v>35.93</v>
      </c>
      <c r="E745">
        <v>36.799999</v>
      </c>
      <c r="F745">
        <v>30.356441</v>
      </c>
      <c r="G745">
        <v>35773600</v>
      </c>
      <c r="I745">
        <f t="shared" si="12"/>
        <v>1.1218558846345635E-4</v>
      </c>
    </row>
    <row r="746" spans="1:9" x14ac:dyDescent="0.3">
      <c r="A746" s="5">
        <v>42718</v>
      </c>
      <c r="B746">
        <v>36.700001</v>
      </c>
      <c r="C746">
        <v>36.889999000000003</v>
      </c>
      <c r="D746">
        <v>36.459999000000003</v>
      </c>
      <c r="E746">
        <v>36.549999</v>
      </c>
      <c r="F746">
        <v>30.150210999999999</v>
      </c>
      <c r="G746">
        <v>30819400</v>
      </c>
      <c r="I746">
        <f t="shared" si="12"/>
        <v>6.3988101071229238E-5</v>
      </c>
    </row>
    <row r="747" spans="1:9" x14ac:dyDescent="0.3">
      <c r="A747" s="5">
        <v>42719</v>
      </c>
      <c r="B747">
        <v>36.740001999999997</v>
      </c>
      <c r="C747">
        <v>37.159999999999997</v>
      </c>
      <c r="D747">
        <v>36.529998999999997</v>
      </c>
      <c r="E747">
        <v>36.790000999999997</v>
      </c>
      <c r="F747">
        <v>30.348185999999998</v>
      </c>
      <c r="G747">
        <v>23721500</v>
      </c>
      <c r="I747">
        <f t="shared" si="12"/>
        <v>1.5440053244668254E-4</v>
      </c>
    </row>
    <row r="748" spans="1:9" x14ac:dyDescent="0.3">
      <c r="A748" s="5">
        <v>42720</v>
      </c>
      <c r="B748">
        <v>36.720001000000003</v>
      </c>
      <c r="C748">
        <v>36.869999</v>
      </c>
      <c r="D748">
        <v>36.090000000000003</v>
      </c>
      <c r="E748">
        <v>36.310001</v>
      </c>
      <c r="F748">
        <v>29.952228999999999</v>
      </c>
      <c r="G748">
        <v>38212800</v>
      </c>
      <c r="I748">
        <f t="shared" si="12"/>
        <v>1.6756614365710137E-4</v>
      </c>
    </row>
    <row r="749" spans="1:9" x14ac:dyDescent="0.3">
      <c r="A749" s="5">
        <v>42723</v>
      </c>
      <c r="B749">
        <v>36.340000000000003</v>
      </c>
      <c r="C749">
        <v>36.950001</v>
      </c>
      <c r="D749">
        <v>36.270000000000003</v>
      </c>
      <c r="E749">
        <v>36.889999000000003</v>
      </c>
      <c r="F749">
        <v>30.430674</v>
      </c>
      <c r="G749">
        <v>18744300</v>
      </c>
      <c r="I749">
        <f t="shared" si="12"/>
        <v>5.9734460883699424E-5</v>
      </c>
    </row>
    <row r="750" spans="1:9" x14ac:dyDescent="0.3">
      <c r="A750" s="5">
        <v>42724</v>
      </c>
      <c r="B750">
        <v>36.950001</v>
      </c>
      <c r="C750">
        <v>37.240001999999997</v>
      </c>
      <c r="D750">
        <v>36.889999000000003</v>
      </c>
      <c r="E750">
        <v>37.209999000000003</v>
      </c>
      <c r="F750">
        <v>30.694648999999998</v>
      </c>
      <c r="G750">
        <v>18551800</v>
      </c>
      <c r="I750">
        <f t="shared" si="12"/>
        <v>2.0337915076968656E-5</v>
      </c>
    </row>
    <row r="751" spans="1:9" x14ac:dyDescent="0.3">
      <c r="A751" s="5">
        <v>42725</v>
      </c>
      <c r="B751">
        <v>37.25</v>
      </c>
      <c r="C751">
        <v>37.349997999999999</v>
      </c>
      <c r="D751">
        <v>36.909999999999997</v>
      </c>
      <c r="E751">
        <v>36.979999999999997</v>
      </c>
      <c r="F751">
        <v>30.504919000000001</v>
      </c>
      <c r="G751">
        <v>14323600</v>
      </c>
      <c r="I751">
        <f t="shared" si="12"/>
        <v>4.4063582080254854E-5</v>
      </c>
    </row>
    <row r="752" spans="1:9" x14ac:dyDescent="0.3">
      <c r="A752" s="5">
        <v>42726</v>
      </c>
      <c r="B752">
        <v>37.229999999999997</v>
      </c>
      <c r="C752">
        <v>37.240001999999997</v>
      </c>
      <c r="D752">
        <v>36.810001</v>
      </c>
      <c r="E752">
        <v>36.93</v>
      </c>
      <c r="F752">
        <v>30.463674999999999</v>
      </c>
      <c r="G752">
        <v>10793900</v>
      </c>
      <c r="I752">
        <f t="shared" si="12"/>
        <v>3.917052714308538E-5</v>
      </c>
    </row>
    <row r="753" spans="1:9" x14ac:dyDescent="0.3">
      <c r="A753" s="5">
        <v>42727</v>
      </c>
      <c r="B753">
        <v>36.93</v>
      </c>
      <c r="C753">
        <v>36.979999999999997</v>
      </c>
      <c r="D753">
        <v>36.770000000000003</v>
      </c>
      <c r="E753">
        <v>36.970001000000003</v>
      </c>
      <c r="F753">
        <v>30.496668</v>
      </c>
      <c r="G753">
        <v>6287300</v>
      </c>
      <c r="I753">
        <f t="shared" si="12"/>
        <v>2.3918724428137832E-5</v>
      </c>
    </row>
    <row r="754" spans="1:9" x14ac:dyDescent="0.3">
      <c r="A754" s="5">
        <v>42731</v>
      </c>
      <c r="B754">
        <v>36.909999999999997</v>
      </c>
      <c r="C754">
        <v>37.330002</v>
      </c>
      <c r="D754">
        <v>36.909999999999997</v>
      </c>
      <c r="E754">
        <v>37.07</v>
      </c>
      <c r="F754">
        <v>30.579160999999999</v>
      </c>
      <c r="G754">
        <v>9033700</v>
      </c>
      <c r="I754">
        <f t="shared" si="12"/>
        <v>7.9083069528143092E-5</v>
      </c>
    </row>
    <row r="755" spans="1:9" x14ac:dyDescent="0.3">
      <c r="A755" s="5">
        <v>42732</v>
      </c>
      <c r="B755">
        <v>37.099997999999999</v>
      </c>
      <c r="C755">
        <v>37.200001</v>
      </c>
      <c r="D755">
        <v>36.580002</v>
      </c>
      <c r="E755">
        <v>36.630001</v>
      </c>
      <c r="F755">
        <v>30.216201999999999</v>
      </c>
      <c r="G755">
        <v>12868600</v>
      </c>
      <c r="I755">
        <f t="shared" si="12"/>
        <v>6.0845765531951528E-5</v>
      </c>
    </row>
    <row r="756" spans="1:9" x14ac:dyDescent="0.3">
      <c r="A756" s="5">
        <v>42733</v>
      </c>
      <c r="B756">
        <v>36.509998000000003</v>
      </c>
      <c r="C756">
        <v>36.720001000000003</v>
      </c>
      <c r="D756">
        <v>36.43</v>
      </c>
      <c r="E756">
        <v>36.659999999999997</v>
      </c>
      <c r="F756">
        <v>30.240952</v>
      </c>
      <c r="G756">
        <v>8447300</v>
      </c>
      <c r="I756">
        <f t="shared" si="12"/>
        <v>2.3184743310461508E-5</v>
      </c>
    </row>
    <row r="757" spans="1:9" x14ac:dyDescent="0.3">
      <c r="A757" s="5">
        <v>42734</v>
      </c>
      <c r="B757">
        <v>36.790000999999997</v>
      </c>
      <c r="C757">
        <v>36.799999</v>
      </c>
      <c r="D757">
        <v>36.200001</v>
      </c>
      <c r="E757">
        <v>36.270000000000003</v>
      </c>
      <c r="F757">
        <v>29.919231</v>
      </c>
      <c r="G757">
        <v>17468000</v>
      </c>
      <c r="I757">
        <f t="shared" si="12"/>
        <v>3.5173254249837408E-5</v>
      </c>
    </row>
    <row r="758" spans="1:9" x14ac:dyDescent="0.3">
      <c r="A758" s="5">
        <v>42738</v>
      </c>
      <c r="B758">
        <v>36.610000999999997</v>
      </c>
      <c r="C758">
        <v>36.93</v>
      </c>
      <c r="D758">
        <v>36.270000000000003</v>
      </c>
      <c r="E758">
        <v>36.599997999999999</v>
      </c>
      <c r="F758">
        <v>30.191455999999999</v>
      </c>
      <c r="G758">
        <v>20196500</v>
      </c>
      <c r="I758">
        <f t="shared" si="12"/>
        <v>1.6262499625339425E-4</v>
      </c>
    </row>
    <row r="759" spans="1:9" x14ac:dyDescent="0.3">
      <c r="A759" s="5">
        <v>42739</v>
      </c>
      <c r="B759">
        <v>36.709999000000003</v>
      </c>
      <c r="C759">
        <v>36.770000000000003</v>
      </c>
      <c r="D759">
        <v>36.340000000000003</v>
      </c>
      <c r="E759">
        <v>36.409999999999997</v>
      </c>
      <c r="F759">
        <v>30.034718999999999</v>
      </c>
      <c r="G759">
        <v>15915700</v>
      </c>
      <c r="I759">
        <f t="shared" si="12"/>
        <v>3.5562415371176076E-5</v>
      </c>
    </row>
    <row r="760" spans="1:9" x14ac:dyDescent="0.3">
      <c r="A760" s="5">
        <v>42740</v>
      </c>
      <c r="B760">
        <v>36.450001</v>
      </c>
      <c r="C760">
        <v>36.720001000000003</v>
      </c>
      <c r="D760">
        <v>36.310001</v>
      </c>
      <c r="E760">
        <v>36.349997999999999</v>
      </c>
      <c r="F760">
        <v>29.985227999999999</v>
      </c>
      <c r="G760">
        <v>13986000</v>
      </c>
      <c r="I760">
        <f t="shared" si="12"/>
        <v>7.897832369102452E-5</v>
      </c>
    </row>
    <row r="761" spans="1:9" x14ac:dyDescent="0.3">
      <c r="A761" s="5">
        <v>42741</v>
      </c>
      <c r="B761">
        <v>36.590000000000003</v>
      </c>
      <c r="C761">
        <v>36.68</v>
      </c>
      <c r="D761">
        <v>36.189999</v>
      </c>
      <c r="E761">
        <v>36.479999999999997</v>
      </c>
      <c r="F761">
        <v>30.092459000000002</v>
      </c>
      <c r="G761">
        <v>15114000</v>
      </c>
      <c r="I761">
        <f t="shared" si="12"/>
        <v>1.0116419706133604E-4</v>
      </c>
    </row>
    <row r="762" spans="1:9" x14ac:dyDescent="0.3">
      <c r="A762" s="5">
        <v>42744</v>
      </c>
      <c r="B762">
        <v>36.479999999999997</v>
      </c>
      <c r="C762">
        <v>36.889999000000003</v>
      </c>
      <c r="D762">
        <v>36.479999999999997</v>
      </c>
      <c r="E762">
        <v>36.610000999999997</v>
      </c>
      <c r="F762">
        <v>30.199697</v>
      </c>
      <c r="G762">
        <v>19461400</v>
      </c>
      <c r="I762">
        <f t="shared" si="12"/>
        <v>8.515271259912649E-5</v>
      </c>
    </row>
    <row r="763" spans="1:9" x14ac:dyDescent="0.3">
      <c r="A763" s="5">
        <v>42745</v>
      </c>
      <c r="B763">
        <v>36.549999</v>
      </c>
      <c r="C763">
        <v>36.93</v>
      </c>
      <c r="D763">
        <v>36.529998999999997</v>
      </c>
      <c r="E763">
        <v>36.540000999999997</v>
      </c>
      <c r="F763">
        <v>30.141956</v>
      </c>
      <c r="G763">
        <v>15918800</v>
      </c>
      <c r="I763">
        <f t="shared" si="12"/>
        <v>1.0995860403021616E-4</v>
      </c>
    </row>
    <row r="764" spans="1:9" x14ac:dyDescent="0.3">
      <c r="A764" s="5">
        <v>42746</v>
      </c>
      <c r="B764">
        <v>36.509998000000003</v>
      </c>
      <c r="C764">
        <v>37</v>
      </c>
      <c r="D764">
        <v>36.509998000000003</v>
      </c>
      <c r="E764">
        <v>36.950001</v>
      </c>
      <c r="F764">
        <v>30.480165</v>
      </c>
      <c r="G764">
        <v>22398400</v>
      </c>
      <c r="I764">
        <f t="shared" si="12"/>
        <v>1.8027730861287118E-5</v>
      </c>
    </row>
    <row r="765" spans="1:9" x14ac:dyDescent="0.3">
      <c r="A765" s="5">
        <v>42747</v>
      </c>
      <c r="B765">
        <v>36.830002</v>
      </c>
      <c r="C765">
        <v>36.830002</v>
      </c>
      <c r="D765">
        <v>36.32</v>
      </c>
      <c r="E765">
        <v>36.709999000000003</v>
      </c>
      <c r="F765">
        <v>30.28219</v>
      </c>
      <c r="G765">
        <v>20391900</v>
      </c>
      <c r="I765">
        <f t="shared" si="12"/>
        <v>1.4893298448112062E-4</v>
      </c>
    </row>
    <row r="766" spans="1:9" x14ac:dyDescent="0.3">
      <c r="A766" s="5">
        <v>42748</v>
      </c>
      <c r="B766">
        <v>36.709999000000003</v>
      </c>
      <c r="C766">
        <v>36.860000999999997</v>
      </c>
      <c r="D766">
        <v>36.619999</v>
      </c>
      <c r="E766">
        <v>36.790000999999997</v>
      </c>
      <c r="F766">
        <v>30.348185999999998</v>
      </c>
      <c r="G766">
        <v>15072200</v>
      </c>
      <c r="I766">
        <f t="shared" si="12"/>
        <v>1.9120395425670913E-5</v>
      </c>
    </row>
    <row r="767" spans="1:9" x14ac:dyDescent="0.3">
      <c r="A767" s="5">
        <v>42752</v>
      </c>
      <c r="B767">
        <v>36.669998</v>
      </c>
      <c r="C767">
        <v>36.830002</v>
      </c>
      <c r="D767">
        <v>36.590000000000003</v>
      </c>
      <c r="E767">
        <v>36.799999</v>
      </c>
      <c r="F767">
        <v>30.356441</v>
      </c>
      <c r="G767">
        <v>20195200</v>
      </c>
      <c r="I767">
        <f t="shared" si="12"/>
        <v>1.6046634558826819E-5</v>
      </c>
    </row>
    <row r="768" spans="1:9" x14ac:dyDescent="0.3">
      <c r="A768" s="5">
        <v>42753</v>
      </c>
      <c r="B768">
        <v>36.889999000000003</v>
      </c>
      <c r="C768">
        <v>37.009998000000003</v>
      </c>
      <c r="D768">
        <v>36.610000999999997</v>
      </c>
      <c r="E768">
        <v>36.759998000000003</v>
      </c>
      <c r="F768">
        <v>30.323433000000001</v>
      </c>
      <c r="G768">
        <v>15382500</v>
      </c>
      <c r="I768">
        <f t="shared" si="12"/>
        <v>5.3164400055598994E-5</v>
      </c>
    </row>
    <row r="769" spans="1:9" x14ac:dyDescent="0.3">
      <c r="A769" s="5">
        <v>42754</v>
      </c>
      <c r="B769">
        <v>36.509998000000003</v>
      </c>
      <c r="C769">
        <v>36.909999999999997</v>
      </c>
      <c r="D769">
        <v>36.509998000000003</v>
      </c>
      <c r="E769">
        <v>36.57</v>
      </c>
      <c r="F769">
        <v>30.166703999999999</v>
      </c>
      <c r="G769">
        <v>13654500</v>
      </c>
      <c r="I769">
        <f t="shared" si="12"/>
        <v>1.0083816909432842E-4</v>
      </c>
    </row>
    <row r="770" spans="1:9" x14ac:dyDescent="0.3">
      <c r="A770" s="5">
        <v>42755</v>
      </c>
      <c r="B770">
        <v>36.759998000000003</v>
      </c>
      <c r="C770">
        <v>37.029998999999997</v>
      </c>
      <c r="D770">
        <v>36.580002</v>
      </c>
      <c r="E770">
        <v>36.939999</v>
      </c>
      <c r="F770">
        <v>30.471917999999999</v>
      </c>
      <c r="G770">
        <v>23950900</v>
      </c>
      <c r="I770">
        <f t="shared" si="12"/>
        <v>6.5878685928332547E-5</v>
      </c>
    </row>
    <row r="771" spans="1:9" x14ac:dyDescent="0.3">
      <c r="A771" s="5">
        <v>42758</v>
      </c>
      <c r="B771">
        <v>37.07</v>
      </c>
      <c r="C771">
        <v>37.209999000000003</v>
      </c>
      <c r="D771">
        <v>36.549999</v>
      </c>
      <c r="E771">
        <v>36.770000000000003</v>
      </c>
      <c r="F771">
        <v>30.331688</v>
      </c>
      <c r="G771">
        <v>27752600</v>
      </c>
      <c r="I771">
        <f t="shared" si="12"/>
        <v>1.2961621727849168E-4</v>
      </c>
    </row>
    <row r="772" spans="1:9" x14ac:dyDescent="0.3">
      <c r="A772" s="5">
        <v>42759</v>
      </c>
      <c r="B772">
        <v>36.840000000000003</v>
      </c>
      <c r="C772">
        <v>37.740001999999997</v>
      </c>
      <c r="D772">
        <v>36.810001</v>
      </c>
      <c r="E772">
        <v>37.619999</v>
      </c>
      <c r="F772">
        <v>31.032862000000002</v>
      </c>
      <c r="G772">
        <v>35140900</v>
      </c>
      <c r="I772">
        <f t="shared" si="12"/>
        <v>9.4601009478519922E-5</v>
      </c>
    </row>
    <row r="773" spans="1:9" x14ac:dyDescent="0.3">
      <c r="A773" s="5">
        <v>42760</v>
      </c>
      <c r="B773">
        <v>37.869999</v>
      </c>
      <c r="C773">
        <v>38</v>
      </c>
      <c r="D773">
        <v>37.520000000000003</v>
      </c>
      <c r="E773">
        <v>37.799999</v>
      </c>
      <c r="F773">
        <v>31.181341</v>
      </c>
      <c r="G773">
        <v>32276400</v>
      </c>
      <c r="I773">
        <f t="shared" si="12"/>
        <v>8.7118479933887135E-5</v>
      </c>
    </row>
    <row r="774" spans="1:9" x14ac:dyDescent="0.3">
      <c r="A774" s="5">
        <v>42761</v>
      </c>
      <c r="B774">
        <v>37.82</v>
      </c>
      <c r="C774">
        <v>37.919998</v>
      </c>
      <c r="D774">
        <v>37.419998</v>
      </c>
      <c r="E774">
        <v>37.560001</v>
      </c>
      <c r="F774">
        <v>30.983371999999999</v>
      </c>
      <c r="G774">
        <v>34144800</v>
      </c>
      <c r="I774">
        <f t="shared" si="12"/>
        <v>6.489542360452248E-5</v>
      </c>
    </row>
    <row r="775" spans="1:9" x14ac:dyDescent="0.3">
      <c r="A775" s="5">
        <v>42762</v>
      </c>
      <c r="B775">
        <v>38</v>
      </c>
      <c r="C775">
        <v>38.450001</v>
      </c>
      <c r="D775">
        <v>37.810001</v>
      </c>
      <c r="E775">
        <v>37.979999999999997</v>
      </c>
      <c r="F775">
        <v>31.329823000000001</v>
      </c>
      <c r="G775">
        <v>44368600</v>
      </c>
      <c r="I775">
        <f t="shared" si="12"/>
        <v>1.672773879432101E-4</v>
      </c>
    </row>
    <row r="776" spans="1:9" x14ac:dyDescent="0.3">
      <c r="A776" s="5">
        <v>42765</v>
      </c>
      <c r="B776">
        <v>37.740001999999997</v>
      </c>
      <c r="C776">
        <v>37.840000000000003</v>
      </c>
      <c r="D776">
        <v>37.330002</v>
      </c>
      <c r="E776">
        <v>37.419998</v>
      </c>
      <c r="F776">
        <v>30.867871999999998</v>
      </c>
      <c r="G776">
        <v>23954700</v>
      </c>
      <c r="I776">
        <f t="shared" si="12"/>
        <v>5.5837269070909827E-5</v>
      </c>
    </row>
    <row r="777" spans="1:9" x14ac:dyDescent="0.3">
      <c r="A777" s="5">
        <v>42766</v>
      </c>
      <c r="B777">
        <v>37.220001000000003</v>
      </c>
      <c r="C777">
        <v>37.369999</v>
      </c>
      <c r="D777">
        <v>36.639999000000003</v>
      </c>
      <c r="E777">
        <v>36.82</v>
      </c>
      <c r="F777">
        <v>30.372934000000001</v>
      </c>
      <c r="G777">
        <v>27059100</v>
      </c>
      <c r="I777">
        <f t="shared" si="12"/>
        <v>1.3660211787660552E-4</v>
      </c>
    </row>
    <row r="778" spans="1:9" x14ac:dyDescent="0.3">
      <c r="A778" s="5">
        <v>42767</v>
      </c>
      <c r="B778">
        <v>36.82</v>
      </c>
      <c r="C778">
        <v>36.950001</v>
      </c>
      <c r="D778">
        <v>36.020000000000003</v>
      </c>
      <c r="E778">
        <v>36.520000000000003</v>
      </c>
      <c r="F778">
        <v>30.125473</v>
      </c>
      <c r="G778">
        <v>28380600</v>
      </c>
      <c r="I778">
        <f t="shared" si="12"/>
        <v>3.4408500028846868E-4</v>
      </c>
    </row>
    <row r="779" spans="1:9" x14ac:dyDescent="0.3">
      <c r="A779" s="5">
        <v>42768</v>
      </c>
      <c r="B779">
        <v>36.259998000000003</v>
      </c>
      <c r="C779">
        <v>36.700001</v>
      </c>
      <c r="D779">
        <v>36.200001</v>
      </c>
      <c r="E779">
        <v>36.68</v>
      </c>
      <c r="F779">
        <v>30.257449999999999</v>
      </c>
      <c r="G779">
        <v>31916900</v>
      </c>
      <c r="I779">
        <f t="shared" si="12"/>
        <v>2.8388927333236669E-5</v>
      </c>
    </row>
    <row r="780" spans="1:9" x14ac:dyDescent="0.3">
      <c r="A780" s="5">
        <v>42769</v>
      </c>
      <c r="B780">
        <v>36.689999</v>
      </c>
      <c r="C780">
        <v>36.82</v>
      </c>
      <c r="D780">
        <v>36.450001</v>
      </c>
      <c r="E780">
        <v>36.520000000000003</v>
      </c>
      <c r="F780">
        <v>30.340534000000002</v>
      </c>
      <c r="G780">
        <v>21038100</v>
      </c>
      <c r="I780">
        <f t="shared" ref="I780:I843" si="13">LN(C780/B780)*(LN(C780/B780)-LN(E780/B780))+LN(D780/B780)*(LN(D780/B780)-LN(E780/B780))</f>
        <v>4.1527379528397368E-5</v>
      </c>
    </row>
    <row r="781" spans="1:9" x14ac:dyDescent="0.3">
      <c r="A781" s="5">
        <v>42772</v>
      </c>
      <c r="B781">
        <v>36.509998000000003</v>
      </c>
      <c r="C781">
        <v>36.509998000000003</v>
      </c>
      <c r="D781">
        <v>36.150002000000001</v>
      </c>
      <c r="E781">
        <v>36.270000000000003</v>
      </c>
      <c r="F781">
        <v>30.132822000000001</v>
      </c>
      <c r="G781">
        <v>21427000</v>
      </c>
      <c r="I781">
        <f t="shared" si="13"/>
        <v>3.283837813045065E-5</v>
      </c>
    </row>
    <row r="782" spans="1:9" x14ac:dyDescent="0.3">
      <c r="A782" s="5">
        <v>42773</v>
      </c>
      <c r="B782">
        <v>36.450001</v>
      </c>
      <c r="C782">
        <v>36.520000000000003</v>
      </c>
      <c r="D782">
        <v>36.240001999999997</v>
      </c>
      <c r="E782">
        <v>36.349997999999999</v>
      </c>
      <c r="F782">
        <v>30.199290999999999</v>
      </c>
      <c r="G782">
        <v>18581900</v>
      </c>
      <c r="I782">
        <f t="shared" si="13"/>
        <v>2.6462594606936312E-5</v>
      </c>
    </row>
    <row r="783" spans="1:9" x14ac:dyDescent="0.3">
      <c r="A783" s="5">
        <v>42774</v>
      </c>
      <c r="B783">
        <v>36.340000000000003</v>
      </c>
      <c r="C783">
        <v>36.650002000000001</v>
      </c>
      <c r="D783">
        <v>36.139999000000003</v>
      </c>
      <c r="E783">
        <v>36.380001</v>
      </c>
      <c r="F783">
        <v>30.224211</v>
      </c>
      <c r="G783">
        <v>20807400</v>
      </c>
      <c r="I783">
        <f t="shared" si="13"/>
        <v>9.9338798511508736E-5</v>
      </c>
    </row>
    <row r="784" spans="1:9" x14ac:dyDescent="0.3">
      <c r="A784" s="5">
        <v>42775</v>
      </c>
      <c r="B784">
        <v>36.5</v>
      </c>
      <c r="C784">
        <v>36.5</v>
      </c>
      <c r="D784">
        <v>35.400002000000001</v>
      </c>
      <c r="E784">
        <v>35.459999000000003</v>
      </c>
      <c r="F784">
        <v>29.459887999999999</v>
      </c>
      <c r="G784">
        <v>47802700</v>
      </c>
      <c r="I784">
        <f t="shared" si="13"/>
        <v>5.1818561918043445E-5</v>
      </c>
    </row>
    <row r="785" spans="1:9" x14ac:dyDescent="0.3">
      <c r="A785" s="5">
        <v>42776</v>
      </c>
      <c r="B785">
        <v>35.259998000000003</v>
      </c>
      <c r="C785">
        <v>35.43</v>
      </c>
      <c r="D785">
        <v>34.840000000000003</v>
      </c>
      <c r="E785">
        <v>35.340000000000003</v>
      </c>
      <c r="F785">
        <v>29.360191</v>
      </c>
      <c r="G785">
        <v>44106500</v>
      </c>
      <c r="I785">
        <f t="shared" si="13"/>
        <v>1.8298258019097091E-4</v>
      </c>
    </row>
    <row r="786" spans="1:9" x14ac:dyDescent="0.3">
      <c r="A786" s="5">
        <v>42779</v>
      </c>
      <c r="B786">
        <v>35.57</v>
      </c>
      <c r="C786">
        <v>35.849997999999999</v>
      </c>
      <c r="D786">
        <v>35.340000000000003</v>
      </c>
      <c r="E786">
        <v>35.799999</v>
      </c>
      <c r="F786">
        <v>29.742355</v>
      </c>
      <c r="G786">
        <v>28180600</v>
      </c>
      <c r="I786">
        <f t="shared" si="13"/>
        <v>9.483716378093448E-5</v>
      </c>
    </row>
    <row r="787" spans="1:9" x14ac:dyDescent="0.3">
      <c r="A787" s="5">
        <v>42780</v>
      </c>
      <c r="B787">
        <v>35.840000000000003</v>
      </c>
      <c r="C787">
        <v>35.959999000000003</v>
      </c>
      <c r="D787">
        <v>35.529998999999997</v>
      </c>
      <c r="E787">
        <v>35.93</v>
      </c>
      <c r="F787">
        <v>29.850359000000001</v>
      </c>
      <c r="G787">
        <v>25734800</v>
      </c>
      <c r="I787">
        <f t="shared" si="13"/>
        <v>1.0004484226266352E-4</v>
      </c>
    </row>
    <row r="788" spans="1:9" x14ac:dyDescent="0.3">
      <c r="A788" s="5">
        <v>42781</v>
      </c>
      <c r="B788">
        <v>35.979999999999997</v>
      </c>
      <c r="C788">
        <v>36.060001</v>
      </c>
      <c r="D788">
        <v>35.669998</v>
      </c>
      <c r="E788">
        <v>36.049999</v>
      </c>
      <c r="F788">
        <v>29.950047000000001</v>
      </c>
      <c r="G788">
        <v>18452200</v>
      </c>
      <c r="I788">
        <f t="shared" si="13"/>
        <v>9.231406615235658E-5</v>
      </c>
    </row>
    <row r="789" spans="1:9" x14ac:dyDescent="0.3">
      <c r="A789" s="5">
        <v>42782</v>
      </c>
      <c r="B789">
        <v>36.18</v>
      </c>
      <c r="C789">
        <v>36.560001</v>
      </c>
      <c r="D789">
        <v>36.099997999999999</v>
      </c>
      <c r="E789">
        <v>36.409999999999997</v>
      </c>
      <c r="F789">
        <v>30.249134000000002</v>
      </c>
      <c r="G789">
        <v>21317500</v>
      </c>
      <c r="I789">
        <f t="shared" si="13"/>
        <v>6.1884516403237628E-5</v>
      </c>
    </row>
    <row r="790" spans="1:9" x14ac:dyDescent="0.3">
      <c r="A790" s="5">
        <v>42783</v>
      </c>
      <c r="B790">
        <v>36.32</v>
      </c>
      <c r="C790">
        <v>36.479999999999997</v>
      </c>
      <c r="D790">
        <v>36.099997999999999</v>
      </c>
      <c r="E790">
        <v>36.479999999999997</v>
      </c>
      <c r="F790">
        <v>30.307286999999999</v>
      </c>
      <c r="G790">
        <v>18909900</v>
      </c>
      <c r="I790">
        <f t="shared" si="13"/>
        <v>6.3621271810260517E-5</v>
      </c>
    </row>
    <row r="791" spans="1:9" x14ac:dyDescent="0.3">
      <c r="A791" s="5">
        <v>42787</v>
      </c>
      <c r="B791">
        <v>36.529998999999997</v>
      </c>
      <c r="C791">
        <v>36.650002000000001</v>
      </c>
      <c r="D791">
        <v>36.330002</v>
      </c>
      <c r="E791">
        <v>36.520000000000003</v>
      </c>
      <c r="F791">
        <v>30.340534000000002</v>
      </c>
      <c r="G791">
        <v>20556000</v>
      </c>
      <c r="I791">
        <f t="shared" si="13"/>
        <v>4.0290296268327548E-5</v>
      </c>
    </row>
    <row r="792" spans="1:9" x14ac:dyDescent="0.3">
      <c r="A792" s="5">
        <v>42788</v>
      </c>
      <c r="B792">
        <v>36.340000000000003</v>
      </c>
      <c r="C792">
        <v>36.400002000000001</v>
      </c>
      <c r="D792">
        <v>35.790000999999997</v>
      </c>
      <c r="E792">
        <v>36.07</v>
      </c>
      <c r="F792">
        <v>29.966660999999998</v>
      </c>
      <c r="G792">
        <v>29904400</v>
      </c>
      <c r="I792">
        <f t="shared" si="13"/>
        <v>1.3387132158091932E-4</v>
      </c>
    </row>
    <row r="793" spans="1:9" x14ac:dyDescent="0.3">
      <c r="A793" s="5">
        <v>42789</v>
      </c>
      <c r="B793">
        <v>36.240001999999997</v>
      </c>
      <c r="C793">
        <v>36.299999</v>
      </c>
      <c r="D793">
        <v>35.900002000000001</v>
      </c>
      <c r="E793">
        <v>36.18</v>
      </c>
      <c r="F793">
        <v>30.058056000000001</v>
      </c>
      <c r="G793">
        <v>22775000</v>
      </c>
      <c r="I793">
        <f t="shared" si="13"/>
        <v>7.871061414428283E-5</v>
      </c>
    </row>
    <row r="794" spans="1:9" x14ac:dyDescent="0.3">
      <c r="A794" s="5">
        <v>42790</v>
      </c>
      <c r="B794">
        <v>36.139999000000003</v>
      </c>
      <c r="C794">
        <v>36.529998999999997</v>
      </c>
      <c r="D794">
        <v>35.950001</v>
      </c>
      <c r="E794">
        <v>36.529998999999997</v>
      </c>
      <c r="F794">
        <v>30.348825000000001</v>
      </c>
      <c r="G794">
        <v>18617600</v>
      </c>
      <c r="I794">
        <f t="shared" si="13"/>
        <v>8.4363110188691754E-5</v>
      </c>
    </row>
    <row r="795" spans="1:9" x14ac:dyDescent="0.3">
      <c r="A795" s="5">
        <v>42793</v>
      </c>
      <c r="B795">
        <v>36.419998</v>
      </c>
      <c r="C795">
        <v>36.68</v>
      </c>
      <c r="D795">
        <v>36.270000000000003</v>
      </c>
      <c r="E795">
        <v>36.509998000000003</v>
      </c>
      <c r="F795">
        <v>30.332211000000001</v>
      </c>
      <c r="G795">
        <v>14065200</v>
      </c>
      <c r="I795">
        <f t="shared" si="13"/>
        <v>6.0265180202992319E-5</v>
      </c>
    </row>
    <row r="796" spans="1:9" x14ac:dyDescent="0.3">
      <c r="A796" s="5">
        <v>42794</v>
      </c>
      <c r="B796">
        <v>36.419998</v>
      </c>
      <c r="C796">
        <v>36.459999000000003</v>
      </c>
      <c r="D796">
        <v>36</v>
      </c>
      <c r="E796">
        <v>36.200001</v>
      </c>
      <c r="F796">
        <v>30.074681999999999</v>
      </c>
      <c r="G796">
        <v>24977000</v>
      </c>
      <c r="I796">
        <f t="shared" si="13"/>
        <v>7.2117276270337446E-5</v>
      </c>
    </row>
    <row r="797" spans="1:9" x14ac:dyDescent="0.3">
      <c r="A797" s="5">
        <v>42795</v>
      </c>
      <c r="B797">
        <v>35.849997999999999</v>
      </c>
      <c r="C797">
        <v>36.099997999999999</v>
      </c>
      <c r="D797">
        <v>35.439999</v>
      </c>
      <c r="E797">
        <v>35.93</v>
      </c>
      <c r="F797">
        <v>29.850359000000001</v>
      </c>
      <c r="G797">
        <v>34085900</v>
      </c>
      <c r="I797">
        <f t="shared" si="13"/>
        <v>1.9074757656750132E-4</v>
      </c>
    </row>
    <row r="798" spans="1:9" x14ac:dyDescent="0.3">
      <c r="A798" s="5">
        <v>42796</v>
      </c>
      <c r="B798">
        <v>35.93</v>
      </c>
      <c r="C798">
        <v>36.020000000000003</v>
      </c>
      <c r="D798">
        <v>35.650002000000001</v>
      </c>
      <c r="E798">
        <v>35.909999999999997</v>
      </c>
      <c r="F798">
        <v>29.833735000000001</v>
      </c>
      <c r="G798">
        <v>23602100</v>
      </c>
      <c r="I798">
        <f t="shared" si="13"/>
        <v>6.4501192787218723E-5</v>
      </c>
    </row>
    <row r="799" spans="1:9" x14ac:dyDescent="0.3">
      <c r="A799" s="5">
        <v>42797</v>
      </c>
      <c r="B799">
        <v>35.939999</v>
      </c>
      <c r="C799">
        <v>36.090000000000003</v>
      </c>
      <c r="D799">
        <v>35.669998</v>
      </c>
      <c r="E799">
        <v>35.900002000000001</v>
      </c>
      <c r="F799">
        <v>29.825437999999998</v>
      </c>
      <c r="G799">
        <v>17538100</v>
      </c>
      <c r="I799">
        <f t="shared" si="13"/>
        <v>7.0453138845151872E-5</v>
      </c>
    </row>
    <row r="800" spans="1:9" x14ac:dyDescent="0.3">
      <c r="A800" s="5">
        <v>42800</v>
      </c>
      <c r="B800">
        <v>35.790000999999997</v>
      </c>
      <c r="C800">
        <v>35.799999</v>
      </c>
      <c r="D800">
        <v>35.419998</v>
      </c>
      <c r="E800">
        <v>35.57</v>
      </c>
      <c r="F800">
        <v>29.551272999999998</v>
      </c>
      <c r="G800">
        <v>24416700</v>
      </c>
      <c r="I800">
        <f t="shared" si="13"/>
        <v>4.5716847515240612E-5</v>
      </c>
    </row>
    <row r="801" spans="1:9" x14ac:dyDescent="0.3">
      <c r="A801" s="5">
        <v>42801</v>
      </c>
      <c r="B801">
        <v>35.540000999999997</v>
      </c>
      <c r="C801">
        <v>35.799999</v>
      </c>
      <c r="D801">
        <v>35.389999000000003</v>
      </c>
      <c r="E801">
        <v>35.799999</v>
      </c>
      <c r="F801">
        <v>29.742355</v>
      </c>
      <c r="G801">
        <v>23434900</v>
      </c>
      <c r="I801">
        <f t="shared" si="13"/>
        <v>4.8718892398829709E-5</v>
      </c>
    </row>
    <row r="802" spans="1:9" x14ac:dyDescent="0.3">
      <c r="A802" s="5">
        <v>42802</v>
      </c>
      <c r="B802">
        <v>35.669998</v>
      </c>
      <c r="C802">
        <v>35.900002000000001</v>
      </c>
      <c r="D802">
        <v>35.529998999999997</v>
      </c>
      <c r="E802">
        <v>35.619999</v>
      </c>
      <c r="F802">
        <v>29.592808000000002</v>
      </c>
      <c r="G802">
        <v>20920100</v>
      </c>
      <c r="I802">
        <f t="shared" si="13"/>
        <v>6.0276116615643659E-5</v>
      </c>
    </row>
    <row r="803" spans="1:9" x14ac:dyDescent="0.3">
      <c r="A803" s="5">
        <v>42803</v>
      </c>
      <c r="B803">
        <v>35.599997999999999</v>
      </c>
      <c r="C803">
        <v>35.939999</v>
      </c>
      <c r="D803">
        <v>35.5</v>
      </c>
      <c r="E803">
        <v>35.82</v>
      </c>
      <c r="F803">
        <v>29.758967999999999</v>
      </c>
      <c r="G803">
        <v>23616800</v>
      </c>
      <c r="I803">
        <f t="shared" si="13"/>
        <v>5.7031960339081332E-5</v>
      </c>
    </row>
    <row r="804" spans="1:9" x14ac:dyDescent="0.3">
      <c r="A804" s="5">
        <v>42804</v>
      </c>
      <c r="B804">
        <v>36.119999</v>
      </c>
      <c r="C804">
        <v>36.299999</v>
      </c>
      <c r="D804">
        <v>35.779998999999997</v>
      </c>
      <c r="E804">
        <v>35.909999999999997</v>
      </c>
      <c r="F804">
        <v>29.833735000000001</v>
      </c>
      <c r="G804">
        <v>25402300</v>
      </c>
      <c r="I804">
        <f t="shared" si="13"/>
        <v>8.7997022522324735E-5</v>
      </c>
    </row>
    <row r="805" spans="1:9" x14ac:dyDescent="0.3">
      <c r="A805" s="5">
        <v>42807</v>
      </c>
      <c r="B805">
        <v>35.849997999999999</v>
      </c>
      <c r="C805">
        <v>36.040000999999997</v>
      </c>
      <c r="D805">
        <v>34.939999</v>
      </c>
      <c r="E805">
        <v>35.159999999999997</v>
      </c>
      <c r="F805">
        <v>29.210654999999999</v>
      </c>
      <c r="G805">
        <v>53582900</v>
      </c>
      <c r="I805">
        <f t="shared" si="13"/>
        <v>2.9205491105003563E-4</v>
      </c>
    </row>
    <row r="806" spans="1:9" x14ac:dyDescent="0.3">
      <c r="A806" s="5">
        <v>42808</v>
      </c>
      <c r="B806">
        <v>35.060001</v>
      </c>
      <c r="C806">
        <v>35.229999999999997</v>
      </c>
      <c r="D806">
        <v>34.659999999999997</v>
      </c>
      <c r="E806">
        <v>35.18</v>
      </c>
      <c r="F806">
        <v>29.227267999999999</v>
      </c>
      <c r="G806">
        <v>28586900</v>
      </c>
      <c r="I806">
        <f t="shared" si="13"/>
        <v>1.7774372689490192E-4</v>
      </c>
    </row>
    <row r="807" spans="1:9" x14ac:dyDescent="0.3">
      <c r="A807" s="5">
        <v>42809</v>
      </c>
      <c r="B807">
        <v>34.939999</v>
      </c>
      <c r="C807">
        <v>35.169998</v>
      </c>
      <c r="D807">
        <v>34.68</v>
      </c>
      <c r="E807">
        <v>35.099997999999999</v>
      </c>
      <c r="F807">
        <v>29.160800999999999</v>
      </c>
      <c r="G807">
        <v>27996100</v>
      </c>
      <c r="I807">
        <f t="shared" si="13"/>
        <v>1.029845433701171E-4</v>
      </c>
    </row>
    <row r="808" spans="1:9" x14ac:dyDescent="0.3">
      <c r="A808" s="5">
        <v>42810</v>
      </c>
      <c r="B808">
        <v>35.169998</v>
      </c>
      <c r="C808">
        <v>35.360000999999997</v>
      </c>
      <c r="D808">
        <v>35.07</v>
      </c>
      <c r="E808">
        <v>35.139999000000003</v>
      </c>
      <c r="F808">
        <v>29.194030999999999</v>
      </c>
      <c r="G808">
        <v>19616100</v>
      </c>
      <c r="I808">
        <f t="shared" si="13"/>
        <v>3.9304416612998489E-5</v>
      </c>
    </row>
    <row r="809" spans="1:9" x14ac:dyDescent="0.3">
      <c r="A809" s="5">
        <v>42811</v>
      </c>
      <c r="B809">
        <v>35.310001</v>
      </c>
      <c r="C809">
        <v>35.330002</v>
      </c>
      <c r="D809">
        <v>35.099997999999999</v>
      </c>
      <c r="E809">
        <v>35.270000000000003</v>
      </c>
      <c r="F809">
        <v>29.302036000000001</v>
      </c>
      <c r="G809">
        <v>30778900</v>
      </c>
      <c r="I809">
        <f t="shared" si="13"/>
        <v>2.9784259562795273E-5</v>
      </c>
    </row>
    <row r="810" spans="1:9" x14ac:dyDescent="0.3">
      <c r="A810" s="5">
        <v>42814</v>
      </c>
      <c r="B810">
        <v>35.369999</v>
      </c>
      <c r="C810">
        <v>35.630001</v>
      </c>
      <c r="D810">
        <v>35.259998000000003</v>
      </c>
      <c r="E810">
        <v>35.43</v>
      </c>
      <c r="F810">
        <v>29.434958000000002</v>
      </c>
      <c r="G810">
        <v>17322300</v>
      </c>
      <c r="I810">
        <f t="shared" si="13"/>
        <v>5.6209454560863061E-5</v>
      </c>
    </row>
    <row r="811" spans="1:9" x14ac:dyDescent="0.3">
      <c r="A811" s="5">
        <v>42815</v>
      </c>
      <c r="B811">
        <v>35.590000000000003</v>
      </c>
      <c r="C811">
        <v>35.599997999999999</v>
      </c>
      <c r="D811">
        <v>35</v>
      </c>
      <c r="E811">
        <v>35.040000999999997</v>
      </c>
      <c r="F811">
        <v>29.110956000000002</v>
      </c>
      <c r="G811">
        <v>22814500</v>
      </c>
      <c r="I811">
        <f t="shared" si="13"/>
        <v>2.354776479393483E-5</v>
      </c>
    </row>
    <row r="812" spans="1:9" x14ac:dyDescent="0.3">
      <c r="A812" s="5">
        <v>42816</v>
      </c>
      <c r="B812">
        <v>35.220001000000003</v>
      </c>
      <c r="C812">
        <v>35.459999000000003</v>
      </c>
      <c r="D812">
        <v>35</v>
      </c>
      <c r="E812">
        <v>35.369999</v>
      </c>
      <c r="F812">
        <v>29.385117000000001</v>
      </c>
      <c r="G812">
        <v>19144500</v>
      </c>
      <c r="I812">
        <f t="shared" si="13"/>
        <v>8.3151759135404146E-5</v>
      </c>
    </row>
    <row r="813" spans="1:9" x14ac:dyDescent="0.3">
      <c r="A813" s="5">
        <v>42817</v>
      </c>
      <c r="B813">
        <v>35.490001999999997</v>
      </c>
      <c r="C813">
        <v>35.490001999999997</v>
      </c>
      <c r="D813">
        <v>35.020000000000003</v>
      </c>
      <c r="E813">
        <v>35.270000000000003</v>
      </c>
      <c r="F813">
        <v>29.302036000000001</v>
      </c>
      <c r="G813">
        <v>20640400</v>
      </c>
      <c r="I813">
        <f t="shared" si="13"/>
        <v>9.4833919267726873E-5</v>
      </c>
    </row>
    <row r="814" spans="1:9" x14ac:dyDescent="0.3">
      <c r="A814" s="5">
        <v>42818</v>
      </c>
      <c r="B814">
        <v>35.650002000000001</v>
      </c>
      <c r="C814">
        <v>35.729999999999997</v>
      </c>
      <c r="D814">
        <v>35.119999</v>
      </c>
      <c r="E814">
        <v>35.159999999999997</v>
      </c>
      <c r="F814">
        <v>29.210654999999999</v>
      </c>
      <c r="G814">
        <v>22188000</v>
      </c>
      <c r="I814">
        <f t="shared" si="13"/>
        <v>5.3096878521584874E-5</v>
      </c>
    </row>
    <row r="815" spans="1:9" x14ac:dyDescent="0.3">
      <c r="A815" s="5">
        <v>42821</v>
      </c>
      <c r="B815">
        <v>35.07</v>
      </c>
      <c r="C815">
        <v>35.5</v>
      </c>
      <c r="D815">
        <v>34.939999</v>
      </c>
      <c r="E815">
        <v>35.389999000000003</v>
      </c>
      <c r="F815">
        <v>29.401730000000001</v>
      </c>
      <c r="G815">
        <v>16992200</v>
      </c>
      <c r="I815">
        <f t="shared" si="13"/>
        <v>8.534567381592587E-5</v>
      </c>
    </row>
    <row r="816" spans="1:9" x14ac:dyDescent="0.3">
      <c r="A816" s="5">
        <v>42822</v>
      </c>
      <c r="B816">
        <v>35.340000000000003</v>
      </c>
      <c r="C816">
        <v>35.709999000000003</v>
      </c>
      <c r="D816">
        <v>35.209999000000003</v>
      </c>
      <c r="E816">
        <v>35.599997999999999</v>
      </c>
      <c r="F816">
        <v>29.576197000000001</v>
      </c>
      <c r="G816">
        <v>18398100</v>
      </c>
      <c r="I816">
        <f t="shared" si="13"/>
        <v>7.2728701550035335E-5</v>
      </c>
    </row>
    <row r="817" spans="1:9" x14ac:dyDescent="0.3">
      <c r="A817" s="5">
        <v>42823</v>
      </c>
      <c r="B817">
        <v>35.520000000000003</v>
      </c>
      <c r="C817">
        <v>35.700001</v>
      </c>
      <c r="D817">
        <v>35.439999</v>
      </c>
      <c r="E817">
        <v>35.57</v>
      </c>
      <c r="F817">
        <v>29.551272999999998</v>
      </c>
      <c r="G817">
        <v>17202600</v>
      </c>
      <c r="I817">
        <f t="shared" si="13"/>
        <v>2.6696566485798106E-5</v>
      </c>
    </row>
    <row r="818" spans="1:9" x14ac:dyDescent="0.3">
      <c r="A818" s="5">
        <v>42824</v>
      </c>
      <c r="B818">
        <v>35.580002</v>
      </c>
      <c r="C818">
        <v>35.889999000000003</v>
      </c>
      <c r="D818">
        <v>35.520000000000003</v>
      </c>
      <c r="E818">
        <v>35.75</v>
      </c>
      <c r="F818">
        <v>29.700814999999999</v>
      </c>
      <c r="G818">
        <v>16433000</v>
      </c>
      <c r="I818">
        <f t="shared" si="13"/>
        <v>4.4798986579709563E-5</v>
      </c>
    </row>
    <row r="819" spans="1:9" x14ac:dyDescent="0.3">
      <c r="A819" s="5">
        <v>42825</v>
      </c>
      <c r="B819">
        <v>35.75</v>
      </c>
      <c r="C819">
        <v>36.25</v>
      </c>
      <c r="D819">
        <v>35.740001999999997</v>
      </c>
      <c r="E819">
        <v>36.07</v>
      </c>
      <c r="F819">
        <v>29.966660999999998</v>
      </c>
      <c r="G819">
        <v>21438400</v>
      </c>
      <c r="I819">
        <f t="shared" si="13"/>
        <v>7.1709156931449417E-5</v>
      </c>
    </row>
    <row r="820" spans="1:9" x14ac:dyDescent="0.3">
      <c r="A820" s="5">
        <v>42828</v>
      </c>
      <c r="B820">
        <v>36.189999</v>
      </c>
      <c r="C820">
        <v>36.740001999999997</v>
      </c>
      <c r="D820">
        <v>36.119999</v>
      </c>
      <c r="E820">
        <v>36.159999999999997</v>
      </c>
      <c r="F820">
        <v>30.041439</v>
      </c>
      <c r="G820">
        <v>32013600</v>
      </c>
      <c r="I820">
        <f t="shared" si="13"/>
        <v>2.4215783895802849E-4</v>
      </c>
    </row>
    <row r="821" spans="1:9" x14ac:dyDescent="0.3">
      <c r="A821" s="5">
        <v>42829</v>
      </c>
      <c r="B821">
        <v>36.119999</v>
      </c>
      <c r="C821">
        <v>36.380001</v>
      </c>
      <c r="D821">
        <v>35.990001999999997</v>
      </c>
      <c r="E821">
        <v>36.279998999999997</v>
      </c>
      <c r="F821">
        <v>30.141134000000001</v>
      </c>
      <c r="G821">
        <v>18918000</v>
      </c>
      <c r="I821">
        <f t="shared" si="13"/>
        <v>4.867888155990538E-5</v>
      </c>
    </row>
    <row r="822" spans="1:9" x14ac:dyDescent="0.3">
      <c r="A822" s="5">
        <v>42830</v>
      </c>
      <c r="B822">
        <v>36.43</v>
      </c>
      <c r="C822">
        <v>36.759998000000003</v>
      </c>
      <c r="D822">
        <v>36.169998</v>
      </c>
      <c r="E822">
        <v>36.220001000000003</v>
      </c>
      <c r="F822">
        <v>30.091290000000001</v>
      </c>
      <c r="G822">
        <v>22455500</v>
      </c>
      <c r="I822">
        <f t="shared" si="13"/>
        <v>1.4334488387740381E-4</v>
      </c>
    </row>
    <row r="823" spans="1:9" x14ac:dyDescent="0.3">
      <c r="A823" s="5">
        <v>42831</v>
      </c>
      <c r="B823">
        <v>36.130001</v>
      </c>
      <c r="C823">
        <v>36.279998999999997</v>
      </c>
      <c r="D823">
        <v>36.029998999999997</v>
      </c>
      <c r="E823">
        <v>36.029998999999997</v>
      </c>
      <c r="F823">
        <v>29.933430000000001</v>
      </c>
      <c r="G823">
        <v>20198200</v>
      </c>
      <c r="I823">
        <f t="shared" si="13"/>
        <v>2.8647776713496165E-5</v>
      </c>
    </row>
    <row r="824" spans="1:9" x14ac:dyDescent="0.3">
      <c r="A824" s="5">
        <v>42832</v>
      </c>
      <c r="B824">
        <v>36.07</v>
      </c>
      <c r="C824">
        <v>36.32</v>
      </c>
      <c r="D824">
        <v>35.990001999999997</v>
      </c>
      <c r="E824">
        <v>36.029998999999997</v>
      </c>
      <c r="F824">
        <v>29.933430000000001</v>
      </c>
      <c r="G824">
        <v>15689500</v>
      </c>
      <c r="I824">
        <f t="shared" si="13"/>
        <v>5.783766886138694E-5</v>
      </c>
    </row>
    <row r="825" spans="1:9" x14ac:dyDescent="0.3">
      <c r="A825" s="5">
        <v>42835</v>
      </c>
      <c r="B825">
        <v>36.020000000000003</v>
      </c>
      <c r="C825">
        <v>36.090000000000003</v>
      </c>
      <c r="D825">
        <v>35.610000999999997</v>
      </c>
      <c r="E825">
        <v>35.799999</v>
      </c>
      <c r="F825">
        <v>29.742355</v>
      </c>
      <c r="G825">
        <v>19973700</v>
      </c>
      <c r="I825">
        <f t="shared" si="13"/>
        <v>7.6581474642689306E-5</v>
      </c>
    </row>
    <row r="826" spans="1:9" x14ac:dyDescent="0.3">
      <c r="A826" s="5">
        <v>42836</v>
      </c>
      <c r="B826">
        <v>35.770000000000003</v>
      </c>
      <c r="C826">
        <v>35.790000999999997</v>
      </c>
      <c r="D826">
        <v>35.209999000000003</v>
      </c>
      <c r="E826">
        <v>35.740001999999997</v>
      </c>
      <c r="F826">
        <v>29.692501</v>
      </c>
      <c r="G826">
        <v>22711800</v>
      </c>
      <c r="I826">
        <f t="shared" si="13"/>
        <v>2.3653370778411087E-4</v>
      </c>
    </row>
    <row r="827" spans="1:9" x14ac:dyDescent="0.3">
      <c r="A827" s="5">
        <v>42837</v>
      </c>
      <c r="B827">
        <v>35.869999</v>
      </c>
      <c r="C827">
        <v>36.009998000000003</v>
      </c>
      <c r="D827">
        <v>35.5</v>
      </c>
      <c r="E827">
        <v>35.630001</v>
      </c>
      <c r="F827">
        <v>29.601127999999999</v>
      </c>
      <c r="G827">
        <v>19289800</v>
      </c>
      <c r="I827">
        <f t="shared" si="13"/>
        <v>7.9224695724870264E-5</v>
      </c>
    </row>
    <row r="828" spans="1:9" x14ac:dyDescent="0.3">
      <c r="A828" s="5">
        <v>42838</v>
      </c>
      <c r="B828">
        <v>35.549999</v>
      </c>
      <c r="C828">
        <v>35.759998000000003</v>
      </c>
      <c r="D828">
        <v>35.25</v>
      </c>
      <c r="E828">
        <v>35.25</v>
      </c>
      <c r="F828">
        <v>29.285418</v>
      </c>
      <c r="G828">
        <v>15764000</v>
      </c>
      <c r="I828">
        <f t="shared" si="13"/>
        <v>8.4602752979551853E-5</v>
      </c>
    </row>
    <row r="829" spans="1:9" x14ac:dyDescent="0.3">
      <c r="A829" s="5">
        <v>42842</v>
      </c>
      <c r="B829">
        <v>35.439999</v>
      </c>
      <c r="C829">
        <v>35.590000000000003</v>
      </c>
      <c r="D829">
        <v>35.330002</v>
      </c>
      <c r="E829">
        <v>35.479999999999997</v>
      </c>
      <c r="F829">
        <v>29.476500999999999</v>
      </c>
      <c r="G829">
        <v>12560700</v>
      </c>
      <c r="I829">
        <f t="shared" si="13"/>
        <v>2.6244268476706356E-5</v>
      </c>
    </row>
    <row r="830" spans="1:9" x14ac:dyDescent="0.3">
      <c r="A830" s="5">
        <v>42843</v>
      </c>
      <c r="B830">
        <v>35.43</v>
      </c>
      <c r="C830">
        <v>35.810001</v>
      </c>
      <c r="D830">
        <v>35.299999</v>
      </c>
      <c r="E830">
        <v>35.770000000000003</v>
      </c>
      <c r="F830">
        <v>29.717426</v>
      </c>
      <c r="G830">
        <v>12321100</v>
      </c>
      <c r="I830">
        <f t="shared" si="13"/>
        <v>6.0544335367444273E-5</v>
      </c>
    </row>
    <row r="831" spans="1:9" x14ac:dyDescent="0.3">
      <c r="A831" s="5">
        <v>42844</v>
      </c>
      <c r="B831">
        <v>35.970001000000003</v>
      </c>
      <c r="C831">
        <v>36.220001000000003</v>
      </c>
      <c r="D831">
        <v>35.889999000000003</v>
      </c>
      <c r="E831">
        <v>35.909999999999997</v>
      </c>
      <c r="F831">
        <v>29.833735000000001</v>
      </c>
      <c r="G831">
        <v>16594600</v>
      </c>
      <c r="I831">
        <f t="shared" si="13"/>
        <v>6.0775807736558561E-5</v>
      </c>
    </row>
    <row r="832" spans="1:9" x14ac:dyDescent="0.3">
      <c r="A832" s="5">
        <v>42845</v>
      </c>
      <c r="B832">
        <v>36.18</v>
      </c>
      <c r="C832">
        <v>36.270000000000003</v>
      </c>
      <c r="D832">
        <v>35.860000999999997</v>
      </c>
      <c r="E832">
        <v>36.18</v>
      </c>
      <c r="F832">
        <v>30.058056000000001</v>
      </c>
      <c r="G832">
        <v>22968300</v>
      </c>
      <c r="I832">
        <f t="shared" si="13"/>
        <v>8.509777772130282E-5</v>
      </c>
    </row>
    <row r="833" spans="1:9" x14ac:dyDescent="0.3">
      <c r="A833" s="5">
        <v>42846</v>
      </c>
      <c r="B833">
        <v>36.200001</v>
      </c>
      <c r="C833">
        <v>36.419998</v>
      </c>
      <c r="D833">
        <v>35.849997999999999</v>
      </c>
      <c r="E833">
        <v>36.32</v>
      </c>
      <c r="F833">
        <v>30.174368000000001</v>
      </c>
      <c r="G833">
        <v>20390500</v>
      </c>
      <c r="I833">
        <f t="shared" si="13"/>
        <v>1.4320522413924312E-4</v>
      </c>
    </row>
    <row r="834" spans="1:9" x14ac:dyDescent="0.3">
      <c r="A834" s="5">
        <v>42849</v>
      </c>
      <c r="B834">
        <v>36.669998</v>
      </c>
      <c r="C834">
        <v>36.849997999999999</v>
      </c>
      <c r="D834">
        <v>36.459999000000003</v>
      </c>
      <c r="E834">
        <v>36.75</v>
      </c>
      <c r="F834">
        <v>30.531611999999999</v>
      </c>
      <c r="G834">
        <v>26305800</v>
      </c>
      <c r="I834">
        <f t="shared" si="13"/>
        <v>5.8806116766794136E-5</v>
      </c>
    </row>
    <row r="835" spans="1:9" x14ac:dyDescent="0.3">
      <c r="A835" s="5">
        <v>42850</v>
      </c>
      <c r="B835">
        <v>36.770000000000003</v>
      </c>
      <c r="C835">
        <v>37</v>
      </c>
      <c r="D835">
        <v>36.659999999999997</v>
      </c>
      <c r="E835">
        <v>36.869999</v>
      </c>
      <c r="F835">
        <v>30.6313</v>
      </c>
      <c r="G835">
        <v>22066800</v>
      </c>
      <c r="I835">
        <f t="shared" si="13"/>
        <v>3.9060956464039801E-5</v>
      </c>
    </row>
    <row r="836" spans="1:9" x14ac:dyDescent="0.3">
      <c r="A836" s="5">
        <v>42851</v>
      </c>
      <c r="B836">
        <v>36.779998999999997</v>
      </c>
      <c r="C836">
        <v>37.229999999999997</v>
      </c>
      <c r="D836">
        <v>36.779998999999997</v>
      </c>
      <c r="E836">
        <v>36.93</v>
      </c>
      <c r="F836">
        <v>30.681153999999999</v>
      </c>
      <c r="G836">
        <v>27241000</v>
      </c>
      <c r="I836">
        <f t="shared" si="13"/>
        <v>9.8388043951545549E-5</v>
      </c>
    </row>
    <row r="837" spans="1:9" x14ac:dyDescent="0.3">
      <c r="A837" s="5">
        <v>42852</v>
      </c>
      <c r="B837">
        <v>36.869999</v>
      </c>
      <c r="C837">
        <v>37.5</v>
      </c>
      <c r="D837">
        <v>36.779998999999997</v>
      </c>
      <c r="E837">
        <v>37.43</v>
      </c>
      <c r="F837">
        <v>31.096551999999999</v>
      </c>
      <c r="G837">
        <v>39890000</v>
      </c>
      <c r="I837">
        <f t="shared" si="13"/>
        <v>7.4470695579728212E-5</v>
      </c>
    </row>
    <row r="838" spans="1:9" x14ac:dyDescent="0.3">
      <c r="A838" s="5">
        <v>42853</v>
      </c>
      <c r="B838">
        <v>36.099997999999999</v>
      </c>
      <c r="C838">
        <v>36.490001999999997</v>
      </c>
      <c r="D838">
        <v>35.880001</v>
      </c>
      <c r="E838">
        <v>36.150002000000001</v>
      </c>
      <c r="F838">
        <v>30.033128999999999</v>
      </c>
      <c r="G838">
        <v>56769300</v>
      </c>
      <c r="I838">
        <f t="shared" si="13"/>
        <v>1.4641869427031281E-4</v>
      </c>
    </row>
    <row r="839" spans="1:9" x14ac:dyDescent="0.3">
      <c r="A839" s="5">
        <v>42856</v>
      </c>
      <c r="B839">
        <v>36.110000999999997</v>
      </c>
      <c r="C839">
        <v>36.400002000000001</v>
      </c>
      <c r="D839">
        <v>35.939999</v>
      </c>
      <c r="E839">
        <v>36.310001</v>
      </c>
      <c r="F839">
        <v>30.166056000000001</v>
      </c>
      <c r="G839">
        <v>24825600</v>
      </c>
      <c r="I839">
        <f t="shared" si="13"/>
        <v>6.8136165657637658E-5</v>
      </c>
    </row>
    <row r="840" spans="1:9" x14ac:dyDescent="0.3">
      <c r="A840" s="5">
        <v>42857</v>
      </c>
      <c r="B840">
        <v>36.369999</v>
      </c>
      <c r="C840">
        <v>37.029998999999997</v>
      </c>
      <c r="D840">
        <v>36.349997999999999</v>
      </c>
      <c r="E840">
        <v>36.970001000000003</v>
      </c>
      <c r="F840">
        <v>30.714379999999998</v>
      </c>
      <c r="G840">
        <v>35813000</v>
      </c>
      <c r="I840">
        <f t="shared" si="13"/>
        <v>3.8465852857065716E-5</v>
      </c>
    </row>
    <row r="841" spans="1:9" x14ac:dyDescent="0.3">
      <c r="A841" s="5">
        <v>42858</v>
      </c>
      <c r="B841">
        <v>36.720001000000003</v>
      </c>
      <c r="C841">
        <v>37.169998</v>
      </c>
      <c r="D841">
        <v>36.619999</v>
      </c>
      <c r="E841">
        <v>36.979999999999997</v>
      </c>
      <c r="F841">
        <v>30.951246000000001</v>
      </c>
      <c r="G841">
        <v>22040300</v>
      </c>
      <c r="I841">
        <f t="shared" si="13"/>
        <v>8.9098885000225169E-5</v>
      </c>
    </row>
    <row r="842" spans="1:9" x14ac:dyDescent="0.3">
      <c r="A842" s="5">
        <v>42859</v>
      </c>
      <c r="B842">
        <v>36.990001999999997</v>
      </c>
      <c r="C842">
        <v>37.110000999999997</v>
      </c>
      <c r="D842">
        <v>36.639999000000003</v>
      </c>
      <c r="E842">
        <v>36.849997999999999</v>
      </c>
      <c r="F842">
        <v>30.842434000000001</v>
      </c>
      <c r="G842">
        <v>16437100</v>
      </c>
      <c r="I842">
        <f t="shared" si="13"/>
        <v>7.710593724950766E-5</v>
      </c>
    </row>
    <row r="843" spans="1:9" x14ac:dyDescent="0.3">
      <c r="A843" s="5">
        <v>42860</v>
      </c>
      <c r="B843">
        <v>36.860000999999997</v>
      </c>
      <c r="C843">
        <v>36.93</v>
      </c>
      <c r="D843">
        <v>36.5</v>
      </c>
      <c r="E843">
        <v>36.82</v>
      </c>
      <c r="F843">
        <v>30.817330999999999</v>
      </c>
      <c r="G843">
        <v>18119200</v>
      </c>
      <c r="I843">
        <f t="shared" si="13"/>
        <v>9.1331444034829153E-5</v>
      </c>
    </row>
    <row r="844" spans="1:9" x14ac:dyDescent="0.3">
      <c r="A844" s="5">
        <v>42863</v>
      </c>
      <c r="B844">
        <v>36.729999999999997</v>
      </c>
      <c r="C844">
        <v>36.849997999999999</v>
      </c>
      <c r="D844">
        <v>36.479999999999997</v>
      </c>
      <c r="E844">
        <v>36.540000999999997</v>
      </c>
      <c r="F844">
        <v>30.582972000000002</v>
      </c>
      <c r="G844">
        <v>17660200</v>
      </c>
      <c r="I844">
        <f t="shared" ref="I844:I907" si="14">LN(C844/B844)*(LN(C844/B844)-LN(E844/B844))+LN(D844/B844)*(LN(D844/B844)-LN(E844/B844))</f>
        <v>3.8778844038423016E-5</v>
      </c>
    </row>
    <row r="845" spans="1:9" x14ac:dyDescent="0.3">
      <c r="A845" s="5">
        <v>42864</v>
      </c>
      <c r="B845">
        <v>36.479999999999997</v>
      </c>
      <c r="C845">
        <v>36.75</v>
      </c>
      <c r="D845">
        <v>36.279998999999997</v>
      </c>
      <c r="E845">
        <v>36.369999</v>
      </c>
      <c r="F845">
        <v>30.440684999999998</v>
      </c>
      <c r="G845">
        <v>17819100</v>
      </c>
      <c r="I845">
        <f t="shared" si="14"/>
        <v>9.0266900467780533E-5</v>
      </c>
    </row>
    <row r="846" spans="1:9" x14ac:dyDescent="0.3">
      <c r="A846" s="5">
        <v>42865</v>
      </c>
      <c r="B846">
        <v>36.270000000000003</v>
      </c>
      <c r="C846">
        <v>36.380001</v>
      </c>
      <c r="D846">
        <v>35.93</v>
      </c>
      <c r="E846">
        <v>36.009998000000003</v>
      </c>
      <c r="F846">
        <v>30.139381</v>
      </c>
      <c r="G846">
        <v>25133800</v>
      </c>
      <c r="I846">
        <f t="shared" si="14"/>
        <v>5.1903108400579495E-5</v>
      </c>
    </row>
    <row r="847" spans="1:9" x14ac:dyDescent="0.3">
      <c r="A847" s="5">
        <v>42866</v>
      </c>
      <c r="B847">
        <v>35.909999999999997</v>
      </c>
      <c r="C847">
        <v>36</v>
      </c>
      <c r="D847">
        <v>35.450001</v>
      </c>
      <c r="E847">
        <v>35.689999</v>
      </c>
      <c r="F847">
        <v>29.871548000000001</v>
      </c>
      <c r="G847">
        <v>21508900</v>
      </c>
      <c r="I847">
        <f t="shared" si="14"/>
        <v>1.0863696722974214E-4</v>
      </c>
    </row>
    <row r="848" spans="1:9" x14ac:dyDescent="0.3">
      <c r="A848" s="5">
        <v>42867</v>
      </c>
      <c r="B848">
        <v>35.720001000000003</v>
      </c>
      <c r="C848">
        <v>35.740001999999997</v>
      </c>
      <c r="D848">
        <v>35.400002000000001</v>
      </c>
      <c r="E848">
        <v>35.529998999999997</v>
      </c>
      <c r="F848">
        <v>29.737636999999999</v>
      </c>
      <c r="G848">
        <v>19730800</v>
      </c>
      <c r="I848">
        <f t="shared" si="14"/>
        <v>3.6284438577135723E-5</v>
      </c>
    </row>
    <row r="849" spans="1:9" x14ac:dyDescent="0.3">
      <c r="A849" s="5">
        <v>42870</v>
      </c>
      <c r="B849">
        <v>35.529998999999997</v>
      </c>
      <c r="C849">
        <v>35.720001000000003</v>
      </c>
      <c r="D849">
        <v>35.419998</v>
      </c>
      <c r="E849">
        <v>35.630001</v>
      </c>
      <c r="F849">
        <v>29.821338999999998</v>
      </c>
      <c r="G849">
        <v>22120100</v>
      </c>
      <c r="I849">
        <f t="shared" si="14"/>
        <v>3.1785183729806286E-5</v>
      </c>
    </row>
    <row r="850" spans="1:9" x14ac:dyDescent="0.3">
      <c r="A850" s="5">
        <v>42871</v>
      </c>
      <c r="B850">
        <v>35.75</v>
      </c>
      <c r="C850">
        <v>35.889999000000003</v>
      </c>
      <c r="D850">
        <v>35.419998</v>
      </c>
      <c r="E850">
        <v>35.82</v>
      </c>
      <c r="F850">
        <v>29.980353999999998</v>
      </c>
      <c r="G850">
        <v>22291800</v>
      </c>
      <c r="I850">
        <f t="shared" si="14"/>
        <v>1.1177222250254394E-4</v>
      </c>
    </row>
    <row r="851" spans="1:9" x14ac:dyDescent="0.3">
      <c r="A851" s="5">
        <v>42872</v>
      </c>
      <c r="B851">
        <v>35.669998</v>
      </c>
      <c r="C851">
        <v>35.990001999999997</v>
      </c>
      <c r="D851">
        <v>35.020000000000003</v>
      </c>
      <c r="E851">
        <v>35.040000999999997</v>
      </c>
      <c r="F851">
        <v>29.327521999999998</v>
      </c>
      <c r="G851">
        <v>26670200</v>
      </c>
      <c r="I851">
        <f t="shared" si="14"/>
        <v>2.4941885479705443E-4</v>
      </c>
    </row>
    <row r="852" spans="1:9" x14ac:dyDescent="0.3">
      <c r="A852" s="5">
        <v>42873</v>
      </c>
      <c r="B852">
        <v>35.189999</v>
      </c>
      <c r="C852">
        <v>35.470001000000003</v>
      </c>
      <c r="D852">
        <v>35.080002</v>
      </c>
      <c r="E852">
        <v>35.220001000000003</v>
      </c>
      <c r="F852">
        <v>29.478178</v>
      </c>
      <c r="G852">
        <v>17171900</v>
      </c>
      <c r="I852">
        <f t="shared" si="14"/>
        <v>6.8526762925434526E-5</v>
      </c>
    </row>
    <row r="853" spans="1:9" x14ac:dyDescent="0.3">
      <c r="A853" s="5">
        <v>42874</v>
      </c>
      <c r="B853">
        <v>35.150002000000001</v>
      </c>
      <c r="C853">
        <v>35.549999</v>
      </c>
      <c r="D853">
        <v>35.130001</v>
      </c>
      <c r="E853">
        <v>35.400002000000001</v>
      </c>
      <c r="F853">
        <v>29.628826</v>
      </c>
      <c r="G853">
        <v>18340100</v>
      </c>
      <c r="I853">
        <f t="shared" si="14"/>
        <v>5.2202443378465452E-5</v>
      </c>
    </row>
    <row r="854" spans="1:9" x14ac:dyDescent="0.3">
      <c r="A854" s="5">
        <v>42877</v>
      </c>
      <c r="B854">
        <v>35.479999999999997</v>
      </c>
      <c r="C854">
        <v>36.110000999999997</v>
      </c>
      <c r="D854">
        <v>35.380001</v>
      </c>
      <c r="E854">
        <v>35.770000000000003</v>
      </c>
      <c r="F854">
        <v>29.938504999999999</v>
      </c>
      <c r="G854">
        <v>14638100</v>
      </c>
      <c r="I854">
        <f t="shared" si="14"/>
        <v>1.9745007805764059E-4</v>
      </c>
    </row>
    <row r="855" spans="1:9" x14ac:dyDescent="0.3">
      <c r="A855" s="5">
        <v>42878</v>
      </c>
      <c r="B855">
        <v>35.869999</v>
      </c>
      <c r="C855">
        <v>35.990001999999997</v>
      </c>
      <c r="D855">
        <v>35.560001</v>
      </c>
      <c r="E855">
        <v>35.860000999999997</v>
      </c>
      <c r="F855">
        <v>30.013838</v>
      </c>
      <c r="G855">
        <v>16903700</v>
      </c>
      <c r="I855">
        <f t="shared" si="14"/>
        <v>8.5005791611493156E-5</v>
      </c>
    </row>
    <row r="856" spans="1:9" x14ac:dyDescent="0.3">
      <c r="A856" s="5">
        <v>42879</v>
      </c>
      <c r="B856">
        <v>35.979999999999997</v>
      </c>
      <c r="C856">
        <v>36.18</v>
      </c>
      <c r="D856">
        <v>35.889999000000003</v>
      </c>
      <c r="E856">
        <v>36.119999</v>
      </c>
      <c r="F856">
        <v>30.231442999999999</v>
      </c>
      <c r="G856">
        <v>20640600</v>
      </c>
      <c r="I856">
        <f t="shared" si="14"/>
        <v>2.5199705169746875E-5</v>
      </c>
    </row>
    <row r="857" spans="1:9" x14ac:dyDescent="0.3">
      <c r="A857" s="5">
        <v>42880</v>
      </c>
      <c r="B857">
        <v>36.119999</v>
      </c>
      <c r="C857">
        <v>36.389999000000003</v>
      </c>
      <c r="D857">
        <v>36.060001</v>
      </c>
      <c r="E857">
        <v>36.259998000000003</v>
      </c>
      <c r="F857">
        <v>30.348617999999998</v>
      </c>
      <c r="G857">
        <v>13148500</v>
      </c>
      <c r="I857">
        <f t="shared" si="14"/>
        <v>3.5847472505853248E-5</v>
      </c>
    </row>
    <row r="858" spans="1:9" x14ac:dyDescent="0.3">
      <c r="A858" s="5">
        <v>42881</v>
      </c>
      <c r="B858">
        <v>36.259998000000003</v>
      </c>
      <c r="C858">
        <v>36.330002</v>
      </c>
      <c r="D858">
        <v>36.130001</v>
      </c>
      <c r="E858">
        <v>36.259998000000003</v>
      </c>
      <c r="F858">
        <v>30.348617999999998</v>
      </c>
      <c r="G858">
        <v>11145500</v>
      </c>
      <c r="I858">
        <f t="shared" si="14"/>
        <v>1.6619508594432402E-5</v>
      </c>
    </row>
    <row r="859" spans="1:9" x14ac:dyDescent="0.3">
      <c r="A859" s="5">
        <v>42885</v>
      </c>
      <c r="B859">
        <v>36.270000000000003</v>
      </c>
      <c r="C859">
        <v>36.439999</v>
      </c>
      <c r="D859">
        <v>36.090000000000003</v>
      </c>
      <c r="E859">
        <v>36.18</v>
      </c>
      <c r="F859">
        <v>30.281666000000001</v>
      </c>
      <c r="G859">
        <v>13026900</v>
      </c>
      <c r="I859">
        <f t="shared" si="14"/>
        <v>4.5874833527852854E-5</v>
      </c>
    </row>
    <row r="860" spans="1:9" x14ac:dyDescent="0.3">
      <c r="A860" s="5">
        <v>42886</v>
      </c>
      <c r="B860">
        <v>36.310001</v>
      </c>
      <c r="C860">
        <v>36.380001</v>
      </c>
      <c r="D860">
        <v>35.869999</v>
      </c>
      <c r="E860">
        <v>36.110000999999997</v>
      </c>
      <c r="F860">
        <v>30.223075999999999</v>
      </c>
      <c r="G860">
        <v>17741900</v>
      </c>
      <c r="I860">
        <f t="shared" si="14"/>
        <v>9.5650556696106552E-5</v>
      </c>
    </row>
    <row r="861" spans="1:9" x14ac:dyDescent="0.3">
      <c r="A861" s="5">
        <v>42887</v>
      </c>
      <c r="B861">
        <v>36.119999</v>
      </c>
      <c r="C861">
        <v>36.130001</v>
      </c>
      <c r="D861">
        <v>35.799999</v>
      </c>
      <c r="E861">
        <v>36.119999</v>
      </c>
      <c r="F861">
        <v>30.231442999999999</v>
      </c>
      <c r="G861">
        <v>17510900</v>
      </c>
      <c r="I861">
        <f t="shared" si="14"/>
        <v>7.9265929381198988E-5</v>
      </c>
    </row>
    <row r="862" spans="1:9" x14ac:dyDescent="0.3">
      <c r="A862" s="5">
        <v>42888</v>
      </c>
      <c r="B862">
        <v>36.270000000000003</v>
      </c>
      <c r="C862">
        <v>36.330002</v>
      </c>
      <c r="D862">
        <v>36</v>
      </c>
      <c r="E862">
        <v>36.32</v>
      </c>
      <c r="F862">
        <v>30.398848000000001</v>
      </c>
      <c r="G862">
        <v>19127400</v>
      </c>
      <c r="I862">
        <f t="shared" si="14"/>
        <v>6.6579591847069699E-5</v>
      </c>
    </row>
    <row r="863" spans="1:9" x14ac:dyDescent="0.3">
      <c r="A863" s="5">
        <v>42891</v>
      </c>
      <c r="B863">
        <v>36.299999</v>
      </c>
      <c r="C863">
        <v>36.5</v>
      </c>
      <c r="D863">
        <v>36.200001</v>
      </c>
      <c r="E863">
        <v>36.340000000000003</v>
      </c>
      <c r="F863">
        <v>30.415581</v>
      </c>
      <c r="G863">
        <v>11685700</v>
      </c>
      <c r="I863">
        <f t="shared" si="14"/>
        <v>3.4786469557979029E-5</v>
      </c>
    </row>
    <row r="864" spans="1:9" x14ac:dyDescent="0.3">
      <c r="A864" s="5">
        <v>42892</v>
      </c>
      <c r="B864">
        <v>36.159999999999997</v>
      </c>
      <c r="C864">
        <v>36.450001</v>
      </c>
      <c r="D864">
        <v>35.979999999999997</v>
      </c>
      <c r="E864">
        <v>36.130001</v>
      </c>
      <c r="F864">
        <v>30.239816999999999</v>
      </c>
      <c r="G864">
        <v>18420900</v>
      </c>
      <c r="I864">
        <f t="shared" si="14"/>
        <v>9.1198447152129536E-5</v>
      </c>
    </row>
    <row r="865" spans="1:9" x14ac:dyDescent="0.3">
      <c r="A865" s="5">
        <v>42893</v>
      </c>
      <c r="B865">
        <v>36.130001</v>
      </c>
      <c r="C865">
        <v>36.57</v>
      </c>
      <c r="D865">
        <v>36.099997999999999</v>
      </c>
      <c r="E865">
        <v>36.259998000000003</v>
      </c>
      <c r="F865">
        <v>30.348617999999998</v>
      </c>
      <c r="G865">
        <v>17192000</v>
      </c>
      <c r="I865">
        <f t="shared" si="14"/>
        <v>1.0672187350418966E-4</v>
      </c>
    </row>
    <row r="866" spans="1:9" x14ac:dyDescent="0.3">
      <c r="A866" s="5">
        <v>42894</v>
      </c>
      <c r="B866">
        <v>36.340000000000003</v>
      </c>
      <c r="C866">
        <v>36.529998999999997</v>
      </c>
      <c r="D866">
        <v>36.159999999999997</v>
      </c>
      <c r="E866">
        <v>36.479999999999997</v>
      </c>
      <c r="F866">
        <v>30.532751000000001</v>
      </c>
      <c r="G866">
        <v>17154200</v>
      </c>
      <c r="I866">
        <f t="shared" si="14"/>
        <v>5.0891797210265309E-5</v>
      </c>
    </row>
    <row r="867" spans="1:9" x14ac:dyDescent="0.3">
      <c r="A867" s="5">
        <v>42895</v>
      </c>
      <c r="B867">
        <v>36.5</v>
      </c>
      <c r="C867">
        <v>36.560001</v>
      </c>
      <c r="D867">
        <v>35.310001</v>
      </c>
      <c r="E867">
        <v>35.709999000000003</v>
      </c>
      <c r="F867">
        <v>29.888287999999999</v>
      </c>
      <c r="G867">
        <v>33322100</v>
      </c>
      <c r="I867">
        <f t="shared" si="14"/>
        <v>4.1201176441027937E-4</v>
      </c>
    </row>
    <row r="868" spans="1:9" x14ac:dyDescent="0.3">
      <c r="A868" s="5">
        <v>42898</v>
      </c>
      <c r="B868">
        <v>35.590000000000003</v>
      </c>
      <c r="C868">
        <v>36.009998000000003</v>
      </c>
      <c r="D868">
        <v>35.409999999999997</v>
      </c>
      <c r="E868">
        <v>35.729999999999997</v>
      </c>
      <c r="F868">
        <v>29.905024000000001</v>
      </c>
      <c r="G868">
        <v>28488300</v>
      </c>
      <c r="I868">
        <f t="shared" si="14"/>
        <v>1.3719447920760357E-4</v>
      </c>
    </row>
    <row r="869" spans="1:9" x14ac:dyDescent="0.3">
      <c r="A869" s="5">
        <v>42899</v>
      </c>
      <c r="B869">
        <v>35.68</v>
      </c>
      <c r="C869">
        <v>35.950001</v>
      </c>
      <c r="D869">
        <v>35.529998999999997</v>
      </c>
      <c r="E869">
        <v>35.880001</v>
      </c>
      <c r="F869">
        <v>30.030573</v>
      </c>
      <c r="G869">
        <v>20588200</v>
      </c>
      <c r="I869">
        <f t="shared" si="14"/>
        <v>5.5991460350112414E-5</v>
      </c>
    </row>
    <row r="870" spans="1:9" x14ac:dyDescent="0.3">
      <c r="A870" s="5">
        <v>42900</v>
      </c>
      <c r="B870">
        <v>35.990001999999997</v>
      </c>
      <c r="C870">
        <v>36.049999</v>
      </c>
      <c r="D870">
        <v>35.220001000000003</v>
      </c>
      <c r="E870">
        <v>35.529998999999997</v>
      </c>
      <c r="F870">
        <v>29.737636999999999</v>
      </c>
      <c r="G870">
        <v>19149000</v>
      </c>
      <c r="I870">
        <f t="shared" si="14"/>
        <v>2.1372432810356593E-4</v>
      </c>
    </row>
    <row r="871" spans="1:9" x14ac:dyDescent="0.3">
      <c r="A871" s="5">
        <v>42901</v>
      </c>
      <c r="B871">
        <v>35.209999000000003</v>
      </c>
      <c r="C871">
        <v>35.479999999999997</v>
      </c>
      <c r="D871">
        <v>35.139999000000003</v>
      </c>
      <c r="E871">
        <v>35.310001</v>
      </c>
      <c r="F871">
        <v>29.553491999999999</v>
      </c>
      <c r="G871">
        <v>20410000</v>
      </c>
      <c r="I871">
        <f t="shared" si="14"/>
        <v>4.6294102246525334E-5</v>
      </c>
    </row>
    <row r="872" spans="1:9" x14ac:dyDescent="0.3">
      <c r="A872" s="5">
        <v>42902</v>
      </c>
      <c r="B872">
        <v>35.279998999999997</v>
      </c>
      <c r="C872">
        <v>35.330002</v>
      </c>
      <c r="D872">
        <v>35.009998000000003</v>
      </c>
      <c r="E872">
        <v>35.209999000000003</v>
      </c>
      <c r="F872">
        <v>29.469792999999999</v>
      </c>
      <c r="G872">
        <v>30762800</v>
      </c>
      <c r="I872">
        <f t="shared" si="14"/>
        <v>4.8581831511395831E-5</v>
      </c>
    </row>
    <row r="873" spans="1:9" x14ac:dyDescent="0.3">
      <c r="A873" s="5">
        <v>42905</v>
      </c>
      <c r="B873">
        <v>35.610000999999997</v>
      </c>
      <c r="C873">
        <v>35.610000999999997</v>
      </c>
      <c r="D873">
        <v>35.32</v>
      </c>
      <c r="E873">
        <v>35.509998000000003</v>
      </c>
      <c r="F873">
        <v>29.720887999999999</v>
      </c>
      <c r="G873">
        <v>21583800</v>
      </c>
      <c r="I873">
        <f t="shared" si="14"/>
        <v>4.3869711897374475E-5</v>
      </c>
    </row>
    <row r="874" spans="1:9" x14ac:dyDescent="0.3">
      <c r="A874" s="5">
        <v>42906</v>
      </c>
      <c r="B874">
        <v>35.450001</v>
      </c>
      <c r="C874">
        <v>35.450001</v>
      </c>
      <c r="D874">
        <v>34.840000000000003</v>
      </c>
      <c r="E874">
        <v>34.860000999999997</v>
      </c>
      <c r="F874">
        <v>29.176867999999999</v>
      </c>
      <c r="G874">
        <v>21536500</v>
      </c>
      <c r="I874">
        <f t="shared" si="14"/>
        <v>9.9615479405704785E-6</v>
      </c>
    </row>
    <row r="875" spans="1:9" x14ac:dyDescent="0.3">
      <c r="A875" s="5">
        <v>42907</v>
      </c>
      <c r="B875">
        <v>34.330002</v>
      </c>
      <c r="C875">
        <v>34.599997999999999</v>
      </c>
      <c r="D875">
        <v>34.090000000000003</v>
      </c>
      <c r="E875">
        <v>34.580002</v>
      </c>
      <c r="F875">
        <v>28.942511</v>
      </c>
      <c r="G875">
        <v>27138500</v>
      </c>
      <c r="I875">
        <f t="shared" si="14"/>
        <v>1.0465120986211413E-4</v>
      </c>
    </row>
    <row r="876" spans="1:9" x14ac:dyDescent="0.3">
      <c r="A876" s="5">
        <v>42908</v>
      </c>
      <c r="B876">
        <v>34.560001</v>
      </c>
      <c r="C876">
        <v>34.630001</v>
      </c>
      <c r="D876">
        <v>34.290000999999997</v>
      </c>
      <c r="E876">
        <v>34.360000999999997</v>
      </c>
      <c r="F876">
        <v>28.758379000000001</v>
      </c>
      <c r="G876">
        <v>24602900</v>
      </c>
      <c r="I876">
        <f t="shared" si="14"/>
        <v>3.1832624111026344E-5</v>
      </c>
    </row>
    <row r="877" spans="1:9" x14ac:dyDescent="0.3">
      <c r="A877" s="5">
        <v>42909</v>
      </c>
      <c r="B877">
        <v>34.209999000000003</v>
      </c>
      <c r="C877">
        <v>34.549999</v>
      </c>
      <c r="D877">
        <v>34.099997999999999</v>
      </c>
      <c r="E877">
        <v>34.189999</v>
      </c>
      <c r="F877">
        <v>28.616081000000001</v>
      </c>
      <c r="G877">
        <v>29260900</v>
      </c>
      <c r="I877">
        <f t="shared" si="14"/>
        <v>1.1207572372019651E-4</v>
      </c>
    </row>
    <row r="878" spans="1:9" x14ac:dyDescent="0.3">
      <c r="A878" s="5">
        <v>42912</v>
      </c>
      <c r="B878">
        <v>34.259998000000003</v>
      </c>
      <c r="C878">
        <v>34.509998000000003</v>
      </c>
      <c r="D878">
        <v>34.029998999999997</v>
      </c>
      <c r="E878">
        <v>34.07</v>
      </c>
      <c r="F878">
        <v>28.515654000000001</v>
      </c>
      <c r="G878">
        <v>18854800</v>
      </c>
      <c r="I878">
        <f t="shared" si="14"/>
        <v>1.0120904204190351E-4</v>
      </c>
    </row>
    <row r="879" spans="1:9" x14ac:dyDescent="0.3">
      <c r="A879" s="5">
        <v>42913</v>
      </c>
      <c r="B879">
        <v>34</v>
      </c>
      <c r="C879">
        <v>34.150002000000001</v>
      </c>
      <c r="D879">
        <v>33.650002000000001</v>
      </c>
      <c r="E879">
        <v>33.650002000000001</v>
      </c>
      <c r="F879">
        <v>28.164131000000001</v>
      </c>
      <c r="G879">
        <v>27078900</v>
      </c>
      <c r="I879">
        <f t="shared" si="14"/>
        <v>6.4929196342760479E-5</v>
      </c>
    </row>
    <row r="880" spans="1:9" x14ac:dyDescent="0.3">
      <c r="A880" s="5">
        <v>42914</v>
      </c>
      <c r="B880">
        <v>33.770000000000003</v>
      </c>
      <c r="C880">
        <v>34.240001999999997</v>
      </c>
      <c r="D880">
        <v>33.740001999999997</v>
      </c>
      <c r="E880">
        <v>34.200001</v>
      </c>
      <c r="F880">
        <v>28.624462000000001</v>
      </c>
      <c r="G880">
        <v>25940100</v>
      </c>
      <c r="I880">
        <f t="shared" si="14"/>
        <v>2.8191112730614562E-5</v>
      </c>
    </row>
    <row r="881" spans="1:9" x14ac:dyDescent="0.3">
      <c r="A881" s="5">
        <v>42915</v>
      </c>
      <c r="B881">
        <v>33.919998</v>
      </c>
      <c r="C881">
        <v>34.099997999999999</v>
      </c>
      <c r="D881">
        <v>33.340000000000003</v>
      </c>
      <c r="E881">
        <v>33.540000999999997</v>
      </c>
      <c r="F881">
        <v>28.07206</v>
      </c>
      <c r="G881">
        <v>25215700</v>
      </c>
      <c r="I881">
        <f t="shared" si="14"/>
        <v>1.9078927571731505E-4</v>
      </c>
    </row>
    <row r="882" spans="1:9" x14ac:dyDescent="0.3">
      <c r="A882" s="5">
        <v>42916</v>
      </c>
      <c r="B882">
        <v>33.869999</v>
      </c>
      <c r="C882">
        <v>33.93</v>
      </c>
      <c r="D882">
        <v>33.529998999999997</v>
      </c>
      <c r="E882">
        <v>33.740001999999997</v>
      </c>
      <c r="F882">
        <v>28.239457999999999</v>
      </c>
      <c r="G882">
        <v>24432000</v>
      </c>
      <c r="I882">
        <f t="shared" si="14"/>
        <v>7.2931408700060228E-5</v>
      </c>
    </row>
    <row r="883" spans="1:9" x14ac:dyDescent="0.3">
      <c r="A883" s="5">
        <v>42919</v>
      </c>
      <c r="B883">
        <v>33.509998000000003</v>
      </c>
      <c r="C883">
        <v>34.029998999999997</v>
      </c>
      <c r="D883">
        <v>33.43</v>
      </c>
      <c r="E883">
        <v>33.459999000000003</v>
      </c>
      <c r="F883">
        <v>28.005108</v>
      </c>
      <c r="G883">
        <v>12676900</v>
      </c>
      <c r="I883">
        <f t="shared" si="14"/>
        <v>2.6225413285483197E-4</v>
      </c>
    </row>
    <row r="884" spans="1:9" x14ac:dyDescent="0.3">
      <c r="A884" s="5">
        <v>42921</v>
      </c>
      <c r="B884">
        <v>33.520000000000003</v>
      </c>
      <c r="C884">
        <v>34.43</v>
      </c>
      <c r="D884">
        <v>33.490001999999997</v>
      </c>
      <c r="E884">
        <v>34.340000000000003</v>
      </c>
      <c r="F884">
        <v>28.74164</v>
      </c>
      <c r="G884">
        <v>30010800</v>
      </c>
      <c r="I884">
        <f t="shared" si="14"/>
        <v>9.2550713800283149E-5</v>
      </c>
    </row>
    <row r="885" spans="1:9" x14ac:dyDescent="0.3">
      <c r="A885" s="5">
        <v>42922</v>
      </c>
      <c r="B885">
        <v>34.119999</v>
      </c>
      <c r="C885">
        <v>34.290000999999997</v>
      </c>
      <c r="D885">
        <v>33.560001</v>
      </c>
      <c r="E885">
        <v>33.630001</v>
      </c>
      <c r="F885">
        <v>28.147392</v>
      </c>
      <c r="G885">
        <v>20733200</v>
      </c>
      <c r="I885">
        <f t="shared" si="14"/>
        <v>1.3107690387401523E-4</v>
      </c>
    </row>
    <row r="886" spans="1:9" x14ac:dyDescent="0.3">
      <c r="A886" s="5">
        <v>42923</v>
      </c>
      <c r="B886">
        <v>33.700001</v>
      </c>
      <c r="C886">
        <v>34.119999</v>
      </c>
      <c r="D886">
        <v>33.700001</v>
      </c>
      <c r="E886">
        <v>33.880001</v>
      </c>
      <c r="F886">
        <v>28.356634</v>
      </c>
      <c r="G886">
        <v>18304500</v>
      </c>
      <c r="I886">
        <f t="shared" si="14"/>
        <v>8.7428996443513426E-5</v>
      </c>
    </row>
    <row r="887" spans="1:9" x14ac:dyDescent="0.3">
      <c r="A887" s="5">
        <v>42926</v>
      </c>
      <c r="B887">
        <v>33.25</v>
      </c>
      <c r="C887">
        <v>33.740001999999997</v>
      </c>
      <c r="D887">
        <v>33.229999999999997</v>
      </c>
      <c r="E887">
        <v>33.650002000000001</v>
      </c>
      <c r="F887">
        <v>28.164131000000001</v>
      </c>
      <c r="G887">
        <v>29918400</v>
      </c>
      <c r="I887">
        <f t="shared" si="14"/>
        <v>4.6632530902401295E-5</v>
      </c>
    </row>
    <row r="888" spans="1:9" x14ac:dyDescent="0.3">
      <c r="A888" s="5">
        <v>42927</v>
      </c>
      <c r="B888">
        <v>33.639999000000003</v>
      </c>
      <c r="C888">
        <v>33.93</v>
      </c>
      <c r="D888">
        <v>33.43</v>
      </c>
      <c r="E888">
        <v>33.919998</v>
      </c>
      <c r="F888">
        <v>28.390105999999999</v>
      </c>
      <c r="G888">
        <v>25737500</v>
      </c>
      <c r="I888">
        <f t="shared" si="14"/>
        <v>9.3650938501798627E-5</v>
      </c>
    </row>
    <row r="889" spans="1:9" x14ac:dyDescent="0.3">
      <c r="A889" s="5">
        <v>42928</v>
      </c>
      <c r="B889">
        <v>34.279998999999997</v>
      </c>
      <c r="C889">
        <v>34.389999000000003</v>
      </c>
      <c r="D889">
        <v>33.939999</v>
      </c>
      <c r="E889">
        <v>34.25</v>
      </c>
      <c r="F889">
        <v>28.666307</v>
      </c>
      <c r="G889">
        <v>23768300</v>
      </c>
      <c r="I889">
        <f t="shared" si="14"/>
        <v>1.0369963852409501E-4</v>
      </c>
    </row>
    <row r="890" spans="1:9" x14ac:dyDescent="0.3">
      <c r="A890" s="5">
        <v>42929</v>
      </c>
      <c r="B890">
        <v>34.330002</v>
      </c>
      <c r="C890">
        <v>34.400002000000001</v>
      </c>
      <c r="D890">
        <v>34.119999</v>
      </c>
      <c r="E890">
        <v>34.240001999999997</v>
      </c>
      <c r="F890">
        <v>28.657941999999998</v>
      </c>
      <c r="G890">
        <v>15046200</v>
      </c>
      <c r="I890">
        <f t="shared" si="14"/>
        <v>3.1039204689721206E-5</v>
      </c>
    </row>
    <row r="891" spans="1:9" x14ac:dyDescent="0.3">
      <c r="A891" s="5">
        <v>42930</v>
      </c>
      <c r="B891">
        <v>34.479999999999997</v>
      </c>
      <c r="C891">
        <v>34.709999000000003</v>
      </c>
      <c r="D891">
        <v>34.270000000000003</v>
      </c>
      <c r="E891">
        <v>34.68</v>
      </c>
      <c r="F891">
        <v>29.026206999999999</v>
      </c>
      <c r="G891">
        <v>16316400</v>
      </c>
      <c r="I891">
        <f t="shared" si="14"/>
        <v>7.8403014968459741E-5</v>
      </c>
    </row>
    <row r="892" spans="1:9" x14ac:dyDescent="0.3">
      <c r="A892" s="5">
        <v>42933</v>
      </c>
      <c r="B892">
        <v>34.740001999999997</v>
      </c>
      <c r="C892">
        <v>34.740001999999997</v>
      </c>
      <c r="D892">
        <v>34.360000999999997</v>
      </c>
      <c r="E892">
        <v>34.470001000000003</v>
      </c>
      <c r="F892">
        <v>28.850442999999999</v>
      </c>
      <c r="G892">
        <v>21044400</v>
      </c>
      <c r="I892">
        <f t="shared" si="14"/>
        <v>3.5154936303319228E-5</v>
      </c>
    </row>
    <row r="893" spans="1:9" x14ac:dyDescent="0.3">
      <c r="A893" s="5">
        <v>42934</v>
      </c>
      <c r="B893">
        <v>34.43</v>
      </c>
      <c r="C893">
        <v>34.580002</v>
      </c>
      <c r="D893">
        <v>34.25</v>
      </c>
      <c r="E893">
        <v>34.529998999999997</v>
      </c>
      <c r="F893">
        <v>28.900660999999999</v>
      </c>
      <c r="G893">
        <v>14362800</v>
      </c>
      <c r="I893">
        <f t="shared" si="14"/>
        <v>4.8968321334793094E-5</v>
      </c>
    </row>
    <row r="894" spans="1:9" x14ac:dyDescent="0.3">
      <c r="A894" s="5">
        <v>42935</v>
      </c>
      <c r="B894">
        <v>34.68</v>
      </c>
      <c r="C894">
        <v>34.68</v>
      </c>
      <c r="D894">
        <v>34.459999000000003</v>
      </c>
      <c r="E894">
        <v>34.560001</v>
      </c>
      <c r="F894">
        <v>28.92577</v>
      </c>
      <c r="G894">
        <v>17036200</v>
      </c>
      <c r="I894">
        <f t="shared" si="14"/>
        <v>1.844126793395914E-5</v>
      </c>
    </row>
    <row r="895" spans="1:9" x14ac:dyDescent="0.3">
      <c r="A895" s="5">
        <v>42936</v>
      </c>
      <c r="B895">
        <v>34.540000999999997</v>
      </c>
      <c r="C895">
        <v>34.840000000000003</v>
      </c>
      <c r="D895">
        <v>34.479999999999997</v>
      </c>
      <c r="E895">
        <v>34.75</v>
      </c>
      <c r="F895">
        <v>29.084790999999999</v>
      </c>
      <c r="G895">
        <v>17506200</v>
      </c>
      <c r="I895">
        <f t="shared" si="14"/>
        <v>3.5930609021412474E-5</v>
      </c>
    </row>
    <row r="896" spans="1:9" x14ac:dyDescent="0.3">
      <c r="A896" s="5">
        <v>42937</v>
      </c>
      <c r="B896">
        <v>34.540000999999997</v>
      </c>
      <c r="C896">
        <v>34.82</v>
      </c>
      <c r="D896">
        <v>34.400002000000001</v>
      </c>
      <c r="E896">
        <v>34.729999999999997</v>
      </c>
      <c r="F896">
        <v>29.068054</v>
      </c>
      <c r="G896">
        <v>22245000</v>
      </c>
      <c r="I896">
        <f t="shared" si="14"/>
        <v>5.9671558035312382E-5</v>
      </c>
    </row>
    <row r="897" spans="1:9" x14ac:dyDescent="0.3">
      <c r="A897" s="5">
        <v>42940</v>
      </c>
      <c r="B897">
        <v>34.729999999999997</v>
      </c>
      <c r="C897">
        <v>34.799999</v>
      </c>
      <c r="D897">
        <v>34.380001</v>
      </c>
      <c r="E897">
        <v>34.5</v>
      </c>
      <c r="F897">
        <v>28.875551000000002</v>
      </c>
      <c r="G897">
        <v>16146300</v>
      </c>
      <c r="I897">
        <f t="shared" si="14"/>
        <v>5.2724734615920428E-5</v>
      </c>
    </row>
    <row r="898" spans="1:9" x14ac:dyDescent="0.3">
      <c r="A898" s="5">
        <v>42941</v>
      </c>
      <c r="B898">
        <v>34.549999</v>
      </c>
      <c r="C898">
        <v>34.740001999999997</v>
      </c>
      <c r="D898">
        <v>34.400002000000001</v>
      </c>
      <c r="E898">
        <v>34.669998</v>
      </c>
      <c r="F898">
        <v>29.017835999999999</v>
      </c>
      <c r="G898">
        <v>18096700</v>
      </c>
      <c r="I898">
        <f t="shared" si="14"/>
        <v>4.5078137799131363E-5</v>
      </c>
    </row>
    <row r="899" spans="1:9" x14ac:dyDescent="0.3">
      <c r="A899" s="5">
        <v>42942</v>
      </c>
      <c r="B899">
        <v>34.700001</v>
      </c>
      <c r="C899">
        <v>34.970001000000003</v>
      </c>
      <c r="D899">
        <v>34.590000000000003</v>
      </c>
      <c r="E899">
        <v>34.75</v>
      </c>
      <c r="F899">
        <v>29.084790999999999</v>
      </c>
      <c r="G899">
        <v>15499300</v>
      </c>
      <c r="I899">
        <f t="shared" si="14"/>
        <v>6.3568653088181813E-5</v>
      </c>
    </row>
    <row r="900" spans="1:9" x14ac:dyDescent="0.3">
      <c r="A900" s="5">
        <v>42943</v>
      </c>
      <c r="B900">
        <v>34.779998999999997</v>
      </c>
      <c r="C900">
        <v>35.25</v>
      </c>
      <c r="D900">
        <v>34.669998</v>
      </c>
      <c r="E900">
        <v>34.970001000000003</v>
      </c>
      <c r="F900">
        <v>29.268930000000001</v>
      </c>
      <c r="G900">
        <v>43062800</v>
      </c>
      <c r="I900">
        <f t="shared" si="14"/>
        <v>1.3434132886857431E-4</v>
      </c>
    </row>
    <row r="901" spans="1:9" x14ac:dyDescent="0.3">
      <c r="A901" s="5">
        <v>42944</v>
      </c>
      <c r="B901">
        <v>35.130001</v>
      </c>
      <c r="C901">
        <v>35.860000999999997</v>
      </c>
      <c r="D901">
        <v>35</v>
      </c>
      <c r="E901">
        <v>35.310001</v>
      </c>
      <c r="F901">
        <v>29.553491999999999</v>
      </c>
      <c r="G901">
        <v>36291500</v>
      </c>
      <c r="I901">
        <f t="shared" si="14"/>
        <v>3.5058167642164107E-4</v>
      </c>
    </row>
    <row r="902" spans="1:9" x14ac:dyDescent="0.3">
      <c r="A902" s="5">
        <v>42947</v>
      </c>
      <c r="B902">
        <v>35.470001000000003</v>
      </c>
      <c r="C902">
        <v>35.740001999999997</v>
      </c>
      <c r="D902">
        <v>35.32</v>
      </c>
      <c r="E902">
        <v>35.470001000000003</v>
      </c>
      <c r="F902">
        <v>29.68741</v>
      </c>
      <c r="G902">
        <v>27057000</v>
      </c>
      <c r="I902">
        <f t="shared" si="14"/>
        <v>7.5465940826369499E-5</v>
      </c>
    </row>
    <row r="903" spans="1:9" x14ac:dyDescent="0.3">
      <c r="A903" s="5">
        <v>42948</v>
      </c>
      <c r="B903">
        <v>35.659999999999997</v>
      </c>
      <c r="C903">
        <v>36.43</v>
      </c>
      <c r="D903">
        <v>35.57</v>
      </c>
      <c r="E903">
        <v>36.349997999999999</v>
      </c>
      <c r="F903">
        <v>30.423950000000001</v>
      </c>
      <c r="G903">
        <v>38710200</v>
      </c>
      <c r="I903">
        <f t="shared" si="14"/>
        <v>1.0178089588512053E-4</v>
      </c>
    </row>
    <row r="904" spans="1:9" x14ac:dyDescent="0.3">
      <c r="A904" s="5">
        <v>42949</v>
      </c>
      <c r="B904">
        <v>36.330002</v>
      </c>
      <c r="C904">
        <v>36.669998</v>
      </c>
      <c r="D904">
        <v>36.060001</v>
      </c>
      <c r="E904">
        <v>36.639999000000003</v>
      </c>
      <c r="F904">
        <v>30.666671999999998</v>
      </c>
      <c r="G904">
        <v>35004300</v>
      </c>
      <c r="I904">
        <f t="shared" si="14"/>
        <v>1.266518168493626E-4</v>
      </c>
    </row>
    <row r="905" spans="1:9" x14ac:dyDescent="0.3">
      <c r="A905" s="5">
        <v>42950</v>
      </c>
      <c r="B905">
        <v>36.549999</v>
      </c>
      <c r="C905">
        <v>36.590000000000003</v>
      </c>
      <c r="D905">
        <v>36.150002000000001</v>
      </c>
      <c r="E905">
        <v>36.490001999999997</v>
      </c>
      <c r="F905">
        <v>30.770391</v>
      </c>
      <c r="G905">
        <v>26611300</v>
      </c>
      <c r="I905">
        <f t="shared" si="14"/>
        <v>1.0600663897843214E-4</v>
      </c>
    </row>
    <row r="906" spans="1:9" x14ac:dyDescent="0.3">
      <c r="A906" s="5">
        <v>42951</v>
      </c>
      <c r="B906">
        <v>36.450001</v>
      </c>
      <c r="C906">
        <v>36.560001</v>
      </c>
      <c r="D906">
        <v>36.099997999999999</v>
      </c>
      <c r="E906">
        <v>36.299999</v>
      </c>
      <c r="F906">
        <v>30.61018</v>
      </c>
      <c r="G906">
        <v>20520300</v>
      </c>
      <c r="I906">
        <f t="shared" si="14"/>
        <v>7.4814024544337746E-5</v>
      </c>
    </row>
    <row r="907" spans="1:9" x14ac:dyDescent="0.3">
      <c r="A907" s="5">
        <v>42954</v>
      </c>
      <c r="B907">
        <v>36.389999000000003</v>
      </c>
      <c r="C907">
        <v>36.549999</v>
      </c>
      <c r="D907">
        <v>36.220001000000003</v>
      </c>
      <c r="E907">
        <v>36.43</v>
      </c>
      <c r="F907">
        <v>30.719805000000001</v>
      </c>
      <c r="G907">
        <v>18169300</v>
      </c>
      <c r="I907">
        <f t="shared" si="14"/>
        <v>4.1497603037058073E-5</v>
      </c>
    </row>
    <row r="908" spans="1:9" x14ac:dyDescent="0.3">
      <c r="A908" s="5">
        <v>42955</v>
      </c>
      <c r="B908">
        <v>36.369999</v>
      </c>
      <c r="C908">
        <v>36.700001</v>
      </c>
      <c r="D908">
        <v>36.299999</v>
      </c>
      <c r="E908">
        <v>36.409999999999997</v>
      </c>
      <c r="F908">
        <v>30.702929000000001</v>
      </c>
      <c r="G908">
        <v>22819900</v>
      </c>
      <c r="I908">
        <f t="shared" ref="I908:I971" si="15">LN(C908/B908)*(LN(C908/B908)-LN(E908/B908))+LN(D908/B908)*(LN(D908/B908)-LN(E908/B908))</f>
        <v>7.7487275263213656E-5</v>
      </c>
    </row>
    <row r="909" spans="1:9" x14ac:dyDescent="0.3">
      <c r="A909" s="5">
        <v>42956</v>
      </c>
      <c r="B909">
        <v>36.279998999999997</v>
      </c>
      <c r="C909">
        <v>36.659999999999997</v>
      </c>
      <c r="D909">
        <v>36.020000000000003</v>
      </c>
      <c r="E909">
        <v>36.590000000000003</v>
      </c>
      <c r="F909">
        <v>30.854718999999999</v>
      </c>
      <c r="G909">
        <v>22796800</v>
      </c>
      <c r="I909">
        <f t="shared" si="15"/>
        <v>1.3283773288727039E-4</v>
      </c>
    </row>
    <row r="910" spans="1:9" x14ac:dyDescent="0.3">
      <c r="A910" s="5">
        <v>42957</v>
      </c>
      <c r="B910">
        <v>36.400002000000001</v>
      </c>
      <c r="C910">
        <v>36.560001</v>
      </c>
      <c r="D910">
        <v>36.110000999999997</v>
      </c>
      <c r="E910">
        <v>36.139999000000003</v>
      </c>
      <c r="F910">
        <v>30.475256000000002</v>
      </c>
      <c r="G910">
        <v>22693300</v>
      </c>
      <c r="I910">
        <f t="shared" si="15"/>
        <v>5.7319764087501147E-5</v>
      </c>
    </row>
    <row r="911" spans="1:9" x14ac:dyDescent="0.3">
      <c r="A911" s="5">
        <v>42958</v>
      </c>
      <c r="B911">
        <v>36.259998000000003</v>
      </c>
      <c r="C911">
        <v>36.400002000000001</v>
      </c>
      <c r="D911">
        <v>35.790000999999997</v>
      </c>
      <c r="E911">
        <v>35.869999</v>
      </c>
      <c r="F911">
        <v>30.247575999999999</v>
      </c>
      <c r="G911">
        <v>19275100</v>
      </c>
      <c r="I911">
        <f t="shared" si="15"/>
        <v>8.5653377859416866E-5</v>
      </c>
    </row>
    <row r="912" spans="1:9" x14ac:dyDescent="0.3">
      <c r="A912" s="5">
        <v>42961</v>
      </c>
      <c r="B912">
        <v>36.119999</v>
      </c>
      <c r="C912">
        <v>36.470001000000003</v>
      </c>
      <c r="D912">
        <v>36.080002</v>
      </c>
      <c r="E912">
        <v>36.340000000000003</v>
      </c>
      <c r="F912">
        <v>30.643902000000001</v>
      </c>
      <c r="G912">
        <v>18469400</v>
      </c>
      <c r="I912">
        <f t="shared" si="15"/>
        <v>4.2391468787385282E-5</v>
      </c>
    </row>
    <row r="913" spans="1:9" x14ac:dyDescent="0.3">
      <c r="A913" s="5">
        <v>42962</v>
      </c>
      <c r="B913">
        <v>36.299999</v>
      </c>
      <c r="C913">
        <v>36.32</v>
      </c>
      <c r="D913">
        <v>35.82</v>
      </c>
      <c r="E913">
        <v>36</v>
      </c>
      <c r="F913">
        <v>30.357195000000001</v>
      </c>
      <c r="G913">
        <v>21706600</v>
      </c>
      <c r="I913">
        <f t="shared" si="15"/>
        <v>7.1598255812302562E-5</v>
      </c>
    </row>
    <row r="914" spans="1:9" x14ac:dyDescent="0.3">
      <c r="A914" s="5">
        <v>42963</v>
      </c>
      <c r="B914">
        <v>35.979999999999997</v>
      </c>
      <c r="C914">
        <v>36.07</v>
      </c>
      <c r="D914">
        <v>35.560001</v>
      </c>
      <c r="E914">
        <v>35.810001</v>
      </c>
      <c r="F914">
        <v>30.196985000000002</v>
      </c>
      <c r="G914">
        <v>22014000</v>
      </c>
      <c r="I914">
        <f t="shared" si="15"/>
        <v>1.0033348166163563E-4</v>
      </c>
    </row>
    <row r="915" spans="1:9" x14ac:dyDescent="0.3">
      <c r="A915" s="5">
        <v>42964</v>
      </c>
      <c r="B915">
        <v>35.599997999999999</v>
      </c>
      <c r="C915">
        <v>35.68</v>
      </c>
      <c r="D915">
        <v>35.169998</v>
      </c>
      <c r="E915">
        <v>35.169998</v>
      </c>
      <c r="F915">
        <v>29.657291000000001</v>
      </c>
      <c r="G915">
        <v>19525000</v>
      </c>
      <c r="I915">
        <f t="shared" si="15"/>
        <v>3.2317136846000571E-5</v>
      </c>
    </row>
    <row r="916" spans="1:9" x14ac:dyDescent="0.3">
      <c r="A916" s="5">
        <v>42965</v>
      </c>
      <c r="B916">
        <v>35.290000999999997</v>
      </c>
      <c r="C916">
        <v>35.310001</v>
      </c>
      <c r="D916">
        <v>34.990001999999997</v>
      </c>
      <c r="E916">
        <v>35.009998000000003</v>
      </c>
      <c r="F916">
        <v>29.522375</v>
      </c>
      <c r="G916">
        <v>16231400</v>
      </c>
      <c r="I916">
        <f t="shared" si="15"/>
        <v>9.7117948493755704E-6</v>
      </c>
    </row>
    <row r="917" spans="1:9" x14ac:dyDescent="0.3">
      <c r="A917" s="5">
        <v>42968</v>
      </c>
      <c r="B917">
        <v>35.090000000000003</v>
      </c>
      <c r="C917">
        <v>35.279998999999997</v>
      </c>
      <c r="D917">
        <v>34.700001</v>
      </c>
      <c r="E917">
        <v>34.919998</v>
      </c>
      <c r="F917">
        <v>29.446480000000001</v>
      </c>
      <c r="G917">
        <v>26493300</v>
      </c>
      <c r="I917">
        <f t="shared" si="15"/>
        <v>1.2602023682584205E-4</v>
      </c>
    </row>
    <row r="918" spans="1:9" x14ac:dyDescent="0.3">
      <c r="A918" s="5">
        <v>42969</v>
      </c>
      <c r="B918">
        <v>35.020000000000003</v>
      </c>
      <c r="C918">
        <v>35.189999</v>
      </c>
      <c r="D918">
        <v>34.619999</v>
      </c>
      <c r="E918">
        <v>34.650002000000001</v>
      </c>
      <c r="F918">
        <v>29.218805</v>
      </c>
      <c r="G918">
        <v>26097800</v>
      </c>
      <c r="I918">
        <f t="shared" si="15"/>
        <v>8.4838036744409073E-5</v>
      </c>
    </row>
    <row r="919" spans="1:9" x14ac:dyDescent="0.3">
      <c r="A919" s="5">
        <v>42970</v>
      </c>
      <c r="B919">
        <v>34.540000999999997</v>
      </c>
      <c r="C919">
        <v>34.810001</v>
      </c>
      <c r="D919">
        <v>34.380001</v>
      </c>
      <c r="E919">
        <v>34.659999999999997</v>
      </c>
      <c r="F919">
        <v>29.227229999999999</v>
      </c>
      <c r="G919">
        <v>19648100</v>
      </c>
      <c r="I919">
        <f t="shared" si="15"/>
        <v>7.1287285611990557E-5</v>
      </c>
    </row>
    <row r="920" spans="1:9" x14ac:dyDescent="0.3">
      <c r="A920" s="5">
        <v>42971</v>
      </c>
      <c r="B920">
        <v>34.700001</v>
      </c>
      <c r="C920">
        <v>34.889999000000003</v>
      </c>
      <c r="D920">
        <v>34.549999</v>
      </c>
      <c r="E920">
        <v>34.709999000000003</v>
      </c>
      <c r="F920">
        <v>29.269396</v>
      </c>
      <c r="G920">
        <v>14301900</v>
      </c>
      <c r="I920">
        <f t="shared" si="15"/>
        <v>4.8260035699459192E-5</v>
      </c>
    </row>
    <row r="921" spans="1:9" x14ac:dyDescent="0.3">
      <c r="A921" s="5">
        <v>42972</v>
      </c>
      <c r="B921">
        <v>34.82</v>
      </c>
      <c r="C921">
        <v>34.93</v>
      </c>
      <c r="D921">
        <v>34.580002</v>
      </c>
      <c r="E921">
        <v>34.669998</v>
      </c>
      <c r="F921">
        <v>29.235668</v>
      </c>
      <c r="G921">
        <v>14726800</v>
      </c>
      <c r="I921">
        <f t="shared" si="15"/>
        <v>4.1542436970267617E-5</v>
      </c>
    </row>
    <row r="922" spans="1:9" x14ac:dyDescent="0.3">
      <c r="A922" s="5">
        <v>42975</v>
      </c>
      <c r="B922">
        <v>34.779998999999997</v>
      </c>
      <c r="C922">
        <v>34.799999</v>
      </c>
      <c r="D922">
        <v>34.590000000000003</v>
      </c>
      <c r="E922">
        <v>34.650002000000001</v>
      </c>
      <c r="F922">
        <v>29.218805</v>
      </c>
      <c r="G922">
        <v>20712900</v>
      </c>
      <c r="I922">
        <f t="shared" si="15"/>
        <v>1.1977233156746127E-5</v>
      </c>
    </row>
    <row r="923" spans="1:9" x14ac:dyDescent="0.3">
      <c r="A923" s="5">
        <v>42976</v>
      </c>
      <c r="B923">
        <v>34.509998000000003</v>
      </c>
      <c r="C923">
        <v>34.75</v>
      </c>
      <c r="D923">
        <v>34.459999000000003</v>
      </c>
      <c r="E923">
        <v>34.729999999999997</v>
      </c>
      <c r="F923">
        <v>29.286261</v>
      </c>
      <c r="G923">
        <v>15843700</v>
      </c>
      <c r="I923">
        <f t="shared" si="15"/>
        <v>1.5305725546519013E-5</v>
      </c>
    </row>
    <row r="924" spans="1:9" x14ac:dyDescent="0.3">
      <c r="A924" s="5">
        <v>42977</v>
      </c>
      <c r="B924">
        <v>34.75</v>
      </c>
      <c r="C924">
        <v>34.959999000000003</v>
      </c>
      <c r="D924">
        <v>34.630001</v>
      </c>
      <c r="E924">
        <v>34.889999000000003</v>
      </c>
      <c r="F924">
        <v>29.421188000000001</v>
      </c>
      <c r="G924">
        <v>18565000</v>
      </c>
      <c r="I924">
        <f t="shared" si="15"/>
        <v>3.7949927024825344E-5</v>
      </c>
    </row>
    <row r="925" spans="1:9" x14ac:dyDescent="0.3">
      <c r="A925" s="5">
        <v>42978</v>
      </c>
      <c r="B925">
        <v>34.939999</v>
      </c>
      <c r="C925">
        <v>35.18</v>
      </c>
      <c r="D925">
        <v>34.869999</v>
      </c>
      <c r="E925">
        <v>35.07</v>
      </c>
      <c r="F925">
        <v>29.572963999999999</v>
      </c>
      <c r="G925">
        <v>16366800</v>
      </c>
      <c r="I925">
        <f t="shared" si="15"/>
        <v>3.2907367337245828E-5</v>
      </c>
    </row>
    <row r="926" spans="1:9" x14ac:dyDescent="0.3">
      <c r="A926" s="5">
        <v>42979</v>
      </c>
      <c r="B926">
        <v>35.240001999999997</v>
      </c>
      <c r="C926">
        <v>35.389999000000003</v>
      </c>
      <c r="D926">
        <v>35.07</v>
      </c>
      <c r="E926">
        <v>35.090000000000003</v>
      </c>
      <c r="F926">
        <v>29.589835999999998</v>
      </c>
      <c r="G926">
        <v>12822000</v>
      </c>
      <c r="I926">
        <f t="shared" si="15"/>
        <v>3.8915520639440756E-5</v>
      </c>
    </row>
    <row r="927" spans="1:9" x14ac:dyDescent="0.3">
      <c r="A927" s="5">
        <v>42983</v>
      </c>
      <c r="B927">
        <v>35.020000000000003</v>
      </c>
      <c r="C927">
        <v>35.330002</v>
      </c>
      <c r="D927">
        <v>34.93</v>
      </c>
      <c r="E927">
        <v>35.020000000000003</v>
      </c>
      <c r="F927">
        <v>29.530812999999998</v>
      </c>
      <c r="G927">
        <v>18772000</v>
      </c>
      <c r="I927">
        <f t="shared" si="15"/>
        <v>8.4294046161374761E-5</v>
      </c>
    </row>
    <row r="928" spans="1:9" x14ac:dyDescent="0.3">
      <c r="A928" s="5">
        <v>42984</v>
      </c>
      <c r="B928">
        <v>35.220001000000003</v>
      </c>
      <c r="C928">
        <v>35.939999</v>
      </c>
      <c r="D928">
        <v>35.110000999999997</v>
      </c>
      <c r="E928">
        <v>35.759998000000003</v>
      </c>
      <c r="F928">
        <v>30.154824999999999</v>
      </c>
      <c r="G928">
        <v>28076400</v>
      </c>
      <c r="I928">
        <f t="shared" si="15"/>
        <v>1.589894673347635E-4</v>
      </c>
    </row>
    <row r="929" spans="1:9" x14ac:dyDescent="0.3">
      <c r="A929" s="5">
        <v>42985</v>
      </c>
      <c r="B929">
        <v>35.880001</v>
      </c>
      <c r="C929">
        <v>35.950001</v>
      </c>
      <c r="D929">
        <v>35.330002</v>
      </c>
      <c r="E929">
        <v>35.540000999999997</v>
      </c>
      <c r="F929">
        <v>29.969307000000001</v>
      </c>
      <c r="G929">
        <v>16297100</v>
      </c>
      <c r="I929">
        <f t="shared" si="15"/>
        <v>1.139033833704797E-4</v>
      </c>
    </row>
    <row r="930" spans="1:9" x14ac:dyDescent="0.3">
      <c r="A930" s="5">
        <v>42986</v>
      </c>
      <c r="B930">
        <v>35.419998</v>
      </c>
      <c r="C930">
        <v>35.540000999999997</v>
      </c>
      <c r="D930">
        <v>35.080002</v>
      </c>
      <c r="E930">
        <v>35.189999</v>
      </c>
      <c r="F930">
        <v>29.674154000000001</v>
      </c>
      <c r="G930">
        <v>14125000</v>
      </c>
      <c r="I930">
        <f t="shared" si="15"/>
        <v>6.3670817828916492E-5</v>
      </c>
    </row>
    <row r="931" spans="1:9" x14ac:dyDescent="0.3">
      <c r="A931" s="5">
        <v>42989</v>
      </c>
      <c r="B931">
        <v>35.490001999999997</v>
      </c>
      <c r="C931">
        <v>36</v>
      </c>
      <c r="D931">
        <v>35.139999000000003</v>
      </c>
      <c r="E931">
        <v>35.770000000000003</v>
      </c>
      <c r="F931">
        <v>30.163243999999999</v>
      </c>
      <c r="G931">
        <v>20037600</v>
      </c>
      <c r="I931">
        <f t="shared" si="15"/>
        <v>2.6756151416573503E-4</v>
      </c>
    </row>
    <row r="932" spans="1:9" x14ac:dyDescent="0.3">
      <c r="A932" s="5">
        <v>42990</v>
      </c>
      <c r="B932">
        <v>35.880001</v>
      </c>
      <c r="C932">
        <v>36.340000000000003</v>
      </c>
      <c r="D932">
        <v>35.740001999999997</v>
      </c>
      <c r="E932">
        <v>36.090000000000003</v>
      </c>
      <c r="F932">
        <v>30.43309</v>
      </c>
      <c r="G932">
        <v>19489900</v>
      </c>
      <c r="I932">
        <f t="shared" si="15"/>
        <v>1.2603947518216067E-4</v>
      </c>
    </row>
    <row r="933" spans="1:9" x14ac:dyDescent="0.3">
      <c r="A933" s="5">
        <v>42991</v>
      </c>
      <c r="B933">
        <v>36</v>
      </c>
      <c r="C933">
        <v>36.400002000000001</v>
      </c>
      <c r="D933">
        <v>35.970001000000003</v>
      </c>
      <c r="E933">
        <v>36.330002</v>
      </c>
      <c r="F933">
        <v>30.635470999999999</v>
      </c>
      <c r="G933">
        <v>15509800</v>
      </c>
      <c r="I933">
        <f t="shared" si="15"/>
        <v>2.957227758791629E-5</v>
      </c>
    </row>
    <row r="934" spans="1:9" x14ac:dyDescent="0.3">
      <c r="A934" s="5">
        <v>42992</v>
      </c>
      <c r="B934">
        <v>36.189999</v>
      </c>
      <c r="C934">
        <v>36.700001</v>
      </c>
      <c r="D934">
        <v>36.159999999999997</v>
      </c>
      <c r="E934">
        <v>36.479999999999997</v>
      </c>
      <c r="F934">
        <v>30.761952999999998</v>
      </c>
      <c r="G934">
        <v>18093900</v>
      </c>
      <c r="I934">
        <f t="shared" si="15"/>
        <v>9.1446827387392816E-5</v>
      </c>
    </row>
    <row r="935" spans="1:9" x14ac:dyDescent="0.3">
      <c r="A935" s="5">
        <v>42993</v>
      </c>
      <c r="B935">
        <v>36.549999</v>
      </c>
      <c r="C935">
        <v>37.080002</v>
      </c>
      <c r="D935">
        <v>36.220001000000003</v>
      </c>
      <c r="E935">
        <v>37</v>
      </c>
      <c r="F935">
        <v>31.200451000000001</v>
      </c>
      <c r="G935">
        <v>33596100</v>
      </c>
      <c r="I935">
        <f t="shared" si="15"/>
        <v>2.2433753366164942E-4</v>
      </c>
    </row>
    <row r="936" spans="1:9" x14ac:dyDescent="0.3">
      <c r="A936" s="5">
        <v>42996</v>
      </c>
      <c r="B936">
        <v>37</v>
      </c>
      <c r="C936">
        <v>37.330002</v>
      </c>
      <c r="D936">
        <v>36.799999</v>
      </c>
      <c r="E936">
        <v>37</v>
      </c>
      <c r="F936">
        <v>31.200451000000001</v>
      </c>
      <c r="G936">
        <v>19393800</v>
      </c>
      <c r="I936">
        <f t="shared" si="15"/>
        <v>1.0822177158891589E-4</v>
      </c>
    </row>
    <row r="937" spans="1:9" x14ac:dyDescent="0.3">
      <c r="A937" s="5">
        <v>42997</v>
      </c>
      <c r="B937">
        <v>37.200001</v>
      </c>
      <c r="C937">
        <v>37.299999</v>
      </c>
      <c r="D937">
        <v>37.020000000000003</v>
      </c>
      <c r="E937">
        <v>37.229999999999997</v>
      </c>
      <c r="F937">
        <v>31.394403000000001</v>
      </c>
      <c r="G937">
        <v>23850500</v>
      </c>
      <c r="I937">
        <f t="shared" si="15"/>
        <v>3.2479756321369294E-5</v>
      </c>
    </row>
    <row r="938" spans="1:9" x14ac:dyDescent="0.3">
      <c r="A938" s="5">
        <v>42998</v>
      </c>
      <c r="B938">
        <v>37.229999999999997</v>
      </c>
      <c r="C938">
        <v>37.290000999999997</v>
      </c>
      <c r="D938">
        <v>36.659999999999997</v>
      </c>
      <c r="E938">
        <v>37.07</v>
      </c>
      <c r="F938">
        <v>31.259481000000001</v>
      </c>
      <c r="G938">
        <v>23957500</v>
      </c>
      <c r="I938">
        <f t="shared" si="15"/>
        <v>1.8112258901245402E-4</v>
      </c>
    </row>
    <row r="939" spans="1:9" x14ac:dyDescent="0.3">
      <c r="A939" s="5">
        <v>42999</v>
      </c>
      <c r="B939">
        <v>36.990001999999997</v>
      </c>
      <c r="C939">
        <v>37.270000000000003</v>
      </c>
      <c r="D939">
        <v>36.849997999999999</v>
      </c>
      <c r="E939">
        <v>37.200001</v>
      </c>
      <c r="F939">
        <v>31.369097</v>
      </c>
      <c r="G939">
        <v>22954200</v>
      </c>
      <c r="I939">
        <f t="shared" si="15"/>
        <v>5.0024145559225637E-5</v>
      </c>
    </row>
    <row r="940" spans="1:9" x14ac:dyDescent="0.3">
      <c r="A940" s="5">
        <v>43000</v>
      </c>
      <c r="B940">
        <v>36.950001</v>
      </c>
      <c r="C940">
        <v>37.220001000000003</v>
      </c>
      <c r="D940">
        <v>36.950001</v>
      </c>
      <c r="E940">
        <v>37.18</v>
      </c>
      <c r="F940">
        <v>31.352242</v>
      </c>
      <c r="G940">
        <v>21631800</v>
      </c>
      <c r="I940">
        <f t="shared" si="15"/>
        <v>7.8288024111196966E-6</v>
      </c>
    </row>
    <row r="941" spans="1:9" x14ac:dyDescent="0.3">
      <c r="A941" s="5">
        <v>43003</v>
      </c>
      <c r="B941">
        <v>37.049999</v>
      </c>
      <c r="C941">
        <v>37.229999999999997</v>
      </c>
      <c r="D941">
        <v>36.849997999999999</v>
      </c>
      <c r="E941">
        <v>37.159999999999997</v>
      </c>
      <c r="F941">
        <v>31.335384000000001</v>
      </c>
      <c r="G941">
        <v>23180800</v>
      </c>
      <c r="I941">
        <f t="shared" si="15"/>
        <v>5.4465691515988644E-5</v>
      </c>
    </row>
    <row r="942" spans="1:9" x14ac:dyDescent="0.3">
      <c r="A942" s="5">
        <v>43004</v>
      </c>
      <c r="B942">
        <v>37.209999000000003</v>
      </c>
      <c r="C942">
        <v>37.639999000000003</v>
      </c>
      <c r="D942">
        <v>37</v>
      </c>
      <c r="E942">
        <v>37.470001000000003</v>
      </c>
      <c r="F942">
        <v>31.596782999999999</v>
      </c>
      <c r="G942">
        <v>29790400</v>
      </c>
      <c r="I942">
        <f t="shared" si="15"/>
        <v>1.2344978471868752E-4</v>
      </c>
    </row>
    <row r="943" spans="1:9" x14ac:dyDescent="0.3">
      <c r="A943" s="5">
        <v>43005</v>
      </c>
      <c r="B943">
        <v>37.619999</v>
      </c>
      <c r="C943">
        <v>37.689999</v>
      </c>
      <c r="D943">
        <v>37.099997999999999</v>
      </c>
      <c r="E943">
        <v>37.540000999999997</v>
      </c>
      <c r="F943">
        <v>31.655815</v>
      </c>
      <c r="G943">
        <v>25981400</v>
      </c>
      <c r="I943">
        <f t="shared" si="15"/>
        <v>1.7151870264739511E-4</v>
      </c>
    </row>
    <row r="944" spans="1:9" x14ac:dyDescent="0.3">
      <c r="A944" s="5">
        <v>43006</v>
      </c>
      <c r="B944">
        <v>37.32</v>
      </c>
      <c r="C944">
        <v>37.880001</v>
      </c>
      <c r="D944">
        <v>37.290000999999997</v>
      </c>
      <c r="E944">
        <v>37.830002</v>
      </c>
      <c r="F944">
        <v>31.900362000000001</v>
      </c>
      <c r="G944">
        <v>21171400</v>
      </c>
      <c r="I944">
        <f t="shared" si="15"/>
        <v>3.123348914376399E-5</v>
      </c>
    </row>
    <row r="945" spans="1:9" x14ac:dyDescent="0.3">
      <c r="A945" s="5">
        <v>43007</v>
      </c>
      <c r="B945">
        <v>37.840000000000003</v>
      </c>
      <c r="C945">
        <v>38.150002000000001</v>
      </c>
      <c r="D945">
        <v>37.700001</v>
      </c>
      <c r="E945">
        <v>38.080002</v>
      </c>
      <c r="F945">
        <v>32.111179</v>
      </c>
      <c r="G945">
        <v>23217300</v>
      </c>
      <c r="I945">
        <f t="shared" si="15"/>
        <v>5.2158762408724048E-5</v>
      </c>
    </row>
    <row r="946" spans="1:9" x14ac:dyDescent="0.3">
      <c r="A946" s="5">
        <v>43010</v>
      </c>
      <c r="B946">
        <v>38.119999</v>
      </c>
      <c r="C946">
        <v>39.090000000000003</v>
      </c>
      <c r="D946">
        <v>38.080002</v>
      </c>
      <c r="E946">
        <v>39.040000999999997</v>
      </c>
      <c r="F946">
        <v>32.920689000000003</v>
      </c>
      <c r="G946">
        <v>37394500</v>
      </c>
      <c r="I946">
        <f t="shared" si="15"/>
        <v>5.829784049329628E-5</v>
      </c>
    </row>
    <row r="947" spans="1:9" x14ac:dyDescent="0.3">
      <c r="A947" s="5">
        <v>43011</v>
      </c>
      <c r="B947">
        <v>38.950001</v>
      </c>
      <c r="C947">
        <v>39.700001</v>
      </c>
      <c r="D947">
        <v>38.950001</v>
      </c>
      <c r="E947">
        <v>39.380001</v>
      </c>
      <c r="F947">
        <v>33.207400999999997</v>
      </c>
      <c r="G947">
        <v>34002200</v>
      </c>
      <c r="I947">
        <f t="shared" si="15"/>
        <v>1.5435523326333913E-4</v>
      </c>
    </row>
    <row r="948" spans="1:9" x14ac:dyDescent="0.3">
      <c r="A948" s="5">
        <v>43012</v>
      </c>
      <c r="B948">
        <v>39.389999000000003</v>
      </c>
      <c r="C948">
        <v>39.400002000000001</v>
      </c>
      <c r="D948">
        <v>38.860000999999997</v>
      </c>
      <c r="E948">
        <v>39.340000000000003</v>
      </c>
      <c r="F948">
        <v>33.173672000000003</v>
      </c>
      <c r="G948">
        <v>28368800</v>
      </c>
      <c r="I948">
        <f t="shared" si="15"/>
        <v>1.6668824308940393E-4</v>
      </c>
    </row>
    <row r="949" spans="1:9" x14ac:dyDescent="0.3">
      <c r="A949" s="5">
        <v>43013</v>
      </c>
      <c r="B949">
        <v>39.5</v>
      </c>
      <c r="C949">
        <v>39.650002000000001</v>
      </c>
      <c r="D949">
        <v>39.209999000000003</v>
      </c>
      <c r="E949">
        <v>39.529998999999997</v>
      </c>
      <c r="F949">
        <v>33.3339</v>
      </c>
      <c r="G949">
        <v>17710300</v>
      </c>
      <c r="I949">
        <f t="shared" si="15"/>
        <v>7.1383751983616453E-5</v>
      </c>
    </row>
    <row r="950" spans="1:9" x14ac:dyDescent="0.3">
      <c r="A950" s="5">
        <v>43014</v>
      </c>
      <c r="B950">
        <v>39.599997999999999</v>
      </c>
      <c r="C950">
        <v>39.889999000000003</v>
      </c>
      <c r="D950">
        <v>39.419998</v>
      </c>
      <c r="E950">
        <v>39.630001</v>
      </c>
      <c r="F950">
        <v>33.418224000000002</v>
      </c>
      <c r="G950">
        <v>18887500</v>
      </c>
      <c r="I950">
        <f t="shared" si="15"/>
        <v>7.1919693271897504E-5</v>
      </c>
    </row>
    <row r="951" spans="1:9" x14ac:dyDescent="0.3">
      <c r="A951" s="5">
        <v>43017</v>
      </c>
      <c r="B951">
        <v>39.68</v>
      </c>
      <c r="C951">
        <v>39.880001</v>
      </c>
      <c r="D951">
        <v>39.520000000000003</v>
      </c>
      <c r="E951">
        <v>39.860000999999997</v>
      </c>
      <c r="F951">
        <v>33.612164</v>
      </c>
      <c r="G951">
        <v>18494100</v>
      </c>
      <c r="I951">
        <f t="shared" si="15"/>
        <v>3.7134075433474592E-5</v>
      </c>
    </row>
    <row r="952" spans="1:9" x14ac:dyDescent="0.3">
      <c r="A952" s="5">
        <v>43018</v>
      </c>
      <c r="B952">
        <v>39.93</v>
      </c>
      <c r="C952">
        <v>39.950001</v>
      </c>
      <c r="D952">
        <v>39.380001</v>
      </c>
      <c r="E952">
        <v>39.650002000000001</v>
      </c>
      <c r="F952">
        <v>33.435088999999998</v>
      </c>
      <c r="G952">
        <v>29890000</v>
      </c>
      <c r="I952">
        <f t="shared" si="15"/>
        <v>9.8545808701225383E-5</v>
      </c>
    </row>
    <row r="953" spans="1:9" x14ac:dyDescent="0.3">
      <c r="A953" s="5">
        <v>43019</v>
      </c>
      <c r="B953">
        <v>39.479999999999997</v>
      </c>
      <c r="C953">
        <v>39.669998</v>
      </c>
      <c r="D953">
        <v>39.060001</v>
      </c>
      <c r="E953">
        <v>39.299999</v>
      </c>
      <c r="F953">
        <v>33.139938000000001</v>
      </c>
      <c r="G953">
        <v>30754700</v>
      </c>
      <c r="I953">
        <f t="shared" si="15"/>
        <v>1.1050269049678777E-4</v>
      </c>
    </row>
    <row r="954" spans="1:9" x14ac:dyDescent="0.3">
      <c r="A954" s="5">
        <v>43020</v>
      </c>
      <c r="B954">
        <v>39.349997999999999</v>
      </c>
      <c r="C954">
        <v>39.389999000000003</v>
      </c>
      <c r="D954">
        <v>38.979999999999997</v>
      </c>
      <c r="E954">
        <v>39.189999</v>
      </c>
      <c r="F954">
        <v>33.047176</v>
      </c>
      <c r="G954">
        <v>18286900</v>
      </c>
      <c r="I954">
        <f t="shared" si="15"/>
        <v>5.593090309822881E-5</v>
      </c>
    </row>
    <row r="955" spans="1:9" x14ac:dyDescent="0.3">
      <c r="A955" s="5">
        <v>43021</v>
      </c>
      <c r="B955">
        <v>39.439999</v>
      </c>
      <c r="C955">
        <v>39.810001</v>
      </c>
      <c r="D955">
        <v>39.279998999999997</v>
      </c>
      <c r="E955">
        <v>39.669998</v>
      </c>
      <c r="F955">
        <v>33.451954000000001</v>
      </c>
      <c r="G955">
        <v>16829400</v>
      </c>
      <c r="I955">
        <f t="shared" si="15"/>
        <v>7.3057907494517347E-5</v>
      </c>
    </row>
    <row r="956" spans="1:9" x14ac:dyDescent="0.3">
      <c r="A956" s="5">
        <v>43024</v>
      </c>
      <c r="B956">
        <v>39.709999000000003</v>
      </c>
      <c r="C956">
        <v>39.790000999999997</v>
      </c>
      <c r="D956">
        <v>39.439999</v>
      </c>
      <c r="E956">
        <v>39.759998000000003</v>
      </c>
      <c r="F956">
        <v>33.527831999999997</v>
      </c>
      <c r="G956">
        <v>12489100</v>
      </c>
      <c r="I956">
        <f t="shared" si="15"/>
        <v>5.6649731758315711E-5</v>
      </c>
    </row>
    <row r="957" spans="1:9" x14ac:dyDescent="0.3">
      <c r="A957" s="5">
        <v>43025</v>
      </c>
      <c r="B957">
        <v>39.560001</v>
      </c>
      <c r="C957">
        <v>39.869999</v>
      </c>
      <c r="D957">
        <v>39.369999</v>
      </c>
      <c r="E957">
        <v>39.790000999999997</v>
      </c>
      <c r="F957">
        <v>33.553134999999997</v>
      </c>
      <c r="G957">
        <v>15532800</v>
      </c>
      <c r="I957">
        <f t="shared" si="15"/>
        <v>6.6766352244176621E-5</v>
      </c>
    </row>
    <row r="958" spans="1:9" x14ac:dyDescent="0.3">
      <c r="A958" s="5">
        <v>43026</v>
      </c>
      <c r="B958">
        <v>39.799999</v>
      </c>
      <c r="C958">
        <v>40.290000999999997</v>
      </c>
      <c r="D958">
        <v>39.599997999999999</v>
      </c>
      <c r="E958">
        <v>40.25</v>
      </c>
      <c r="F958">
        <v>33.941035999999997</v>
      </c>
      <c r="G958">
        <v>21424600</v>
      </c>
      <c r="I958">
        <f t="shared" si="15"/>
        <v>9.4175115336473904E-5</v>
      </c>
    </row>
    <row r="959" spans="1:9" x14ac:dyDescent="0.3">
      <c r="A959" s="5">
        <v>43027</v>
      </c>
      <c r="B959">
        <v>39.880001</v>
      </c>
      <c r="C959">
        <v>40.330002</v>
      </c>
      <c r="D959">
        <v>39.830002</v>
      </c>
      <c r="E959">
        <v>40.090000000000003</v>
      </c>
      <c r="F959">
        <v>33.806109999999997</v>
      </c>
      <c r="G959">
        <v>19222700</v>
      </c>
      <c r="I959">
        <f t="shared" si="15"/>
        <v>7.5135805677272312E-5</v>
      </c>
    </row>
    <row r="960" spans="1:9" x14ac:dyDescent="0.3">
      <c r="A960" s="5">
        <v>43028</v>
      </c>
      <c r="B960">
        <v>40.330002</v>
      </c>
      <c r="C960">
        <v>40.450001</v>
      </c>
      <c r="D960">
        <v>40.099997999999999</v>
      </c>
      <c r="E960">
        <v>40.43</v>
      </c>
      <c r="F960">
        <v>34.092827</v>
      </c>
      <c r="G960">
        <v>18335700</v>
      </c>
      <c r="I960">
        <f t="shared" si="15"/>
        <v>4.8344256852094644E-5</v>
      </c>
    </row>
    <row r="961" spans="1:9" x14ac:dyDescent="0.3">
      <c r="A961" s="5">
        <v>43031</v>
      </c>
      <c r="B961">
        <v>40.549999</v>
      </c>
      <c r="C961">
        <v>41.040000999999997</v>
      </c>
      <c r="D961">
        <v>40.400002000000001</v>
      </c>
      <c r="E961">
        <v>40.830002</v>
      </c>
      <c r="F961">
        <v>34.430121999999997</v>
      </c>
      <c r="G961">
        <v>28647000</v>
      </c>
      <c r="I961">
        <f t="shared" si="15"/>
        <v>1.0085546491151723E-4</v>
      </c>
    </row>
    <row r="962" spans="1:9" x14ac:dyDescent="0.3">
      <c r="A962" s="5">
        <v>43032</v>
      </c>
      <c r="B962">
        <v>41</v>
      </c>
      <c r="C962">
        <v>41.049999</v>
      </c>
      <c r="D962">
        <v>40.720001000000003</v>
      </c>
      <c r="E962">
        <v>40.950001</v>
      </c>
      <c r="F962">
        <v>34.531319000000003</v>
      </c>
      <c r="G962">
        <v>19652400</v>
      </c>
      <c r="I962">
        <f t="shared" si="15"/>
        <v>4.1569728210485132E-5</v>
      </c>
    </row>
    <row r="963" spans="1:9" x14ac:dyDescent="0.3">
      <c r="A963" s="5">
        <v>43033</v>
      </c>
      <c r="B963">
        <v>40.889999000000003</v>
      </c>
      <c r="C963">
        <v>41.060001</v>
      </c>
      <c r="D963">
        <v>40.490001999999997</v>
      </c>
      <c r="E963">
        <v>40.779998999999997</v>
      </c>
      <c r="F963">
        <v>34.387959000000002</v>
      </c>
      <c r="G963">
        <v>24031700</v>
      </c>
      <c r="I963">
        <f t="shared" si="15"/>
        <v>9.8546288351606632E-5</v>
      </c>
    </row>
    <row r="964" spans="1:9" x14ac:dyDescent="0.3">
      <c r="A964" s="5">
        <v>43034</v>
      </c>
      <c r="B964">
        <v>40.909999999999997</v>
      </c>
      <c r="C964">
        <v>41.580002</v>
      </c>
      <c r="D964">
        <v>40.709999000000003</v>
      </c>
      <c r="E964">
        <v>41.349997999999999</v>
      </c>
      <c r="F964">
        <v>34.868614000000001</v>
      </c>
      <c r="G964">
        <v>38247400</v>
      </c>
      <c r="I964">
        <f t="shared" si="15"/>
        <v>1.6655490360194104E-4</v>
      </c>
    </row>
    <row r="965" spans="1:9" x14ac:dyDescent="0.3">
      <c r="A965" s="5">
        <v>43035</v>
      </c>
      <c r="B965">
        <v>43.299999</v>
      </c>
      <c r="C965">
        <v>45</v>
      </c>
      <c r="D965">
        <v>43.099997999999999</v>
      </c>
      <c r="E965">
        <v>44.400002000000001</v>
      </c>
      <c r="F965">
        <v>37.440539999999999</v>
      </c>
      <c r="G965">
        <v>90028300</v>
      </c>
      <c r="I965">
        <f t="shared" si="15"/>
        <v>6.5449476132536401E-4</v>
      </c>
    </row>
    <row r="966" spans="1:9" x14ac:dyDescent="0.3">
      <c r="A966" s="5">
        <v>43038</v>
      </c>
      <c r="B966">
        <v>44.48</v>
      </c>
      <c r="C966">
        <v>45.189999</v>
      </c>
      <c r="D966">
        <v>43.880001</v>
      </c>
      <c r="E966">
        <v>44.369999</v>
      </c>
      <c r="F966">
        <v>37.415249000000003</v>
      </c>
      <c r="G966">
        <v>48161500</v>
      </c>
      <c r="I966">
        <f t="shared" si="15"/>
        <v>4.4081104313548731E-4</v>
      </c>
    </row>
    <row r="967" spans="1:9" x14ac:dyDescent="0.3">
      <c r="A967" s="5">
        <v>43039</v>
      </c>
      <c r="B967">
        <v>45.200001</v>
      </c>
      <c r="C967">
        <v>45.799999</v>
      </c>
      <c r="D967">
        <v>44.650002000000001</v>
      </c>
      <c r="E967">
        <v>45.490001999999997</v>
      </c>
      <c r="F967">
        <v>38.359692000000003</v>
      </c>
      <c r="G967">
        <v>47000900</v>
      </c>
      <c r="I967">
        <f t="shared" si="15"/>
        <v>3.1774240544836128E-4</v>
      </c>
    </row>
    <row r="968" spans="1:9" x14ac:dyDescent="0.3">
      <c r="A968" s="5">
        <v>43040</v>
      </c>
      <c r="B968">
        <v>45.970001000000003</v>
      </c>
      <c r="C968">
        <v>46.709999000000003</v>
      </c>
      <c r="D968">
        <v>45.59</v>
      </c>
      <c r="E968">
        <v>46.709999000000003</v>
      </c>
      <c r="F968">
        <v>39.388461999999997</v>
      </c>
      <c r="G968">
        <v>47813700</v>
      </c>
      <c r="I968">
        <f t="shared" si="15"/>
        <v>2.0145529700378313E-4</v>
      </c>
    </row>
    <row r="969" spans="1:9" x14ac:dyDescent="0.3">
      <c r="A969" s="5">
        <v>43041</v>
      </c>
      <c r="B969">
        <v>46.610000999999997</v>
      </c>
      <c r="C969">
        <v>47.23</v>
      </c>
      <c r="D969">
        <v>46.209999000000003</v>
      </c>
      <c r="E969">
        <v>47.099997999999999</v>
      </c>
      <c r="F969">
        <v>39.717331000000001</v>
      </c>
      <c r="G969">
        <v>44602300</v>
      </c>
      <c r="I969">
        <f t="shared" si="15"/>
        <v>2.0084369425993841E-4</v>
      </c>
    </row>
    <row r="970" spans="1:9" x14ac:dyDescent="0.3">
      <c r="A970" s="5">
        <v>43042</v>
      </c>
      <c r="B970">
        <v>47.200001</v>
      </c>
      <c r="C970">
        <v>47.299999</v>
      </c>
      <c r="D970">
        <v>45.599997999999999</v>
      </c>
      <c r="E970">
        <v>46.34</v>
      </c>
      <c r="F970">
        <v>39.076461999999999</v>
      </c>
      <c r="G970">
        <v>39298100</v>
      </c>
      <c r="I970">
        <f t="shared" si="15"/>
        <v>5.9854966636634457E-4</v>
      </c>
    </row>
    <row r="971" spans="1:9" x14ac:dyDescent="0.3">
      <c r="A971" s="5">
        <v>43045</v>
      </c>
      <c r="B971">
        <v>46.599997999999999</v>
      </c>
      <c r="C971">
        <v>46.740001999999997</v>
      </c>
      <c r="D971">
        <v>46.09</v>
      </c>
      <c r="E971">
        <v>46.700001</v>
      </c>
      <c r="F971">
        <v>39.613402999999998</v>
      </c>
      <c r="G971">
        <v>34035000</v>
      </c>
      <c r="I971">
        <f t="shared" si="15"/>
        <v>1.4725747699745006E-4</v>
      </c>
    </row>
    <row r="972" spans="1:9" x14ac:dyDescent="0.3">
      <c r="A972" s="5">
        <v>43046</v>
      </c>
      <c r="B972">
        <v>46.700001</v>
      </c>
      <c r="C972">
        <v>47.09</v>
      </c>
      <c r="D972">
        <v>46.389999000000003</v>
      </c>
      <c r="E972">
        <v>46.779998999999997</v>
      </c>
      <c r="F972">
        <v>39.681266999999998</v>
      </c>
      <c r="G972">
        <v>24461400</v>
      </c>
      <c r="I972">
        <f t="shared" ref="I972:I1035" si="16">LN(C972/B972)*(LN(C972/B972)-LN(E972/B972))+LN(D972/B972)*(LN(D972/B972)-LN(E972/B972))</f>
        <v>1.1068860019738496E-4</v>
      </c>
    </row>
    <row r="973" spans="1:9" x14ac:dyDescent="0.3">
      <c r="A973" s="5">
        <v>43047</v>
      </c>
      <c r="B973">
        <v>46.619999</v>
      </c>
      <c r="C973">
        <v>46.700001</v>
      </c>
      <c r="D973">
        <v>46.279998999999997</v>
      </c>
      <c r="E973">
        <v>46.700001</v>
      </c>
      <c r="F973">
        <v>39.613402999999998</v>
      </c>
      <c r="G973">
        <v>21565800</v>
      </c>
      <c r="I973">
        <f t="shared" si="16"/>
        <v>6.6128689054706605E-5</v>
      </c>
    </row>
    <row r="974" spans="1:9" x14ac:dyDescent="0.3">
      <c r="A974" s="5">
        <v>43048</v>
      </c>
      <c r="B974">
        <v>46.049999</v>
      </c>
      <c r="C974">
        <v>46.389999000000003</v>
      </c>
      <c r="D974">
        <v>45.650002000000001</v>
      </c>
      <c r="E974">
        <v>46.299999</v>
      </c>
      <c r="F974">
        <v>39.274101000000002</v>
      </c>
      <c r="G974">
        <v>25570400</v>
      </c>
      <c r="I974">
        <f t="shared" si="16"/>
        <v>1.3762904875124602E-4</v>
      </c>
    </row>
    <row r="975" spans="1:9" x14ac:dyDescent="0.3">
      <c r="A975" s="5">
        <v>43049</v>
      </c>
      <c r="B975">
        <v>46.040000999999997</v>
      </c>
      <c r="C975">
        <v>46.09</v>
      </c>
      <c r="D975">
        <v>45.380001</v>
      </c>
      <c r="E975">
        <v>45.580002</v>
      </c>
      <c r="F975">
        <v>38.663367999999998</v>
      </c>
      <c r="G975">
        <v>24095400</v>
      </c>
      <c r="I975">
        <f t="shared" si="16"/>
        <v>7.557411061519782E-5</v>
      </c>
    </row>
    <row r="976" spans="1:9" x14ac:dyDescent="0.3">
      <c r="A976" s="5">
        <v>43052</v>
      </c>
      <c r="B976">
        <v>45.259998000000003</v>
      </c>
      <c r="C976">
        <v>45.939999</v>
      </c>
      <c r="D976">
        <v>45.25</v>
      </c>
      <c r="E976">
        <v>45.75</v>
      </c>
      <c r="F976">
        <v>38.807563999999999</v>
      </c>
      <c r="G976">
        <v>18999000</v>
      </c>
      <c r="I976">
        <f t="shared" si="16"/>
        <v>6.4231233630532335E-5</v>
      </c>
    </row>
    <row r="977" spans="1:9" x14ac:dyDescent="0.3">
      <c r="A977" s="5">
        <v>43053</v>
      </c>
      <c r="B977">
        <v>45.700001</v>
      </c>
      <c r="C977">
        <v>45.919998</v>
      </c>
      <c r="D977">
        <v>45.32</v>
      </c>
      <c r="E977">
        <v>45.860000999999997</v>
      </c>
      <c r="F977">
        <v>38.900871000000002</v>
      </c>
      <c r="G977">
        <v>22201200</v>
      </c>
      <c r="I977">
        <f t="shared" si="16"/>
        <v>1.051819154427403E-4</v>
      </c>
    </row>
    <row r="978" spans="1:9" x14ac:dyDescent="0.3">
      <c r="A978" s="5">
        <v>43054</v>
      </c>
      <c r="B978">
        <v>45.389999000000003</v>
      </c>
      <c r="C978">
        <v>45.810001</v>
      </c>
      <c r="D978">
        <v>45.169998</v>
      </c>
      <c r="E978">
        <v>45.459999000000003</v>
      </c>
      <c r="F978">
        <v>38.561577</v>
      </c>
      <c r="G978">
        <v>17157200</v>
      </c>
      <c r="I978">
        <f t="shared" si="16"/>
        <v>1.0173630390314969E-4</v>
      </c>
    </row>
    <row r="979" spans="1:9" x14ac:dyDescent="0.3">
      <c r="A979" s="5">
        <v>43055</v>
      </c>
      <c r="B979">
        <v>45.630001</v>
      </c>
      <c r="C979">
        <v>46.07</v>
      </c>
      <c r="D979">
        <v>45.459999000000003</v>
      </c>
      <c r="E979">
        <v>45.650002000000001</v>
      </c>
      <c r="F979">
        <v>38.722748000000003</v>
      </c>
      <c r="G979">
        <v>26439400</v>
      </c>
      <c r="I979">
        <f t="shared" si="16"/>
        <v>1.034566806647095E-4</v>
      </c>
    </row>
    <row r="980" spans="1:9" x14ac:dyDescent="0.3">
      <c r="A980" s="5">
        <v>43056</v>
      </c>
      <c r="B980">
        <v>45.5</v>
      </c>
      <c r="C980">
        <v>45.619999</v>
      </c>
      <c r="D980">
        <v>44.619999</v>
      </c>
      <c r="E980">
        <v>44.630001</v>
      </c>
      <c r="F980">
        <v>37.857520999999998</v>
      </c>
      <c r="G980">
        <v>63798000</v>
      </c>
      <c r="I980">
        <f t="shared" si="16"/>
        <v>6.2164187537625576E-5</v>
      </c>
    </row>
    <row r="981" spans="1:9" x14ac:dyDescent="0.3">
      <c r="A981" s="5">
        <v>43059</v>
      </c>
      <c r="B981">
        <v>44.73</v>
      </c>
      <c r="C981">
        <v>45.119999</v>
      </c>
      <c r="D981">
        <v>44.5</v>
      </c>
      <c r="E981">
        <v>44.619999</v>
      </c>
      <c r="F981">
        <v>37.849037000000003</v>
      </c>
      <c r="G981">
        <v>22420000</v>
      </c>
      <c r="I981">
        <f t="shared" si="16"/>
        <v>1.1062079619574377E-4</v>
      </c>
    </row>
    <row r="982" spans="1:9" x14ac:dyDescent="0.3">
      <c r="A982" s="5">
        <v>43060</v>
      </c>
      <c r="B982">
        <v>44.720001000000003</v>
      </c>
      <c r="C982">
        <v>45.220001000000003</v>
      </c>
      <c r="D982">
        <v>44.709999000000003</v>
      </c>
      <c r="E982">
        <v>44.939999</v>
      </c>
      <c r="F982">
        <v>38.120480000000001</v>
      </c>
      <c r="G982">
        <v>21871000</v>
      </c>
      <c r="I982">
        <f t="shared" si="16"/>
        <v>7.020831344724608E-5</v>
      </c>
    </row>
    <row r="983" spans="1:9" x14ac:dyDescent="0.3">
      <c r="A983" s="5">
        <v>43061</v>
      </c>
      <c r="B983">
        <v>44.939999</v>
      </c>
      <c r="C983">
        <v>44.950001</v>
      </c>
      <c r="D983">
        <v>44.540000999999997</v>
      </c>
      <c r="E983">
        <v>44.650002000000001</v>
      </c>
      <c r="F983">
        <v>37.874485</v>
      </c>
      <c r="G983">
        <v>19538300</v>
      </c>
      <c r="I983">
        <f t="shared" si="16"/>
        <v>2.3543607114458453E-5</v>
      </c>
    </row>
    <row r="984" spans="1:9" x14ac:dyDescent="0.3">
      <c r="A984" s="5">
        <v>43063</v>
      </c>
      <c r="B984">
        <v>44.549999</v>
      </c>
      <c r="C984">
        <v>44.779998999999997</v>
      </c>
      <c r="D984">
        <v>44.43</v>
      </c>
      <c r="E984">
        <v>44.75</v>
      </c>
      <c r="F984">
        <v>37.959311999999997</v>
      </c>
      <c r="G984">
        <v>6465800</v>
      </c>
      <c r="I984">
        <f t="shared" si="16"/>
        <v>2.2807513497801714E-5</v>
      </c>
    </row>
    <row r="985" spans="1:9" x14ac:dyDescent="0.3">
      <c r="A985" s="5">
        <v>43066</v>
      </c>
      <c r="B985">
        <v>44.419998</v>
      </c>
      <c r="C985">
        <v>44.610000999999997</v>
      </c>
      <c r="D985">
        <v>44.27</v>
      </c>
      <c r="E985">
        <v>44.490001999999997</v>
      </c>
      <c r="F985">
        <v>37.738776999999999</v>
      </c>
      <c r="G985">
        <v>18202100</v>
      </c>
      <c r="I985">
        <f t="shared" si="16"/>
        <v>2.8265016942517987E-5</v>
      </c>
    </row>
    <row r="986" spans="1:9" x14ac:dyDescent="0.3">
      <c r="A986" s="5">
        <v>43067</v>
      </c>
      <c r="B986">
        <v>44.650002000000001</v>
      </c>
      <c r="C986">
        <v>44.84</v>
      </c>
      <c r="D986">
        <v>44.32</v>
      </c>
      <c r="E986">
        <v>44.73</v>
      </c>
      <c r="F986">
        <v>37.942352</v>
      </c>
      <c r="G986">
        <v>20194100</v>
      </c>
      <c r="I986">
        <f t="shared" si="16"/>
        <v>7.8740125349808571E-5</v>
      </c>
    </row>
    <row r="987" spans="1:9" x14ac:dyDescent="0.3">
      <c r="A987" s="5">
        <v>43068</v>
      </c>
      <c r="B987">
        <v>44.849997999999999</v>
      </c>
      <c r="C987">
        <v>45.09</v>
      </c>
      <c r="D987">
        <v>43.77</v>
      </c>
      <c r="E987">
        <v>43.950001</v>
      </c>
      <c r="F987">
        <v>37.280720000000002</v>
      </c>
      <c r="G987">
        <v>27036900</v>
      </c>
      <c r="I987">
        <f t="shared" si="16"/>
        <v>2.3670220784875788E-4</v>
      </c>
    </row>
    <row r="988" spans="1:9" x14ac:dyDescent="0.3">
      <c r="A988" s="5">
        <v>43069</v>
      </c>
      <c r="B988">
        <v>44.360000999999997</v>
      </c>
      <c r="C988">
        <v>45.200001</v>
      </c>
      <c r="D988">
        <v>44.330002</v>
      </c>
      <c r="E988">
        <v>44.84</v>
      </c>
      <c r="F988">
        <v>38.035648000000002</v>
      </c>
      <c r="G988">
        <v>34145300</v>
      </c>
      <c r="I988">
        <f t="shared" si="16"/>
        <v>1.5774425464042241E-4</v>
      </c>
    </row>
    <row r="989" spans="1:9" x14ac:dyDescent="0.3">
      <c r="A989" s="5">
        <v>43070</v>
      </c>
      <c r="B989">
        <v>44.73</v>
      </c>
      <c r="C989">
        <v>44.84</v>
      </c>
      <c r="D989">
        <v>43.529998999999997</v>
      </c>
      <c r="E989">
        <v>44.68</v>
      </c>
      <c r="F989">
        <v>37.899937000000001</v>
      </c>
      <c r="G989">
        <v>26656300</v>
      </c>
      <c r="I989">
        <f t="shared" si="16"/>
        <v>7.1788313322700039E-4</v>
      </c>
    </row>
    <row r="990" spans="1:9" x14ac:dyDescent="0.3">
      <c r="A990" s="5">
        <v>43073</v>
      </c>
      <c r="B990">
        <v>45.02</v>
      </c>
      <c r="C990">
        <v>45.299999</v>
      </c>
      <c r="D990">
        <v>44.330002</v>
      </c>
      <c r="E990">
        <v>44.490001999999997</v>
      </c>
      <c r="F990">
        <v>37.738776999999999</v>
      </c>
      <c r="G990">
        <v>28000800</v>
      </c>
      <c r="I990">
        <f t="shared" si="16"/>
        <v>1.6751247708690105E-4</v>
      </c>
    </row>
    <row r="991" spans="1:9" x14ac:dyDescent="0.3">
      <c r="A991" s="5">
        <v>43074</v>
      </c>
      <c r="B991">
        <v>44.599997999999999</v>
      </c>
      <c r="C991">
        <v>44.900002000000001</v>
      </c>
      <c r="D991">
        <v>43.23</v>
      </c>
      <c r="E991">
        <v>43.439999</v>
      </c>
      <c r="F991">
        <v>36.848098999999998</v>
      </c>
      <c r="G991">
        <v>30626900</v>
      </c>
      <c r="I991">
        <f t="shared" si="16"/>
        <v>3.7280568582423028E-4</v>
      </c>
    </row>
    <row r="992" spans="1:9" x14ac:dyDescent="0.3">
      <c r="A992" s="5">
        <v>43075</v>
      </c>
      <c r="B992">
        <v>43.139999000000003</v>
      </c>
      <c r="C992">
        <v>43.720001000000003</v>
      </c>
      <c r="D992">
        <v>42.669998</v>
      </c>
      <c r="E992">
        <v>43.450001</v>
      </c>
      <c r="F992">
        <v>36.856589999999997</v>
      </c>
      <c r="G992">
        <v>27710800</v>
      </c>
      <c r="I992">
        <f t="shared" si="16"/>
        <v>2.8117219645560547E-4</v>
      </c>
    </row>
    <row r="993" spans="1:9" x14ac:dyDescent="0.3">
      <c r="A993" s="5">
        <v>43076</v>
      </c>
      <c r="B993">
        <v>43.459999000000003</v>
      </c>
      <c r="C993">
        <v>43.599997999999999</v>
      </c>
      <c r="D993">
        <v>42.779998999999997</v>
      </c>
      <c r="E993">
        <v>43.080002</v>
      </c>
      <c r="F993">
        <v>36.542735999999998</v>
      </c>
      <c r="G993">
        <v>32708400</v>
      </c>
      <c r="I993">
        <f t="shared" si="16"/>
        <v>1.4879416375279854E-4</v>
      </c>
    </row>
    <row r="994" spans="1:9" x14ac:dyDescent="0.3">
      <c r="A994" s="5">
        <v>43077</v>
      </c>
      <c r="B994">
        <v>43.349997999999999</v>
      </c>
      <c r="C994">
        <v>43.580002</v>
      </c>
      <c r="D994">
        <v>43.110000999999997</v>
      </c>
      <c r="E994">
        <v>43.349997999999999</v>
      </c>
      <c r="F994">
        <v>36.771763</v>
      </c>
      <c r="G994">
        <v>23154700</v>
      </c>
      <c r="I994">
        <f t="shared" si="16"/>
        <v>5.8823046467990984E-5</v>
      </c>
    </row>
    <row r="995" spans="1:9" x14ac:dyDescent="0.3">
      <c r="A995" s="5">
        <v>43080</v>
      </c>
      <c r="B995">
        <v>43.279998999999997</v>
      </c>
      <c r="C995">
        <v>43.779998999999997</v>
      </c>
      <c r="D995">
        <v>43.25</v>
      </c>
      <c r="E995">
        <v>43.66</v>
      </c>
      <c r="F995">
        <v>37.034714000000001</v>
      </c>
      <c r="G995">
        <v>20425900</v>
      </c>
      <c r="I995">
        <f t="shared" si="16"/>
        <v>3.8069192635328686E-5</v>
      </c>
    </row>
    <row r="996" spans="1:9" x14ac:dyDescent="0.3">
      <c r="A996" s="5">
        <v>43081</v>
      </c>
      <c r="B996">
        <v>43.470001000000003</v>
      </c>
      <c r="C996">
        <v>43.619999</v>
      </c>
      <c r="D996">
        <v>43.080002</v>
      </c>
      <c r="E996">
        <v>43.330002</v>
      </c>
      <c r="F996">
        <v>36.754795000000001</v>
      </c>
      <c r="G996">
        <v>16557400</v>
      </c>
      <c r="I996">
        <f t="shared" si="16"/>
        <v>7.5125383359671058E-5</v>
      </c>
    </row>
    <row r="997" spans="1:9" x14ac:dyDescent="0.3">
      <c r="A997" s="5">
        <v>43082</v>
      </c>
      <c r="B997">
        <v>43.650002000000001</v>
      </c>
      <c r="C997">
        <v>43.66</v>
      </c>
      <c r="D997">
        <v>43.240001999999997</v>
      </c>
      <c r="E997">
        <v>43.34</v>
      </c>
      <c r="F997">
        <v>36.763275</v>
      </c>
      <c r="G997">
        <v>21399500</v>
      </c>
      <c r="I997">
        <f t="shared" si="16"/>
        <v>2.3484507382577048E-5</v>
      </c>
    </row>
    <row r="998" spans="1:9" x14ac:dyDescent="0.3">
      <c r="A998" s="5">
        <v>43083</v>
      </c>
      <c r="B998">
        <v>43.43</v>
      </c>
      <c r="C998">
        <v>43.57</v>
      </c>
      <c r="D998">
        <v>43.02</v>
      </c>
      <c r="E998">
        <v>43.259998000000003</v>
      </c>
      <c r="F998">
        <v>36.695411999999997</v>
      </c>
      <c r="G998">
        <v>19644900</v>
      </c>
      <c r="I998">
        <f t="shared" si="16"/>
        <v>7.5750055274872974E-5</v>
      </c>
    </row>
    <row r="999" spans="1:9" x14ac:dyDescent="0.3">
      <c r="A999" s="5">
        <v>43084</v>
      </c>
      <c r="B999">
        <v>43.400002000000001</v>
      </c>
      <c r="C999">
        <v>44.84</v>
      </c>
      <c r="D999">
        <v>43.07</v>
      </c>
      <c r="E999">
        <v>44.560001</v>
      </c>
      <c r="F999">
        <v>37.798144999999998</v>
      </c>
      <c r="G999">
        <v>47477000</v>
      </c>
      <c r="I999">
        <f t="shared" si="16"/>
        <v>4.640537770267959E-4</v>
      </c>
    </row>
    <row r="1000" spans="1:9" x14ac:dyDescent="0.3">
      <c r="A1000" s="5">
        <v>43087</v>
      </c>
      <c r="B1000">
        <v>45.150002000000001</v>
      </c>
      <c r="C1000">
        <v>46.349997999999999</v>
      </c>
      <c r="D1000">
        <v>45.040000999999997</v>
      </c>
      <c r="E1000">
        <v>46.259998000000003</v>
      </c>
      <c r="F1000">
        <v>39.240181</v>
      </c>
      <c r="G1000">
        <v>50369300</v>
      </c>
      <c r="I1000">
        <f t="shared" si="16"/>
        <v>1.1617804921055855E-4</v>
      </c>
    </row>
    <row r="1001" spans="1:9" x14ac:dyDescent="0.3">
      <c r="A1001" s="5">
        <v>43088</v>
      </c>
      <c r="B1001">
        <v>46.299999</v>
      </c>
      <c r="C1001">
        <v>47.259998000000003</v>
      </c>
      <c r="D1001">
        <v>45.889999000000003</v>
      </c>
      <c r="E1001">
        <v>47.040000999999997</v>
      </c>
      <c r="F1001">
        <v>39.901814000000002</v>
      </c>
      <c r="G1001">
        <v>41421100</v>
      </c>
      <c r="I1001">
        <f t="shared" si="16"/>
        <v>3.1590963199954234E-4</v>
      </c>
    </row>
    <row r="1002" spans="1:9" x14ac:dyDescent="0.3">
      <c r="A1002" s="5">
        <v>43089</v>
      </c>
      <c r="B1002">
        <v>47.470001000000003</v>
      </c>
      <c r="C1002">
        <v>47.639999000000003</v>
      </c>
      <c r="D1002">
        <v>46.66</v>
      </c>
      <c r="E1002">
        <v>47.560001</v>
      </c>
      <c r="F1002">
        <v>40.342911000000001</v>
      </c>
      <c r="G1002">
        <v>40935000</v>
      </c>
      <c r="I1002">
        <f t="shared" si="16"/>
        <v>3.3481505335318588E-4</v>
      </c>
    </row>
    <row r="1003" spans="1:9" x14ac:dyDescent="0.3">
      <c r="A1003" s="5">
        <v>43090</v>
      </c>
      <c r="B1003">
        <v>47.540000999999997</v>
      </c>
      <c r="C1003">
        <v>47.59</v>
      </c>
      <c r="D1003">
        <v>46.560001</v>
      </c>
      <c r="E1003">
        <v>46.759998000000003</v>
      </c>
      <c r="F1003">
        <v>39.664299</v>
      </c>
      <c r="G1003">
        <v>42963500</v>
      </c>
      <c r="I1003">
        <f t="shared" si="16"/>
        <v>1.0777642933422357E-4</v>
      </c>
    </row>
    <row r="1004" spans="1:9" x14ac:dyDescent="0.3">
      <c r="A1004" s="5">
        <v>43091</v>
      </c>
      <c r="B1004">
        <v>46.330002</v>
      </c>
      <c r="C1004">
        <v>47.02</v>
      </c>
      <c r="D1004">
        <v>46.02</v>
      </c>
      <c r="E1004">
        <v>46.700001</v>
      </c>
      <c r="F1004">
        <v>39.613402999999998</v>
      </c>
      <c r="G1004">
        <v>33913500</v>
      </c>
      <c r="I1004">
        <f t="shared" si="16"/>
        <v>1.9942966225943394E-4</v>
      </c>
    </row>
    <row r="1005" spans="1:9" x14ac:dyDescent="0.3">
      <c r="A1005" s="5">
        <v>43095</v>
      </c>
      <c r="B1005">
        <v>46.279998999999997</v>
      </c>
      <c r="C1005">
        <v>46.470001000000003</v>
      </c>
      <c r="D1005">
        <v>45.950001</v>
      </c>
      <c r="E1005">
        <v>46.080002</v>
      </c>
      <c r="F1005">
        <v>39.087485999999998</v>
      </c>
      <c r="G1005">
        <v>15533300</v>
      </c>
      <c r="I1005">
        <f t="shared" si="16"/>
        <v>5.4746915943729561E-5</v>
      </c>
    </row>
    <row r="1006" spans="1:9" x14ac:dyDescent="0.3">
      <c r="A1006" s="5">
        <v>43096</v>
      </c>
      <c r="B1006">
        <v>46.110000999999997</v>
      </c>
      <c r="C1006">
        <v>46.360000999999997</v>
      </c>
      <c r="D1006">
        <v>46</v>
      </c>
      <c r="E1006">
        <v>46.110000999999997</v>
      </c>
      <c r="F1006">
        <v>39.112938</v>
      </c>
      <c r="G1006">
        <v>13359700</v>
      </c>
      <c r="I1006">
        <f t="shared" si="16"/>
        <v>3.4942306217003392E-5</v>
      </c>
    </row>
    <row r="1007" spans="1:9" x14ac:dyDescent="0.3">
      <c r="A1007" s="5">
        <v>43097</v>
      </c>
      <c r="B1007">
        <v>46.360000999999997</v>
      </c>
      <c r="C1007">
        <v>46.360000999999997</v>
      </c>
      <c r="D1007">
        <v>45.950001</v>
      </c>
      <c r="E1007">
        <v>46.220001000000003</v>
      </c>
      <c r="F1007">
        <v>39.206245000000003</v>
      </c>
      <c r="G1007">
        <v>9504400</v>
      </c>
      <c r="I1007">
        <f t="shared" si="16"/>
        <v>5.204432174099295E-5</v>
      </c>
    </row>
    <row r="1008" spans="1:9" x14ac:dyDescent="0.3">
      <c r="A1008" s="5">
        <v>43098</v>
      </c>
      <c r="B1008">
        <v>46.209999000000003</v>
      </c>
      <c r="C1008">
        <v>46.490001999999997</v>
      </c>
      <c r="D1008">
        <v>46.09</v>
      </c>
      <c r="E1008">
        <v>46.16</v>
      </c>
      <c r="F1008">
        <v>39.155349999999999</v>
      </c>
      <c r="G1008">
        <v>17394500</v>
      </c>
      <c r="I1008">
        <f t="shared" si="16"/>
        <v>4.6980645192683243E-5</v>
      </c>
    </row>
    <row r="1009" spans="1:9" x14ac:dyDescent="0.3">
      <c r="A1009" s="5">
        <v>43102</v>
      </c>
      <c r="B1009">
        <v>46.380001</v>
      </c>
      <c r="C1009">
        <v>46.900002000000001</v>
      </c>
      <c r="D1009">
        <v>46.209999000000003</v>
      </c>
      <c r="E1009">
        <v>46.849997999999999</v>
      </c>
      <c r="F1009">
        <v>39.740645999999998</v>
      </c>
      <c r="G1009">
        <v>23370800</v>
      </c>
      <c r="I1009">
        <f t="shared" si="16"/>
        <v>6.2403162288584364E-5</v>
      </c>
    </row>
    <row r="1010" spans="1:9" x14ac:dyDescent="0.3">
      <c r="A1010" s="5">
        <v>43103</v>
      </c>
      <c r="B1010">
        <v>45.470001000000003</v>
      </c>
      <c r="C1010">
        <v>46.209999000000003</v>
      </c>
      <c r="D1010">
        <v>43.650002000000001</v>
      </c>
      <c r="E1010">
        <v>45.259998000000003</v>
      </c>
      <c r="F1010">
        <v>38.391917999999997</v>
      </c>
      <c r="G1010">
        <v>116479000</v>
      </c>
      <c r="I1010">
        <f t="shared" si="16"/>
        <v>1.8149192338147708E-3</v>
      </c>
    </row>
    <row r="1011" spans="1:9" x14ac:dyDescent="0.3">
      <c r="A1011" s="5">
        <v>43104</v>
      </c>
      <c r="B1011">
        <v>43.52</v>
      </c>
      <c r="C1011">
        <v>44.650002000000001</v>
      </c>
      <c r="D1011">
        <v>42.689999</v>
      </c>
      <c r="E1011">
        <v>44.43</v>
      </c>
      <c r="F1011">
        <v>37.687869999999997</v>
      </c>
      <c r="G1011">
        <v>89209100</v>
      </c>
      <c r="I1011">
        <f t="shared" si="16"/>
        <v>8.9589506970052049E-4</v>
      </c>
    </row>
    <row r="1012" spans="1:9" x14ac:dyDescent="0.3">
      <c r="A1012" s="5">
        <v>43105</v>
      </c>
      <c r="B1012">
        <v>44.43</v>
      </c>
      <c r="C1012">
        <v>45.150002000000001</v>
      </c>
      <c r="D1012">
        <v>43.900002000000001</v>
      </c>
      <c r="E1012">
        <v>44.740001999999997</v>
      </c>
      <c r="F1012">
        <v>37.950828999999999</v>
      </c>
      <c r="G1012">
        <v>41824000</v>
      </c>
      <c r="I1012">
        <f t="shared" si="16"/>
        <v>3.7409913410316057E-4</v>
      </c>
    </row>
    <row r="1013" spans="1:9" x14ac:dyDescent="0.3">
      <c r="A1013" s="5">
        <v>43108</v>
      </c>
      <c r="B1013">
        <v>44.27</v>
      </c>
      <c r="C1013">
        <v>44.84</v>
      </c>
      <c r="D1013">
        <v>43.959999000000003</v>
      </c>
      <c r="E1013">
        <v>44.740001999999997</v>
      </c>
      <c r="F1013">
        <v>37.950828999999999</v>
      </c>
      <c r="G1013">
        <v>33733800</v>
      </c>
      <c r="I1013">
        <f t="shared" si="16"/>
        <v>1.5215499622842153E-4</v>
      </c>
    </row>
    <row r="1014" spans="1:9" x14ac:dyDescent="0.3">
      <c r="A1014" s="5">
        <v>43109</v>
      </c>
      <c r="B1014">
        <v>44.700001</v>
      </c>
      <c r="C1014">
        <v>44.84</v>
      </c>
      <c r="D1014">
        <v>43.490001999999997</v>
      </c>
      <c r="E1014">
        <v>43.619999</v>
      </c>
      <c r="F1014">
        <v>37.000796999999999</v>
      </c>
      <c r="G1014">
        <v>44282300</v>
      </c>
      <c r="I1014">
        <f t="shared" si="16"/>
        <v>1.6816643656928748E-4</v>
      </c>
    </row>
    <row r="1015" spans="1:9" x14ac:dyDescent="0.3">
      <c r="A1015" s="5">
        <v>43110</v>
      </c>
      <c r="B1015">
        <v>43.330002</v>
      </c>
      <c r="C1015">
        <v>43.599997999999999</v>
      </c>
      <c r="D1015">
        <v>42.439999</v>
      </c>
      <c r="E1015">
        <v>42.5</v>
      </c>
      <c r="F1015">
        <v>36.050750999999998</v>
      </c>
      <c r="G1015">
        <v>45735000</v>
      </c>
      <c r="I1015">
        <f t="shared" si="16"/>
        <v>1.880518233149375E-4</v>
      </c>
    </row>
    <row r="1016" spans="1:9" x14ac:dyDescent="0.3">
      <c r="A1016" s="5">
        <v>43111</v>
      </c>
      <c r="B1016">
        <v>42.799999</v>
      </c>
      <c r="C1016">
        <v>43.580002</v>
      </c>
      <c r="D1016">
        <v>42.450001</v>
      </c>
      <c r="E1016">
        <v>43.41</v>
      </c>
      <c r="F1016">
        <v>36.822662000000001</v>
      </c>
      <c r="G1016">
        <v>35371500</v>
      </c>
      <c r="I1016">
        <f t="shared" si="16"/>
        <v>2.5421441043060563E-4</v>
      </c>
    </row>
    <row r="1017" spans="1:9" x14ac:dyDescent="0.3">
      <c r="A1017" s="5">
        <v>43112</v>
      </c>
      <c r="B1017">
        <v>43.450001</v>
      </c>
      <c r="C1017">
        <v>43.599997999999999</v>
      </c>
      <c r="D1017">
        <v>43.009998000000003</v>
      </c>
      <c r="E1017">
        <v>43.240001999999997</v>
      </c>
      <c r="F1017">
        <v>36.678448000000003</v>
      </c>
      <c r="G1017">
        <v>29973600</v>
      </c>
      <c r="I1017">
        <f t="shared" si="16"/>
        <v>8.2858119556517869E-5</v>
      </c>
    </row>
    <row r="1018" spans="1:9" x14ac:dyDescent="0.3">
      <c r="A1018" s="5">
        <v>43116</v>
      </c>
      <c r="B1018">
        <v>43.549999</v>
      </c>
      <c r="C1018">
        <v>43.790000999999997</v>
      </c>
      <c r="D1018">
        <v>42.889999000000003</v>
      </c>
      <c r="E1018">
        <v>43.139999000000003</v>
      </c>
      <c r="F1018">
        <v>36.593623999999998</v>
      </c>
      <c r="G1018">
        <v>38367200</v>
      </c>
      <c r="I1018">
        <f t="shared" si="16"/>
        <v>1.7094361512491171E-4</v>
      </c>
    </row>
    <row r="1019" spans="1:9" x14ac:dyDescent="0.3">
      <c r="A1019" s="5">
        <v>43117</v>
      </c>
      <c r="B1019">
        <v>43.549999</v>
      </c>
      <c r="C1019">
        <v>44.450001</v>
      </c>
      <c r="D1019">
        <v>43.509998000000003</v>
      </c>
      <c r="E1019">
        <v>44.389999000000003</v>
      </c>
      <c r="F1019">
        <v>37.653937999999997</v>
      </c>
      <c r="G1019">
        <v>32368600</v>
      </c>
      <c r="I1019">
        <f t="shared" si="16"/>
        <v>4.6030918397170899E-5</v>
      </c>
    </row>
    <row r="1020" spans="1:9" x14ac:dyDescent="0.3">
      <c r="A1020" s="5">
        <v>43118</v>
      </c>
      <c r="B1020">
        <v>44.400002000000001</v>
      </c>
      <c r="C1020">
        <v>44.740001999999997</v>
      </c>
      <c r="D1020">
        <v>44.169998</v>
      </c>
      <c r="E1020">
        <v>44.48</v>
      </c>
      <c r="F1020">
        <v>37.730277999999998</v>
      </c>
      <c r="G1020">
        <v>26826500</v>
      </c>
      <c r="I1020">
        <f t="shared" si="16"/>
        <v>8.0785793775193517E-5</v>
      </c>
    </row>
    <row r="1021" spans="1:9" x14ac:dyDescent="0.3">
      <c r="A1021" s="5">
        <v>43119</v>
      </c>
      <c r="B1021">
        <v>44.619999</v>
      </c>
      <c r="C1021">
        <v>44.889999000000003</v>
      </c>
      <c r="D1021">
        <v>44.25</v>
      </c>
      <c r="E1021">
        <v>44.82</v>
      </c>
      <c r="F1021">
        <v>38.018687999999997</v>
      </c>
      <c r="G1021">
        <v>25780200</v>
      </c>
      <c r="I1021">
        <f t="shared" si="16"/>
        <v>1.1599011706946631E-4</v>
      </c>
    </row>
    <row r="1022" spans="1:9" x14ac:dyDescent="0.3">
      <c r="A1022" s="5">
        <v>43122</v>
      </c>
      <c r="B1022">
        <v>44.799999</v>
      </c>
      <c r="C1022">
        <v>45.790000999999997</v>
      </c>
      <c r="D1022">
        <v>44.790000999999997</v>
      </c>
      <c r="E1022">
        <v>45.75</v>
      </c>
      <c r="F1022">
        <v>38.807563999999999</v>
      </c>
      <c r="G1022">
        <v>27706800</v>
      </c>
      <c r="I1022">
        <f t="shared" si="16"/>
        <v>2.3835883006934079E-5</v>
      </c>
    </row>
    <row r="1023" spans="1:9" x14ac:dyDescent="0.3">
      <c r="A1023" s="5">
        <v>43123</v>
      </c>
      <c r="B1023">
        <v>45.810001</v>
      </c>
      <c r="C1023">
        <v>46.09</v>
      </c>
      <c r="D1023">
        <v>45.630001</v>
      </c>
      <c r="E1023">
        <v>46.060001</v>
      </c>
      <c r="F1023">
        <v>39.070526000000001</v>
      </c>
      <c r="G1023">
        <v>22135100</v>
      </c>
      <c r="I1023">
        <f t="shared" si="16"/>
        <v>4.0894680171406988E-5</v>
      </c>
    </row>
    <row r="1024" spans="1:9" x14ac:dyDescent="0.3">
      <c r="A1024" s="5">
        <v>43124</v>
      </c>
      <c r="B1024">
        <v>45.900002000000001</v>
      </c>
      <c r="C1024">
        <v>46.130001</v>
      </c>
      <c r="D1024">
        <v>44.959999000000003</v>
      </c>
      <c r="E1024">
        <v>45.509998000000003</v>
      </c>
      <c r="F1024">
        <v>38.603985000000002</v>
      </c>
      <c r="G1024">
        <v>32464200</v>
      </c>
      <c r="I1024">
        <f t="shared" si="16"/>
        <v>3.1922594156323436E-4</v>
      </c>
    </row>
    <row r="1025" spans="1:9" x14ac:dyDescent="0.3">
      <c r="A1025" s="5">
        <v>43125</v>
      </c>
      <c r="B1025">
        <v>45.880001</v>
      </c>
      <c r="C1025">
        <v>46.369999</v>
      </c>
      <c r="D1025">
        <v>45.169998</v>
      </c>
      <c r="E1025">
        <v>45.299999</v>
      </c>
      <c r="F1025">
        <v>38.425857999999998</v>
      </c>
      <c r="G1025">
        <v>36758700</v>
      </c>
      <c r="I1025">
        <f t="shared" si="16"/>
        <v>2.9283150622833097E-4</v>
      </c>
    </row>
    <row r="1026" spans="1:9" x14ac:dyDescent="0.3">
      <c r="A1026" s="5">
        <v>43126</v>
      </c>
      <c r="B1026">
        <v>48.380001</v>
      </c>
      <c r="C1026">
        <v>50.150002000000001</v>
      </c>
      <c r="D1026">
        <v>48.119999</v>
      </c>
      <c r="E1026">
        <v>50.080002</v>
      </c>
      <c r="F1026">
        <v>42.480499000000002</v>
      </c>
      <c r="G1026">
        <v>86916100</v>
      </c>
      <c r="I1026">
        <f t="shared" si="16"/>
        <v>2.6532553532871057E-4</v>
      </c>
    </row>
    <row r="1027" spans="1:9" x14ac:dyDescent="0.3">
      <c r="A1027" s="5">
        <v>43129</v>
      </c>
      <c r="B1027">
        <v>49.599997999999999</v>
      </c>
      <c r="C1027">
        <v>50.849997999999999</v>
      </c>
      <c r="D1027">
        <v>49.369999</v>
      </c>
      <c r="E1027">
        <v>49.98</v>
      </c>
      <c r="F1027">
        <v>42.395668000000001</v>
      </c>
      <c r="G1027">
        <v>46304000</v>
      </c>
      <c r="I1027">
        <f t="shared" si="16"/>
        <v>4.8659410693131615E-4</v>
      </c>
    </row>
    <row r="1028" spans="1:9" x14ac:dyDescent="0.3">
      <c r="A1028" s="5">
        <v>43130</v>
      </c>
      <c r="B1028">
        <v>49.48</v>
      </c>
      <c r="C1028">
        <v>50.060001</v>
      </c>
      <c r="D1028">
        <v>48.740001999999997</v>
      </c>
      <c r="E1028">
        <v>48.790000999999997</v>
      </c>
      <c r="F1028">
        <v>41.386260999999998</v>
      </c>
      <c r="G1028">
        <v>32814600</v>
      </c>
      <c r="I1028">
        <f t="shared" si="16"/>
        <v>3.1491536851301522E-4</v>
      </c>
    </row>
    <row r="1029" spans="1:9" x14ac:dyDescent="0.3">
      <c r="A1029" s="5">
        <v>43131</v>
      </c>
      <c r="B1029">
        <v>49.23</v>
      </c>
      <c r="C1029">
        <v>49.25</v>
      </c>
      <c r="D1029">
        <v>47.560001</v>
      </c>
      <c r="E1029">
        <v>48.139999000000003</v>
      </c>
      <c r="F1029">
        <v>40.834892000000004</v>
      </c>
      <c r="G1029">
        <v>41619900</v>
      </c>
      <c r="I1029">
        <f t="shared" si="16"/>
        <v>4.2757917529555783E-4</v>
      </c>
    </row>
    <row r="1030" spans="1:9" x14ac:dyDescent="0.3">
      <c r="A1030" s="5">
        <v>43132</v>
      </c>
      <c r="B1030">
        <v>47.700001</v>
      </c>
      <c r="C1030">
        <v>48.470001000000003</v>
      </c>
      <c r="D1030">
        <v>47.450001</v>
      </c>
      <c r="E1030">
        <v>47.650002000000001</v>
      </c>
      <c r="F1030">
        <v>40.419249999999998</v>
      </c>
      <c r="G1030">
        <v>28840400</v>
      </c>
      <c r="I1030">
        <f t="shared" si="16"/>
        <v>2.9533396070364592E-4</v>
      </c>
    </row>
    <row r="1031" spans="1:9" x14ac:dyDescent="0.3">
      <c r="A1031" s="5">
        <v>43133</v>
      </c>
      <c r="B1031">
        <v>47.32</v>
      </c>
      <c r="C1031">
        <v>47.790000999999997</v>
      </c>
      <c r="D1031">
        <v>46.099997999999999</v>
      </c>
      <c r="E1031">
        <v>46.150002000000001</v>
      </c>
      <c r="F1031">
        <v>39.146861999999999</v>
      </c>
      <c r="G1031">
        <v>28663000</v>
      </c>
      <c r="I1031">
        <f t="shared" si="16"/>
        <v>3.7343926616045765E-4</v>
      </c>
    </row>
    <row r="1032" spans="1:9" x14ac:dyDescent="0.3">
      <c r="A1032" s="5">
        <v>43136</v>
      </c>
      <c r="B1032">
        <v>46.349997999999999</v>
      </c>
      <c r="C1032">
        <v>47.259998000000003</v>
      </c>
      <c r="D1032">
        <v>44.5</v>
      </c>
      <c r="E1032">
        <v>44.52</v>
      </c>
      <c r="F1032">
        <v>37.764214000000003</v>
      </c>
      <c r="G1032">
        <v>47869000</v>
      </c>
      <c r="I1032">
        <f t="shared" si="16"/>
        <v>1.1795481151334736E-3</v>
      </c>
    </row>
    <row r="1033" spans="1:9" x14ac:dyDescent="0.3">
      <c r="A1033" s="5">
        <v>43137</v>
      </c>
      <c r="B1033">
        <v>44.02</v>
      </c>
      <c r="C1033">
        <v>44.93</v>
      </c>
      <c r="D1033">
        <v>43.029998999999997</v>
      </c>
      <c r="E1033">
        <v>44.91</v>
      </c>
      <c r="F1033">
        <v>38.353484999999999</v>
      </c>
      <c r="G1033">
        <v>58145400</v>
      </c>
      <c r="I1033">
        <f t="shared" si="16"/>
        <v>9.8182025501049926E-4</v>
      </c>
    </row>
    <row r="1034" spans="1:9" x14ac:dyDescent="0.3">
      <c r="A1034" s="5">
        <v>43138</v>
      </c>
      <c r="B1034">
        <v>44.580002</v>
      </c>
      <c r="C1034">
        <v>46.299999</v>
      </c>
      <c r="D1034">
        <v>44.34</v>
      </c>
      <c r="E1034">
        <v>45.200001</v>
      </c>
      <c r="F1034">
        <v>38.601143</v>
      </c>
      <c r="G1034">
        <v>37508400</v>
      </c>
      <c r="I1034">
        <f t="shared" si="16"/>
        <v>1.0139530355582614E-3</v>
      </c>
    </row>
    <row r="1035" spans="1:9" x14ac:dyDescent="0.3">
      <c r="A1035" s="5">
        <v>43139</v>
      </c>
      <c r="B1035">
        <v>45.279998999999997</v>
      </c>
      <c r="C1035">
        <v>45.419998</v>
      </c>
      <c r="D1035">
        <v>42.740001999999997</v>
      </c>
      <c r="E1035">
        <v>42.75</v>
      </c>
      <c r="F1035">
        <v>36.508823</v>
      </c>
      <c r="G1035">
        <v>43151300</v>
      </c>
      <c r="I1035">
        <f t="shared" si="16"/>
        <v>2.0052853454154387E-4</v>
      </c>
    </row>
    <row r="1036" spans="1:9" x14ac:dyDescent="0.3">
      <c r="A1036" s="5">
        <v>43140</v>
      </c>
      <c r="B1036">
        <v>43.5</v>
      </c>
      <c r="C1036">
        <v>44.279998999999997</v>
      </c>
      <c r="D1036">
        <v>42.040000999999997</v>
      </c>
      <c r="E1036">
        <v>43.950001</v>
      </c>
      <c r="F1036">
        <v>37.533645999999997</v>
      </c>
      <c r="G1036">
        <v>49301100</v>
      </c>
      <c r="I1036">
        <f t="shared" ref="I1036:I1099" si="17">LN(C1036/B1036)*(LN(C1036/B1036)-LN(E1036/B1036))+LN(D1036/B1036)*(LN(D1036/B1036)-LN(E1036/B1036))</f>
        <v>1.6497923562482685E-3</v>
      </c>
    </row>
    <row r="1037" spans="1:9" x14ac:dyDescent="0.3">
      <c r="A1037" s="5">
        <v>43143</v>
      </c>
      <c r="B1037">
        <v>44.150002000000001</v>
      </c>
      <c r="C1037">
        <v>45.16</v>
      </c>
      <c r="D1037">
        <v>44.09</v>
      </c>
      <c r="E1037">
        <v>44.830002</v>
      </c>
      <c r="F1037">
        <v>38.285167999999999</v>
      </c>
      <c r="G1037">
        <v>28379500</v>
      </c>
      <c r="I1037">
        <f t="shared" si="17"/>
        <v>1.8852533506700592E-4</v>
      </c>
    </row>
    <row r="1038" spans="1:9" x14ac:dyDescent="0.3">
      <c r="A1038" s="5">
        <v>43144</v>
      </c>
      <c r="B1038">
        <v>44.59</v>
      </c>
      <c r="C1038">
        <v>44.779998999999997</v>
      </c>
      <c r="D1038">
        <v>44.259998000000003</v>
      </c>
      <c r="E1038">
        <v>44.459999000000003</v>
      </c>
      <c r="F1038">
        <v>37.969180999999999</v>
      </c>
      <c r="G1038">
        <v>19517600</v>
      </c>
      <c r="I1038">
        <f t="shared" si="17"/>
        <v>6.3985206423950082E-5</v>
      </c>
    </row>
    <row r="1039" spans="1:9" x14ac:dyDescent="0.3">
      <c r="A1039" s="5">
        <v>43145</v>
      </c>
      <c r="B1039">
        <v>44.07</v>
      </c>
      <c r="C1039">
        <v>45.509998000000003</v>
      </c>
      <c r="D1039">
        <v>44.040000999999997</v>
      </c>
      <c r="E1039">
        <v>45.380001</v>
      </c>
      <c r="F1039">
        <v>38.754868000000002</v>
      </c>
      <c r="G1039">
        <v>19922000</v>
      </c>
      <c r="I1039">
        <f t="shared" si="17"/>
        <v>1.1238420448380108E-4</v>
      </c>
    </row>
    <row r="1040" spans="1:9" x14ac:dyDescent="0.3">
      <c r="A1040" s="5">
        <v>43146</v>
      </c>
      <c r="B1040">
        <v>45.880001</v>
      </c>
      <c r="C1040">
        <v>45.990001999999997</v>
      </c>
      <c r="D1040">
        <v>44.950001</v>
      </c>
      <c r="E1040">
        <v>45.919998</v>
      </c>
      <c r="F1040">
        <v>39.216030000000003</v>
      </c>
      <c r="G1040">
        <v>23536800</v>
      </c>
      <c r="I1040">
        <f t="shared" si="17"/>
        <v>4.4086300761085319E-4</v>
      </c>
    </row>
    <row r="1041" spans="1:9" x14ac:dyDescent="0.3">
      <c r="A1041" s="5">
        <v>43147</v>
      </c>
      <c r="B1041">
        <v>45.82</v>
      </c>
      <c r="C1041">
        <v>46.59</v>
      </c>
      <c r="D1041">
        <v>45.509998000000003</v>
      </c>
      <c r="E1041">
        <v>45.560001</v>
      </c>
      <c r="F1041">
        <v>38.908588000000002</v>
      </c>
      <c r="G1041">
        <v>21475200</v>
      </c>
      <c r="I1041">
        <f t="shared" si="17"/>
        <v>3.8001914772528718E-4</v>
      </c>
    </row>
    <row r="1042" spans="1:9" x14ac:dyDescent="0.3">
      <c r="A1042" s="5">
        <v>43151</v>
      </c>
      <c r="B1042">
        <v>45.459999000000003</v>
      </c>
      <c r="C1042">
        <v>46.709999000000003</v>
      </c>
      <c r="D1042">
        <v>45.389999000000003</v>
      </c>
      <c r="E1042">
        <v>46.32</v>
      </c>
      <c r="F1042">
        <v>39.557631999999998</v>
      </c>
      <c r="G1042">
        <v>25512000</v>
      </c>
      <c r="I1042">
        <f t="shared" si="17"/>
        <v>2.5868587935195413E-4</v>
      </c>
    </row>
    <row r="1043" spans="1:9" x14ac:dyDescent="0.3">
      <c r="A1043" s="5">
        <v>43152</v>
      </c>
      <c r="B1043">
        <v>46.669998</v>
      </c>
      <c r="C1043">
        <v>47.060001</v>
      </c>
      <c r="D1043">
        <v>45.919998</v>
      </c>
      <c r="E1043">
        <v>45.939999</v>
      </c>
      <c r="F1043">
        <v>39.233097000000001</v>
      </c>
      <c r="G1043">
        <v>27527500</v>
      </c>
      <c r="I1043">
        <f t="shared" si="17"/>
        <v>2.0750612709027967E-4</v>
      </c>
    </row>
    <row r="1044" spans="1:9" x14ac:dyDescent="0.3">
      <c r="A1044" s="5">
        <v>43153</v>
      </c>
      <c r="B1044">
        <v>46.139999000000003</v>
      </c>
      <c r="C1044">
        <v>46.560001</v>
      </c>
      <c r="D1044">
        <v>45.619999</v>
      </c>
      <c r="E1044">
        <v>45.799999</v>
      </c>
      <c r="F1044">
        <v>39.113551999999999</v>
      </c>
      <c r="G1044">
        <v>16946400</v>
      </c>
      <c r="I1044">
        <f t="shared" si="17"/>
        <v>1.9376550689226044E-4</v>
      </c>
    </row>
    <row r="1045" spans="1:9" x14ac:dyDescent="0.3">
      <c r="A1045" s="5">
        <v>43154</v>
      </c>
      <c r="B1045">
        <v>46.34</v>
      </c>
      <c r="C1045">
        <v>47.790000999999997</v>
      </c>
      <c r="D1045">
        <v>46.310001</v>
      </c>
      <c r="E1045">
        <v>47.73</v>
      </c>
      <c r="F1045">
        <v>40.761780000000002</v>
      </c>
      <c r="G1045">
        <v>26040900</v>
      </c>
      <c r="I1045">
        <f t="shared" si="17"/>
        <v>5.826606926299218E-5</v>
      </c>
    </row>
    <row r="1046" spans="1:9" x14ac:dyDescent="0.3">
      <c r="A1046" s="5">
        <v>43157</v>
      </c>
      <c r="B1046">
        <v>48.200001</v>
      </c>
      <c r="C1046">
        <v>49.130001</v>
      </c>
      <c r="D1046">
        <v>48.099997999999999</v>
      </c>
      <c r="E1046">
        <v>49.110000999999997</v>
      </c>
      <c r="F1046">
        <v>41.940295999999996</v>
      </c>
      <c r="G1046">
        <v>26992300</v>
      </c>
      <c r="I1046">
        <f t="shared" si="17"/>
        <v>5.0940565911328402E-5</v>
      </c>
    </row>
    <row r="1047" spans="1:9" x14ac:dyDescent="0.3">
      <c r="A1047" s="5">
        <v>43158</v>
      </c>
      <c r="B1047">
        <v>49.369999</v>
      </c>
      <c r="C1047">
        <v>50.900002000000001</v>
      </c>
      <c r="D1047">
        <v>49.310001</v>
      </c>
      <c r="E1047">
        <v>49.91</v>
      </c>
      <c r="F1047">
        <v>42.623519999999999</v>
      </c>
      <c r="G1047">
        <v>43624100</v>
      </c>
      <c r="I1047">
        <f t="shared" si="17"/>
        <v>6.141686139718882E-4</v>
      </c>
    </row>
    <row r="1048" spans="1:9" x14ac:dyDescent="0.3">
      <c r="A1048" s="5">
        <v>43159</v>
      </c>
      <c r="B1048">
        <v>50.18</v>
      </c>
      <c r="C1048">
        <v>50.34</v>
      </c>
      <c r="D1048">
        <v>49.279998999999997</v>
      </c>
      <c r="E1048">
        <v>49.290000999999997</v>
      </c>
      <c r="F1048">
        <v>42.09404</v>
      </c>
      <c r="G1048">
        <v>35541200</v>
      </c>
      <c r="I1048">
        <f t="shared" si="17"/>
        <v>7.0776011342440809E-5</v>
      </c>
    </row>
    <row r="1049" spans="1:9" x14ac:dyDescent="0.3">
      <c r="A1049" s="5">
        <v>43160</v>
      </c>
      <c r="B1049">
        <v>49.5</v>
      </c>
      <c r="C1049">
        <v>49.720001000000003</v>
      </c>
      <c r="D1049">
        <v>47.470001000000003</v>
      </c>
      <c r="E1049">
        <v>47.84</v>
      </c>
      <c r="F1049">
        <v>40.855721000000003</v>
      </c>
      <c r="G1049">
        <v>36326600</v>
      </c>
      <c r="I1049">
        <f t="shared" si="17"/>
        <v>4.9605493225926339E-4</v>
      </c>
    </row>
    <row r="1050" spans="1:9" x14ac:dyDescent="0.3">
      <c r="A1050" s="5">
        <v>43161</v>
      </c>
      <c r="B1050">
        <v>47.200001</v>
      </c>
      <c r="C1050">
        <v>49.049999</v>
      </c>
      <c r="D1050">
        <v>46.959999000000003</v>
      </c>
      <c r="E1050">
        <v>48.98</v>
      </c>
      <c r="F1050">
        <v>41.829292000000002</v>
      </c>
      <c r="G1050">
        <v>33310600</v>
      </c>
      <c r="I1050">
        <f t="shared" si="17"/>
        <v>2.6960235213454193E-4</v>
      </c>
    </row>
    <row r="1051" spans="1:9" x14ac:dyDescent="0.3">
      <c r="A1051" s="5">
        <v>43164</v>
      </c>
      <c r="B1051">
        <v>48.57</v>
      </c>
      <c r="C1051">
        <v>49.799999</v>
      </c>
      <c r="D1051">
        <v>48.040000999999997</v>
      </c>
      <c r="E1051">
        <v>49.75</v>
      </c>
      <c r="F1051">
        <v>42.486880999999997</v>
      </c>
      <c r="G1051">
        <v>30826500</v>
      </c>
      <c r="I1051">
        <f t="shared" si="17"/>
        <v>4.0888435783409789E-4</v>
      </c>
    </row>
    <row r="1052" spans="1:9" x14ac:dyDescent="0.3">
      <c r="A1052" s="5">
        <v>43165</v>
      </c>
      <c r="B1052">
        <v>50.16</v>
      </c>
      <c r="C1052">
        <v>51.330002</v>
      </c>
      <c r="D1052">
        <v>50.150002000000001</v>
      </c>
      <c r="E1052">
        <v>50.709999000000003</v>
      </c>
      <c r="F1052">
        <v>43.306721000000003</v>
      </c>
      <c r="G1052">
        <v>39132300</v>
      </c>
      <c r="I1052">
        <f t="shared" si="17"/>
        <v>2.8241562111150674E-4</v>
      </c>
    </row>
    <row r="1053" spans="1:9" x14ac:dyDescent="0.3">
      <c r="A1053" s="5">
        <v>43166</v>
      </c>
      <c r="B1053">
        <v>50.18</v>
      </c>
      <c r="C1053">
        <v>51.490001999999997</v>
      </c>
      <c r="D1053">
        <v>50.099997999999999</v>
      </c>
      <c r="E1053">
        <v>51.32</v>
      </c>
      <c r="F1053">
        <v>43.827671000000002</v>
      </c>
      <c r="G1053">
        <v>31801900</v>
      </c>
      <c r="I1053">
        <f t="shared" si="17"/>
        <v>1.2361678054906018E-4</v>
      </c>
    </row>
    <row r="1054" spans="1:9" x14ac:dyDescent="0.3">
      <c r="A1054" s="5">
        <v>43167</v>
      </c>
      <c r="B1054">
        <v>51.790000999999997</v>
      </c>
      <c r="C1054">
        <v>52.080002</v>
      </c>
      <c r="D1054">
        <v>50.470001000000003</v>
      </c>
      <c r="E1054">
        <v>50.740001999999997</v>
      </c>
      <c r="F1054">
        <v>43.332348000000003</v>
      </c>
      <c r="G1054">
        <v>29481200</v>
      </c>
      <c r="I1054">
        <f t="shared" si="17"/>
        <v>2.8330450626670061E-4</v>
      </c>
    </row>
    <row r="1055" spans="1:9" x14ac:dyDescent="0.3">
      <c r="A1055" s="5">
        <v>43168</v>
      </c>
      <c r="B1055">
        <v>51.27</v>
      </c>
      <c r="C1055">
        <v>52.299999</v>
      </c>
      <c r="D1055">
        <v>51</v>
      </c>
      <c r="E1055">
        <v>52.189999</v>
      </c>
      <c r="F1055">
        <v>44.570644000000001</v>
      </c>
      <c r="G1055">
        <v>32727900</v>
      </c>
      <c r="I1055">
        <f t="shared" si="17"/>
        <v>1.636669704712028E-4</v>
      </c>
    </row>
    <row r="1056" spans="1:9" x14ac:dyDescent="0.3">
      <c r="A1056" s="5">
        <v>43171</v>
      </c>
      <c r="B1056">
        <v>51.860000999999997</v>
      </c>
      <c r="C1056">
        <v>51.950001</v>
      </c>
      <c r="D1056">
        <v>50.5</v>
      </c>
      <c r="E1056">
        <v>51.52</v>
      </c>
      <c r="F1056">
        <v>43.998469999999998</v>
      </c>
      <c r="G1056">
        <v>32044400</v>
      </c>
      <c r="I1056">
        <f t="shared" si="17"/>
        <v>5.4581466550900071E-4</v>
      </c>
    </row>
    <row r="1057" spans="1:9" x14ac:dyDescent="0.3">
      <c r="A1057" s="5">
        <v>43172</v>
      </c>
      <c r="B1057">
        <v>52.52</v>
      </c>
      <c r="C1057">
        <v>53.779998999999997</v>
      </c>
      <c r="D1057">
        <v>51.389999000000003</v>
      </c>
      <c r="E1057">
        <v>51.779998999999997</v>
      </c>
      <c r="F1057">
        <v>44.220516000000003</v>
      </c>
      <c r="G1057">
        <v>45573900</v>
      </c>
      <c r="I1057">
        <f t="shared" si="17"/>
        <v>1.0629039817389178E-3</v>
      </c>
    </row>
    <row r="1058" spans="1:9" x14ac:dyDescent="0.3">
      <c r="A1058" s="5">
        <v>43173</v>
      </c>
      <c r="B1058">
        <v>52.060001</v>
      </c>
      <c r="C1058">
        <v>52.18</v>
      </c>
      <c r="D1058">
        <v>51.310001</v>
      </c>
      <c r="E1058">
        <v>51.860000999999997</v>
      </c>
      <c r="F1058">
        <v>44.288834000000001</v>
      </c>
      <c r="G1058">
        <v>24993500</v>
      </c>
      <c r="I1058">
        <f t="shared" si="17"/>
        <v>1.6888337647271576E-4</v>
      </c>
    </row>
    <row r="1059" spans="1:9" x14ac:dyDescent="0.3">
      <c r="A1059" s="5">
        <v>43174</v>
      </c>
      <c r="B1059">
        <v>52.23</v>
      </c>
      <c r="C1059">
        <v>52.299999</v>
      </c>
      <c r="D1059">
        <v>50.880001</v>
      </c>
      <c r="E1059">
        <v>50.880001</v>
      </c>
      <c r="F1059">
        <v>43.451908000000003</v>
      </c>
      <c r="G1059">
        <v>25631200</v>
      </c>
      <c r="I1059">
        <f t="shared" si="17"/>
        <v>3.6866386846876766E-5</v>
      </c>
    </row>
    <row r="1060" spans="1:9" x14ac:dyDescent="0.3">
      <c r="A1060" s="5">
        <v>43175</v>
      </c>
      <c r="B1060">
        <v>51.169998</v>
      </c>
      <c r="C1060">
        <v>51.700001</v>
      </c>
      <c r="D1060">
        <v>50.990001999999997</v>
      </c>
      <c r="E1060">
        <v>51.169998</v>
      </c>
      <c r="F1060">
        <v>43.699565999999997</v>
      </c>
      <c r="G1060">
        <v>42559800</v>
      </c>
      <c r="I1060">
        <f t="shared" si="17"/>
        <v>1.1859824526656882E-4</v>
      </c>
    </row>
    <row r="1061" spans="1:9" x14ac:dyDescent="0.3">
      <c r="A1061" s="5">
        <v>43178</v>
      </c>
      <c r="B1061">
        <v>50.740001999999997</v>
      </c>
      <c r="C1061">
        <v>51.23</v>
      </c>
      <c r="D1061">
        <v>49.93</v>
      </c>
      <c r="E1061">
        <v>50.830002</v>
      </c>
      <c r="F1061">
        <v>43.409210000000002</v>
      </c>
      <c r="G1061">
        <v>31115200</v>
      </c>
      <c r="I1061">
        <f t="shared" si="17"/>
        <v>3.6282343077313111E-4</v>
      </c>
    </row>
    <row r="1062" spans="1:9" x14ac:dyDescent="0.3">
      <c r="A1062" s="5">
        <v>43179</v>
      </c>
      <c r="B1062">
        <v>50.880001</v>
      </c>
      <c r="C1062">
        <v>51.810001</v>
      </c>
      <c r="D1062">
        <v>50.849997999999999</v>
      </c>
      <c r="E1062">
        <v>51.549999</v>
      </c>
      <c r="F1062">
        <v>44.024093999999998</v>
      </c>
      <c r="G1062">
        <v>22215000</v>
      </c>
      <c r="I1062">
        <f t="shared" si="17"/>
        <v>9.9192550840540006E-5</v>
      </c>
    </row>
    <row r="1063" spans="1:9" x14ac:dyDescent="0.3">
      <c r="A1063" s="5">
        <v>43180</v>
      </c>
      <c r="B1063">
        <v>51.549999</v>
      </c>
      <c r="C1063">
        <v>52.169998</v>
      </c>
      <c r="D1063">
        <v>51.169998</v>
      </c>
      <c r="E1063">
        <v>51.560001</v>
      </c>
      <c r="F1063">
        <v>44.032626999999998</v>
      </c>
      <c r="G1063">
        <v>23239500</v>
      </c>
      <c r="I1063">
        <f t="shared" si="17"/>
        <v>1.9678963767289745E-4</v>
      </c>
    </row>
    <row r="1064" spans="1:9" x14ac:dyDescent="0.3">
      <c r="A1064" s="5">
        <v>43181</v>
      </c>
      <c r="B1064">
        <v>50.740001999999997</v>
      </c>
      <c r="C1064">
        <v>51.959999000000003</v>
      </c>
      <c r="D1064">
        <v>50.599997999999999</v>
      </c>
      <c r="E1064">
        <v>50.830002</v>
      </c>
      <c r="F1064">
        <v>43.409210000000002</v>
      </c>
      <c r="G1064">
        <v>30916000</v>
      </c>
      <c r="I1064">
        <f t="shared" si="17"/>
        <v>5.3494251757032238E-4</v>
      </c>
    </row>
    <row r="1065" spans="1:9" x14ac:dyDescent="0.3">
      <c r="A1065" s="5">
        <v>43182</v>
      </c>
      <c r="B1065">
        <v>50.59</v>
      </c>
      <c r="C1065">
        <v>50.990001999999997</v>
      </c>
      <c r="D1065">
        <v>49.360000999999997</v>
      </c>
      <c r="E1065">
        <v>49.360000999999997</v>
      </c>
      <c r="F1065">
        <v>42.153820000000003</v>
      </c>
      <c r="G1065">
        <v>37683900</v>
      </c>
      <c r="I1065">
        <f t="shared" si="17"/>
        <v>2.5587323623886245E-4</v>
      </c>
    </row>
    <row r="1066" spans="1:9" x14ac:dyDescent="0.3">
      <c r="A1066" s="5">
        <v>43185</v>
      </c>
      <c r="B1066">
        <v>50.740001999999997</v>
      </c>
      <c r="C1066">
        <v>52.490001999999997</v>
      </c>
      <c r="D1066">
        <v>50.32</v>
      </c>
      <c r="E1066">
        <v>52.48</v>
      </c>
      <c r="F1066">
        <v>44.818314000000001</v>
      </c>
      <c r="G1066">
        <v>39306200</v>
      </c>
      <c r="I1066">
        <f t="shared" si="17"/>
        <v>3.5581050902084123E-4</v>
      </c>
    </row>
    <row r="1067" spans="1:9" x14ac:dyDescent="0.3">
      <c r="A1067" s="5">
        <v>43186</v>
      </c>
      <c r="B1067">
        <v>53.009998000000003</v>
      </c>
      <c r="C1067">
        <v>53.25</v>
      </c>
      <c r="D1067">
        <v>50.779998999999997</v>
      </c>
      <c r="E1067">
        <v>51.189999</v>
      </c>
      <c r="F1067">
        <v>43.716644000000002</v>
      </c>
      <c r="G1067">
        <v>38777000</v>
      </c>
      <c r="I1067">
        <f t="shared" si="17"/>
        <v>5.2383534077350821E-4</v>
      </c>
    </row>
    <row r="1068" spans="1:9" x14ac:dyDescent="0.3">
      <c r="A1068" s="5">
        <v>43187</v>
      </c>
      <c r="B1068">
        <v>50.5</v>
      </c>
      <c r="C1068">
        <v>50.700001</v>
      </c>
      <c r="D1068">
        <v>49.009998000000003</v>
      </c>
      <c r="E1068">
        <v>49.599997999999999</v>
      </c>
      <c r="F1068">
        <v>42.358775999999999</v>
      </c>
      <c r="G1068">
        <v>37970900</v>
      </c>
      <c r="I1068">
        <f t="shared" si="17"/>
        <v>4.4508487743139045E-4</v>
      </c>
    </row>
    <row r="1069" spans="1:9" x14ac:dyDescent="0.3">
      <c r="A1069" s="5">
        <v>43188</v>
      </c>
      <c r="B1069">
        <v>49.98</v>
      </c>
      <c r="C1069">
        <v>52.080002</v>
      </c>
      <c r="D1069">
        <v>49.869999</v>
      </c>
      <c r="E1069">
        <v>52.080002</v>
      </c>
      <c r="F1069">
        <v>44.476706999999998</v>
      </c>
      <c r="G1069">
        <v>45265800</v>
      </c>
      <c r="I1069">
        <f t="shared" si="17"/>
        <v>9.5539376795263144E-5</v>
      </c>
    </row>
    <row r="1070" spans="1:9" x14ac:dyDescent="0.3">
      <c r="A1070" s="5">
        <v>43192</v>
      </c>
      <c r="B1070">
        <v>51.689999</v>
      </c>
      <c r="C1070">
        <v>52.040000999999997</v>
      </c>
      <c r="D1070">
        <v>47.290000999999997</v>
      </c>
      <c r="E1070">
        <v>48.919998</v>
      </c>
      <c r="F1070">
        <v>41.778053</v>
      </c>
      <c r="G1070">
        <v>67187800</v>
      </c>
      <c r="I1070">
        <f t="shared" si="17"/>
        <v>3.4320332130172255E-3</v>
      </c>
    </row>
    <row r="1071" spans="1:9" x14ac:dyDescent="0.3">
      <c r="A1071" s="5">
        <v>43193</v>
      </c>
      <c r="B1071">
        <v>49</v>
      </c>
      <c r="C1071">
        <v>49.959999000000003</v>
      </c>
      <c r="D1071">
        <v>48.41</v>
      </c>
      <c r="E1071">
        <v>49.75</v>
      </c>
      <c r="F1071">
        <v>42.486880999999997</v>
      </c>
      <c r="G1071">
        <v>39432400</v>
      </c>
      <c r="I1071">
        <f t="shared" si="17"/>
        <v>4.124851713332496E-4</v>
      </c>
    </row>
    <row r="1072" spans="1:9" x14ac:dyDescent="0.3">
      <c r="A1072" s="5">
        <v>43194</v>
      </c>
      <c r="B1072">
        <v>48.099997999999999</v>
      </c>
      <c r="C1072">
        <v>50.16</v>
      </c>
      <c r="D1072">
        <v>48.009998000000003</v>
      </c>
      <c r="E1072">
        <v>49.990001999999997</v>
      </c>
      <c r="F1072">
        <v>42.691845000000001</v>
      </c>
      <c r="G1072">
        <v>30370000</v>
      </c>
      <c r="I1072">
        <f t="shared" si="17"/>
        <v>2.1805556288882885E-4</v>
      </c>
    </row>
    <row r="1073" spans="1:9" x14ac:dyDescent="0.3">
      <c r="A1073" s="5">
        <v>43195</v>
      </c>
      <c r="B1073">
        <v>50.009998000000003</v>
      </c>
      <c r="C1073">
        <v>50.720001000000003</v>
      </c>
      <c r="D1073">
        <v>49.970001000000003</v>
      </c>
      <c r="E1073">
        <v>50.380001</v>
      </c>
      <c r="F1073">
        <v>43.024898999999998</v>
      </c>
      <c r="G1073">
        <v>25115400</v>
      </c>
      <c r="I1073">
        <f t="shared" si="17"/>
        <v>1.0135753236822016E-4</v>
      </c>
    </row>
    <row r="1074" spans="1:9" x14ac:dyDescent="0.3">
      <c r="A1074" s="5">
        <v>43196</v>
      </c>
      <c r="B1074">
        <v>49.790000999999997</v>
      </c>
      <c r="C1074">
        <v>50.400002000000001</v>
      </c>
      <c r="D1074">
        <v>48.5</v>
      </c>
      <c r="E1074">
        <v>48.790000999999997</v>
      </c>
      <c r="F1074">
        <v>41.667034000000001</v>
      </c>
      <c r="G1074">
        <v>28215200</v>
      </c>
      <c r="I1074">
        <f t="shared" si="17"/>
        <v>5.5183158703625654E-4</v>
      </c>
    </row>
    <row r="1075" spans="1:9" x14ac:dyDescent="0.3">
      <c r="A1075" s="5">
        <v>43199</v>
      </c>
      <c r="B1075">
        <v>49.16</v>
      </c>
      <c r="C1075">
        <v>51.110000999999997</v>
      </c>
      <c r="D1075">
        <v>49.16</v>
      </c>
      <c r="E1075">
        <v>49.549999</v>
      </c>
      <c r="F1075">
        <v>42.316082000000002</v>
      </c>
      <c r="G1075">
        <v>31437000</v>
      </c>
      <c r="I1075">
        <f t="shared" si="17"/>
        <v>1.2058174604091831E-3</v>
      </c>
    </row>
    <row r="1076" spans="1:9" x14ac:dyDescent="0.3">
      <c r="A1076" s="5">
        <v>43200</v>
      </c>
      <c r="B1076">
        <v>51.119999</v>
      </c>
      <c r="C1076">
        <v>51.490001999999997</v>
      </c>
      <c r="D1076">
        <v>50.34</v>
      </c>
      <c r="E1076">
        <v>51.27</v>
      </c>
      <c r="F1076">
        <v>43.784968999999997</v>
      </c>
      <c r="G1076">
        <v>25906400</v>
      </c>
      <c r="I1076">
        <f t="shared" si="17"/>
        <v>3.123465104928751E-4</v>
      </c>
    </row>
    <row r="1077" spans="1:9" x14ac:dyDescent="0.3">
      <c r="A1077" s="5">
        <v>43201</v>
      </c>
      <c r="B1077">
        <v>50.990001999999997</v>
      </c>
      <c r="C1077">
        <v>51.73</v>
      </c>
      <c r="D1077">
        <v>50.82</v>
      </c>
      <c r="E1077">
        <v>51.099997999999999</v>
      </c>
      <c r="F1077">
        <v>43.639781999999997</v>
      </c>
      <c r="G1077">
        <v>17568400</v>
      </c>
      <c r="I1077">
        <f t="shared" si="17"/>
        <v>1.9490050241949047E-4</v>
      </c>
    </row>
    <row r="1078" spans="1:9" x14ac:dyDescent="0.3">
      <c r="A1078" s="5">
        <v>43202</v>
      </c>
      <c r="B1078">
        <v>51.490001999999997</v>
      </c>
      <c r="C1078">
        <v>53.27</v>
      </c>
      <c r="D1078">
        <v>51.450001</v>
      </c>
      <c r="E1078">
        <v>52.720001000000003</v>
      </c>
      <c r="F1078">
        <v>45.023280999999997</v>
      </c>
      <c r="G1078">
        <v>29781400</v>
      </c>
      <c r="I1078">
        <f t="shared" si="17"/>
        <v>3.7166813131145235E-4</v>
      </c>
    </row>
    <row r="1079" spans="1:9" x14ac:dyDescent="0.3">
      <c r="A1079" s="5">
        <v>43203</v>
      </c>
      <c r="B1079">
        <v>53.060001</v>
      </c>
      <c r="C1079">
        <v>53.209999000000003</v>
      </c>
      <c r="D1079">
        <v>51.599997999999999</v>
      </c>
      <c r="E1079">
        <v>51.860000999999997</v>
      </c>
      <c r="F1079">
        <v>44.288834000000001</v>
      </c>
      <c r="G1079">
        <v>20884900</v>
      </c>
      <c r="I1079">
        <f t="shared" si="17"/>
        <v>2.1278471805516246E-4</v>
      </c>
    </row>
    <row r="1080" spans="1:9" x14ac:dyDescent="0.3">
      <c r="A1080" s="5">
        <v>43206</v>
      </c>
      <c r="B1080">
        <v>52.290000999999997</v>
      </c>
      <c r="C1080">
        <v>52.529998999999997</v>
      </c>
      <c r="D1080">
        <v>51.790000999999997</v>
      </c>
      <c r="E1080">
        <v>52.400002000000001</v>
      </c>
      <c r="F1080">
        <v>44.75</v>
      </c>
      <c r="G1080">
        <v>18855500</v>
      </c>
      <c r="I1080">
        <f t="shared" si="17"/>
        <v>1.2385235323936368E-4</v>
      </c>
    </row>
    <row r="1081" spans="1:9" x14ac:dyDescent="0.3">
      <c r="A1081" s="5">
        <v>43207</v>
      </c>
      <c r="B1081">
        <v>52.91</v>
      </c>
      <c r="C1081">
        <v>53.700001</v>
      </c>
      <c r="D1081">
        <v>52.889999000000003</v>
      </c>
      <c r="E1081">
        <v>53.540000999999997</v>
      </c>
      <c r="F1081">
        <v>45.723576000000001</v>
      </c>
      <c r="G1081">
        <v>21228700</v>
      </c>
      <c r="I1081">
        <f t="shared" si="17"/>
        <v>4.884261540632945E-5</v>
      </c>
    </row>
    <row r="1082" spans="1:9" x14ac:dyDescent="0.3">
      <c r="A1082" s="5">
        <v>43208</v>
      </c>
      <c r="B1082">
        <v>53.52</v>
      </c>
      <c r="C1082">
        <v>54.360000999999997</v>
      </c>
      <c r="D1082">
        <v>53.34</v>
      </c>
      <c r="E1082">
        <v>53.610000999999997</v>
      </c>
      <c r="F1082">
        <v>45.783355999999998</v>
      </c>
      <c r="G1082">
        <v>22164700</v>
      </c>
      <c r="I1082">
        <f t="shared" si="17"/>
        <v>2.3336786370792113E-4</v>
      </c>
    </row>
    <row r="1083" spans="1:9" x14ac:dyDescent="0.3">
      <c r="A1083" s="5">
        <v>43209</v>
      </c>
      <c r="B1083">
        <v>52.950001</v>
      </c>
      <c r="C1083">
        <v>52.959999000000003</v>
      </c>
      <c r="D1083">
        <v>51.610000999999997</v>
      </c>
      <c r="E1083">
        <v>52.220001000000003</v>
      </c>
      <c r="F1083">
        <v>44.596279000000003</v>
      </c>
      <c r="G1083">
        <v>25422400</v>
      </c>
      <c r="I1083">
        <f t="shared" si="17"/>
        <v>3.0384280906237257E-4</v>
      </c>
    </row>
    <row r="1084" spans="1:9" x14ac:dyDescent="0.3">
      <c r="A1084" s="5">
        <v>43210</v>
      </c>
      <c r="B1084">
        <v>52.169998</v>
      </c>
      <c r="C1084">
        <v>52.279998999999997</v>
      </c>
      <c r="D1084">
        <v>50.880001</v>
      </c>
      <c r="E1084">
        <v>51.529998999999997</v>
      </c>
      <c r="F1084">
        <v>44.007015000000003</v>
      </c>
      <c r="G1084">
        <v>26910100</v>
      </c>
      <c r="I1084">
        <f t="shared" si="17"/>
        <v>3.4826824448154085E-4</v>
      </c>
    </row>
    <row r="1085" spans="1:9" x14ac:dyDescent="0.3">
      <c r="A1085" s="5">
        <v>43213</v>
      </c>
      <c r="B1085">
        <v>51.689999</v>
      </c>
      <c r="C1085">
        <v>51.889999000000003</v>
      </c>
      <c r="D1085">
        <v>50.849997999999999</v>
      </c>
      <c r="E1085">
        <v>51.099997999999999</v>
      </c>
      <c r="F1085">
        <v>43.639781999999997</v>
      </c>
      <c r="G1085">
        <v>21706700</v>
      </c>
      <c r="I1085">
        <f t="shared" si="17"/>
        <v>1.3959999022059746E-4</v>
      </c>
    </row>
    <row r="1086" spans="1:9" x14ac:dyDescent="0.3">
      <c r="A1086" s="5">
        <v>43214</v>
      </c>
      <c r="B1086">
        <v>51.869999</v>
      </c>
      <c r="C1086">
        <v>53.639999000000003</v>
      </c>
      <c r="D1086">
        <v>51.139999000000003</v>
      </c>
      <c r="E1086">
        <v>51.450001</v>
      </c>
      <c r="F1086">
        <v>43.938701999999999</v>
      </c>
      <c r="G1086">
        <v>42494700</v>
      </c>
      <c r="I1086">
        <f t="shared" si="17"/>
        <v>1.4843619915325462E-3</v>
      </c>
    </row>
    <row r="1087" spans="1:9" x14ac:dyDescent="0.3">
      <c r="A1087" s="5">
        <v>43215</v>
      </c>
      <c r="B1087">
        <v>51.860000999999997</v>
      </c>
      <c r="C1087">
        <v>52.099997999999999</v>
      </c>
      <c r="D1087">
        <v>50.599997999999999</v>
      </c>
      <c r="E1087">
        <v>51.380001</v>
      </c>
      <c r="F1087">
        <v>43.878909999999998</v>
      </c>
      <c r="G1087">
        <v>25752800</v>
      </c>
      <c r="I1087">
        <f t="shared" si="17"/>
        <v>4.4051194837464377E-4</v>
      </c>
    </row>
    <row r="1088" spans="1:9" x14ac:dyDescent="0.3">
      <c r="A1088" s="5">
        <v>43216</v>
      </c>
      <c r="B1088">
        <v>52.259998000000003</v>
      </c>
      <c r="C1088">
        <v>53.27</v>
      </c>
      <c r="D1088">
        <v>52.07</v>
      </c>
      <c r="E1088">
        <v>53.049999</v>
      </c>
      <c r="F1088">
        <v>45.305103000000003</v>
      </c>
      <c r="G1088">
        <v>39575000</v>
      </c>
      <c r="I1088">
        <f t="shared" si="17"/>
        <v>1.4713213279403354E-4</v>
      </c>
    </row>
    <row r="1089" spans="1:9" x14ac:dyDescent="0.3">
      <c r="A1089" s="5">
        <v>43217</v>
      </c>
      <c r="B1089">
        <v>55.439999</v>
      </c>
      <c r="C1089">
        <v>55.790000999999997</v>
      </c>
      <c r="D1089">
        <v>52.23</v>
      </c>
      <c r="E1089">
        <v>52.73</v>
      </c>
      <c r="F1089">
        <v>45.031821999999998</v>
      </c>
      <c r="G1089">
        <v>69888100</v>
      </c>
      <c r="I1089">
        <f t="shared" si="17"/>
        <v>9.2326869207387074E-4</v>
      </c>
    </row>
    <row r="1090" spans="1:9" x14ac:dyDescent="0.3">
      <c r="A1090" s="5">
        <v>43220</v>
      </c>
      <c r="B1090">
        <v>52.560001</v>
      </c>
      <c r="C1090">
        <v>53.369999</v>
      </c>
      <c r="D1090">
        <v>51.209999000000003</v>
      </c>
      <c r="E1090">
        <v>51.619999</v>
      </c>
      <c r="F1090">
        <v>44.083866</v>
      </c>
      <c r="G1090">
        <v>36417400</v>
      </c>
      <c r="I1090">
        <f t="shared" si="17"/>
        <v>7.1737283172761471E-4</v>
      </c>
    </row>
    <row r="1091" spans="1:9" x14ac:dyDescent="0.3">
      <c r="A1091" s="5">
        <v>43221</v>
      </c>
      <c r="B1091">
        <v>51.639999000000003</v>
      </c>
      <c r="C1091">
        <v>53.419998</v>
      </c>
      <c r="D1091">
        <v>51.439999</v>
      </c>
      <c r="E1091">
        <v>53.330002</v>
      </c>
      <c r="F1091">
        <v>45.544224</v>
      </c>
      <c r="G1091">
        <v>27600800</v>
      </c>
      <c r="I1091">
        <f t="shared" si="17"/>
        <v>1.9715947087462109E-4</v>
      </c>
    </row>
    <row r="1092" spans="1:9" x14ac:dyDescent="0.3">
      <c r="A1092" s="5">
        <v>43222</v>
      </c>
      <c r="B1092">
        <v>53.09</v>
      </c>
      <c r="C1092">
        <v>53.200001</v>
      </c>
      <c r="D1092">
        <v>52.150002000000001</v>
      </c>
      <c r="E1092">
        <v>52.310001</v>
      </c>
      <c r="F1092">
        <v>44.673141000000001</v>
      </c>
      <c r="G1092">
        <v>25778300</v>
      </c>
      <c r="I1092">
        <f t="shared" si="17"/>
        <v>8.9644671224445869E-5</v>
      </c>
    </row>
    <row r="1093" spans="1:9" x14ac:dyDescent="0.3">
      <c r="A1093" s="5">
        <v>43223</v>
      </c>
      <c r="B1093">
        <v>51.889999000000003</v>
      </c>
      <c r="C1093">
        <v>52.560001</v>
      </c>
      <c r="D1093">
        <v>51.209999000000003</v>
      </c>
      <c r="E1093">
        <v>52.279998999999997</v>
      </c>
      <c r="F1093">
        <v>44.647525999999999</v>
      </c>
      <c r="G1093">
        <v>28561000</v>
      </c>
      <c r="I1093">
        <f t="shared" si="17"/>
        <v>3.4131118471865819E-4</v>
      </c>
    </row>
    <row r="1094" spans="1:9" x14ac:dyDescent="0.3">
      <c r="A1094" s="5">
        <v>43224</v>
      </c>
      <c r="B1094">
        <v>51.619999</v>
      </c>
      <c r="C1094">
        <v>52.84</v>
      </c>
      <c r="D1094">
        <v>51</v>
      </c>
      <c r="E1094">
        <v>52.779998999999997</v>
      </c>
      <c r="F1094">
        <v>45.334662999999999</v>
      </c>
      <c r="G1094">
        <v>25642500</v>
      </c>
      <c r="I1094">
        <f t="shared" si="17"/>
        <v>4.4108629157069243E-4</v>
      </c>
    </row>
    <row r="1095" spans="1:9" x14ac:dyDescent="0.3">
      <c r="A1095" s="5">
        <v>43227</v>
      </c>
      <c r="B1095">
        <v>52.860000999999997</v>
      </c>
      <c r="C1095">
        <v>53.580002</v>
      </c>
      <c r="D1095">
        <v>52.830002</v>
      </c>
      <c r="E1095">
        <v>53.330002</v>
      </c>
      <c r="F1095">
        <v>45.807079000000002</v>
      </c>
      <c r="G1095">
        <v>20285700</v>
      </c>
      <c r="I1095">
        <f t="shared" si="17"/>
        <v>6.8620265283298099E-5</v>
      </c>
    </row>
    <row r="1096" spans="1:9" x14ac:dyDescent="0.3">
      <c r="A1096" s="5">
        <v>43228</v>
      </c>
      <c r="B1096">
        <v>53.290000999999997</v>
      </c>
      <c r="C1096">
        <v>53.630001</v>
      </c>
      <c r="D1096">
        <v>52.799999</v>
      </c>
      <c r="E1096">
        <v>53.630001</v>
      </c>
      <c r="F1096">
        <v>46.064762000000002</v>
      </c>
      <c r="G1096">
        <v>21026800</v>
      </c>
      <c r="I1096">
        <f t="shared" si="17"/>
        <v>1.4408221092076362E-4</v>
      </c>
    </row>
    <row r="1097" spans="1:9" x14ac:dyDescent="0.3">
      <c r="A1097" s="5">
        <v>43229</v>
      </c>
      <c r="B1097">
        <v>53.759998000000003</v>
      </c>
      <c r="C1097">
        <v>54.369999</v>
      </c>
      <c r="D1097">
        <v>53.189999</v>
      </c>
      <c r="E1097">
        <v>54.34</v>
      </c>
      <c r="F1097">
        <v>46.674602999999998</v>
      </c>
      <c r="G1097">
        <v>19827500</v>
      </c>
      <c r="I1097">
        <f t="shared" si="17"/>
        <v>2.3423115263039145E-4</v>
      </c>
    </row>
    <row r="1098" spans="1:9" x14ac:dyDescent="0.3">
      <c r="A1098" s="5">
        <v>43230</v>
      </c>
      <c r="B1098">
        <v>54.549999</v>
      </c>
      <c r="C1098">
        <v>55</v>
      </c>
      <c r="D1098">
        <v>54.099997999999999</v>
      </c>
      <c r="E1098">
        <v>54.98</v>
      </c>
      <c r="F1098">
        <v>47.224322999999998</v>
      </c>
      <c r="G1098">
        <v>18715900</v>
      </c>
      <c r="I1098">
        <f t="shared" si="17"/>
        <v>1.366457597677042E-4</v>
      </c>
    </row>
    <row r="1099" spans="1:9" x14ac:dyDescent="0.3">
      <c r="A1099" s="5">
        <v>43231</v>
      </c>
      <c r="B1099">
        <v>54.619999</v>
      </c>
      <c r="C1099">
        <v>55.189999</v>
      </c>
      <c r="D1099">
        <v>54.43</v>
      </c>
      <c r="E1099">
        <v>54.669998</v>
      </c>
      <c r="F1099">
        <v>46.95805</v>
      </c>
      <c r="G1099">
        <v>15405000</v>
      </c>
      <c r="I1099">
        <f t="shared" si="17"/>
        <v>1.1361087036299689E-4</v>
      </c>
    </row>
    <row r="1100" spans="1:9" x14ac:dyDescent="0.3">
      <c r="A1100" s="5">
        <v>43234</v>
      </c>
      <c r="B1100">
        <v>54.77</v>
      </c>
      <c r="C1100">
        <v>55.240001999999997</v>
      </c>
      <c r="D1100">
        <v>54.740001999999997</v>
      </c>
      <c r="E1100">
        <v>54.900002000000001</v>
      </c>
      <c r="F1100">
        <v>47.155616999999999</v>
      </c>
      <c r="G1100">
        <v>21878200</v>
      </c>
      <c r="I1100">
        <f t="shared" ref="I1100:I1163" si="18">LN(C1100/B1100)*(LN(C1100/B1100)-LN(E1100/B1100))+LN(D1100/B1100)*(LN(D1100/B1100)-LN(E1100/B1100))</f>
        <v>5.4354217178201253E-5</v>
      </c>
    </row>
    <row r="1101" spans="1:9" x14ac:dyDescent="0.3">
      <c r="A1101" s="5">
        <v>43235</v>
      </c>
      <c r="B1101">
        <v>54.580002</v>
      </c>
      <c r="C1101">
        <v>54.75</v>
      </c>
      <c r="D1101">
        <v>53.560001</v>
      </c>
      <c r="E1101">
        <v>53.919998</v>
      </c>
      <c r="F1101">
        <v>46.313850000000002</v>
      </c>
      <c r="G1101">
        <v>21712600</v>
      </c>
      <c r="I1101">
        <f t="shared" si="18"/>
        <v>1.7388001536410981E-4</v>
      </c>
    </row>
    <row r="1102" spans="1:9" x14ac:dyDescent="0.3">
      <c r="A1102" s="5">
        <v>43236</v>
      </c>
      <c r="B1102">
        <v>54.169998</v>
      </c>
      <c r="C1102">
        <v>54.700001</v>
      </c>
      <c r="D1102">
        <v>53.959999000000003</v>
      </c>
      <c r="E1102">
        <v>54.639999000000003</v>
      </c>
      <c r="F1102">
        <v>46.932281000000003</v>
      </c>
      <c r="G1102">
        <v>16260500</v>
      </c>
      <c r="I1102">
        <f t="shared" si="18"/>
        <v>5.932867571208638E-5</v>
      </c>
    </row>
    <row r="1103" spans="1:9" x14ac:dyDescent="0.3">
      <c r="A1103" s="5">
        <v>43237</v>
      </c>
      <c r="B1103">
        <v>54.549999</v>
      </c>
      <c r="C1103">
        <v>55.439999</v>
      </c>
      <c r="D1103">
        <v>54.419998</v>
      </c>
      <c r="E1103">
        <v>54.810001</v>
      </c>
      <c r="F1103">
        <v>47.078316000000001</v>
      </c>
      <c r="G1103">
        <v>16872600</v>
      </c>
      <c r="I1103">
        <f t="shared" si="18"/>
        <v>2.0199570578225686E-4</v>
      </c>
    </row>
    <row r="1104" spans="1:9" x14ac:dyDescent="0.3">
      <c r="A1104" s="5">
        <v>43238</v>
      </c>
      <c r="B1104">
        <v>54.529998999999997</v>
      </c>
      <c r="C1104">
        <v>54.540000999999997</v>
      </c>
      <c r="D1104">
        <v>53.470001000000003</v>
      </c>
      <c r="E1104">
        <v>53.5</v>
      </c>
      <c r="F1104">
        <v>45.953102000000001</v>
      </c>
      <c r="G1104">
        <v>23679900</v>
      </c>
      <c r="I1104">
        <f t="shared" si="18"/>
        <v>1.4541373986548297E-5</v>
      </c>
    </row>
    <row r="1105" spans="1:9" x14ac:dyDescent="0.3">
      <c r="A1105" s="5">
        <v>43241</v>
      </c>
      <c r="B1105">
        <v>54.360000999999997</v>
      </c>
      <c r="C1105">
        <v>55.220001000000003</v>
      </c>
      <c r="D1105">
        <v>53.860000999999997</v>
      </c>
      <c r="E1105">
        <v>54.32</v>
      </c>
      <c r="F1105">
        <v>46.657429</v>
      </c>
      <c r="G1105">
        <v>25367400</v>
      </c>
      <c r="I1105">
        <f t="shared" si="18"/>
        <v>3.3652315944012942E-4</v>
      </c>
    </row>
    <row r="1106" spans="1:9" x14ac:dyDescent="0.3">
      <c r="A1106" s="5">
        <v>43242</v>
      </c>
      <c r="B1106">
        <v>54.73</v>
      </c>
      <c r="C1106">
        <v>55.049999</v>
      </c>
      <c r="D1106">
        <v>54.049999</v>
      </c>
      <c r="E1106">
        <v>54.450001</v>
      </c>
      <c r="F1106">
        <v>46.769095999999998</v>
      </c>
      <c r="G1106">
        <v>19009600</v>
      </c>
      <c r="I1106">
        <f t="shared" si="18"/>
        <v>1.5607414205306817E-4</v>
      </c>
    </row>
    <row r="1107" spans="1:9" x14ac:dyDescent="0.3">
      <c r="A1107" s="5">
        <v>43243</v>
      </c>
      <c r="B1107">
        <v>54</v>
      </c>
      <c r="C1107">
        <v>55.23</v>
      </c>
      <c r="D1107">
        <v>53.84</v>
      </c>
      <c r="E1107">
        <v>55.209999000000003</v>
      </c>
      <c r="F1107">
        <v>47.421886000000001</v>
      </c>
      <c r="G1107">
        <v>20555400</v>
      </c>
      <c r="I1107">
        <f t="shared" si="18"/>
        <v>8.27197347051478E-5</v>
      </c>
    </row>
    <row r="1108" spans="1:9" x14ac:dyDescent="0.3">
      <c r="A1108" s="5">
        <v>43244</v>
      </c>
      <c r="B1108">
        <v>55.18</v>
      </c>
      <c r="C1108">
        <v>55.299999</v>
      </c>
      <c r="D1108">
        <v>54.130001</v>
      </c>
      <c r="E1108">
        <v>54.75</v>
      </c>
      <c r="F1108">
        <v>47.026772000000001</v>
      </c>
      <c r="G1108">
        <v>19667100</v>
      </c>
      <c r="I1108">
        <f t="shared" si="18"/>
        <v>2.4051479106099074E-4</v>
      </c>
    </row>
    <row r="1109" spans="1:9" x14ac:dyDescent="0.3">
      <c r="A1109" s="5">
        <v>43245</v>
      </c>
      <c r="B1109">
        <v>54.799999</v>
      </c>
      <c r="C1109">
        <v>55.5</v>
      </c>
      <c r="D1109">
        <v>54.540000999999997</v>
      </c>
      <c r="E1109">
        <v>55.439999</v>
      </c>
      <c r="F1109">
        <v>47.619430999999999</v>
      </c>
      <c r="G1109">
        <v>18550000</v>
      </c>
      <c r="I1109">
        <f t="shared" si="18"/>
        <v>9.1567216574948404E-5</v>
      </c>
    </row>
    <row r="1110" spans="1:9" x14ac:dyDescent="0.3">
      <c r="A1110" s="5">
        <v>43249</v>
      </c>
      <c r="B1110">
        <v>55.119999</v>
      </c>
      <c r="C1110">
        <v>55.810001</v>
      </c>
      <c r="D1110">
        <v>54.810001</v>
      </c>
      <c r="E1110">
        <v>55.32</v>
      </c>
      <c r="F1110">
        <v>47.516354</v>
      </c>
      <c r="G1110">
        <v>24253500</v>
      </c>
      <c r="I1110">
        <f t="shared" si="18"/>
        <v>1.6194334752802345E-4</v>
      </c>
    </row>
    <row r="1111" spans="1:9" x14ac:dyDescent="0.3">
      <c r="A1111" s="5">
        <v>43250</v>
      </c>
      <c r="B1111">
        <v>55.889999000000003</v>
      </c>
      <c r="C1111">
        <v>56.200001</v>
      </c>
      <c r="D1111">
        <v>55.619999</v>
      </c>
      <c r="E1111">
        <v>55.68</v>
      </c>
      <c r="F1111">
        <v>47.825581</v>
      </c>
      <c r="G1111">
        <v>24711500</v>
      </c>
      <c r="I1111">
        <f t="shared" si="18"/>
        <v>5.6639055489915639E-5</v>
      </c>
    </row>
    <row r="1112" spans="1:9" x14ac:dyDescent="0.3">
      <c r="A1112" s="5">
        <v>43251</v>
      </c>
      <c r="B1112">
        <v>55.669998</v>
      </c>
      <c r="C1112">
        <v>55.860000999999997</v>
      </c>
      <c r="D1112">
        <v>55.060001</v>
      </c>
      <c r="E1112">
        <v>55.200001</v>
      </c>
      <c r="F1112">
        <v>47.413288000000001</v>
      </c>
      <c r="G1112">
        <v>30962100</v>
      </c>
      <c r="I1112">
        <f t="shared" si="18"/>
        <v>6.847609855471147E-5</v>
      </c>
    </row>
    <row r="1113" spans="1:9" x14ac:dyDescent="0.3">
      <c r="A1113" s="5">
        <v>43252</v>
      </c>
      <c r="B1113">
        <v>55.84</v>
      </c>
      <c r="C1113">
        <v>57.099997999999999</v>
      </c>
      <c r="D1113">
        <v>55.799999</v>
      </c>
      <c r="E1113">
        <v>57.080002</v>
      </c>
      <c r="F1113">
        <v>49.028098999999997</v>
      </c>
      <c r="G1113">
        <v>31183200</v>
      </c>
      <c r="I1113">
        <f t="shared" si="18"/>
        <v>2.406806493660438E-5</v>
      </c>
    </row>
    <row r="1114" spans="1:9" x14ac:dyDescent="0.3">
      <c r="A1114" s="5">
        <v>43255</v>
      </c>
      <c r="B1114">
        <v>57.009998000000003</v>
      </c>
      <c r="C1114">
        <v>57.599997999999999</v>
      </c>
      <c r="D1114">
        <v>56.779998999999997</v>
      </c>
      <c r="E1114">
        <v>56.830002</v>
      </c>
      <c r="F1114">
        <v>48.813353999999997</v>
      </c>
      <c r="G1114">
        <v>22538100</v>
      </c>
      <c r="I1114">
        <f t="shared" si="18"/>
        <v>1.4212183887080056E-4</v>
      </c>
    </row>
    <row r="1115" spans="1:9" x14ac:dyDescent="0.3">
      <c r="A1115" s="5">
        <v>43256</v>
      </c>
      <c r="B1115">
        <v>56.900002000000001</v>
      </c>
      <c r="C1115">
        <v>57.119999</v>
      </c>
      <c r="D1115">
        <v>56.220001000000003</v>
      </c>
      <c r="E1115">
        <v>56.529998999999997</v>
      </c>
      <c r="F1115">
        <v>48.555667999999997</v>
      </c>
      <c r="G1115">
        <v>21687000</v>
      </c>
      <c r="I1115">
        <f t="shared" si="18"/>
        <v>1.0617839463697155E-4</v>
      </c>
    </row>
    <row r="1116" spans="1:9" x14ac:dyDescent="0.3">
      <c r="A1116" s="5">
        <v>43257</v>
      </c>
      <c r="B1116">
        <v>56.529998999999997</v>
      </c>
      <c r="C1116">
        <v>57.060001</v>
      </c>
      <c r="D1116">
        <v>56.080002</v>
      </c>
      <c r="E1116">
        <v>57.029998999999997</v>
      </c>
      <c r="F1116">
        <v>48.985137999999999</v>
      </c>
      <c r="G1116">
        <v>22955400</v>
      </c>
      <c r="I1116">
        <f t="shared" si="18"/>
        <v>1.3916172641501555E-4</v>
      </c>
    </row>
    <row r="1117" spans="1:9" x14ac:dyDescent="0.3">
      <c r="A1117" s="5">
        <v>43258</v>
      </c>
      <c r="B1117">
        <v>56.919998</v>
      </c>
      <c r="C1117">
        <v>57</v>
      </c>
      <c r="D1117">
        <v>55.619999</v>
      </c>
      <c r="E1117">
        <v>55.880001</v>
      </c>
      <c r="F1117">
        <v>47.997363999999997</v>
      </c>
      <c r="G1117">
        <v>27596100</v>
      </c>
      <c r="I1117">
        <f t="shared" si="18"/>
        <v>1.3562268140209489E-4</v>
      </c>
    </row>
    <row r="1118" spans="1:9" x14ac:dyDescent="0.3">
      <c r="A1118" s="5">
        <v>43259</v>
      </c>
      <c r="B1118">
        <v>55.560001</v>
      </c>
      <c r="C1118">
        <v>55.700001</v>
      </c>
      <c r="D1118">
        <v>54.66</v>
      </c>
      <c r="E1118">
        <v>55.049999</v>
      </c>
      <c r="F1118">
        <v>47.284435000000002</v>
      </c>
      <c r="G1118">
        <v>30822900</v>
      </c>
      <c r="I1118">
        <f t="shared" si="18"/>
        <v>1.4565145392367757E-4</v>
      </c>
    </row>
    <row r="1119" spans="1:9" x14ac:dyDescent="0.3">
      <c r="A1119" s="5">
        <v>43262</v>
      </c>
      <c r="B1119">
        <v>54.799999</v>
      </c>
      <c r="C1119">
        <v>55.09</v>
      </c>
      <c r="D1119">
        <v>54.259998000000003</v>
      </c>
      <c r="E1119">
        <v>54.52</v>
      </c>
      <c r="F1119">
        <v>46.829211999999998</v>
      </c>
      <c r="G1119">
        <v>25752400</v>
      </c>
      <c r="I1119">
        <f t="shared" si="18"/>
        <v>1.0223398289958526E-4</v>
      </c>
    </row>
    <row r="1120" spans="1:9" x14ac:dyDescent="0.3">
      <c r="A1120" s="5">
        <v>43263</v>
      </c>
      <c r="B1120">
        <v>54.869999</v>
      </c>
      <c r="C1120">
        <v>55.029998999999997</v>
      </c>
      <c r="D1120">
        <v>54.220001000000003</v>
      </c>
      <c r="E1120">
        <v>54.82</v>
      </c>
      <c r="F1120">
        <v>47.086891000000001</v>
      </c>
      <c r="G1120">
        <v>23294900</v>
      </c>
      <c r="I1120">
        <f t="shared" si="18"/>
        <v>1.4228057393341864E-4</v>
      </c>
    </row>
    <row r="1121" spans="1:9" x14ac:dyDescent="0.3">
      <c r="A1121" s="5">
        <v>43264</v>
      </c>
      <c r="B1121">
        <v>54.98</v>
      </c>
      <c r="C1121">
        <v>55.700001</v>
      </c>
      <c r="D1121">
        <v>54.91</v>
      </c>
      <c r="E1121">
        <v>55.029998999999997</v>
      </c>
      <c r="F1121">
        <v>47.267277</v>
      </c>
      <c r="G1121">
        <v>22631400</v>
      </c>
      <c r="I1121">
        <f t="shared" si="18"/>
        <v>1.6023240237804303E-4</v>
      </c>
    </row>
    <row r="1122" spans="1:9" x14ac:dyDescent="0.3">
      <c r="A1122" s="5">
        <v>43265</v>
      </c>
      <c r="B1122">
        <v>55.450001</v>
      </c>
      <c r="C1122">
        <v>55.860000999999997</v>
      </c>
      <c r="D1122">
        <v>55.18</v>
      </c>
      <c r="E1122">
        <v>55.540000999999997</v>
      </c>
      <c r="F1122">
        <v>47.705337999999998</v>
      </c>
      <c r="G1122">
        <v>23419800</v>
      </c>
      <c r="I1122">
        <f t="shared" si="18"/>
        <v>7.4064979126893835E-5</v>
      </c>
    </row>
    <row r="1123" spans="1:9" x14ac:dyDescent="0.3">
      <c r="A1123" s="5">
        <v>43266</v>
      </c>
      <c r="B1123">
        <v>55.169998</v>
      </c>
      <c r="C1123">
        <v>55.380001</v>
      </c>
      <c r="D1123">
        <v>54.580002</v>
      </c>
      <c r="E1123">
        <v>55.110000999999997</v>
      </c>
      <c r="F1123">
        <v>47.335991</v>
      </c>
      <c r="G1123">
        <v>39194700</v>
      </c>
      <c r="I1123">
        <f t="shared" si="18"/>
        <v>1.224692499196614E-4</v>
      </c>
    </row>
    <row r="1124" spans="1:9" x14ac:dyDescent="0.3">
      <c r="A1124" s="5">
        <v>43269</v>
      </c>
      <c r="B1124">
        <v>54.299999</v>
      </c>
      <c r="C1124">
        <v>54.299999</v>
      </c>
      <c r="D1124">
        <v>52.34</v>
      </c>
      <c r="E1124">
        <v>53.220001000000003</v>
      </c>
      <c r="F1124">
        <v>45.712592999999998</v>
      </c>
      <c r="G1124">
        <v>40764400</v>
      </c>
      <c r="I1124">
        <f t="shared" si="18"/>
        <v>6.1296892746549848E-4</v>
      </c>
    </row>
    <row r="1125" spans="1:9" x14ac:dyDescent="0.3">
      <c r="A1125" s="5">
        <v>43270</v>
      </c>
      <c r="B1125">
        <v>52.139999000000003</v>
      </c>
      <c r="C1125">
        <v>52.950001</v>
      </c>
      <c r="D1125">
        <v>51.880001</v>
      </c>
      <c r="E1125">
        <v>52.93</v>
      </c>
      <c r="F1125">
        <v>45.463501000000001</v>
      </c>
      <c r="G1125">
        <v>31780900</v>
      </c>
      <c r="I1125">
        <f t="shared" si="18"/>
        <v>1.0598884139157238E-4</v>
      </c>
    </row>
    <row r="1126" spans="1:9" x14ac:dyDescent="0.3">
      <c r="A1126" s="5">
        <v>43271</v>
      </c>
      <c r="B1126">
        <v>53.189999</v>
      </c>
      <c r="C1126">
        <v>53.75</v>
      </c>
      <c r="D1126">
        <v>52.689999</v>
      </c>
      <c r="E1126">
        <v>53.459999000000003</v>
      </c>
      <c r="F1126">
        <v>45.918739000000002</v>
      </c>
      <c r="G1126">
        <v>21403000</v>
      </c>
      <c r="I1126">
        <f t="shared" si="18"/>
        <v>1.9368448593969279E-4</v>
      </c>
    </row>
    <row r="1127" spans="1:9" x14ac:dyDescent="0.3">
      <c r="A1127" s="5">
        <v>43272</v>
      </c>
      <c r="B1127">
        <v>54.380001</v>
      </c>
      <c r="C1127">
        <v>54.529998999999997</v>
      </c>
      <c r="D1127">
        <v>51.939999</v>
      </c>
      <c r="E1127">
        <v>52.189999</v>
      </c>
      <c r="F1127">
        <v>44.827885000000002</v>
      </c>
      <c r="G1127">
        <v>44435600</v>
      </c>
      <c r="I1127">
        <f t="shared" si="18"/>
        <v>3.4124702334100744E-4</v>
      </c>
    </row>
    <row r="1128" spans="1:9" x14ac:dyDescent="0.3">
      <c r="A1128" s="5">
        <v>43273</v>
      </c>
      <c r="B1128">
        <v>52.619999</v>
      </c>
      <c r="C1128">
        <v>53.09</v>
      </c>
      <c r="D1128">
        <v>52.299999</v>
      </c>
      <c r="E1128">
        <v>52.5</v>
      </c>
      <c r="F1128">
        <v>45.094161999999997</v>
      </c>
      <c r="G1128">
        <v>34682100</v>
      </c>
      <c r="I1128">
        <f t="shared" si="18"/>
        <v>1.2265771943835381E-4</v>
      </c>
    </row>
    <row r="1129" spans="1:9" x14ac:dyDescent="0.3">
      <c r="A1129" s="5">
        <v>43276</v>
      </c>
      <c r="B1129">
        <v>51.169998</v>
      </c>
      <c r="C1129">
        <v>51.75</v>
      </c>
      <c r="D1129">
        <v>49.91</v>
      </c>
      <c r="E1129">
        <v>50.709999000000003</v>
      </c>
      <c r="F1129">
        <v>43.556660000000001</v>
      </c>
      <c r="G1129">
        <v>45356500</v>
      </c>
      <c r="I1129">
        <f t="shared" si="18"/>
        <v>6.2527903549080936E-4</v>
      </c>
    </row>
    <row r="1130" spans="1:9" x14ac:dyDescent="0.3">
      <c r="A1130" s="5">
        <v>43277</v>
      </c>
      <c r="B1130">
        <v>49.950001</v>
      </c>
      <c r="C1130">
        <v>50.41</v>
      </c>
      <c r="D1130">
        <v>49.360000999999997</v>
      </c>
      <c r="E1130">
        <v>49.669998</v>
      </c>
      <c r="F1130">
        <v>42.663367999999998</v>
      </c>
      <c r="G1130">
        <v>37543000</v>
      </c>
      <c r="I1130">
        <f t="shared" si="18"/>
        <v>2.0995691567595565E-4</v>
      </c>
    </row>
    <row r="1131" spans="1:9" x14ac:dyDescent="0.3">
      <c r="A1131" s="5">
        <v>43278</v>
      </c>
      <c r="B1131">
        <v>49.34</v>
      </c>
      <c r="C1131">
        <v>50.060001</v>
      </c>
      <c r="D1131">
        <v>48.75</v>
      </c>
      <c r="E1131">
        <v>48.759998000000003</v>
      </c>
      <c r="F1131">
        <v>41.881740999999998</v>
      </c>
      <c r="G1131">
        <v>33338800</v>
      </c>
      <c r="I1131">
        <f t="shared" si="18"/>
        <v>3.8365461376668443E-4</v>
      </c>
    </row>
    <row r="1132" spans="1:9" x14ac:dyDescent="0.3">
      <c r="A1132" s="5">
        <v>43279</v>
      </c>
      <c r="B1132">
        <v>48.580002</v>
      </c>
      <c r="C1132">
        <v>49.490001999999997</v>
      </c>
      <c r="D1132">
        <v>48.5</v>
      </c>
      <c r="E1132">
        <v>49.25</v>
      </c>
      <c r="F1132">
        <v>42.302624000000002</v>
      </c>
      <c r="G1132">
        <v>29055700</v>
      </c>
      <c r="I1132">
        <f t="shared" si="18"/>
        <v>1.1551152191732084E-4</v>
      </c>
    </row>
    <row r="1133" spans="1:9" x14ac:dyDescent="0.3">
      <c r="A1133" s="5">
        <v>43280</v>
      </c>
      <c r="B1133">
        <v>49.529998999999997</v>
      </c>
      <c r="C1133">
        <v>50.110000999999997</v>
      </c>
      <c r="D1133">
        <v>49.5</v>
      </c>
      <c r="E1133">
        <v>49.709999000000003</v>
      </c>
      <c r="F1133">
        <v>42.697727</v>
      </c>
      <c r="G1133">
        <v>28906500</v>
      </c>
      <c r="I1133">
        <f t="shared" si="18"/>
        <v>9.5870427145959447E-5</v>
      </c>
    </row>
    <row r="1134" spans="1:9" x14ac:dyDescent="0.3">
      <c r="A1134" s="5">
        <v>43283</v>
      </c>
      <c r="B1134">
        <v>49.040000999999997</v>
      </c>
      <c r="C1134">
        <v>50.27</v>
      </c>
      <c r="D1134">
        <v>48.830002</v>
      </c>
      <c r="E1134">
        <v>50.200001</v>
      </c>
      <c r="F1134">
        <v>43.118614000000001</v>
      </c>
      <c r="G1134">
        <v>23755500</v>
      </c>
      <c r="I1134">
        <f t="shared" si="18"/>
        <v>1.5326169723017347E-4</v>
      </c>
    </row>
    <row r="1135" spans="1:9" x14ac:dyDescent="0.3">
      <c r="A1135" s="5">
        <v>43284</v>
      </c>
      <c r="B1135">
        <v>50.580002</v>
      </c>
      <c r="C1135">
        <v>50.860000999999997</v>
      </c>
      <c r="D1135">
        <v>49.43</v>
      </c>
      <c r="E1135">
        <v>49.470001000000003</v>
      </c>
      <c r="F1135">
        <v>42.491580999999996</v>
      </c>
      <c r="G1135">
        <v>16327900</v>
      </c>
      <c r="I1135">
        <f t="shared" si="18"/>
        <v>1.7157897748249285E-4</v>
      </c>
    </row>
    <row r="1136" spans="1:9" x14ac:dyDescent="0.3">
      <c r="A1136" s="5">
        <v>43286</v>
      </c>
      <c r="B1136">
        <v>49.98</v>
      </c>
      <c r="C1136">
        <v>50.959999000000003</v>
      </c>
      <c r="D1136">
        <v>49.75</v>
      </c>
      <c r="E1136">
        <v>50.75</v>
      </c>
      <c r="F1136">
        <v>43.591022000000002</v>
      </c>
      <c r="G1136">
        <v>26163500</v>
      </c>
      <c r="I1136">
        <f t="shared" si="18"/>
        <v>1.7197776648390415E-4</v>
      </c>
    </row>
    <row r="1137" spans="1:9" x14ac:dyDescent="0.3">
      <c r="A1137" s="5">
        <v>43287</v>
      </c>
      <c r="B1137">
        <v>50.77</v>
      </c>
      <c r="C1137">
        <v>51.5</v>
      </c>
      <c r="D1137">
        <v>50.400002000000001</v>
      </c>
      <c r="E1137">
        <v>51.369999</v>
      </c>
      <c r="F1137">
        <v>44.123562</v>
      </c>
      <c r="G1137">
        <v>19968000</v>
      </c>
      <c r="I1137">
        <f t="shared" si="18"/>
        <v>1.7551827841843731E-4</v>
      </c>
    </row>
    <row r="1138" spans="1:9" x14ac:dyDescent="0.3">
      <c r="A1138" s="5">
        <v>43290</v>
      </c>
      <c r="B1138">
        <v>51.639999000000003</v>
      </c>
      <c r="C1138">
        <v>51.889999000000003</v>
      </c>
      <c r="D1138">
        <v>51</v>
      </c>
      <c r="E1138">
        <v>51.860000999999997</v>
      </c>
      <c r="F1138">
        <v>44.544452999999997</v>
      </c>
      <c r="G1138">
        <v>21361600</v>
      </c>
      <c r="I1138">
        <f t="shared" si="18"/>
        <v>2.1133349420482029E-4</v>
      </c>
    </row>
    <row r="1139" spans="1:9" x14ac:dyDescent="0.3">
      <c r="A1139" s="5">
        <v>43291</v>
      </c>
      <c r="B1139">
        <v>52.099997999999999</v>
      </c>
      <c r="C1139">
        <v>52.259998000000003</v>
      </c>
      <c r="D1139">
        <v>51.84</v>
      </c>
      <c r="E1139">
        <v>52.16</v>
      </c>
      <c r="F1139">
        <v>44.802123999999999</v>
      </c>
      <c r="G1139">
        <v>17362900</v>
      </c>
      <c r="I1139">
        <f t="shared" si="18"/>
        <v>3.6659836847500092E-5</v>
      </c>
    </row>
    <row r="1140" spans="1:9" x14ac:dyDescent="0.3">
      <c r="A1140" s="5">
        <v>43292</v>
      </c>
      <c r="B1140">
        <v>51.689999</v>
      </c>
      <c r="C1140">
        <v>51.869999</v>
      </c>
      <c r="D1140">
        <v>51.189999</v>
      </c>
      <c r="E1140">
        <v>51.200001</v>
      </c>
      <c r="F1140">
        <v>43.977558000000002</v>
      </c>
      <c r="G1140">
        <v>18665600</v>
      </c>
      <c r="I1140">
        <f t="shared" si="18"/>
        <v>4.7093806787910545E-5</v>
      </c>
    </row>
    <row r="1141" spans="1:9" x14ac:dyDescent="0.3">
      <c r="A1141" s="5">
        <v>43293</v>
      </c>
      <c r="B1141">
        <v>52.049999</v>
      </c>
      <c r="C1141">
        <v>52.48</v>
      </c>
      <c r="D1141">
        <v>51.73</v>
      </c>
      <c r="E1141">
        <v>52.349997999999999</v>
      </c>
      <c r="F1141">
        <v>44.965321000000003</v>
      </c>
      <c r="G1141">
        <v>20292700</v>
      </c>
      <c r="I1141">
        <f t="shared" si="18"/>
        <v>9.3878337007341194E-5</v>
      </c>
    </row>
    <row r="1142" spans="1:9" x14ac:dyDescent="0.3">
      <c r="A1142" s="5">
        <v>43294</v>
      </c>
      <c r="B1142">
        <v>52.400002000000001</v>
      </c>
      <c r="C1142">
        <v>52.419998</v>
      </c>
      <c r="D1142">
        <v>51.759998000000003</v>
      </c>
      <c r="E1142">
        <v>52.220001000000003</v>
      </c>
      <c r="F1142">
        <v>44.853664000000002</v>
      </c>
      <c r="G1142">
        <v>13749300</v>
      </c>
      <c r="I1142">
        <f t="shared" si="18"/>
        <v>1.1019130161751466E-4</v>
      </c>
    </row>
    <row r="1143" spans="1:9" x14ac:dyDescent="0.3">
      <c r="A1143" s="5">
        <v>43297</v>
      </c>
      <c r="B1143">
        <v>52.150002000000001</v>
      </c>
      <c r="C1143">
        <v>52.32</v>
      </c>
      <c r="D1143">
        <v>51.869999</v>
      </c>
      <c r="E1143">
        <v>52.009998000000003</v>
      </c>
      <c r="F1143">
        <v>44.673279000000001</v>
      </c>
      <c r="G1143">
        <v>15951500</v>
      </c>
      <c r="I1143">
        <f t="shared" si="18"/>
        <v>3.38516585206383E-5</v>
      </c>
    </row>
    <row r="1144" spans="1:9" x14ac:dyDescent="0.3">
      <c r="A1144" s="5">
        <v>43298</v>
      </c>
      <c r="B1144">
        <v>51.049999</v>
      </c>
      <c r="C1144">
        <v>51.880001</v>
      </c>
      <c r="D1144">
        <v>51.009998000000003</v>
      </c>
      <c r="E1144">
        <v>51.75</v>
      </c>
      <c r="F1144">
        <v>44.449955000000003</v>
      </c>
      <c r="G1144">
        <v>15754500</v>
      </c>
      <c r="I1144">
        <f t="shared" si="18"/>
        <v>5.1753863115148625E-5</v>
      </c>
    </row>
    <row r="1145" spans="1:9" x14ac:dyDescent="0.3">
      <c r="A1145" s="5">
        <v>43299</v>
      </c>
      <c r="B1145">
        <v>51.869999</v>
      </c>
      <c r="C1145">
        <v>51.970001000000003</v>
      </c>
      <c r="D1145">
        <v>51.470001000000003</v>
      </c>
      <c r="E1145">
        <v>51.720001000000003</v>
      </c>
      <c r="F1145">
        <v>44.424191</v>
      </c>
      <c r="G1145">
        <v>14649000</v>
      </c>
      <c r="I1145">
        <f t="shared" si="18"/>
        <v>4.6798363028092405E-5</v>
      </c>
    </row>
    <row r="1146" spans="1:9" x14ac:dyDescent="0.3">
      <c r="A1146" s="5">
        <v>43300</v>
      </c>
      <c r="B1146">
        <v>51.599997999999999</v>
      </c>
      <c r="C1146">
        <v>52.009998000000003</v>
      </c>
      <c r="D1146">
        <v>51.049999</v>
      </c>
      <c r="E1146">
        <v>51.98</v>
      </c>
      <c r="F1146">
        <v>44.647525999999999</v>
      </c>
      <c r="G1146">
        <v>15954600</v>
      </c>
      <c r="I1146">
        <f t="shared" si="18"/>
        <v>1.9802941114718451E-4</v>
      </c>
    </row>
    <row r="1147" spans="1:9" x14ac:dyDescent="0.3">
      <c r="A1147" s="5">
        <v>43301</v>
      </c>
      <c r="B1147">
        <v>51.830002</v>
      </c>
      <c r="C1147">
        <v>52.07</v>
      </c>
      <c r="D1147">
        <v>51.330002</v>
      </c>
      <c r="E1147">
        <v>51.91</v>
      </c>
      <c r="F1147">
        <v>44.587395000000001</v>
      </c>
      <c r="G1147">
        <v>17380500</v>
      </c>
      <c r="I1147">
        <f t="shared" si="18"/>
        <v>1.2313687002060998E-4</v>
      </c>
    </row>
    <row r="1148" spans="1:9" x14ac:dyDescent="0.3">
      <c r="A1148" s="5">
        <v>43304</v>
      </c>
      <c r="B1148">
        <v>51.77</v>
      </c>
      <c r="C1148">
        <v>52.5</v>
      </c>
      <c r="D1148">
        <v>51.330002</v>
      </c>
      <c r="E1148">
        <v>52.310001</v>
      </c>
      <c r="F1148">
        <v>44.930973000000002</v>
      </c>
      <c r="G1148">
        <v>15945500</v>
      </c>
      <c r="I1148">
        <f t="shared" si="18"/>
        <v>2.1218993201129941E-4</v>
      </c>
    </row>
    <row r="1149" spans="1:9" x14ac:dyDescent="0.3">
      <c r="A1149" s="5">
        <v>43305</v>
      </c>
      <c r="B1149">
        <v>52.759998000000003</v>
      </c>
      <c r="C1149">
        <v>53.299999</v>
      </c>
      <c r="D1149">
        <v>52.080002</v>
      </c>
      <c r="E1149">
        <v>52.18</v>
      </c>
      <c r="F1149">
        <v>44.819298000000003</v>
      </c>
      <c r="G1149">
        <v>17788700</v>
      </c>
      <c r="I1149">
        <f t="shared" si="18"/>
        <v>2.4114112116401388E-4</v>
      </c>
    </row>
    <row r="1150" spans="1:9" x14ac:dyDescent="0.3">
      <c r="A1150" s="5">
        <v>43306</v>
      </c>
      <c r="B1150">
        <v>52.209999000000003</v>
      </c>
      <c r="C1150">
        <v>52.450001</v>
      </c>
      <c r="D1150">
        <v>51.09</v>
      </c>
      <c r="E1150">
        <v>52.43</v>
      </c>
      <c r="F1150">
        <v>45.034030999999999</v>
      </c>
      <c r="G1150">
        <v>19854800</v>
      </c>
      <c r="I1150">
        <f t="shared" si="18"/>
        <v>5.6318378926715671E-4</v>
      </c>
    </row>
    <row r="1151" spans="1:9" x14ac:dyDescent="0.3">
      <c r="A1151" s="5">
        <v>43307</v>
      </c>
      <c r="B1151">
        <v>52.450001</v>
      </c>
      <c r="C1151">
        <v>53.18</v>
      </c>
      <c r="D1151">
        <v>51.869999</v>
      </c>
      <c r="E1151">
        <v>52.16</v>
      </c>
      <c r="F1151">
        <v>44.802123999999999</v>
      </c>
      <c r="G1151">
        <v>28282500</v>
      </c>
      <c r="I1151">
        <f t="shared" si="18"/>
        <v>3.2968061734959966E-4</v>
      </c>
    </row>
    <row r="1152" spans="1:9" x14ac:dyDescent="0.3">
      <c r="A1152" s="5">
        <v>43308</v>
      </c>
      <c r="B1152">
        <v>48.759998000000003</v>
      </c>
      <c r="C1152">
        <v>49.200001</v>
      </c>
      <c r="D1152">
        <v>47.48</v>
      </c>
      <c r="E1152">
        <v>47.68</v>
      </c>
      <c r="F1152">
        <v>40.954090000000001</v>
      </c>
      <c r="G1152">
        <v>67816700</v>
      </c>
      <c r="I1152">
        <f t="shared" si="18"/>
        <v>3.9373200445135269E-4</v>
      </c>
    </row>
    <row r="1153" spans="1:9" x14ac:dyDescent="0.3">
      <c r="A1153" s="5">
        <v>43311</v>
      </c>
      <c r="B1153">
        <v>47.630001</v>
      </c>
      <c r="C1153">
        <v>47.990001999999997</v>
      </c>
      <c r="D1153">
        <v>46.43</v>
      </c>
      <c r="E1153">
        <v>47.689999</v>
      </c>
      <c r="F1153">
        <v>40.962685</v>
      </c>
      <c r="G1153">
        <v>35696600</v>
      </c>
      <c r="I1153">
        <f t="shared" si="18"/>
        <v>7.3046144131295716E-4</v>
      </c>
    </row>
    <row r="1154" spans="1:9" x14ac:dyDescent="0.3">
      <c r="A1154" s="5">
        <v>43312</v>
      </c>
      <c r="B1154">
        <v>48.240001999999997</v>
      </c>
      <c r="C1154">
        <v>48.68</v>
      </c>
      <c r="D1154">
        <v>47.689999</v>
      </c>
      <c r="E1154">
        <v>48.099997999999999</v>
      </c>
      <c r="F1154">
        <v>41.314846000000003</v>
      </c>
      <c r="G1154">
        <v>36581200</v>
      </c>
      <c r="I1154">
        <f t="shared" si="18"/>
        <v>2.0699155796202279E-4</v>
      </c>
    </row>
    <row r="1155" spans="1:9" x14ac:dyDescent="0.3">
      <c r="A1155" s="5">
        <v>43313</v>
      </c>
      <c r="B1155">
        <v>48.060001</v>
      </c>
      <c r="C1155">
        <v>48.91</v>
      </c>
      <c r="D1155">
        <v>48</v>
      </c>
      <c r="E1155">
        <v>48.810001</v>
      </c>
      <c r="F1155">
        <v>41.924689999999998</v>
      </c>
      <c r="G1155">
        <v>28060700</v>
      </c>
      <c r="I1155">
        <f t="shared" si="18"/>
        <v>5.6786054618851157E-5</v>
      </c>
    </row>
    <row r="1156" spans="1:9" x14ac:dyDescent="0.3">
      <c r="A1156" s="5">
        <v>43314</v>
      </c>
      <c r="B1156">
        <v>48.5</v>
      </c>
      <c r="C1156">
        <v>49.52</v>
      </c>
      <c r="D1156">
        <v>48.200001</v>
      </c>
      <c r="E1156">
        <v>49.48</v>
      </c>
      <c r="F1156">
        <v>42.500171999999999</v>
      </c>
      <c r="G1156">
        <v>26452500</v>
      </c>
      <c r="I1156">
        <f t="shared" si="18"/>
        <v>1.7944204129751893E-4</v>
      </c>
    </row>
    <row r="1157" spans="1:9" x14ac:dyDescent="0.3">
      <c r="A1157" s="5">
        <v>43315</v>
      </c>
      <c r="B1157">
        <v>49.5</v>
      </c>
      <c r="C1157">
        <v>49.779998999999997</v>
      </c>
      <c r="D1157">
        <v>49.169998</v>
      </c>
      <c r="E1157">
        <v>49.630001</v>
      </c>
      <c r="F1157">
        <v>42.629013</v>
      </c>
      <c r="G1157">
        <v>22008200</v>
      </c>
      <c r="I1157">
        <f t="shared" si="18"/>
        <v>7.9309399241211809E-5</v>
      </c>
    </row>
    <row r="1158" spans="1:9" x14ac:dyDescent="0.3">
      <c r="A1158" s="5">
        <v>43318</v>
      </c>
      <c r="B1158">
        <v>48.77</v>
      </c>
      <c r="C1158">
        <v>49.310001</v>
      </c>
      <c r="D1158">
        <v>48.32</v>
      </c>
      <c r="E1158">
        <v>49.299999</v>
      </c>
      <c r="F1158">
        <v>42.603088</v>
      </c>
      <c r="G1158">
        <v>26669000</v>
      </c>
      <c r="I1158">
        <f t="shared" si="18"/>
        <v>1.8835786909517647E-4</v>
      </c>
    </row>
    <row r="1159" spans="1:9" x14ac:dyDescent="0.3">
      <c r="A1159" s="5">
        <v>43319</v>
      </c>
      <c r="B1159">
        <v>49.43</v>
      </c>
      <c r="C1159">
        <v>49.830002</v>
      </c>
      <c r="D1159">
        <v>49.41</v>
      </c>
      <c r="E1159">
        <v>49.700001</v>
      </c>
      <c r="F1159">
        <v>42.948760999999998</v>
      </c>
      <c r="G1159">
        <v>28322700</v>
      </c>
      <c r="I1159">
        <f t="shared" si="18"/>
        <v>2.3422734209894427E-5</v>
      </c>
    </row>
    <row r="1160" spans="1:9" x14ac:dyDescent="0.3">
      <c r="A1160" s="5">
        <v>43320</v>
      </c>
      <c r="B1160">
        <v>49.599997999999999</v>
      </c>
      <c r="C1160">
        <v>50.130001</v>
      </c>
      <c r="D1160">
        <v>49.439999</v>
      </c>
      <c r="E1160">
        <v>49.959999000000003</v>
      </c>
      <c r="F1160">
        <v>43.173439000000002</v>
      </c>
      <c r="G1160">
        <v>21990600</v>
      </c>
      <c r="I1160">
        <f t="shared" si="18"/>
        <v>6.9911626544673567E-5</v>
      </c>
    </row>
    <row r="1161" spans="1:9" x14ac:dyDescent="0.3">
      <c r="A1161" s="5">
        <v>43321</v>
      </c>
      <c r="B1161">
        <v>49.860000999999997</v>
      </c>
      <c r="C1161">
        <v>50.599997999999999</v>
      </c>
      <c r="D1161">
        <v>49.720001000000003</v>
      </c>
      <c r="E1161">
        <v>50.139999000000003</v>
      </c>
      <c r="F1161">
        <v>43.328986999999998</v>
      </c>
      <c r="G1161">
        <v>23795600</v>
      </c>
      <c r="I1161">
        <f t="shared" si="18"/>
        <v>1.581958208510684E-4</v>
      </c>
    </row>
    <row r="1162" spans="1:9" x14ac:dyDescent="0.3">
      <c r="A1162" s="5">
        <v>43322</v>
      </c>
      <c r="B1162">
        <v>48.509998000000003</v>
      </c>
      <c r="C1162">
        <v>49.169998</v>
      </c>
      <c r="D1162">
        <v>48.299999</v>
      </c>
      <c r="E1162">
        <v>48.849997999999999</v>
      </c>
      <c r="F1162">
        <v>42.214225999999996</v>
      </c>
      <c r="G1162">
        <v>28712400</v>
      </c>
      <c r="I1162">
        <f t="shared" si="18"/>
        <v>1.3735778421216727E-4</v>
      </c>
    </row>
    <row r="1163" spans="1:9" x14ac:dyDescent="0.3">
      <c r="A1163" s="5">
        <v>43325</v>
      </c>
      <c r="B1163">
        <v>48.919998</v>
      </c>
      <c r="C1163">
        <v>49.240001999999997</v>
      </c>
      <c r="D1163">
        <v>48.380001</v>
      </c>
      <c r="E1163">
        <v>48.450001</v>
      </c>
      <c r="F1163">
        <v>41.868561</v>
      </c>
      <c r="G1163">
        <v>17070600</v>
      </c>
      <c r="I1163">
        <f t="shared" si="18"/>
        <v>1.2150391104649469E-4</v>
      </c>
    </row>
    <row r="1164" spans="1:9" x14ac:dyDescent="0.3">
      <c r="A1164" s="5">
        <v>43326</v>
      </c>
      <c r="B1164">
        <v>48.669998</v>
      </c>
      <c r="C1164">
        <v>48.759998000000003</v>
      </c>
      <c r="D1164">
        <v>47.650002000000001</v>
      </c>
      <c r="E1164">
        <v>48.119999</v>
      </c>
      <c r="F1164">
        <v>41.583378000000003</v>
      </c>
      <c r="G1164">
        <v>23061600</v>
      </c>
      <c r="I1164">
        <f t="shared" ref="I1164:I1227" si="19">LN(C1164/B1164)*(LN(C1164/B1164)-LN(E1164/B1164))+LN(D1164/B1164)*(LN(D1164/B1164)-LN(E1164/B1164))</f>
        <v>2.3229662878604463E-4</v>
      </c>
    </row>
    <row r="1165" spans="1:9" x14ac:dyDescent="0.3">
      <c r="A1165" s="5">
        <v>43327</v>
      </c>
      <c r="B1165">
        <v>47.779998999999997</v>
      </c>
      <c r="C1165">
        <v>48</v>
      </c>
      <c r="D1165">
        <v>46.900002000000001</v>
      </c>
      <c r="E1165">
        <v>47.459999000000003</v>
      </c>
      <c r="F1165">
        <v>41.013022999999997</v>
      </c>
      <c r="G1165">
        <v>26739900</v>
      </c>
      <c r="I1165">
        <f t="shared" si="19"/>
        <v>2.7262140208949139E-4</v>
      </c>
    </row>
    <row r="1166" spans="1:9" x14ac:dyDescent="0.3">
      <c r="A1166" s="5">
        <v>43328</v>
      </c>
      <c r="B1166">
        <v>47.75</v>
      </c>
      <c r="C1166">
        <v>47.950001</v>
      </c>
      <c r="D1166">
        <v>47.049999</v>
      </c>
      <c r="E1166">
        <v>47.169998</v>
      </c>
      <c r="F1166">
        <v>40.762436000000001</v>
      </c>
      <c r="G1166">
        <v>24358000</v>
      </c>
      <c r="I1166">
        <f t="shared" si="19"/>
        <v>1.0616895820156968E-4</v>
      </c>
    </row>
    <row r="1167" spans="1:9" x14ac:dyDescent="0.3">
      <c r="A1167" s="5">
        <v>43329</v>
      </c>
      <c r="B1167">
        <v>47</v>
      </c>
      <c r="C1167">
        <v>47.389999000000003</v>
      </c>
      <c r="D1167">
        <v>46.330002</v>
      </c>
      <c r="E1167">
        <v>47.099997999999999</v>
      </c>
      <c r="F1167">
        <v>40.701934999999999</v>
      </c>
      <c r="G1167">
        <v>26382000</v>
      </c>
      <c r="I1167">
        <f t="shared" si="19"/>
        <v>2.8738786825759771E-4</v>
      </c>
    </row>
    <row r="1168" spans="1:9" x14ac:dyDescent="0.3">
      <c r="A1168" s="5">
        <v>43332</v>
      </c>
      <c r="B1168">
        <v>47.049999</v>
      </c>
      <c r="C1168">
        <v>47.119999</v>
      </c>
      <c r="D1168">
        <v>46.189999</v>
      </c>
      <c r="E1168">
        <v>46.5</v>
      </c>
      <c r="F1168">
        <v>40.183433999999998</v>
      </c>
      <c r="G1168">
        <v>24334000</v>
      </c>
      <c r="I1168">
        <f t="shared" si="19"/>
        <v>1.4308708311748812E-4</v>
      </c>
    </row>
    <row r="1169" spans="1:9" x14ac:dyDescent="0.3">
      <c r="A1169" s="5">
        <v>43333</v>
      </c>
      <c r="B1169">
        <v>46.66</v>
      </c>
      <c r="C1169">
        <v>47.849997999999999</v>
      </c>
      <c r="D1169">
        <v>46.639999000000003</v>
      </c>
      <c r="E1169">
        <v>47.619999</v>
      </c>
      <c r="F1169">
        <v>41.151299000000002</v>
      </c>
      <c r="G1169">
        <v>19254300</v>
      </c>
      <c r="I1169">
        <f t="shared" si="19"/>
        <v>1.3025751488431804E-4</v>
      </c>
    </row>
    <row r="1170" spans="1:9" x14ac:dyDescent="0.3">
      <c r="A1170" s="5">
        <v>43334</v>
      </c>
      <c r="B1170">
        <v>47.25</v>
      </c>
      <c r="C1170">
        <v>47.349997999999999</v>
      </c>
      <c r="D1170">
        <v>46.919998</v>
      </c>
      <c r="E1170">
        <v>47.049999</v>
      </c>
      <c r="F1170">
        <v>40.658726000000001</v>
      </c>
      <c r="G1170">
        <v>23182500</v>
      </c>
      <c r="I1170">
        <f t="shared" si="19"/>
        <v>3.2829267938802947E-5</v>
      </c>
    </row>
    <row r="1171" spans="1:9" x14ac:dyDescent="0.3">
      <c r="A1171" s="5">
        <v>43335</v>
      </c>
      <c r="B1171">
        <v>46.860000999999997</v>
      </c>
      <c r="C1171">
        <v>47.169998</v>
      </c>
      <c r="D1171">
        <v>46.709999000000003</v>
      </c>
      <c r="E1171">
        <v>46.98</v>
      </c>
      <c r="F1171">
        <v>40.598236</v>
      </c>
      <c r="G1171">
        <v>31343200</v>
      </c>
      <c r="I1171">
        <f t="shared" si="19"/>
        <v>4.5091936711554913E-5</v>
      </c>
    </row>
    <row r="1172" spans="1:9" x14ac:dyDescent="0.3">
      <c r="A1172" s="5">
        <v>43336</v>
      </c>
      <c r="B1172">
        <v>47.290000999999997</v>
      </c>
      <c r="C1172">
        <v>47.889999000000003</v>
      </c>
      <c r="D1172">
        <v>47.080002</v>
      </c>
      <c r="E1172">
        <v>47.66</v>
      </c>
      <c r="F1172">
        <v>41.185867000000002</v>
      </c>
      <c r="G1172">
        <v>18214700</v>
      </c>
      <c r="I1172">
        <f t="shared" si="19"/>
        <v>1.1519004448292127E-4</v>
      </c>
    </row>
    <row r="1173" spans="1:9" x14ac:dyDescent="0.3">
      <c r="A1173" s="5">
        <v>43339</v>
      </c>
      <c r="B1173">
        <v>48</v>
      </c>
      <c r="C1173">
        <v>48.389999000000003</v>
      </c>
      <c r="D1173">
        <v>47.630001</v>
      </c>
      <c r="E1173">
        <v>48.349997999999999</v>
      </c>
      <c r="F1173">
        <v>41.782145999999997</v>
      </c>
      <c r="G1173">
        <v>17170300</v>
      </c>
      <c r="I1173">
        <f t="shared" si="19"/>
        <v>1.2279055095697073E-4</v>
      </c>
    </row>
    <row r="1174" spans="1:9" x14ac:dyDescent="0.3">
      <c r="A1174" s="5">
        <v>43340</v>
      </c>
      <c r="B1174">
        <v>48.549999</v>
      </c>
      <c r="C1174">
        <v>48.790000999999997</v>
      </c>
      <c r="D1174">
        <v>48.310001</v>
      </c>
      <c r="E1174">
        <v>48.57</v>
      </c>
      <c r="F1174">
        <v>41.972248</v>
      </c>
      <c r="G1174">
        <v>13472400</v>
      </c>
      <c r="I1174">
        <f t="shared" si="19"/>
        <v>4.8884686096653159E-5</v>
      </c>
    </row>
    <row r="1175" spans="1:9" x14ac:dyDescent="0.3">
      <c r="A1175" s="5">
        <v>43341</v>
      </c>
      <c r="B1175">
        <v>48.700001</v>
      </c>
      <c r="C1175">
        <v>48.860000999999997</v>
      </c>
      <c r="D1175">
        <v>48.400002000000001</v>
      </c>
      <c r="E1175">
        <v>48.75</v>
      </c>
      <c r="F1175">
        <v>42.127811000000001</v>
      </c>
      <c r="G1175">
        <v>13479100</v>
      </c>
      <c r="I1175">
        <f t="shared" si="19"/>
        <v>5.1916055726789396E-5</v>
      </c>
    </row>
    <row r="1176" spans="1:9" x14ac:dyDescent="0.3">
      <c r="A1176" s="5">
        <v>43342</v>
      </c>
      <c r="B1176">
        <v>48.52</v>
      </c>
      <c r="C1176">
        <v>48.830002</v>
      </c>
      <c r="D1176">
        <v>48.09</v>
      </c>
      <c r="E1176">
        <v>48.240001999999997</v>
      </c>
      <c r="F1176">
        <v>41.687083999999999</v>
      </c>
      <c r="G1176">
        <v>16418800</v>
      </c>
      <c r="I1176">
        <f t="shared" si="19"/>
        <v>1.0514493747648698E-4</v>
      </c>
    </row>
    <row r="1177" spans="1:9" x14ac:dyDescent="0.3">
      <c r="A1177" s="5">
        <v>43343</v>
      </c>
      <c r="B1177">
        <v>47.959999000000003</v>
      </c>
      <c r="C1177">
        <v>48.560001</v>
      </c>
      <c r="D1177">
        <v>47.919998</v>
      </c>
      <c r="E1177">
        <v>48.43</v>
      </c>
      <c r="F1177">
        <v>41.851264999999998</v>
      </c>
      <c r="G1177">
        <v>16484000</v>
      </c>
      <c r="I1177">
        <f t="shared" si="19"/>
        <v>4.2162281774279515E-5</v>
      </c>
    </row>
    <row r="1178" spans="1:9" x14ac:dyDescent="0.3">
      <c r="A1178" s="5">
        <v>43347</v>
      </c>
      <c r="B1178">
        <v>48.380001</v>
      </c>
      <c r="C1178">
        <v>48.43</v>
      </c>
      <c r="D1178">
        <v>47.560001</v>
      </c>
      <c r="E1178">
        <v>47.959999000000003</v>
      </c>
      <c r="F1178">
        <v>41.445121999999998</v>
      </c>
      <c r="G1178">
        <v>15682900</v>
      </c>
      <c r="I1178">
        <f t="shared" si="19"/>
        <v>1.5324286746629836E-4</v>
      </c>
    </row>
    <row r="1179" spans="1:9" x14ac:dyDescent="0.3">
      <c r="A1179" s="5">
        <v>43348</v>
      </c>
      <c r="B1179">
        <v>47.75</v>
      </c>
      <c r="C1179">
        <v>48.119999</v>
      </c>
      <c r="D1179">
        <v>47.470001000000003</v>
      </c>
      <c r="E1179">
        <v>47.720001000000003</v>
      </c>
      <c r="F1179">
        <v>41.237717000000004</v>
      </c>
      <c r="G1179">
        <v>20857200</v>
      </c>
      <c r="I1179">
        <f t="shared" si="19"/>
        <v>9.5322313552457713E-5</v>
      </c>
    </row>
    <row r="1180" spans="1:9" x14ac:dyDescent="0.3">
      <c r="A1180" s="5">
        <v>43349</v>
      </c>
      <c r="B1180">
        <v>47.759998000000003</v>
      </c>
      <c r="C1180">
        <v>47.959999000000003</v>
      </c>
      <c r="D1180">
        <v>47.209999000000003</v>
      </c>
      <c r="E1180">
        <v>47.259998000000003</v>
      </c>
      <c r="F1180">
        <v>40.840198999999998</v>
      </c>
      <c r="G1180">
        <v>19318100</v>
      </c>
      <c r="I1180">
        <f t="shared" si="19"/>
        <v>7.3702925933005962E-5</v>
      </c>
    </row>
    <row r="1181" spans="1:9" x14ac:dyDescent="0.3">
      <c r="A1181" s="5">
        <v>43350</v>
      </c>
      <c r="B1181">
        <v>46.91</v>
      </c>
      <c r="C1181">
        <v>47.48</v>
      </c>
      <c r="D1181">
        <v>46.360000999999997</v>
      </c>
      <c r="E1181">
        <v>46.450001</v>
      </c>
      <c r="F1181">
        <v>40.140236000000002</v>
      </c>
      <c r="G1181">
        <v>25958300</v>
      </c>
      <c r="I1181">
        <f t="shared" si="19"/>
        <v>2.87762570963433E-4</v>
      </c>
    </row>
    <row r="1182" spans="1:9" x14ac:dyDescent="0.3">
      <c r="A1182" s="5">
        <v>43353</v>
      </c>
      <c r="B1182">
        <v>46.560001</v>
      </c>
      <c r="C1182">
        <v>46.759998000000003</v>
      </c>
      <c r="D1182">
        <v>46.23</v>
      </c>
      <c r="E1182">
        <v>46.299999</v>
      </c>
      <c r="F1182">
        <v>40.010612000000002</v>
      </c>
      <c r="G1182">
        <v>21522400</v>
      </c>
      <c r="I1182">
        <f t="shared" si="19"/>
        <v>5.3136524697593859E-5</v>
      </c>
    </row>
    <row r="1183" spans="1:9" x14ac:dyDescent="0.3">
      <c r="A1183" s="5">
        <v>43354</v>
      </c>
      <c r="B1183">
        <v>46</v>
      </c>
      <c r="C1183">
        <v>46.029998999999997</v>
      </c>
      <c r="D1183">
        <v>44.889999000000003</v>
      </c>
      <c r="E1183">
        <v>44.93</v>
      </c>
      <c r="F1183">
        <v>38.826709999999999</v>
      </c>
      <c r="G1183">
        <v>32455300</v>
      </c>
      <c r="I1183">
        <f t="shared" si="19"/>
        <v>3.752524568248126E-5</v>
      </c>
    </row>
    <row r="1184" spans="1:9" x14ac:dyDescent="0.3">
      <c r="A1184" s="5">
        <v>43355</v>
      </c>
      <c r="B1184">
        <v>44.560001</v>
      </c>
      <c r="C1184">
        <v>44.98</v>
      </c>
      <c r="D1184">
        <v>44.060001</v>
      </c>
      <c r="E1184">
        <v>44.93</v>
      </c>
      <c r="F1184">
        <v>38.826709999999999</v>
      </c>
      <c r="G1184">
        <v>29778700</v>
      </c>
      <c r="I1184">
        <f t="shared" si="19"/>
        <v>2.3107920295569782E-4</v>
      </c>
    </row>
    <row r="1185" spans="1:9" x14ac:dyDescent="0.3">
      <c r="A1185" s="5">
        <v>43356</v>
      </c>
      <c r="B1185">
        <v>45.68</v>
      </c>
      <c r="C1185">
        <v>45.849997999999999</v>
      </c>
      <c r="D1185">
        <v>45.110000999999997</v>
      </c>
      <c r="E1185">
        <v>45.57</v>
      </c>
      <c r="F1185">
        <v>39.379779999999997</v>
      </c>
      <c r="G1185">
        <v>18657100</v>
      </c>
      <c r="I1185">
        <f t="shared" si="19"/>
        <v>1.5014845966722197E-4</v>
      </c>
    </row>
    <row r="1186" spans="1:9" x14ac:dyDescent="0.3">
      <c r="A1186" s="5">
        <v>43357</v>
      </c>
      <c r="B1186">
        <v>45.779998999999997</v>
      </c>
      <c r="C1186">
        <v>45.970001000000003</v>
      </c>
      <c r="D1186">
        <v>45.349997999999999</v>
      </c>
      <c r="E1186">
        <v>45.540000999999997</v>
      </c>
      <c r="F1186">
        <v>39.353850999999999</v>
      </c>
      <c r="G1186">
        <v>22998700</v>
      </c>
      <c r="I1186">
        <f t="shared" si="19"/>
        <v>7.8380147067506507E-5</v>
      </c>
    </row>
    <row r="1187" spans="1:9" x14ac:dyDescent="0.3">
      <c r="A1187" s="5">
        <v>43360</v>
      </c>
      <c r="B1187">
        <v>45.290000999999997</v>
      </c>
      <c r="C1187">
        <v>45.900002000000001</v>
      </c>
      <c r="D1187">
        <v>45.189999</v>
      </c>
      <c r="E1187">
        <v>45.419998</v>
      </c>
      <c r="F1187">
        <v>39.250140999999999</v>
      </c>
      <c r="G1187">
        <v>17603200</v>
      </c>
      <c r="I1187">
        <f t="shared" si="19"/>
        <v>1.518696503510779E-4</v>
      </c>
    </row>
    <row r="1188" spans="1:9" x14ac:dyDescent="0.3">
      <c r="A1188" s="5">
        <v>43361</v>
      </c>
      <c r="B1188">
        <v>45.580002</v>
      </c>
      <c r="C1188">
        <v>46.529998999999997</v>
      </c>
      <c r="D1188">
        <v>45.41</v>
      </c>
      <c r="E1188">
        <v>46.099997999999999</v>
      </c>
      <c r="F1188">
        <v>39.837775999999998</v>
      </c>
      <c r="G1188">
        <v>20528100</v>
      </c>
      <c r="I1188">
        <f t="shared" si="19"/>
        <v>2.478708340917608E-4</v>
      </c>
    </row>
    <row r="1189" spans="1:9" x14ac:dyDescent="0.3">
      <c r="A1189" s="5">
        <v>43362</v>
      </c>
      <c r="B1189">
        <v>46.09</v>
      </c>
      <c r="C1189">
        <v>46.439999</v>
      </c>
      <c r="D1189">
        <v>45.889999000000003</v>
      </c>
      <c r="E1189">
        <v>46.150002000000001</v>
      </c>
      <c r="F1189">
        <v>39.880985000000003</v>
      </c>
      <c r="G1189">
        <v>15918900</v>
      </c>
      <c r="I1189">
        <f t="shared" si="19"/>
        <v>7.1958797207732192E-5</v>
      </c>
    </row>
    <row r="1190" spans="1:9" x14ac:dyDescent="0.3">
      <c r="A1190" s="5">
        <v>43363</v>
      </c>
      <c r="B1190">
        <v>46.779998999999997</v>
      </c>
      <c r="C1190">
        <v>47.360000999999997</v>
      </c>
      <c r="D1190">
        <v>46.52</v>
      </c>
      <c r="E1190">
        <v>47.200001</v>
      </c>
      <c r="F1190">
        <v>40.788356999999998</v>
      </c>
      <c r="G1190">
        <v>21999300</v>
      </c>
      <c r="I1190">
        <f t="shared" si="19"/>
        <v>1.225788247867973E-4</v>
      </c>
    </row>
    <row r="1191" spans="1:9" x14ac:dyDescent="0.3">
      <c r="A1191" s="5">
        <v>43364</v>
      </c>
      <c r="B1191">
        <v>47.119999</v>
      </c>
      <c r="C1191">
        <v>47.419998</v>
      </c>
      <c r="D1191">
        <v>46.369999</v>
      </c>
      <c r="E1191">
        <v>46.66</v>
      </c>
      <c r="F1191">
        <v>40.321711999999998</v>
      </c>
      <c r="G1191">
        <v>52650600</v>
      </c>
      <c r="I1191">
        <f t="shared" si="19"/>
        <v>2.0257228438192061E-4</v>
      </c>
    </row>
    <row r="1192" spans="1:9" x14ac:dyDescent="0.3">
      <c r="A1192" s="5">
        <v>43367</v>
      </c>
      <c r="B1192">
        <v>46.310001</v>
      </c>
      <c r="C1192">
        <v>47</v>
      </c>
      <c r="D1192">
        <v>46.150002000000001</v>
      </c>
      <c r="E1192">
        <v>46.91</v>
      </c>
      <c r="F1192">
        <v>40.537742999999999</v>
      </c>
      <c r="G1192">
        <v>17847000</v>
      </c>
      <c r="I1192">
        <f t="shared" si="19"/>
        <v>8.4878276346486909E-5</v>
      </c>
    </row>
    <row r="1193" spans="1:9" x14ac:dyDescent="0.3">
      <c r="A1193" s="5">
        <v>43368</v>
      </c>
      <c r="B1193">
        <v>46.220001000000003</v>
      </c>
      <c r="C1193">
        <v>46.389999000000003</v>
      </c>
      <c r="D1193">
        <v>45.799999</v>
      </c>
      <c r="E1193">
        <v>45.91</v>
      </c>
      <c r="F1193">
        <v>39.673583999999998</v>
      </c>
      <c r="G1193">
        <v>23389900</v>
      </c>
      <c r="I1193">
        <f t="shared" si="19"/>
        <v>6.0083057884768282E-5</v>
      </c>
    </row>
    <row r="1194" spans="1:9" x14ac:dyDescent="0.3">
      <c r="A1194" s="5">
        <v>43369</v>
      </c>
      <c r="B1194">
        <v>46.040000999999997</v>
      </c>
      <c r="C1194">
        <v>46.299999</v>
      </c>
      <c r="D1194">
        <v>45.580002</v>
      </c>
      <c r="E1194">
        <v>45.700001</v>
      </c>
      <c r="F1194">
        <v>39.492119000000002</v>
      </c>
      <c r="G1194">
        <v>23957700</v>
      </c>
      <c r="I1194">
        <f t="shared" si="19"/>
        <v>9.9854712529879604E-5</v>
      </c>
    </row>
    <row r="1195" spans="1:9" x14ac:dyDescent="0.3">
      <c r="A1195" s="5">
        <v>43370</v>
      </c>
      <c r="B1195">
        <v>45.91</v>
      </c>
      <c r="C1195">
        <v>46.169998</v>
      </c>
      <c r="D1195">
        <v>45.73</v>
      </c>
      <c r="E1195">
        <v>45.880001</v>
      </c>
      <c r="F1195">
        <v>39.647658999999997</v>
      </c>
      <c r="G1195">
        <v>15415500</v>
      </c>
      <c r="I1195">
        <f t="shared" si="19"/>
        <v>4.8447243840626441E-5</v>
      </c>
    </row>
    <row r="1196" spans="1:9" x14ac:dyDescent="0.3">
      <c r="A1196" s="5">
        <v>43371</v>
      </c>
      <c r="B1196">
        <v>45.619999</v>
      </c>
      <c r="C1196">
        <v>47.75</v>
      </c>
      <c r="D1196">
        <v>45.459999000000003</v>
      </c>
      <c r="E1196">
        <v>47.290000999999997</v>
      </c>
      <c r="F1196">
        <v>40.866131000000003</v>
      </c>
      <c r="G1196">
        <v>46223500</v>
      </c>
      <c r="I1196">
        <f t="shared" si="19"/>
        <v>5.8039490263777933E-4</v>
      </c>
    </row>
    <row r="1197" spans="1:9" x14ac:dyDescent="0.3">
      <c r="A1197" s="5">
        <v>43374</v>
      </c>
      <c r="B1197">
        <v>46.790000999999997</v>
      </c>
      <c r="C1197">
        <v>47.220001000000003</v>
      </c>
      <c r="D1197">
        <v>46.200001</v>
      </c>
      <c r="E1197">
        <v>46.450001</v>
      </c>
      <c r="F1197">
        <v>40.140236000000002</v>
      </c>
      <c r="G1197">
        <v>23796200</v>
      </c>
      <c r="I1197">
        <f t="shared" si="19"/>
        <v>2.1888543038149107E-4</v>
      </c>
    </row>
    <row r="1198" spans="1:9" x14ac:dyDescent="0.3">
      <c r="A1198" s="5">
        <v>43375</v>
      </c>
      <c r="B1198">
        <v>47.509998000000003</v>
      </c>
      <c r="C1198">
        <v>48.880001</v>
      </c>
      <c r="D1198">
        <v>47.32</v>
      </c>
      <c r="E1198">
        <v>48.099997999999999</v>
      </c>
      <c r="F1198">
        <v>41.566101000000003</v>
      </c>
      <c r="G1198">
        <v>42121100</v>
      </c>
      <c r="I1198">
        <f t="shared" si="19"/>
        <v>5.2281411713124798E-4</v>
      </c>
    </row>
    <row r="1199" spans="1:9" x14ac:dyDescent="0.3">
      <c r="A1199" s="5">
        <v>43376</v>
      </c>
      <c r="B1199">
        <v>48.619999</v>
      </c>
      <c r="C1199">
        <v>49.720001000000003</v>
      </c>
      <c r="D1199">
        <v>48.560001</v>
      </c>
      <c r="E1199">
        <v>48.759998000000003</v>
      </c>
      <c r="F1199">
        <v>42.136443999999997</v>
      </c>
      <c r="G1199">
        <v>39211900</v>
      </c>
      <c r="I1199">
        <f t="shared" si="19"/>
        <v>4.4126906925241125E-4</v>
      </c>
    </row>
    <row r="1200" spans="1:9" x14ac:dyDescent="0.3">
      <c r="A1200" s="5">
        <v>43377</v>
      </c>
      <c r="B1200">
        <v>48.84</v>
      </c>
      <c r="C1200">
        <v>48.860000999999997</v>
      </c>
      <c r="D1200">
        <v>47.619999</v>
      </c>
      <c r="E1200">
        <v>48.130001</v>
      </c>
      <c r="F1200">
        <v>41.592030000000001</v>
      </c>
      <c r="G1200">
        <v>30108300</v>
      </c>
      <c r="I1200">
        <f t="shared" si="19"/>
        <v>2.7564760014992532E-4</v>
      </c>
    </row>
    <row r="1201" spans="1:9" x14ac:dyDescent="0.3">
      <c r="A1201" s="5">
        <v>43378</v>
      </c>
      <c r="B1201">
        <v>48.23</v>
      </c>
      <c r="C1201">
        <v>48.34</v>
      </c>
      <c r="D1201">
        <v>46.66</v>
      </c>
      <c r="E1201">
        <v>47.029998999999997</v>
      </c>
      <c r="F1201">
        <v>40.641444999999997</v>
      </c>
      <c r="G1201">
        <v>28901400</v>
      </c>
      <c r="I1201">
        <f t="shared" si="19"/>
        <v>3.2397862994530593E-4</v>
      </c>
    </row>
    <row r="1202" spans="1:9" x14ac:dyDescent="0.3">
      <c r="A1202" s="5">
        <v>43381</v>
      </c>
      <c r="B1202">
        <v>46.959999000000003</v>
      </c>
      <c r="C1202">
        <v>47.349997999999999</v>
      </c>
      <c r="D1202">
        <v>46.52</v>
      </c>
      <c r="E1202">
        <v>47.029998999999997</v>
      </c>
      <c r="F1202">
        <v>40.641444999999997</v>
      </c>
      <c r="G1202">
        <v>19376800</v>
      </c>
      <c r="I1202">
        <f t="shared" si="19"/>
        <v>1.5872616324378615E-4</v>
      </c>
    </row>
    <row r="1203" spans="1:9" x14ac:dyDescent="0.3">
      <c r="A1203" s="5">
        <v>43382</v>
      </c>
      <c r="B1203">
        <v>47.18</v>
      </c>
      <c r="C1203">
        <v>47.619999</v>
      </c>
      <c r="D1203">
        <v>46.540000999999997</v>
      </c>
      <c r="E1203">
        <v>46.549999</v>
      </c>
      <c r="F1203">
        <v>40.226646000000002</v>
      </c>
      <c r="G1203">
        <v>23285700</v>
      </c>
      <c r="I1203">
        <f t="shared" si="19"/>
        <v>2.1389193700948719E-4</v>
      </c>
    </row>
    <row r="1204" spans="1:9" x14ac:dyDescent="0.3">
      <c r="A1204" s="5">
        <v>43383</v>
      </c>
      <c r="B1204">
        <v>46.060001</v>
      </c>
      <c r="C1204">
        <v>46.119999</v>
      </c>
      <c r="D1204">
        <v>44.799999</v>
      </c>
      <c r="E1204">
        <v>44.799999</v>
      </c>
      <c r="F1204">
        <v>38.714371</v>
      </c>
      <c r="G1204">
        <v>43109500</v>
      </c>
      <c r="I1204">
        <f t="shared" si="19"/>
        <v>3.7801162205364401E-5</v>
      </c>
    </row>
    <row r="1205" spans="1:9" x14ac:dyDescent="0.3">
      <c r="A1205" s="5">
        <v>43384</v>
      </c>
      <c r="B1205">
        <v>45.150002000000001</v>
      </c>
      <c r="C1205">
        <v>45.610000999999997</v>
      </c>
      <c r="D1205">
        <v>43.73</v>
      </c>
      <c r="E1205">
        <v>44.23</v>
      </c>
      <c r="F1205">
        <v>38.221794000000003</v>
      </c>
      <c r="G1205">
        <v>43648800</v>
      </c>
      <c r="I1205">
        <f t="shared" si="19"/>
        <v>6.7474173131704422E-4</v>
      </c>
    </row>
    <row r="1206" spans="1:9" x14ac:dyDescent="0.3">
      <c r="A1206" s="5">
        <v>43385</v>
      </c>
      <c r="B1206">
        <v>45.27</v>
      </c>
      <c r="C1206">
        <v>45.34</v>
      </c>
      <c r="D1206">
        <v>44.23</v>
      </c>
      <c r="E1206">
        <v>44.880001</v>
      </c>
      <c r="F1206">
        <v>38.783504000000001</v>
      </c>
      <c r="G1206">
        <v>32087400</v>
      </c>
      <c r="I1206">
        <f t="shared" si="19"/>
        <v>3.5482246333079135E-4</v>
      </c>
    </row>
    <row r="1207" spans="1:9" x14ac:dyDescent="0.3">
      <c r="A1207" s="5">
        <v>43388</v>
      </c>
      <c r="B1207">
        <v>44.630001</v>
      </c>
      <c r="C1207">
        <v>45.139999000000003</v>
      </c>
      <c r="D1207">
        <v>44.439999</v>
      </c>
      <c r="E1207">
        <v>44.529998999999997</v>
      </c>
      <c r="F1207">
        <v>38.481051999999998</v>
      </c>
      <c r="G1207">
        <v>21633000</v>
      </c>
      <c r="I1207">
        <f t="shared" si="19"/>
        <v>1.6322502342268482E-4</v>
      </c>
    </row>
    <row r="1208" spans="1:9" x14ac:dyDescent="0.3">
      <c r="A1208" s="5">
        <v>43389</v>
      </c>
      <c r="B1208">
        <v>44.900002000000001</v>
      </c>
      <c r="C1208">
        <v>46.009998000000003</v>
      </c>
      <c r="D1208">
        <v>44.830002</v>
      </c>
      <c r="E1208">
        <v>45.939999</v>
      </c>
      <c r="F1208">
        <v>39.699511999999999</v>
      </c>
      <c r="G1208">
        <v>21472000</v>
      </c>
      <c r="I1208">
        <f t="shared" si="19"/>
        <v>7.5343054052772593E-5</v>
      </c>
    </row>
    <row r="1209" spans="1:9" x14ac:dyDescent="0.3">
      <c r="A1209" s="5">
        <v>43390</v>
      </c>
      <c r="B1209">
        <v>46</v>
      </c>
      <c r="C1209">
        <v>46.330002</v>
      </c>
      <c r="D1209">
        <v>45.540000999999997</v>
      </c>
      <c r="E1209">
        <v>45.889999000000003</v>
      </c>
      <c r="F1209">
        <v>39.656303000000001</v>
      </c>
      <c r="G1209">
        <v>23124400</v>
      </c>
      <c r="I1209">
        <f t="shared" si="19"/>
        <v>1.4515979957541338E-4</v>
      </c>
    </row>
    <row r="1210" spans="1:9" x14ac:dyDescent="0.3">
      <c r="A1210" s="5">
        <v>43391</v>
      </c>
      <c r="B1210">
        <v>45.650002000000001</v>
      </c>
      <c r="C1210">
        <v>45.75</v>
      </c>
      <c r="D1210">
        <v>44.830002</v>
      </c>
      <c r="E1210">
        <v>44.970001000000003</v>
      </c>
      <c r="F1210">
        <v>38.861274999999999</v>
      </c>
      <c r="G1210">
        <v>26638800</v>
      </c>
      <c r="I1210">
        <f t="shared" si="19"/>
        <v>9.4145024274233123E-5</v>
      </c>
    </row>
    <row r="1211" spans="1:9" x14ac:dyDescent="0.3">
      <c r="A1211" s="5">
        <v>43392</v>
      </c>
      <c r="B1211">
        <v>45.02</v>
      </c>
      <c r="C1211">
        <v>45.18</v>
      </c>
      <c r="D1211">
        <v>43.860000999999997</v>
      </c>
      <c r="E1211">
        <v>44</v>
      </c>
      <c r="F1211">
        <v>38.023045000000003</v>
      </c>
      <c r="G1211">
        <v>28368500</v>
      </c>
      <c r="I1211">
        <f t="shared" si="19"/>
        <v>1.7707902551769171E-4</v>
      </c>
    </row>
    <row r="1212" spans="1:9" x14ac:dyDescent="0.3">
      <c r="A1212" s="5">
        <v>43395</v>
      </c>
      <c r="B1212">
        <v>44.5</v>
      </c>
      <c r="C1212">
        <v>45.34</v>
      </c>
      <c r="D1212">
        <v>44.099997999999999</v>
      </c>
      <c r="E1212">
        <v>45.009998000000003</v>
      </c>
      <c r="F1212">
        <v>38.895836000000003</v>
      </c>
      <c r="G1212">
        <v>34508800</v>
      </c>
      <c r="I1212">
        <f t="shared" si="19"/>
        <v>3.2103257940613642E-4</v>
      </c>
    </row>
    <row r="1213" spans="1:9" x14ac:dyDescent="0.3">
      <c r="A1213" s="5">
        <v>43396</v>
      </c>
      <c r="B1213">
        <v>44.18</v>
      </c>
      <c r="C1213">
        <v>45.09</v>
      </c>
      <c r="D1213">
        <v>43.91</v>
      </c>
      <c r="E1213">
        <v>44.5</v>
      </c>
      <c r="F1213">
        <v>38.455128000000002</v>
      </c>
      <c r="G1213">
        <v>38590300</v>
      </c>
      <c r="I1213">
        <f t="shared" si="19"/>
        <v>3.5035967404888931E-4</v>
      </c>
    </row>
    <row r="1214" spans="1:9" x14ac:dyDescent="0.3">
      <c r="A1214" s="5">
        <v>43397</v>
      </c>
      <c r="B1214">
        <v>44.16</v>
      </c>
      <c r="C1214">
        <v>44.360000999999997</v>
      </c>
      <c r="D1214">
        <v>42.360000999999997</v>
      </c>
      <c r="E1214">
        <v>42.419998</v>
      </c>
      <c r="F1214">
        <v>36.657673000000003</v>
      </c>
      <c r="G1214">
        <v>33631800</v>
      </c>
      <c r="I1214">
        <f t="shared" si="19"/>
        <v>2.6097212672274823E-4</v>
      </c>
    </row>
    <row r="1215" spans="1:9" x14ac:dyDescent="0.3">
      <c r="A1215" s="5">
        <v>43398</v>
      </c>
      <c r="B1215">
        <v>43.540000999999997</v>
      </c>
      <c r="C1215">
        <v>44.939999</v>
      </c>
      <c r="D1215">
        <v>43.279998999999997</v>
      </c>
      <c r="E1215">
        <v>44.310001</v>
      </c>
      <c r="F1215">
        <v>38.290928000000001</v>
      </c>
      <c r="G1215">
        <v>48255300</v>
      </c>
      <c r="I1215">
        <f t="shared" si="19"/>
        <v>5.8767468854718742E-4</v>
      </c>
    </row>
    <row r="1216" spans="1:9" x14ac:dyDescent="0.3">
      <c r="A1216" s="5">
        <v>43399</v>
      </c>
      <c r="B1216">
        <v>45.59</v>
      </c>
      <c r="C1216">
        <v>46.439999</v>
      </c>
      <c r="D1216">
        <v>44.700001</v>
      </c>
      <c r="E1216">
        <v>45.689999</v>
      </c>
      <c r="F1216">
        <v>39.483474999999999</v>
      </c>
      <c r="G1216">
        <v>67280400</v>
      </c>
      <c r="I1216">
        <f t="shared" si="19"/>
        <v>7.3263982505968441E-4</v>
      </c>
    </row>
    <row r="1217" spans="1:9" x14ac:dyDescent="0.3">
      <c r="A1217" s="5">
        <v>43402</v>
      </c>
      <c r="B1217">
        <v>46.5</v>
      </c>
      <c r="C1217">
        <v>46.75</v>
      </c>
      <c r="D1217">
        <v>44.439999</v>
      </c>
      <c r="E1217">
        <v>45.400002000000001</v>
      </c>
      <c r="F1217">
        <v>39.232863999999999</v>
      </c>
      <c r="G1217">
        <v>35732200</v>
      </c>
      <c r="I1217">
        <f t="shared" si="19"/>
        <v>1.125541580266749E-3</v>
      </c>
    </row>
    <row r="1218" spans="1:9" x14ac:dyDescent="0.3">
      <c r="A1218" s="5">
        <v>43403</v>
      </c>
      <c r="B1218">
        <v>45.529998999999997</v>
      </c>
      <c r="C1218">
        <v>47.880001</v>
      </c>
      <c r="D1218">
        <v>45.459999000000003</v>
      </c>
      <c r="E1218">
        <v>47.759998000000003</v>
      </c>
      <c r="F1218">
        <v>41.272292999999998</v>
      </c>
      <c r="G1218">
        <v>43975200</v>
      </c>
      <c r="I1218">
        <f t="shared" si="19"/>
        <v>2.0223309834630588E-4</v>
      </c>
    </row>
    <row r="1219" spans="1:9" x14ac:dyDescent="0.3">
      <c r="A1219" s="5">
        <v>43404</v>
      </c>
      <c r="B1219">
        <v>48.290000999999997</v>
      </c>
      <c r="C1219">
        <v>48.560001</v>
      </c>
      <c r="D1219">
        <v>46.830002</v>
      </c>
      <c r="E1219">
        <v>46.880001</v>
      </c>
      <c r="F1219">
        <v>40.511825999999999</v>
      </c>
      <c r="G1219">
        <v>33369100</v>
      </c>
      <c r="I1219">
        <f t="shared" si="19"/>
        <v>2.2907342718410308E-4</v>
      </c>
    </row>
    <row r="1220" spans="1:9" x14ac:dyDescent="0.3">
      <c r="A1220" s="5">
        <v>43405</v>
      </c>
      <c r="B1220">
        <v>46.950001</v>
      </c>
      <c r="C1220">
        <v>48.470001000000003</v>
      </c>
      <c r="D1220">
        <v>46.860000999999997</v>
      </c>
      <c r="E1220">
        <v>48.220001000000003</v>
      </c>
      <c r="F1220">
        <v>41.669795999999998</v>
      </c>
      <c r="G1220">
        <v>28335300</v>
      </c>
      <c r="I1220">
        <f t="shared" si="19"/>
        <v>2.19658238275374E-4</v>
      </c>
    </row>
    <row r="1221" spans="1:9" x14ac:dyDescent="0.3">
      <c r="A1221" s="5">
        <v>43406</v>
      </c>
      <c r="B1221">
        <v>48.130001</v>
      </c>
      <c r="C1221">
        <v>48.25</v>
      </c>
      <c r="D1221">
        <v>46.75</v>
      </c>
      <c r="E1221">
        <v>47.110000999999997</v>
      </c>
      <c r="F1221">
        <v>40.710579000000003</v>
      </c>
      <c r="G1221">
        <v>30759800</v>
      </c>
      <c r="I1221">
        <f t="shared" si="19"/>
        <v>2.8270233063109457E-4</v>
      </c>
    </row>
    <row r="1222" spans="1:9" x14ac:dyDescent="0.3">
      <c r="A1222" s="5">
        <v>43409</v>
      </c>
      <c r="B1222">
        <v>47.34</v>
      </c>
      <c r="C1222">
        <v>48.25</v>
      </c>
      <c r="D1222">
        <v>46.919998</v>
      </c>
      <c r="E1222">
        <v>47.970001000000003</v>
      </c>
      <c r="F1222">
        <v>41.453761999999998</v>
      </c>
      <c r="G1222">
        <v>23751200</v>
      </c>
      <c r="I1222">
        <f t="shared" si="19"/>
        <v>3.0804468686199219E-4</v>
      </c>
    </row>
    <row r="1223" spans="1:9" x14ac:dyDescent="0.3">
      <c r="A1223" s="5">
        <v>43410</v>
      </c>
      <c r="B1223">
        <v>47.799999</v>
      </c>
      <c r="C1223">
        <v>47.919998</v>
      </c>
      <c r="D1223">
        <v>47.029998999999997</v>
      </c>
      <c r="E1223">
        <v>47.25</v>
      </c>
      <c r="F1223">
        <v>41.088535</v>
      </c>
      <c r="G1223">
        <v>23839600</v>
      </c>
      <c r="I1223">
        <f t="shared" si="19"/>
        <v>1.1109482066216114E-4</v>
      </c>
    </row>
    <row r="1224" spans="1:9" x14ac:dyDescent="0.3">
      <c r="A1224" s="5">
        <v>43411</v>
      </c>
      <c r="B1224">
        <v>47.630001</v>
      </c>
      <c r="C1224">
        <v>48.75</v>
      </c>
      <c r="D1224">
        <v>47.59</v>
      </c>
      <c r="E1224">
        <v>48.720001000000003</v>
      </c>
      <c r="F1224">
        <v>42.366847999999997</v>
      </c>
      <c r="G1224">
        <v>29913200</v>
      </c>
      <c r="I1224">
        <f t="shared" si="19"/>
        <v>3.4023427926231548E-5</v>
      </c>
    </row>
    <row r="1225" spans="1:9" x14ac:dyDescent="0.3">
      <c r="A1225" s="5">
        <v>43412</v>
      </c>
      <c r="B1225">
        <v>48.490001999999997</v>
      </c>
      <c r="C1225">
        <v>49.290000999999997</v>
      </c>
      <c r="D1225">
        <v>48.459999000000003</v>
      </c>
      <c r="E1225">
        <v>48.990001999999997</v>
      </c>
      <c r="F1225">
        <v>42.601635000000002</v>
      </c>
      <c r="G1225">
        <v>26581700</v>
      </c>
      <c r="I1225">
        <f t="shared" si="19"/>
        <v>1.0663242457057507E-4</v>
      </c>
    </row>
    <row r="1226" spans="1:9" x14ac:dyDescent="0.3">
      <c r="A1226" s="5">
        <v>43413</v>
      </c>
      <c r="B1226">
        <v>48.790000999999997</v>
      </c>
      <c r="C1226">
        <v>49.029998999999997</v>
      </c>
      <c r="D1226">
        <v>47.869999</v>
      </c>
      <c r="E1226">
        <v>48.110000999999997</v>
      </c>
      <c r="F1226">
        <v>41.836376000000001</v>
      </c>
      <c r="G1226">
        <v>21761400</v>
      </c>
      <c r="I1226">
        <f t="shared" si="19"/>
        <v>1.8815142967559166E-4</v>
      </c>
    </row>
    <row r="1227" spans="1:9" x14ac:dyDescent="0.3">
      <c r="A1227" s="5">
        <v>43416</v>
      </c>
      <c r="B1227">
        <v>47.709999000000003</v>
      </c>
      <c r="C1227">
        <v>47.799999</v>
      </c>
      <c r="D1227">
        <v>46.599997999999999</v>
      </c>
      <c r="E1227">
        <v>46.650002000000001</v>
      </c>
      <c r="F1227">
        <v>40.566775999999997</v>
      </c>
      <c r="G1227">
        <v>24412800</v>
      </c>
      <c r="I1227">
        <f t="shared" si="19"/>
        <v>7.1142014846539123E-5</v>
      </c>
    </row>
    <row r="1228" spans="1:9" x14ac:dyDescent="0.3">
      <c r="A1228" s="5">
        <v>43417</v>
      </c>
      <c r="B1228">
        <v>46.990001999999997</v>
      </c>
      <c r="C1228">
        <v>48.25</v>
      </c>
      <c r="D1228">
        <v>46.990001999999997</v>
      </c>
      <c r="E1228">
        <v>47.389999000000003</v>
      </c>
      <c r="F1228">
        <v>41.210265999999997</v>
      </c>
      <c r="G1228">
        <v>29315900</v>
      </c>
      <c r="I1228">
        <f t="shared" ref="I1228:I1291" si="20">LN(C1228/B1228)*(LN(C1228/B1228)-LN(E1228/B1228))+LN(D1228/B1228)*(LN(D1228/B1228)-LN(E1228/B1228))</f>
        <v>4.7589034050564866E-4</v>
      </c>
    </row>
    <row r="1229" spans="1:9" x14ac:dyDescent="0.3">
      <c r="A1229" s="5">
        <v>43418</v>
      </c>
      <c r="B1229">
        <v>47.849997999999999</v>
      </c>
      <c r="C1229">
        <v>47.970001000000003</v>
      </c>
      <c r="D1229">
        <v>46.889999000000003</v>
      </c>
      <c r="E1229">
        <v>47.09</v>
      </c>
      <c r="F1229">
        <v>40.949387000000002</v>
      </c>
      <c r="G1229">
        <v>25632700</v>
      </c>
      <c r="I1229">
        <f t="shared" si="20"/>
        <v>1.3263610758193999E-4</v>
      </c>
    </row>
    <row r="1230" spans="1:9" x14ac:dyDescent="0.3">
      <c r="A1230" s="5">
        <v>43419</v>
      </c>
      <c r="B1230">
        <v>47.009998000000003</v>
      </c>
      <c r="C1230">
        <v>48.240001999999997</v>
      </c>
      <c r="D1230">
        <v>46.720001000000003</v>
      </c>
      <c r="E1230">
        <v>48.110000999999997</v>
      </c>
      <c r="F1230">
        <v>41.836376000000001</v>
      </c>
      <c r="G1230">
        <v>29581000</v>
      </c>
      <c r="I1230">
        <f t="shared" si="20"/>
        <v>2.5111443960702503E-4</v>
      </c>
    </row>
    <row r="1231" spans="1:9" x14ac:dyDescent="0.3">
      <c r="A1231" s="5">
        <v>43420</v>
      </c>
      <c r="B1231">
        <v>47.77</v>
      </c>
      <c r="C1231">
        <v>49.049999</v>
      </c>
      <c r="D1231">
        <v>47.689999</v>
      </c>
      <c r="E1231">
        <v>48.830002</v>
      </c>
      <c r="F1231">
        <v>42.462502000000001</v>
      </c>
      <c r="G1231">
        <v>31670600</v>
      </c>
      <c r="I1231">
        <f t="shared" si="20"/>
        <v>1.5846006858867556E-4</v>
      </c>
    </row>
    <row r="1232" spans="1:9" x14ac:dyDescent="0.3">
      <c r="A1232" s="5">
        <v>43423</v>
      </c>
      <c r="B1232">
        <v>48.610000999999997</v>
      </c>
      <c r="C1232">
        <v>49.150002000000001</v>
      </c>
      <c r="D1232">
        <v>47.779998999999997</v>
      </c>
      <c r="E1232">
        <v>48</v>
      </c>
      <c r="F1232">
        <v>41.740726000000002</v>
      </c>
      <c r="G1232">
        <v>26859000</v>
      </c>
      <c r="I1232">
        <f t="shared" si="20"/>
        <v>3.406782655422971E-4</v>
      </c>
    </row>
    <row r="1233" spans="1:9" x14ac:dyDescent="0.3">
      <c r="A1233" s="5">
        <v>43424</v>
      </c>
      <c r="B1233">
        <v>47.400002000000001</v>
      </c>
      <c r="C1233">
        <v>48.119999</v>
      </c>
      <c r="D1233">
        <v>47.09</v>
      </c>
      <c r="E1233">
        <v>47.389999000000003</v>
      </c>
      <c r="F1233">
        <v>41.210265999999997</v>
      </c>
      <c r="G1233">
        <v>29200800</v>
      </c>
      <c r="I1233">
        <f t="shared" si="20"/>
        <v>2.7212530927484013E-4</v>
      </c>
    </row>
    <row r="1234" spans="1:9" x14ac:dyDescent="0.3">
      <c r="A1234" s="5">
        <v>43425</v>
      </c>
      <c r="B1234">
        <v>47.849997999999999</v>
      </c>
      <c r="C1234">
        <v>47.880001</v>
      </c>
      <c r="D1234">
        <v>47.02</v>
      </c>
      <c r="E1234">
        <v>47.029998999999997</v>
      </c>
      <c r="F1234">
        <v>40.897208999999997</v>
      </c>
      <c r="G1234">
        <v>19011400</v>
      </c>
      <c r="I1234">
        <f t="shared" si="20"/>
        <v>1.4948474535535131E-5</v>
      </c>
    </row>
    <row r="1235" spans="1:9" x14ac:dyDescent="0.3">
      <c r="A1235" s="5">
        <v>43427</v>
      </c>
      <c r="B1235">
        <v>46.689999</v>
      </c>
      <c r="C1235">
        <v>47.07</v>
      </c>
      <c r="D1235">
        <v>46.52</v>
      </c>
      <c r="E1235">
        <v>46.540000999999997</v>
      </c>
      <c r="F1235">
        <v>40.471119000000002</v>
      </c>
      <c r="G1235">
        <v>8906900</v>
      </c>
      <c r="I1235">
        <f t="shared" si="20"/>
        <v>9.3356174485795026E-5</v>
      </c>
    </row>
    <row r="1236" spans="1:9" x14ac:dyDescent="0.3">
      <c r="A1236" s="5">
        <v>43430</v>
      </c>
      <c r="B1236">
        <v>47.27</v>
      </c>
      <c r="C1236">
        <v>47.459999000000003</v>
      </c>
      <c r="D1236">
        <v>46.700001</v>
      </c>
      <c r="E1236">
        <v>47.450001</v>
      </c>
      <c r="F1236">
        <v>41.262450999999999</v>
      </c>
      <c r="G1236">
        <v>20723000</v>
      </c>
      <c r="I1236">
        <f t="shared" si="20"/>
        <v>1.9413108848269356E-4</v>
      </c>
    </row>
    <row r="1237" spans="1:9" x14ac:dyDescent="0.3">
      <c r="A1237" s="5">
        <v>43431</v>
      </c>
      <c r="B1237">
        <v>46.939999</v>
      </c>
      <c r="C1237">
        <v>48.220001000000003</v>
      </c>
      <c r="D1237">
        <v>46.59</v>
      </c>
      <c r="E1237">
        <v>48.07</v>
      </c>
      <c r="F1237">
        <v>41.801597999999998</v>
      </c>
      <c r="G1237">
        <v>27621000</v>
      </c>
      <c r="I1237">
        <f t="shared" si="20"/>
        <v>3.1787147649041533E-4</v>
      </c>
    </row>
    <row r="1238" spans="1:9" x14ac:dyDescent="0.3">
      <c r="A1238" s="5">
        <v>43432</v>
      </c>
      <c r="B1238">
        <v>47.939999</v>
      </c>
      <c r="C1238">
        <v>48.880001</v>
      </c>
      <c r="D1238">
        <v>47.650002000000001</v>
      </c>
      <c r="E1238">
        <v>48.860000999999997</v>
      </c>
      <c r="F1238">
        <v>42.488579000000001</v>
      </c>
      <c r="G1238">
        <v>28003200</v>
      </c>
      <c r="I1238">
        <f t="shared" si="20"/>
        <v>1.6009889752483823E-4</v>
      </c>
    </row>
    <row r="1239" spans="1:9" x14ac:dyDescent="0.3">
      <c r="A1239" s="5">
        <v>43433</v>
      </c>
      <c r="B1239">
        <v>48.490001999999997</v>
      </c>
      <c r="C1239">
        <v>48.560001</v>
      </c>
      <c r="D1239">
        <v>47.630001</v>
      </c>
      <c r="E1239">
        <v>47.700001</v>
      </c>
      <c r="F1239">
        <v>41.479850999999996</v>
      </c>
      <c r="G1239">
        <v>23592500</v>
      </c>
      <c r="I1239">
        <f t="shared" si="20"/>
        <v>5.2056289681820616E-5</v>
      </c>
    </row>
    <row r="1240" spans="1:9" x14ac:dyDescent="0.3">
      <c r="A1240" s="5">
        <v>43434</v>
      </c>
      <c r="B1240">
        <v>47.950001</v>
      </c>
      <c r="C1240">
        <v>49.32</v>
      </c>
      <c r="D1240">
        <v>47.560001</v>
      </c>
      <c r="E1240">
        <v>49.310001</v>
      </c>
      <c r="F1240">
        <v>42.879897999999997</v>
      </c>
      <c r="G1240">
        <v>43313700</v>
      </c>
      <c r="I1240">
        <f t="shared" si="20"/>
        <v>3.0081521740885759E-4</v>
      </c>
    </row>
    <row r="1241" spans="1:9" x14ac:dyDescent="0.3">
      <c r="A1241" s="5">
        <v>43437</v>
      </c>
      <c r="B1241">
        <v>50</v>
      </c>
      <c r="C1241">
        <v>50.5</v>
      </c>
      <c r="D1241">
        <v>49.529998999999997</v>
      </c>
      <c r="E1241">
        <v>50.130001</v>
      </c>
      <c r="F1241">
        <v>43.592964000000002</v>
      </c>
      <c r="G1241">
        <v>30870400</v>
      </c>
      <c r="I1241">
        <f t="shared" si="20"/>
        <v>1.8689374996342447E-4</v>
      </c>
    </row>
    <row r="1242" spans="1:9" x14ac:dyDescent="0.3">
      <c r="A1242" s="5">
        <v>43438</v>
      </c>
      <c r="B1242">
        <v>49.52</v>
      </c>
      <c r="C1242">
        <v>49.599997999999999</v>
      </c>
      <c r="D1242">
        <v>47.68</v>
      </c>
      <c r="E1242">
        <v>47.75</v>
      </c>
      <c r="F1242">
        <v>41.523327000000002</v>
      </c>
      <c r="G1242">
        <v>35397700</v>
      </c>
      <c r="I1242">
        <f t="shared" si="20"/>
        <v>1.1690624860056878E-4</v>
      </c>
    </row>
    <row r="1243" spans="1:9" x14ac:dyDescent="0.3">
      <c r="A1243" s="5">
        <v>43440</v>
      </c>
      <c r="B1243">
        <v>46.799999</v>
      </c>
      <c r="C1243">
        <v>48.389999000000003</v>
      </c>
      <c r="D1243">
        <v>46.52</v>
      </c>
      <c r="E1243">
        <v>48.369999</v>
      </c>
      <c r="F1243">
        <v>42.062477000000001</v>
      </c>
      <c r="G1243">
        <v>31661700</v>
      </c>
      <c r="I1243">
        <f t="shared" si="20"/>
        <v>2.4782941517550121E-4</v>
      </c>
    </row>
    <row r="1244" spans="1:9" x14ac:dyDescent="0.3">
      <c r="A1244" s="5">
        <v>43441</v>
      </c>
      <c r="B1244">
        <v>47.939999</v>
      </c>
      <c r="C1244">
        <v>48.060001</v>
      </c>
      <c r="D1244">
        <v>46.23</v>
      </c>
      <c r="E1244">
        <v>46.240001999999997</v>
      </c>
      <c r="F1244">
        <v>40.210231999999998</v>
      </c>
      <c r="G1244">
        <v>34016400</v>
      </c>
      <c r="I1244">
        <f t="shared" si="20"/>
        <v>1.0437148400238499E-4</v>
      </c>
    </row>
    <row r="1245" spans="1:9" x14ac:dyDescent="0.3">
      <c r="A1245" s="5">
        <v>43444</v>
      </c>
      <c r="B1245">
        <v>46.279998999999997</v>
      </c>
      <c r="C1245">
        <v>47.459999000000003</v>
      </c>
      <c r="D1245">
        <v>46.009998000000003</v>
      </c>
      <c r="E1245">
        <v>47.209999000000003</v>
      </c>
      <c r="F1245">
        <v>41.053741000000002</v>
      </c>
      <c r="G1245">
        <v>23289000</v>
      </c>
      <c r="I1245">
        <f t="shared" si="20"/>
        <v>2.8362436103714528E-4</v>
      </c>
    </row>
    <row r="1246" spans="1:9" x14ac:dyDescent="0.3">
      <c r="A1246" s="5">
        <v>43445</v>
      </c>
      <c r="B1246">
        <v>47.900002000000001</v>
      </c>
      <c r="C1246">
        <v>48.59</v>
      </c>
      <c r="D1246">
        <v>47.130001</v>
      </c>
      <c r="E1246">
        <v>47.380001</v>
      </c>
      <c r="F1246">
        <v>41.201571999999999</v>
      </c>
      <c r="G1246">
        <v>23851000</v>
      </c>
      <c r="I1246">
        <f t="shared" si="20"/>
        <v>4.4640220850777353E-4</v>
      </c>
    </row>
    <row r="1247" spans="1:9" x14ac:dyDescent="0.3">
      <c r="A1247" s="5">
        <v>43446</v>
      </c>
      <c r="B1247">
        <v>48.580002</v>
      </c>
      <c r="C1247">
        <v>48.639999000000003</v>
      </c>
      <c r="D1247">
        <v>47.41</v>
      </c>
      <c r="E1247">
        <v>47.830002</v>
      </c>
      <c r="F1247">
        <v>41.592899000000003</v>
      </c>
      <c r="G1247">
        <v>31305000</v>
      </c>
      <c r="I1247">
        <f t="shared" si="20"/>
        <v>2.3574596650653001E-4</v>
      </c>
    </row>
    <row r="1248" spans="1:9" x14ac:dyDescent="0.3">
      <c r="A1248" s="5">
        <v>43447</v>
      </c>
      <c r="B1248">
        <v>48.259998000000003</v>
      </c>
      <c r="C1248">
        <v>48.580002</v>
      </c>
      <c r="D1248">
        <v>47.860000999999997</v>
      </c>
      <c r="E1248">
        <v>48.290000999999997</v>
      </c>
      <c r="F1248">
        <v>41.992908</v>
      </c>
      <c r="G1248">
        <v>19526000</v>
      </c>
      <c r="I1248">
        <f t="shared" si="20"/>
        <v>1.1401432263411103E-4</v>
      </c>
    </row>
    <row r="1249" spans="1:9" x14ac:dyDescent="0.3">
      <c r="A1249" s="5">
        <v>43448</v>
      </c>
      <c r="B1249">
        <v>47.889999000000003</v>
      </c>
      <c r="C1249">
        <v>48.759998000000003</v>
      </c>
      <c r="D1249">
        <v>47.849997999999999</v>
      </c>
      <c r="E1249">
        <v>47.860000999999997</v>
      </c>
      <c r="F1249">
        <v>41.618980000000001</v>
      </c>
      <c r="G1249">
        <v>26372100</v>
      </c>
      <c r="I1249">
        <f t="shared" si="20"/>
        <v>3.3558406275884423E-4</v>
      </c>
    </row>
    <row r="1250" spans="1:9" x14ac:dyDescent="0.3">
      <c r="A1250" s="5">
        <v>43451</v>
      </c>
      <c r="B1250">
        <v>47.860000999999997</v>
      </c>
      <c r="C1250">
        <v>48.41</v>
      </c>
      <c r="D1250">
        <v>46.66</v>
      </c>
      <c r="E1250">
        <v>47.080002</v>
      </c>
      <c r="F1250">
        <v>40.940697</v>
      </c>
      <c r="G1250">
        <v>26598700</v>
      </c>
      <c r="I1250">
        <f t="shared" si="20"/>
        <v>5.4586147533600279E-4</v>
      </c>
    </row>
    <row r="1251" spans="1:9" x14ac:dyDescent="0.3">
      <c r="A1251" s="5">
        <v>43452</v>
      </c>
      <c r="B1251">
        <v>47.470001000000003</v>
      </c>
      <c r="C1251">
        <v>48.450001</v>
      </c>
      <c r="D1251">
        <v>47.360000999999997</v>
      </c>
      <c r="E1251">
        <v>47.740001999999997</v>
      </c>
      <c r="F1251">
        <v>41.514633000000003</v>
      </c>
      <c r="G1251">
        <v>29014300</v>
      </c>
      <c r="I1251">
        <f t="shared" si="20"/>
        <v>3.2020708418355361E-4</v>
      </c>
    </row>
    <row r="1252" spans="1:9" x14ac:dyDescent="0.3">
      <c r="A1252" s="5">
        <v>43453</v>
      </c>
      <c r="B1252">
        <v>47.490001999999997</v>
      </c>
      <c r="C1252">
        <v>47.73</v>
      </c>
      <c r="D1252">
        <v>45.380001</v>
      </c>
      <c r="E1252">
        <v>45.57</v>
      </c>
      <c r="F1252">
        <v>39.627612999999997</v>
      </c>
      <c r="G1252">
        <v>39717600</v>
      </c>
      <c r="I1252">
        <f t="shared" si="20"/>
        <v>4.2333317495817937E-4</v>
      </c>
    </row>
    <row r="1253" spans="1:9" x14ac:dyDescent="0.3">
      <c r="A1253" s="5">
        <v>43454</v>
      </c>
      <c r="B1253">
        <v>45.41</v>
      </c>
      <c r="C1253">
        <v>46.310001</v>
      </c>
      <c r="D1253">
        <v>45.009998000000003</v>
      </c>
      <c r="E1253">
        <v>45.540000999999997</v>
      </c>
      <c r="F1253">
        <v>39.601520999999998</v>
      </c>
      <c r="G1253">
        <v>37750900</v>
      </c>
      <c r="I1253">
        <f t="shared" si="20"/>
        <v>4.3263471991325113E-4</v>
      </c>
    </row>
    <row r="1254" spans="1:9" x14ac:dyDescent="0.3">
      <c r="A1254" s="5">
        <v>43455</v>
      </c>
      <c r="B1254">
        <v>45.75</v>
      </c>
      <c r="C1254">
        <v>46.650002000000001</v>
      </c>
      <c r="D1254">
        <v>44.799999</v>
      </c>
      <c r="E1254">
        <v>44.84</v>
      </c>
      <c r="F1254">
        <v>38.992789999999999</v>
      </c>
      <c r="G1254">
        <v>52768300</v>
      </c>
      <c r="I1254">
        <f t="shared" si="20"/>
        <v>7.8964397275405453E-4</v>
      </c>
    </row>
    <row r="1255" spans="1:9" x14ac:dyDescent="0.3">
      <c r="A1255" s="5">
        <v>43458</v>
      </c>
      <c r="B1255">
        <v>44.630001</v>
      </c>
      <c r="C1255">
        <v>45.169998</v>
      </c>
      <c r="D1255">
        <v>43.540000999999997</v>
      </c>
      <c r="E1255">
        <v>43.59</v>
      </c>
      <c r="F1255">
        <v>37.905791999999998</v>
      </c>
      <c r="G1255">
        <v>19241600</v>
      </c>
      <c r="I1255">
        <f t="shared" si="20"/>
        <v>4.5659642299043633E-4</v>
      </c>
    </row>
    <row r="1256" spans="1:9" x14ac:dyDescent="0.3">
      <c r="A1256" s="5">
        <v>43460</v>
      </c>
      <c r="B1256">
        <v>44</v>
      </c>
      <c r="C1256">
        <v>46.200001</v>
      </c>
      <c r="D1256">
        <v>43.509998000000003</v>
      </c>
      <c r="E1256">
        <v>46.189999</v>
      </c>
      <c r="F1256">
        <v>40.166755999999999</v>
      </c>
      <c r="G1256">
        <v>28677600</v>
      </c>
      <c r="I1256">
        <f t="shared" si="20"/>
        <v>6.799497275806033E-4</v>
      </c>
    </row>
    <row r="1257" spans="1:9" x14ac:dyDescent="0.3">
      <c r="A1257" s="5">
        <v>43461</v>
      </c>
      <c r="B1257">
        <v>45.619999</v>
      </c>
      <c r="C1257">
        <v>46.380001</v>
      </c>
      <c r="D1257">
        <v>44.669998</v>
      </c>
      <c r="E1257">
        <v>46.360000999999997</v>
      </c>
      <c r="F1257">
        <v>40.314587000000003</v>
      </c>
      <c r="G1257">
        <v>29970700</v>
      </c>
      <c r="I1257">
        <f t="shared" si="20"/>
        <v>7.8859797853117388E-4</v>
      </c>
    </row>
    <row r="1258" spans="1:9" x14ac:dyDescent="0.3">
      <c r="A1258" s="5">
        <v>43462</v>
      </c>
      <c r="B1258">
        <v>46.509998000000003</v>
      </c>
      <c r="C1258">
        <v>47.740001999999997</v>
      </c>
      <c r="D1258">
        <v>46.299999</v>
      </c>
      <c r="E1258">
        <v>46.75</v>
      </c>
      <c r="F1258">
        <v>40.653728000000001</v>
      </c>
      <c r="G1258">
        <v>24758700</v>
      </c>
      <c r="I1258">
        <f t="shared" si="20"/>
        <v>5.907563533138362E-4</v>
      </c>
    </row>
    <row r="1259" spans="1:9" x14ac:dyDescent="0.3">
      <c r="A1259" s="5">
        <v>43465</v>
      </c>
      <c r="B1259">
        <v>47.09</v>
      </c>
      <c r="C1259">
        <v>47.48</v>
      </c>
      <c r="D1259">
        <v>46.549999</v>
      </c>
      <c r="E1259">
        <v>46.93</v>
      </c>
      <c r="F1259">
        <v>40.810260999999997</v>
      </c>
      <c r="G1259">
        <v>20490400</v>
      </c>
      <c r="I1259">
        <f t="shared" si="20"/>
        <v>1.8987051211399167E-4</v>
      </c>
    </row>
    <row r="1260" spans="1:9" x14ac:dyDescent="0.3">
      <c r="A1260" s="5">
        <v>43467</v>
      </c>
      <c r="B1260">
        <v>45.959999000000003</v>
      </c>
      <c r="C1260">
        <v>47.470001000000003</v>
      </c>
      <c r="D1260">
        <v>45.77</v>
      </c>
      <c r="E1260">
        <v>47.080002</v>
      </c>
      <c r="F1260">
        <v>40.940697</v>
      </c>
      <c r="G1260">
        <v>18774600</v>
      </c>
      <c r="I1260">
        <f t="shared" si="20"/>
        <v>3.835831245649076E-4</v>
      </c>
    </row>
    <row r="1261" spans="1:9" x14ac:dyDescent="0.3">
      <c r="A1261" s="5">
        <v>43468</v>
      </c>
      <c r="B1261">
        <v>46.150002000000001</v>
      </c>
      <c r="C1261">
        <v>46.279998999999997</v>
      </c>
      <c r="D1261">
        <v>44.389999000000003</v>
      </c>
      <c r="E1261">
        <v>44.490001999999997</v>
      </c>
      <c r="F1261">
        <v>38.688431000000001</v>
      </c>
      <c r="G1261">
        <v>32267300</v>
      </c>
      <c r="I1261">
        <f t="shared" si="20"/>
        <v>1.9845273876938161E-4</v>
      </c>
    </row>
    <row r="1262" spans="1:9" x14ac:dyDescent="0.3">
      <c r="A1262" s="5">
        <v>43469</v>
      </c>
      <c r="B1262">
        <v>45.84</v>
      </c>
      <c r="C1262">
        <v>47.57</v>
      </c>
      <c r="D1262">
        <v>45.540000999999997</v>
      </c>
      <c r="E1262">
        <v>47.220001000000003</v>
      </c>
      <c r="F1262">
        <v>41.062438999999998</v>
      </c>
      <c r="G1262">
        <v>35447300</v>
      </c>
      <c r="I1262">
        <f t="shared" si="20"/>
        <v>5.1143273801963545E-4</v>
      </c>
    </row>
    <row r="1263" spans="1:9" x14ac:dyDescent="0.3">
      <c r="A1263" s="5">
        <v>43472</v>
      </c>
      <c r="B1263">
        <v>47.099997999999999</v>
      </c>
      <c r="C1263">
        <v>48</v>
      </c>
      <c r="D1263">
        <v>46.75</v>
      </c>
      <c r="E1263">
        <v>47.439999</v>
      </c>
      <c r="F1263">
        <v>41.253757</v>
      </c>
      <c r="G1263">
        <v>22736800</v>
      </c>
      <c r="I1263">
        <f t="shared" si="20"/>
        <v>3.3140696243109512E-4</v>
      </c>
    </row>
    <row r="1264" spans="1:9" x14ac:dyDescent="0.3">
      <c r="A1264" s="5">
        <v>43473</v>
      </c>
      <c r="B1264">
        <v>47.799999</v>
      </c>
      <c r="C1264">
        <v>48.029998999999997</v>
      </c>
      <c r="D1264">
        <v>46.779998999999997</v>
      </c>
      <c r="E1264">
        <v>47.740001999999997</v>
      </c>
      <c r="F1264">
        <v>41.514633000000003</v>
      </c>
      <c r="G1264">
        <v>22749200</v>
      </c>
      <c r="I1264">
        <f t="shared" si="20"/>
        <v>4.6723935897165339E-4</v>
      </c>
    </row>
    <row r="1265" spans="1:9" x14ac:dyDescent="0.3">
      <c r="A1265" s="5">
        <v>43474</v>
      </c>
      <c r="B1265">
        <v>47.959999000000003</v>
      </c>
      <c r="C1265">
        <v>48.57</v>
      </c>
      <c r="D1265">
        <v>47.779998999999997</v>
      </c>
      <c r="E1265">
        <v>48.009998000000003</v>
      </c>
      <c r="F1265">
        <v>41.749423999999998</v>
      </c>
      <c r="G1265">
        <v>22554500</v>
      </c>
      <c r="I1265">
        <f t="shared" si="20"/>
        <v>1.646257375108825E-4</v>
      </c>
    </row>
    <row r="1266" spans="1:9" x14ac:dyDescent="0.3">
      <c r="A1266" s="5">
        <v>43475</v>
      </c>
      <c r="B1266">
        <v>47.75</v>
      </c>
      <c r="C1266">
        <v>48.650002000000001</v>
      </c>
      <c r="D1266">
        <v>47.41</v>
      </c>
      <c r="E1266">
        <v>48.560001</v>
      </c>
      <c r="F1266">
        <v>42.227699000000001</v>
      </c>
      <c r="G1266">
        <v>27202600</v>
      </c>
      <c r="I1266">
        <f t="shared" si="20"/>
        <v>2.05841540804926E-4</v>
      </c>
    </row>
    <row r="1267" spans="1:9" x14ac:dyDescent="0.3">
      <c r="A1267" s="5">
        <v>43476</v>
      </c>
      <c r="B1267">
        <v>48.099997999999999</v>
      </c>
      <c r="C1267">
        <v>49.290000999999997</v>
      </c>
      <c r="D1267">
        <v>48.049999</v>
      </c>
      <c r="E1267">
        <v>48.93</v>
      </c>
      <c r="F1267">
        <v>42.54945</v>
      </c>
      <c r="G1267">
        <v>21751300</v>
      </c>
      <c r="I1267">
        <f t="shared" si="20"/>
        <v>1.980266493775106E-4</v>
      </c>
    </row>
    <row r="1268" spans="1:9" x14ac:dyDescent="0.3">
      <c r="A1268" s="5">
        <v>43479</v>
      </c>
      <c r="B1268">
        <v>48.459999000000003</v>
      </c>
      <c r="C1268">
        <v>48.830002</v>
      </c>
      <c r="D1268">
        <v>48.299999</v>
      </c>
      <c r="E1268">
        <v>48.349997999999999</v>
      </c>
      <c r="F1268">
        <v>42.045090000000002</v>
      </c>
      <c r="G1268">
        <v>19193900</v>
      </c>
      <c r="I1268">
        <f t="shared" si="20"/>
        <v>7.8561617166743406E-5</v>
      </c>
    </row>
    <row r="1269" spans="1:9" x14ac:dyDescent="0.3">
      <c r="A1269" s="5">
        <v>43480</v>
      </c>
      <c r="B1269">
        <v>48.709999000000003</v>
      </c>
      <c r="C1269">
        <v>49.130001</v>
      </c>
      <c r="D1269">
        <v>48.439999</v>
      </c>
      <c r="E1269">
        <v>48.599997999999999</v>
      </c>
      <c r="F1269">
        <v>42.26247</v>
      </c>
      <c r="G1269">
        <v>22480800</v>
      </c>
      <c r="I1269">
        <f t="shared" si="20"/>
        <v>1.114514237530952E-4</v>
      </c>
    </row>
    <row r="1270" spans="1:9" x14ac:dyDescent="0.3">
      <c r="A1270" s="5">
        <v>43481</v>
      </c>
      <c r="B1270">
        <v>48.599997999999999</v>
      </c>
      <c r="C1270">
        <v>48.889999000000003</v>
      </c>
      <c r="D1270">
        <v>48.080002</v>
      </c>
      <c r="E1270">
        <v>48.130001</v>
      </c>
      <c r="F1270">
        <v>41.853774999999999</v>
      </c>
      <c r="G1270">
        <v>19057700</v>
      </c>
      <c r="I1270">
        <f t="shared" si="20"/>
        <v>1.0439031931171647E-4</v>
      </c>
    </row>
    <row r="1271" spans="1:9" x14ac:dyDescent="0.3">
      <c r="A1271" s="5">
        <v>43482</v>
      </c>
      <c r="B1271">
        <v>48</v>
      </c>
      <c r="C1271">
        <v>48.84</v>
      </c>
      <c r="D1271">
        <v>47.91</v>
      </c>
      <c r="E1271">
        <v>48.470001000000003</v>
      </c>
      <c r="F1271">
        <v>42.149436999999999</v>
      </c>
      <c r="G1271">
        <v>17448700</v>
      </c>
      <c r="I1271">
        <f t="shared" si="20"/>
        <v>1.5373857601839203E-4</v>
      </c>
    </row>
    <row r="1272" spans="1:9" x14ac:dyDescent="0.3">
      <c r="A1272" s="5">
        <v>43483</v>
      </c>
      <c r="B1272">
        <v>49.110000999999997</v>
      </c>
      <c r="C1272">
        <v>49.380001</v>
      </c>
      <c r="D1272">
        <v>48.689999</v>
      </c>
      <c r="E1272">
        <v>49.189999</v>
      </c>
      <c r="F1272">
        <v>42.775542999999999</v>
      </c>
      <c r="G1272">
        <v>29874600</v>
      </c>
      <c r="I1272">
        <f t="shared" si="20"/>
        <v>1.0888875092727172E-4</v>
      </c>
    </row>
    <row r="1273" spans="1:9" x14ac:dyDescent="0.3">
      <c r="A1273" s="5">
        <v>43487</v>
      </c>
      <c r="B1273">
        <v>48.959999000000003</v>
      </c>
      <c r="C1273">
        <v>48.98</v>
      </c>
      <c r="D1273">
        <v>47.869999</v>
      </c>
      <c r="E1273">
        <v>48.27</v>
      </c>
      <c r="F1273">
        <v>41.975521000000001</v>
      </c>
      <c r="G1273">
        <v>25940700</v>
      </c>
      <c r="I1273">
        <f t="shared" si="20"/>
        <v>1.9331416361124552E-4</v>
      </c>
    </row>
    <row r="1274" spans="1:9" x14ac:dyDescent="0.3">
      <c r="A1274" s="5">
        <v>43488</v>
      </c>
      <c r="B1274">
        <v>48.41</v>
      </c>
      <c r="C1274">
        <v>48.799999</v>
      </c>
      <c r="D1274">
        <v>47.52</v>
      </c>
      <c r="E1274">
        <v>47.939999</v>
      </c>
      <c r="F1274">
        <v>41.688544999999998</v>
      </c>
      <c r="G1274">
        <v>18960700</v>
      </c>
      <c r="I1274">
        <f t="shared" si="20"/>
        <v>3.0594716229208585E-4</v>
      </c>
    </row>
    <row r="1275" spans="1:9" x14ac:dyDescent="0.3">
      <c r="A1275" s="5">
        <v>43489</v>
      </c>
      <c r="B1275">
        <v>48.700001</v>
      </c>
      <c r="C1275">
        <v>50.040000999999997</v>
      </c>
      <c r="D1275">
        <v>48.599997999999999</v>
      </c>
      <c r="E1275">
        <v>49.759998000000003</v>
      </c>
      <c r="F1275">
        <v>43.271220999999997</v>
      </c>
      <c r="G1275">
        <v>50578300</v>
      </c>
      <c r="I1275">
        <f t="shared" si="20"/>
        <v>2.007975212034579E-4</v>
      </c>
    </row>
    <row r="1276" spans="1:9" x14ac:dyDescent="0.3">
      <c r="A1276" s="5">
        <v>43490</v>
      </c>
      <c r="B1276">
        <v>46.849997999999999</v>
      </c>
      <c r="C1276">
        <v>47.43</v>
      </c>
      <c r="D1276">
        <v>45.75</v>
      </c>
      <c r="E1276">
        <v>47.040000999999997</v>
      </c>
      <c r="F1276">
        <v>40.905909999999999</v>
      </c>
      <c r="G1276">
        <v>86455700</v>
      </c>
      <c r="I1276">
        <f t="shared" si="20"/>
        <v>7.6224944243009321E-4</v>
      </c>
    </row>
    <row r="1277" spans="1:9" x14ac:dyDescent="0.3">
      <c r="A1277" s="5">
        <v>43493</v>
      </c>
      <c r="B1277">
        <v>46.130001</v>
      </c>
      <c r="C1277">
        <v>46.73</v>
      </c>
      <c r="D1277">
        <v>46.049999</v>
      </c>
      <c r="E1277">
        <v>46.709999000000003</v>
      </c>
      <c r="F1277">
        <v>40.618941999999997</v>
      </c>
      <c r="G1277">
        <v>35928700</v>
      </c>
      <c r="I1277">
        <f t="shared" si="20"/>
        <v>3.023332692292911E-5</v>
      </c>
    </row>
    <row r="1278" spans="1:9" x14ac:dyDescent="0.3">
      <c r="A1278" s="5">
        <v>43494</v>
      </c>
      <c r="B1278">
        <v>46.779998999999997</v>
      </c>
      <c r="C1278">
        <v>46.970001000000003</v>
      </c>
      <c r="D1278">
        <v>46.330002</v>
      </c>
      <c r="E1278">
        <v>46.540000999999997</v>
      </c>
      <c r="F1278">
        <v>40.471119000000002</v>
      </c>
      <c r="G1278">
        <v>20988300</v>
      </c>
      <c r="I1278">
        <f t="shared" si="20"/>
        <v>8.0992575903906676E-5</v>
      </c>
    </row>
    <row r="1279" spans="1:9" x14ac:dyDescent="0.3">
      <c r="A1279" s="5">
        <v>43495</v>
      </c>
      <c r="B1279">
        <v>46.68</v>
      </c>
      <c r="C1279">
        <v>47.68</v>
      </c>
      <c r="D1279">
        <v>46.450001</v>
      </c>
      <c r="E1279">
        <v>47.540000999999997</v>
      </c>
      <c r="F1279">
        <v>41.340710000000001</v>
      </c>
      <c r="G1279">
        <v>26931700</v>
      </c>
      <c r="I1279">
        <f t="shared" si="20"/>
        <v>1.7689583774099365E-4</v>
      </c>
    </row>
    <row r="1280" spans="1:9" x14ac:dyDescent="0.3">
      <c r="A1280" s="5">
        <v>43496</v>
      </c>
      <c r="B1280">
        <v>46.700001</v>
      </c>
      <c r="C1280">
        <v>47.18</v>
      </c>
      <c r="D1280">
        <v>46.099997999999999</v>
      </c>
      <c r="E1280">
        <v>47.119999</v>
      </c>
      <c r="F1280">
        <v>40.975479</v>
      </c>
      <c r="G1280">
        <v>43051300</v>
      </c>
      <c r="I1280">
        <f t="shared" si="20"/>
        <v>2.9600904096234156E-4</v>
      </c>
    </row>
    <row r="1281" spans="1:9" x14ac:dyDescent="0.3">
      <c r="A1281" s="5">
        <v>43497</v>
      </c>
      <c r="B1281">
        <v>47.060001</v>
      </c>
      <c r="C1281">
        <v>49.049999</v>
      </c>
      <c r="D1281">
        <v>47.009998000000003</v>
      </c>
      <c r="E1281">
        <v>48.73</v>
      </c>
      <c r="F1281">
        <v>42.375529999999998</v>
      </c>
      <c r="G1281">
        <v>37442900</v>
      </c>
      <c r="I1281">
        <f t="shared" si="20"/>
        <v>3.0928758808679112E-4</v>
      </c>
    </row>
    <row r="1282" spans="1:9" x14ac:dyDescent="0.3">
      <c r="A1282" s="5">
        <v>43500</v>
      </c>
      <c r="B1282">
        <v>48.619999</v>
      </c>
      <c r="C1282">
        <v>49.240001999999997</v>
      </c>
      <c r="D1282">
        <v>48.240001999999997</v>
      </c>
      <c r="E1282">
        <v>49.220001000000003</v>
      </c>
      <c r="F1282">
        <v>42.801623999999997</v>
      </c>
      <c r="G1282">
        <v>20905000</v>
      </c>
      <c r="I1282">
        <f t="shared" si="20"/>
        <v>1.6294982436293817E-4</v>
      </c>
    </row>
    <row r="1283" spans="1:9" x14ac:dyDescent="0.3">
      <c r="A1283" s="5">
        <v>43501</v>
      </c>
      <c r="B1283">
        <v>49.18</v>
      </c>
      <c r="C1283">
        <v>50.720001000000003</v>
      </c>
      <c r="D1283">
        <v>49.18</v>
      </c>
      <c r="E1283">
        <v>50.009998000000003</v>
      </c>
      <c r="F1283">
        <v>43.488608999999997</v>
      </c>
      <c r="G1283">
        <v>31641600</v>
      </c>
      <c r="I1283">
        <f t="shared" si="20"/>
        <v>4.3466878473521456E-4</v>
      </c>
    </row>
    <row r="1284" spans="1:9" x14ac:dyDescent="0.3">
      <c r="A1284" s="5">
        <v>43502</v>
      </c>
      <c r="B1284">
        <v>49.950001</v>
      </c>
      <c r="C1284">
        <v>50.639999000000003</v>
      </c>
      <c r="D1284">
        <v>49.82</v>
      </c>
      <c r="E1284">
        <v>49.900002000000001</v>
      </c>
      <c r="F1284">
        <v>43.668014999999997</v>
      </c>
      <c r="G1284">
        <v>21647800</v>
      </c>
      <c r="I1284">
        <f t="shared" si="20"/>
        <v>2.0613835960014491E-4</v>
      </c>
    </row>
    <row r="1285" spans="1:9" x14ac:dyDescent="0.3">
      <c r="A1285" s="5">
        <v>43503</v>
      </c>
      <c r="B1285">
        <v>49.5</v>
      </c>
      <c r="C1285">
        <v>49.849997999999999</v>
      </c>
      <c r="D1285">
        <v>48.68</v>
      </c>
      <c r="E1285">
        <v>49.23</v>
      </c>
      <c r="F1285">
        <v>43.081684000000003</v>
      </c>
      <c r="G1285">
        <v>27825900</v>
      </c>
      <c r="I1285">
        <f t="shared" si="20"/>
        <v>2.7585257874397179E-4</v>
      </c>
    </row>
    <row r="1286" spans="1:9" x14ac:dyDescent="0.3">
      <c r="A1286" s="5">
        <v>43504</v>
      </c>
      <c r="B1286">
        <v>48.77</v>
      </c>
      <c r="C1286">
        <v>49.02</v>
      </c>
      <c r="D1286">
        <v>48.009998000000003</v>
      </c>
      <c r="E1286">
        <v>48.84</v>
      </c>
      <c r="F1286">
        <v>42.740397999999999</v>
      </c>
      <c r="G1286">
        <v>18851200</v>
      </c>
      <c r="I1286">
        <f t="shared" si="20"/>
        <v>2.8801751959440575E-4</v>
      </c>
    </row>
    <row r="1287" spans="1:9" x14ac:dyDescent="0.3">
      <c r="A1287" s="5">
        <v>43507</v>
      </c>
      <c r="B1287">
        <v>49.02</v>
      </c>
      <c r="C1287">
        <v>49.32</v>
      </c>
      <c r="D1287">
        <v>48.580002</v>
      </c>
      <c r="E1287">
        <v>48.77</v>
      </c>
      <c r="F1287">
        <v>42.679146000000003</v>
      </c>
      <c r="G1287">
        <v>18004100</v>
      </c>
      <c r="I1287">
        <f t="shared" si="20"/>
        <v>1.0361657589061736E-4</v>
      </c>
    </row>
    <row r="1288" spans="1:9" x14ac:dyDescent="0.3">
      <c r="A1288" s="5">
        <v>43508</v>
      </c>
      <c r="B1288">
        <v>49.360000999999997</v>
      </c>
      <c r="C1288">
        <v>50.139999000000003</v>
      </c>
      <c r="D1288">
        <v>49.27</v>
      </c>
      <c r="E1288">
        <v>50.009998000000003</v>
      </c>
      <c r="F1288">
        <v>43.764266999999997</v>
      </c>
      <c r="G1288">
        <v>18050100</v>
      </c>
      <c r="I1288">
        <f t="shared" si="20"/>
        <v>6.7910492126238312E-5</v>
      </c>
    </row>
    <row r="1289" spans="1:9" x14ac:dyDescent="0.3">
      <c r="A1289" s="5">
        <v>43509</v>
      </c>
      <c r="B1289">
        <v>50.130001</v>
      </c>
      <c r="C1289">
        <v>50.810001</v>
      </c>
      <c r="D1289">
        <v>50</v>
      </c>
      <c r="E1289">
        <v>50.470001000000003</v>
      </c>
      <c r="F1289">
        <v>44.166820999999999</v>
      </c>
      <c r="G1289">
        <v>17712800</v>
      </c>
      <c r="I1289">
        <f t="shared" si="20"/>
        <v>1.1475710485667973E-4</v>
      </c>
    </row>
    <row r="1290" spans="1:9" x14ac:dyDescent="0.3">
      <c r="A1290" s="5">
        <v>43510</v>
      </c>
      <c r="B1290">
        <v>50.41</v>
      </c>
      <c r="C1290">
        <v>51.040000999999997</v>
      </c>
      <c r="D1290">
        <v>50.349997999999999</v>
      </c>
      <c r="E1290">
        <v>50.810001</v>
      </c>
      <c r="F1290">
        <v>44.464367000000003</v>
      </c>
      <c r="G1290">
        <v>17545400</v>
      </c>
      <c r="I1290">
        <f t="shared" si="20"/>
        <v>6.6926355578740473E-5</v>
      </c>
    </row>
    <row r="1291" spans="1:9" x14ac:dyDescent="0.3">
      <c r="A1291" s="5">
        <v>43511</v>
      </c>
      <c r="B1291">
        <v>51.25</v>
      </c>
      <c r="C1291">
        <v>51.669998</v>
      </c>
      <c r="D1291">
        <v>51.09</v>
      </c>
      <c r="E1291">
        <v>51.66</v>
      </c>
      <c r="F1291">
        <v>45.208213999999998</v>
      </c>
      <c r="G1291">
        <v>22520400</v>
      </c>
      <c r="I1291">
        <f t="shared" si="20"/>
        <v>3.6271660378554831E-5</v>
      </c>
    </row>
    <row r="1292" spans="1:9" x14ac:dyDescent="0.3">
      <c r="A1292" s="5">
        <v>43515</v>
      </c>
      <c r="B1292">
        <v>51.349997999999999</v>
      </c>
      <c r="C1292">
        <v>51.709999000000003</v>
      </c>
      <c r="D1292">
        <v>51.34</v>
      </c>
      <c r="E1292">
        <v>51.400002000000001</v>
      </c>
      <c r="F1292">
        <v>44.980682000000002</v>
      </c>
      <c r="G1292">
        <v>15611800</v>
      </c>
      <c r="I1292">
        <f t="shared" ref="I1292:I1355" si="21">LN(C1292/B1292)*(LN(C1292/B1292)-LN(E1292/B1292))+LN(D1292/B1292)*(LN(D1292/B1292)-LN(E1292/B1292))</f>
        <v>4.2235572131323185E-5</v>
      </c>
    </row>
    <row r="1293" spans="1:9" x14ac:dyDescent="0.3">
      <c r="A1293" s="5">
        <v>43516</v>
      </c>
      <c r="B1293">
        <v>51.630001</v>
      </c>
      <c r="C1293">
        <v>51.73</v>
      </c>
      <c r="D1293">
        <v>51.060001</v>
      </c>
      <c r="E1293">
        <v>51.389999000000003</v>
      </c>
      <c r="F1293">
        <v>44.971935000000002</v>
      </c>
      <c r="G1293">
        <v>21607700</v>
      </c>
      <c r="I1293">
        <f t="shared" si="21"/>
        <v>8.4277194679564468E-5</v>
      </c>
    </row>
    <row r="1294" spans="1:9" x14ac:dyDescent="0.3">
      <c r="A1294" s="5">
        <v>43517</v>
      </c>
      <c r="B1294">
        <v>51.32</v>
      </c>
      <c r="C1294">
        <v>51.84</v>
      </c>
      <c r="D1294">
        <v>51.209999000000003</v>
      </c>
      <c r="E1294">
        <v>51.41</v>
      </c>
      <c r="F1294">
        <v>44.989429000000001</v>
      </c>
      <c r="G1294">
        <v>16162100</v>
      </c>
      <c r="I1294">
        <f t="shared" si="21"/>
        <v>9.233625992460764E-5</v>
      </c>
    </row>
    <row r="1295" spans="1:9" x14ac:dyDescent="0.3">
      <c r="A1295" s="5">
        <v>43518</v>
      </c>
      <c r="B1295">
        <v>52.700001</v>
      </c>
      <c r="C1295">
        <v>52.98</v>
      </c>
      <c r="D1295">
        <v>52.060001</v>
      </c>
      <c r="E1295">
        <v>52.490001999999997</v>
      </c>
      <c r="F1295">
        <v>45.934550999999999</v>
      </c>
      <c r="G1295">
        <v>31934100</v>
      </c>
      <c r="I1295">
        <f t="shared" si="21"/>
        <v>1.4974450815686741E-4</v>
      </c>
    </row>
    <row r="1296" spans="1:9" x14ac:dyDescent="0.3">
      <c r="A1296" s="5">
        <v>43521</v>
      </c>
      <c r="B1296">
        <v>53.060001</v>
      </c>
      <c r="C1296">
        <v>53.610000999999997</v>
      </c>
      <c r="D1296">
        <v>52.860000999999997</v>
      </c>
      <c r="E1296">
        <v>53.099997999999999</v>
      </c>
      <c r="F1296">
        <v>46.468375999999999</v>
      </c>
      <c r="G1296">
        <v>20711800</v>
      </c>
      <c r="I1296">
        <f t="shared" si="21"/>
        <v>1.1567948762094507E-4</v>
      </c>
    </row>
    <row r="1297" spans="1:9" x14ac:dyDescent="0.3">
      <c r="A1297" s="5">
        <v>43522</v>
      </c>
      <c r="B1297">
        <v>53.009998000000003</v>
      </c>
      <c r="C1297">
        <v>53.369999</v>
      </c>
      <c r="D1297">
        <v>52.91</v>
      </c>
      <c r="E1297">
        <v>53.23</v>
      </c>
      <c r="F1297">
        <v>46.582138</v>
      </c>
      <c r="G1297">
        <v>16082200</v>
      </c>
      <c r="I1297">
        <f t="shared" si="21"/>
        <v>2.916294114900799E-5</v>
      </c>
    </row>
    <row r="1298" spans="1:9" x14ac:dyDescent="0.3">
      <c r="A1298" s="5">
        <v>43523</v>
      </c>
      <c r="B1298">
        <v>52.759998000000003</v>
      </c>
      <c r="C1298">
        <v>53.380001</v>
      </c>
      <c r="D1298">
        <v>52.509998000000003</v>
      </c>
      <c r="E1298">
        <v>53.240001999999997</v>
      </c>
      <c r="F1298">
        <v>46.590893000000001</v>
      </c>
      <c r="G1298">
        <v>17590300</v>
      </c>
      <c r="I1298">
        <f t="shared" si="21"/>
        <v>9.6257222141517133E-5</v>
      </c>
    </row>
    <row r="1299" spans="1:9" x14ac:dyDescent="0.3">
      <c r="A1299" s="5">
        <v>43524</v>
      </c>
      <c r="B1299">
        <v>52.919998</v>
      </c>
      <c r="C1299">
        <v>53.18</v>
      </c>
      <c r="D1299">
        <v>52.810001</v>
      </c>
      <c r="E1299">
        <v>52.959999000000003</v>
      </c>
      <c r="F1299">
        <v>46.345844</v>
      </c>
      <c r="G1299">
        <v>18388800</v>
      </c>
      <c r="I1299">
        <f t="shared" si="21"/>
        <v>2.621896022330657E-5</v>
      </c>
    </row>
    <row r="1300" spans="1:9" x14ac:dyDescent="0.3">
      <c r="A1300" s="5">
        <v>43525</v>
      </c>
      <c r="B1300">
        <v>53.439999</v>
      </c>
      <c r="C1300">
        <v>53.68</v>
      </c>
      <c r="D1300">
        <v>52.889999000000003</v>
      </c>
      <c r="E1300">
        <v>53.299999</v>
      </c>
      <c r="F1300">
        <v>46.643394000000001</v>
      </c>
      <c r="G1300">
        <v>18359300</v>
      </c>
      <c r="I1300">
        <f t="shared" si="21"/>
        <v>1.1172016007886921E-4</v>
      </c>
    </row>
    <row r="1301" spans="1:9" x14ac:dyDescent="0.3">
      <c r="A1301" s="5">
        <v>43528</v>
      </c>
      <c r="B1301">
        <v>53.75</v>
      </c>
      <c r="C1301">
        <v>54.099997999999999</v>
      </c>
      <c r="D1301">
        <v>53.209999000000003</v>
      </c>
      <c r="E1301">
        <v>53.939999</v>
      </c>
      <c r="F1301">
        <v>47.203468000000001</v>
      </c>
      <c r="G1301">
        <v>21706100</v>
      </c>
      <c r="I1301">
        <f t="shared" si="21"/>
        <v>1.5680983905651968E-4</v>
      </c>
    </row>
    <row r="1302" spans="1:9" x14ac:dyDescent="0.3">
      <c r="A1302" s="5">
        <v>43529</v>
      </c>
      <c r="B1302">
        <v>53.849997999999999</v>
      </c>
      <c r="C1302">
        <v>53.990001999999997</v>
      </c>
      <c r="D1302">
        <v>53.110000999999997</v>
      </c>
      <c r="E1302">
        <v>53.68</v>
      </c>
      <c r="F1302">
        <v>46.975932999999998</v>
      </c>
      <c r="G1302">
        <v>21057700</v>
      </c>
      <c r="I1302">
        <f t="shared" si="21"/>
        <v>1.6266623732868492E-4</v>
      </c>
    </row>
    <row r="1303" spans="1:9" x14ac:dyDescent="0.3">
      <c r="A1303" s="5">
        <v>43530</v>
      </c>
      <c r="B1303">
        <v>53.630001</v>
      </c>
      <c r="C1303">
        <v>53.650002000000001</v>
      </c>
      <c r="D1303">
        <v>52.939999</v>
      </c>
      <c r="E1303">
        <v>52.950001</v>
      </c>
      <c r="F1303">
        <v>46.337108999999998</v>
      </c>
      <c r="G1303">
        <v>14740500</v>
      </c>
      <c r="I1303">
        <f t="shared" si="21"/>
        <v>7.3434389799124035E-6</v>
      </c>
    </row>
    <row r="1304" spans="1:9" x14ac:dyDescent="0.3">
      <c r="A1304" s="5">
        <v>43531</v>
      </c>
      <c r="B1304">
        <v>52.77</v>
      </c>
      <c r="C1304">
        <v>52.990001999999997</v>
      </c>
      <c r="D1304">
        <v>52.360000999999997</v>
      </c>
      <c r="E1304">
        <v>52.599997999999999</v>
      </c>
      <c r="F1304">
        <v>46.030807000000003</v>
      </c>
      <c r="G1304">
        <v>17803000</v>
      </c>
      <c r="I1304">
        <f t="shared" si="21"/>
        <v>6.6403475869539338E-5</v>
      </c>
    </row>
    <row r="1305" spans="1:9" x14ac:dyDescent="0.3">
      <c r="A1305" s="5">
        <v>43532</v>
      </c>
      <c r="B1305">
        <v>51.970001000000003</v>
      </c>
      <c r="C1305">
        <v>52.560001</v>
      </c>
      <c r="D1305">
        <v>51.700001</v>
      </c>
      <c r="E1305">
        <v>52.48</v>
      </c>
      <c r="F1305">
        <v>45.925792999999999</v>
      </c>
      <c r="G1305">
        <v>16793900</v>
      </c>
      <c r="I1305">
        <f t="shared" si="21"/>
        <v>9.5194636288730333E-5</v>
      </c>
    </row>
    <row r="1306" spans="1:9" x14ac:dyDescent="0.3">
      <c r="A1306" s="5">
        <v>43535</v>
      </c>
      <c r="B1306">
        <v>52.880001</v>
      </c>
      <c r="C1306">
        <v>53.650002000000001</v>
      </c>
      <c r="D1306">
        <v>52.57</v>
      </c>
      <c r="E1306">
        <v>53.349997999999999</v>
      </c>
      <c r="F1306">
        <v>46.687148999999998</v>
      </c>
      <c r="G1306">
        <v>18963000</v>
      </c>
      <c r="I1306">
        <f t="shared" si="21"/>
        <v>1.6766126896926656E-4</v>
      </c>
    </row>
    <row r="1307" spans="1:9" x14ac:dyDescent="0.3">
      <c r="A1307" s="5">
        <v>43536</v>
      </c>
      <c r="B1307">
        <v>53.34</v>
      </c>
      <c r="C1307">
        <v>53.959999000000003</v>
      </c>
      <c r="D1307">
        <v>53.18</v>
      </c>
      <c r="E1307">
        <v>53.57</v>
      </c>
      <c r="F1307">
        <v>46.879672999999997</v>
      </c>
      <c r="G1307">
        <v>20782100</v>
      </c>
      <c r="I1307">
        <f t="shared" si="21"/>
        <v>1.057792011377004E-4</v>
      </c>
    </row>
    <row r="1308" spans="1:9" x14ac:dyDescent="0.3">
      <c r="A1308" s="5">
        <v>43537</v>
      </c>
      <c r="B1308">
        <v>54</v>
      </c>
      <c r="C1308">
        <v>54.57</v>
      </c>
      <c r="D1308">
        <v>53.650002000000001</v>
      </c>
      <c r="E1308">
        <v>54.369999</v>
      </c>
      <c r="F1308">
        <v>47.579762000000002</v>
      </c>
      <c r="G1308">
        <v>25522300</v>
      </c>
      <c r="I1308">
        <f t="shared" si="21"/>
        <v>1.2523983527175305E-4</v>
      </c>
    </row>
    <row r="1309" spans="1:9" x14ac:dyDescent="0.3">
      <c r="A1309" s="5">
        <v>43538</v>
      </c>
      <c r="B1309">
        <v>54.299999</v>
      </c>
      <c r="C1309">
        <v>54.450001</v>
      </c>
      <c r="D1309">
        <v>53.330002</v>
      </c>
      <c r="E1309">
        <v>53.439999</v>
      </c>
      <c r="F1309">
        <v>46.765895999999998</v>
      </c>
      <c r="G1309">
        <v>26647100</v>
      </c>
      <c r="I1309">
        <f t="shared" si="21"/>
        <v>8.879124615748083E-5</v>
      </c>
    </row>
    <row r="1310" spans="1:9" x14ac:dyDescent="0.3">
      <c r="A1310" s="5">
        <v>43539</v>
      </c>
      <c r="B1310">
        <v>53.68</v>
      </c>
      <c r="C1310">
        <v>54.689999</v>
      </c>
      <c r="D1310">
        <v>53.68</v>
      </c>
      <c r="E1310">
        <v>54.330002</v>
      </c>
      <c r="F1310">
        <v>47.544758000000002</v>
      </c>
      <c r="G1310">
        <v>46512500</v>
      </c>
      <c r="I1310">
        <f t="shared" si="21"/>
        <v>1.2310585792627642E-4</v>
      </c>
    </row>
    <row r="1311" spans="1:9" x14ac:dyDescent="0.3">
      <c r="A1311" s="5">
        <v>43542</v>
      </c>
      <c r="B1311">
        <v>54.419998</v>
      </c>
      <c r="C1311">
        <v>54.509998000000003</v>
      </c>
      <c r="D1311">
        <v>53.869999</v>
      </c>
      <c r="E1311">
        <v>54.099997999999999</v>
      </c>
      <c r="F1311">
        <v>47.343474999999998</v>
      </c>
      <c r="G1311">
        <v>16274000</v>
      </c>
      <c r="I1311">
        <f t="shared" si="21"/>
        <v>5.5753245193296052E-5</v>
      </c>
    </row>
    <row r="1312" spans="1:9" x14ac:dyDescent="0.3">
      <c r="A1312" s="5">
        <v>43543</v>
      </c>
      <c r="B1312">
        <v>54.470001000000003</v>
      </c>
      <c r="C1312">
        <v>54.650002000000001</v>
      </c>
      <c r="D1312">
        <v>54</v>
      </c>
      <c r="E1312">
        <v>54.169998</v>
      </c>
      <c r="F1312">
        <v>47.404738999999999</v>
      </c>
      <c r="G1312">
        <v>18274800</v>
      </c>
      <c r="I1312">
        <f t="shared" si="21"/>
        <v>5.6344029693929839E-5</v>
      </c>
    </row>
    <row r="1313" spans="1:9" x14ac:dyDescent="0.3">
      <c r="A1313" s="5">
        <v>43544</v>
      </c>
      <c r="B1313">
        <v>54.060001</v>
      </c>
      <c r="C1313">
        <v>54.400002000000001</v>
      </c>
      <c r="D1313">
        <v>53.610000999999997</v>
      </c>
      <c r="E1313">
        <v>53.82</v>
      </c>
      <c r="F1313">
        <v>47.09845</v>
      </c>
      <c r="G1313">
        <v>24325300</v>
      </c>
      <c r="I1313">
        <f t="shared" si="21"/>
        <v>9.9883744388183762E-5</v>
      </c>
    </row>
    <row r="1314" spans="1:9" x14ac:dyDescent="0.3">
      <c r="A1314" s="5">
        <v>43545</v>
      </c>
      <c r="B1314">
        <v>53.919998</v>
      </c>
      <c r="C1314">
        <v>54.990001999999997</v>
      </c>
      <c r="D1314">
        <v>53.84</v>
      </c>
      <c r="E1314">
        <v>54.639999000000003</v>
      </c>
      <c r="F1314">
        <v>47.816035999999997</v>
      </c>
      <c r="G1314">
        <v>19127200</v>
      </c>
      <c r="I1314">
        <f t="shared" si="21"/>
        <v>1.4736796143284997E-4</v>
      </c>
    </row>
    <row r="1315" spans="1:9" x14ac:dyDescent="0.3">
      <c r="A1315" s="5">
        <v>43546</v>
      </c>
      <c r="B1315">
        <v>54.400002000000001</v>
      </c>
      <c r="C1315">
        <v>54.619999</v>
      </c>
      <c r="D1315">
        <v>53.209999000000003</v>
      </c>
      <c r="E1315">
        <v>53.259998000000003</v>
      </c>
      <c r="F1315">
        <v>46.608383000000003</v>
      </c>
      <c r="G1315">
        <v>21438400</v>
      </c>
      <c r="I1315">
        <f t="shared" si="21"/>
        <v>1.2253698425938569E-4</v>
      </c>
    </row>
    <row r="1316" spans="1:9" x14ac:dyDescent="0.3">
      <c r="A1316" s="5">
        <v>43549</v>
      </c>
      <c r="B1316">
        <v>52.970001000000003</v>
      </c>
      <c r="C1316">
        <v>53.549999</v>
      </c>
      <c r="D1316">
        <v>52.380001</v>
      </c>
      <c r="E1316">
        <v>52.779998999999997</v>
      </c>
      <c r="F1316">
        <v>46.188324000000001</v>
      </c>
      <c r="G1316">
        <v>16971400</v>
      </c>
      <c r="I1316">
        <f t="shared" si="21"/>
        <v>2.429357303504939E-4</v>
      </c>
    </row>
    <row r="1317" spans="1:9" x14ac:dyDescent="0.3">
      <c r="A1317" s="5">
        <v>43550</v>
      </c>
      <c r="B1317">
        <v>53.32</v>
      </c>
      <c r="C1317">
        <v>53.77</v>
      </c>
      <c r="D1317">
        <v>53.040000999999997</v>
      </c>
      <c r="E1317">
        <v>53.439999</v>
      </c>
      <c r="F1317">
        <v>46.765895999999998</v>
      </c>
      <c r="G1317">
        <v>17724300</v>
      </c>
      <c r="I1317">
        <f t="shared" si="21"/>
        <v>9.1295436507228474E-5</v>
      </c>
    </row>
    <row r="1318" spans="1:9" x14ac:dyDescent="0.3">
      <c r="A1318" s="5">
        <v>43551</v>
      </c>
      <c r="B1318">
        <v>53.59</v>
      </c>
      <c r="C1318">
        <v>53.860000999999997</v>
      </c>
      <c r="D1318">
        <v>52.939999</v>
      </c>
      <c r="E1318">
        <v>53.16</v>
      </c>
      <c r="F1318">
        <v>46.520882</v>
      </c>
      <c r="G1318">
        <v>19656000</v>
      </c>
      <c r="I1318">
        <f t="shared" si="21"/>
        <v>1.163523409601923E-4</v>
      </c>
    </row>
    <row r="1319" spans="1:9" x14ac:dyDescent="0.3">
      <c r="A1319" s="5">
        <v>43552</v>
      </c>
      <c r="B1319">
        <v>53.25</v>
      </c>
      <c r="C1319">
        <v>53.439999</v>
      </c>
      <c r="D1319">
        <v>52.77</v>
      </c>
      <c r="E1319">
        <v>53.110000999999997</v>
      </c>
      <c r="F1319">
        <v>46.477111999999998</v>
      </c>
      <c r="G1319">
        <v>13607900</v>
      </c>
      <c r="I1319">
        <f t="shared" si="21"/>
        <v>8.0216732638345017E-5</v>
      </c>
    </row>
    <row r="1320" spans="1:9" x14ac:dyDescent="0.3">
      <c r="A1320" s="5">
        <v>43553</v>
      </c>
      <c r="B1320">
        <v>53.799999</v>
      </c>
      <c r="C1320">
        <v>54.040000999999997</v>
      </c>
      <c r="D1320">
        <v>53.48</v>
      </c>
      <c r="E1320">
        <v>53.700001</v>
      </c>
      <c r="F1320">
        <v>46.993434999999998</v>
      </c>
      <c r="G1320">
        <v>18736100</v>
      </c>
      <c r="I1320">
        <f t="shared" si="21"/>
        <v>5.258384319887656E-5</v>
      </c>
    </row>
    <row r="1321" spans="1:9" x14ac:dyDescent="0.3">
      <c r="A1321" s="5">
        <v>43556</v>
      </c>
      <c r="B1321">
        <v>54.34</v>
      </c>
      <c r="C1321">
        <v>54.57</v>
      </c>
      <c r="D1321">
        <v>54.099997999999999</v>
      </c>
      <c r="E1321">
        <v>54.509998000000003</v>
      </c>
      <c r="F1321">
        <v>47.702274000000003</v>
      </c>
      <c r="G1321">
        <v>17830400</v>
      </c>
      <c r="I1321">
        <f t="shared" si="21"/>
        <v>3.8066336946130547E-5</v>
      </c>
    </row>
    <row r="1322" spans="1:9" x14ac:dyDescent="0.3">
      <c r="A1322" s="5">
        <v>43557</v>
      </c>
      <c r="B1322">
        <v>54.529998999999997</v>
      </c>
      <c r="C1322">
        <v>54.799999</v>
      </c>
      <c r="D1322">
        <v>54.23</v>
      </c>
      <c r="E1322">
        <v>54.360000999999997</v>
      </c>
      <c r="F1322">
        <v>47.571007000000002</v>
      </c>
      <c r="G1322">
        <v>13704500</v>
      </c>
      <c r="I1322">
        <f t="shared" si="21"/>
        <v>5.3026541090232065E-5</v>
      </c>
    </row>
    <row r="1323" spans="1:9" x14ac:dyDescent="0.3">
      <c r="A1323" s="5">
        <v>43558</v>
      </c>
      <c r="B1323">
        <v>55.029998999999997</v>
      </c>
      <c r="C1323">
        <v>55.990001999999997</v>
      </c>
      <c r="D1323">
        <v>54.889999000000003</v>
      </c>
      <c r="E1323">
        <v>55.48</v>
      </c>
      <c r="F1323">
        <v>48.551124999999999</v>
      </c>
      <c r="G1323">
        <v>24552800</v>
      </c>
      <c r="I1323">
        <f t="shared" si="21"/>
        <v>1.8548997147270219E-4</v>
      </c>
    </row>
    <row r="1324" spans="1:9" x14ac:dyDescent="0.3">
      <c r="A1324" s="5">
        <v>43559</v>
      </c>
      <c r="B1324">
        <v>55.27</v>
      </c>
      <c r="C1324">
        <v>56.139999000000003</v>
      </c>
      <c r="D1324">
        <v>55.27</v>
      </c>
      <c r="E1324">
        <v>55.919998</v>
      </c>
      <c r="F1324">
        <v>48.936171999999999</v>
      </c>
      <c r="G1324">
        <v>16520500</v>
      </c>
      <c r="I1324">
        <f t="shared" si="21"/>
        <v>6.1325063814550446E-5</v>
      </c>
    </row>
    <row r="1325" spans="1:9" x14ac:dyDescent="0.3">
      <c r="A1325" s="5">
        <v>43560</v>
      </c>
      <c r="B1325">
        <v>55.75</v>
      </c>
      <c r="C1325">
        <v>55.950001</v>
      </c>
      <c r="D1325">
        <v>54.869999</v>
      </c>
      <c r="E1325">
        <v>55.599997999999999</v>
      </c>
      <c r="F1325">
        <v>48.656143</v>
      </c>
      <c r="G1325">
        <v>19268400</v>
      </c>
      <c r="I1325">
        <f t="shared" si="21"/>
        <v>2.3275446353848982E-4</v>
      </c>
    </row>
    <row r="1326" spans="1:9" x14ac:dyDescent="0.3">
      <c r="A1326" s="5">
        <v>43563</v>
      </c>
      <c r="B1326">
        <v>55.279998999999997</v>
      </c>
      <c r="C1326">
        <v>55.740001999999997</v>
      </c>
      <c r="D1326">
        <v>55.200001</v>
      </c>
      <c r="E1326">
        <v>55.68</v>
      </c>
      <c r="F1326">
        <v>48.726151000000002</v>
      </c>
      <c r="G1326">
        <v>11758800</v>
      </c>
      <c r="I1326">
        <f t="shared" si="21"/>
        <v>2.1463828286924719E-5</v>
      </c>
    </row>
    <row r="1327" spans="1:9" x14ac:dyDescent="0.3">
      <c r="A1327" s="5">
        <v>43564</v>
      </c>
      <c r="B1327">
        <v>55.349997999999999</v>
      </c>
      <c r="C1327">
        <v>55.43</v>
      </c>
      <c r="D1327">
        <v>54.900002000000001</v>
      </c>
      <c r="E1327">
        <v>55.32</v>
      </c>
      <c r="F1327">
        <v>48.411105999999997</v>
      </c>
      <c r="G1327">
        <v>13339700</v>
      </c>
      <c r="I1327">
        <f t="shared" si="21"/>
        <v>6.5082151666843497E-5</v>
      </c>
    </row>
    <row r="1328" spans="1:9" x14ac:dyDescent="0.3">
      <c r="A1328" s="5">
        <v>43565</v>
      </c>
      <c r="B1328">
        <v>55.32</v>
      </c>
      <c r="C1328">
        <v>55.860000999999997</v>
      </c>
      <c r="D1328">
        <v>55.32</v>
      </c>
      <c r="E1328">
        <v>55.75</v>
      </c>
      <c r="F1328">
        <v>48.787410999999999</v>
      </c>
      <c r="G1328">
        <v>13084000</v>
      </c>
      <c r="I1328">
        <f t="shared" si="21"/>
        <v>1.9148067896221652E-5</v>
      </c>
    </row>
    <row r="1329" spans="1:9" x14ac:dyDescent="0.3">
      <c r="A1329" s="5">
        <v>43566</v>
      </c>
      <c r="B1329">
        <v>55.759998000000003</v>
      </c>
      <c r="C1329">
        <v>56.07</v>
      </c>
      <c r="D1329">
        <v>55.630001</v>
      </c>
      <c r="E1329">
        <v>55.799999</v>
      </c>
      <c r="F1329">
        <v>48.831164999999999</v>
      </c>
      <c r="G1329">
        <v>10845800</v>
      </c>
      <c r="I1329">
        <f t="shared" si="21"/>
        <v>3.3883872811425985E-5</v>
      </c>
    </row>
    <row r="1330" spans="1:9" x14ac:dyDescent="0.3">
      <c r="A1330" s="5">
        <v>43567</v>
      </c>
      <c r="B1330">
        <v>56.209999000000003</v>
      </c>
      <c r="C1330">
        <v>56.490001999999997</v>
      </c>
      <c r="D1330">
        <v>55.84</v>
      </c>
      <c r="E1330">
        <v>56.419998</v>
      </c>
      <c r="F1330">
        <v>49.373733999999999</v>
      </c>
      <c r="G1330">
        <v>12910200</v>
      </c>
      <c r="I1330">
        <f t="shared" si="21"/>
        <v>7.4404156978955186E-5</v>
      </c>
    </row>
    <row r="1331" spans="1:9" x14ac:dyDescent="0.3">
      <c r="A1331" s="5">
        <v>43570</v>
      </c>
      <c r="B1331">
        <v>56.459999000000003</v>
      </c>
      <c r="C1331">
        <v>56.560001</v>
      </c>
      <c r="D1331">
        <v>55.919998</v>
      </c>
      <c r="E1331">
        <v>56.279998999999997</v>
      </c>
      <c r="F1331">
        <v>49.251216999999997</v>
      </c>
      <c r="G1331">
        <v>11676900</v>
      </c>
      <c r="I1331">
        <f t="shared" si="21"/>
        <v>7.0453418813013605E-5</v>
      </c>
    </row>
    <row r="1332" spans="1:9" x14ac:dyDescent="0.3">
      <c r="A1332" s="5">
        <v>43571</v>
      </c>
      <c r="B1332">
        <v>56.66</v>
      </c>
      <c r="C1332">
        <v>57.470001000000003</v>
      </c>
      <c r="D1332">
        <v>56.07</v>
      </c>
      <c r="E1332">
        <v>56.709999000000003</v>
      </c>
      <c r="F1332">
        <v>49.627513999999998</v>
      </c>
      <c r="G1332">
        <v>30301900</v>
      </c>
      <c r="I1332">
        <f t="shared" si="21"/>
        <v>3.0776945205584295E-4</v>
      </c>
    </row>
    <row r="1333" spans="1:9" x14ac:dyDescent="0.3">
      <c r="A1333" s="5">
        <v>43572</v>
      </c>
      <c r="B1333">
        <v>58.439999</v>
      </c>
      <c r="C1333">
        <v>59.59</v>
      </c>
      <c r="D1333">
        <v>58.119999</v>
      </c>
      <c r="E1333">
        <v>58.560001</v>
      </c>
      <c r="F1333">
        <v>51.246479000000001</v>
      </c>
      <c r="G1333">
        <v>38788400</v>
      </c>
      <c r="I1333">
        <f t="shared" si="21"/>
        <v>3.8118830584124743E-4</v>
      </c>
    </row>
    <row r="1334" spans="1:9" x14ac:dyDescent="0.3">
      <c r="A1334" s="5">
        <v>43573</v>
      </c>
      <c r="B1334">
        <v>58.709999000000003</v>
      </c>
      <c r="C1334">
        <v>58.880001</v>
      </c>
      <c r="D1334">
        <v>58.119999</v>
      </c>
      <c r="E1334">
        <v>58.490001999999997</v>
      </c>
      <c r="F1334">
        <v>51.185218999999996</v>
      </c>
      <c r="G1334">
        <v>20464200</v>
      </c>
      <c r="I1334">
        <f t="shared" si="21"/>
        <v>8.3311701908915677E-5</v>
      </c>
    </row>
    <row r="1335" spans="1:9" x14ac:dyDescent="0.3">
      <c r="A1335" s="5">
        <v>43577</v>
      </c>
      <c r="B1335">
        <v>58.150002000000001</v>
      </c>
      <c r="C1335">
        <v>58.830002</v>
      </c>
      <c r="D1335">
        <v>57.880001</v>
      </c>
      <c r="E1335">
        <v>58.82</v>
      </c>
      <c r="F1335">
        <v>51.473995000000002</v>
      </c>
      <c r="G1335">
        <v>12327500</v>
      </c>
      <c r="I1335">
        <f t="shared" si="21"/>
        <v>7.6952688272622399E-5</v>
      </c>
    </row>
    <row r="1336" spans="1:9" x14ac:dyDescent="0.3">
      <c r="A1336" s="5">
        <v>43578</v>
      </c>
      <c r="B1336">
        <v>58.889999000000003</v>
      </c>
      <c r="C1336">
        <v>58.98</v>
      </c>
      <c r="D1336">
        <v>58.5</v>
      </c>
      <c r="E1336">
        <v>58.779998999999997</v>
      </c>
      <c r="F1336">
        <v>51.438999000000003</v>
      </c>
      <c r="G1336">
        <v>17739900</v>
      </c>
      <c r="I1336">
        <f t="shared" si="21"/>
        <v>3.6914148591833166E-5</v>
      </c>
    </row>
    <row r="1337" spans="1:9" x14ac:dyDescent="0.3">
      <c r="A1337" s="5">
        <v>43579</v>
      </c>
      <c r="B1337">
        <v>58.52</v>
      </c>
      <c r="C1337">
        <v>59.290000999999997</v>
      </c>
      <c r="D1337">
        <v>58.139999000000003</v>
      </c>
      <c r="E1337">
        <v>58.720001000000003</v>
      </c>
      <c r="F1337">
        <v>51.386490000000002</v>
      </c>
      <c r="G1337">
        <v>17723700</v>
      </c>
      <c r="I1337">
        <f t="shared" si="21"/>
        <v>1.9094834718047933E-4</v>
      </c>
    </row>
    <row r="1338" spans="1:9" x14ac:dyDescent="0.3">
      <c r="A1338" s="5">
        <v>43580</v>
      </c>
      <c r="B1338">
        <v>58.299999</v>
      </c>
      <c r="C1338">
        <v>58.380001</v>
      </c>
      <c r="D1338">
        <v>57.23</v>
      </c>
      <c r="E1338">
        <v>57.610000999999997</v>
      </c>
      <c r="F1338">
        <v>50.415115</v>
      </c>
      <c r="G1338">
        <v>27949900</v>
      </c>
      <c r="I1338">
        <f t="shared" si="21"/>
        <v>1.4079685764921326E-4</v>
      </c>
    </row>
    <row r="1339" spans="1:9" x14ac:dyDescent="0.3">
      <c r="A1339" s="5">
        <v>43581</v>
      </c>
      <c r="B1339">
        <v>52.740001999999997</v>
      </c>
      <c r="C1339">
        <v>53.09</v>
      </c>
      <c r="D1339">
        <v>51.52</v>
      </c>
      <c r="E1339">
        <v>52.43</v>
      </c>
      <c r="F1339">
        <v>45.882041999999998</v>
      </c>
      <c r="G1339">
        <v>72364500</v>
      </c>
      <c r="I1339">
        <f t="shared" si="21"/>
        <v>4.9252323054822312E-4</v>
      </c>
    </row>
    <row r="1340" spans="1:9" x14ac:dyDescent="0.3">
      <c r="A1340" s="5">
        <v>43584</v>
      </c>
      <c r="B1340">
        <v>52.169998</v>
      </c>
      <c r="C1340">
        <v>52.43</v>
      </c>
      <c r="D1340">
        <v>51</v>
      </c>
      <c r="E1340">
        <v>51.110000999999997</v>
      </c>
      <c r="F1340">
        <v>44.726897999999998</v>
      </c>
      <c r="G1340">
        <v>42142300</v>
      </c>
      <c r="I1340">
        <f t="shared" si="21"/>
        <v>1.7563329289597838E-4</v>
      </c>
    </row>
    <row r="1341" spans="1:9" x14ac:dyDescent="0.3">
      <c r="A1341" s="5">
        <v>43585</v>
      </c>
      <c r="B1341">
        <v>51</v>
      </c>
      <c r="C1341">
        <v>51.43</v>
      </c>
      <c r="D1341">
        <v>50.869999</v>
      </c>
      <c r="E1341">
        <v>51.040000999999997</v>
      </c>
      <c r="F1341">
        <v>44.665646000000002</v>
      </c>
      <c r="G1341">
        <v>27130900</v>
      </c>
      <c r="I1341">
        <f t="shared" si="21"/>
        <v>7.2425834331605904E-5</v>
      </c>
    </row>
    <row r="1342" spans="1:9" x14ac:dyDescent="0.3">
      <c r="A1342" s="5">
        <v>43586</v>
      </c>
      <c r="B1342">
        <v>51.099997999999999</v>
      </c>
      <c r="C1342">
        <v>51.599997999999999</v>
      </c>
      <c r="D1342">
        <v>50.740001999999997</v>
      </c>
      <c r="E1342">
        <v>50.759998000000003</v>
      </c>
      <c r="F1342">
        <v>44.420611999999998</v>
      </c>
      <c r="G1342">
        <v>20467600</v>
      </c>
      <c r="I1342">
        <f t="shared" si="21"/>
        <v>1.6260215522472234E-4</v>
      </c>
    </row>
    <row r="1343" spans="1:9" x14ac:dyDescent="0.3">
      <c r="A1343" s="5">
        <v>43587</v>
      </c>
      <c r="B1343">
        <v>50.799999</v>
      </c>
      <c r="C1343">
        <v>51.330002</v>
      </c>
      <c r="D1343">
        <v>50.119999</v>
      </c>
      <c r="E1343">
        <v>50.549999</v>
      </c>
      <c r="F1343">
        <v>44.236834999999999</v>
      </c>
      <c r="G1343">
        <v>22655400</v>
      </c>
      <c r="I1343">
        <f t="shared" si="21"/>
        <v>2.7405447067938124E-4</v>
      </c>
    </row>
    <row r="1344" spans="1:9" x14ac:dyDescent="0.3">
      <c r="A1344" s="5">
        <v>43588</v>
      </c>
      <c r="B1344">
        <v>51.080002</v>
      </c>
      <c r="C1344">
        <v>51.82</v>
      </c>
      <c r="D1344">
        <v>50.73</v>
      </c>
      <c r="E1344">
        <v>51.75</v>
      </c>
      <c r="F1344">
        <v>45.286963999999998</v>
      </c>
      <c r="G1344">
        <v>25656600</v>
      </c>
      <c r="I1344">
        <f t="shared" si="21"/>
        <v>1.5631506972940804E-4</v>
      </c>
    </row>
    <row r="1345" spans="1:9" x14ac:dyDescent="0.3">
      <c r="A1345" s="5">
        <v>43591</v>
      </c>
      <c r="B1345">
        <v>50.25</v>
      </c>
      <c r="C1345">
        <v>51.279998999999997</v>
      </c>
      <c r="D1345">
        <v>50.189999</v>
      </c>
      <c r="E1345">
        <v>51.220001000000003</v>
      </c>
      <c r="F1345">
        <v>45.097667999999999</v>
      </c>
      <c r="G1345">
        <v>26245200</v>
      </c>
      <c r="I1345">
        <f t="shared" si="21"/>
        <v>4.8024443223346452E-5</v>
      </c>
    </row>
    <row r="1346" spans="1:9" x14ac:dyDescent="0.3">
      <c r="A1346" s="5">
        <v>43592</v>
      </c>
      <c r="B1346">
        <v>50.599997999999999</v>
      </c>
      <c r="C1346">
        <v>50.880001</v>
      </c>
      <c r="D1346">
        <v>49.93</v>
      </c>
      <c r="E1346">
        <v>50.48</v>
      </c>
      <c r="F1346">
        <v>44.446125000000002</v>
      </c>
      <c r="G1346">
        <v>29713400</v>
      </c>
      <c r="I1346">
        <f t="shared" si="21"/>
        <v>1.895825926426438E-4</v>
      </c>
    </row>
    <row r="1347" spans="1:9" x14ac:dyDescent="0.3">
      <c r="A1347" s="5">
        <v>43593</v>
      </c>
      <c r="B1347">
        <v>50.200001</v>
      </c>
      <c r="C1347">
        <v>50.790000999999997</v>
      </c>
      <c r="D1347">
        <v>49.07</v>
      </c>
      <c r="E1347">
        <v>49.240001999999997</v>
      </c>
      <c r="F1347">
        <v>43.354336000000004</v>
      </c>
      <c r="G1347">
        <v>36812400</v>
      </c>
      <c r="I1347">
        <f t="shared" si="21"/>
        <v>4.4087846590965435E-4</v>
      </c>
    </row>
    <row r="1348" spans="1:9" x14ac:dyDescent="0.3">
      <c r="A1348" s="5">
        <v>43594</v>
      </c>
      <c r="B1348">
        <v>47.900002000000001</v>
      </c>
      <c r="C1348">
        <v>48.290000999999997</v>
      </c>
      <c r="D1348">
        <v>46.049999</v>
      </c>
      <c r="E1348">
        <v>46.619999</v>
      </c>
      <c r="F1348">
        <v>41.047500999999997</v>
      </c>
      <c r="G1348">
        <v>59642200</v>
      </c>
      <c r="I1348">
        <f t="shared" si="21"/>
        <v>7.6993831745583046E-4</v>
      </c>
    </row>
    <row r="1349" spans="1:9" x14ac:dyDescent="0.3">
      <c r="A1349" s="5">
        <v>43595</v>
      </c>
      <c r="B1349">
        <v>46.439999</v>
      </c>
      <c r="C1349">
        <v>46.799999</v>
      </c>
      <c r="D1349">
        <v>45.099997999999999</v>
      </c>
      <c r="E1349">
        <v>46.200001</v>
      </c>
      <c r="F1349">
        <v>40.677714999999999</v>
      </c>
      <c r="G1349">
        <v>42522800</v>
      </c>
      <c r="I1349">
        <f t="shared" si="21"/>
        <v>8.0519289041898966E-4</v>
      </c>
    </row>
    <row r="1350" spans="1:9" x14ac:dyDescent="0.3">
      <c r="A1350" s="5">
        <v>43598</v>
      </c>
      <c r="B1350">
        <v>45.330002</v>
      </c>
      <c r="C1350">
        <v>45.639999000000003</v>
      </c>
      <c r="D1350">
        <v>44.700001</v>
      </c>
      <c r="E1350">
        <v>44.759998000000003</v>
      </c>
      <c r="F1350">
        <v>39.409835999999999</v>
      </c>
      <c r="G1350">
        <v>39091900</v>
      </c>
      <c r="I1350">
        <f t="shared" si="21"/>
        <v>1.5146591857900945E-4</v>
      </c>
    </row>
    <row r="1351" spans="1:9" x14ac:dyDescent="0.3">
      <c r="A1351" s="5">
        <v>43599</v>
      </c>
      <c r="B1351">
        <v>45.18</v>
      </c>
      <c r="C1351">
        <v>45.490001999999997</v>
      </c>
      <c r="D1351">
        <v>44.869999</v>
      </c>
      <c r="E1351">
        <v>45.169998</v>
      </c>
      <c r="F1351">
        <v>39.770823999999998</v>
      </c>
      <c r="G1351">
        <v>24706500</v>
      </c>
      <c r="I1351">
        <f t="shared" si="21"/>
        <v>9.415335604503569E-5</v>
      </c>
    </row>
    <row r="1352" spans="1:9" x14ac:dyDescent="0.3">
      <c r="A1352" s="5">
        <v>43600</v>
      </c>
      <c r="B1352">
        <v>44.919998</v>
      </c>
      <c r="C1352">
        <v>45.75</v>
      </c>
      <c r="D1352">
        <v>44.759998000000003</v>
      </c>
      <c r="E1352">
        <v>45.619999</v>
      </c>
      <c r="F1352">
        <v>40.167037999999998</v>
      </c>
      <c r="G1352">
        <v>23407900</v>
      </c>
      <c r="I1352">
        <f t="shared" si="21"/>
        <v>1.2000776769940347E-4</v>
      </c>
    </row>
    <row r="1353" spans="1:9" x14ac:dyDescent="0.3">
      <c r="A1353" s="5">
        <v>43601</v>
      </c>
      <c r="B1353">
        <v>45.470001000000003</v>
      </c>
      <c r="C1353">
        <v>45.950001</v>
      </c>
      <c r="D1353">
        <v>45.419998</v>
      </c>
      <c r="E1353">
        <v>45.529998999999997</v>
      </c>
      <c r="F1353">
        <v>40.087791000000003</v>
      </c>
      <c r="G1353">
        <v>19954700</v>
      </c>
      <c r="I1353">
        <f t="shared" si="21"/>
        <v>9.9087124277521876E-5</v>
      </c>
    </row>
    <row r="1354" spans="1:9" x14ac:dyDescent="0.3">
      <c r="A1354" s="5">
        <v>43602</v>
      </c>
      <c r="B1354">
        <v>45.18</v>
      </c>
      <c r="C1354">
        <v>45.73</v>
      </c>
      <c r="D1354">
        <v>44.759998000000003</v>
      </c>
      <c r="E1354">
        <v>44.889999000000003</v>
      </c>
      <c r="F1354">
        <v>39.524281000000002</v>
      </c>
      <c r="G1354">
        <v>22500400</v>
      </c>
      <c r="I1354">
        <f t="shared" si="21"/>
        <v>2.5141537080669525E-4</v>
      </c>
    </row>
    <row r="1355" spans="1:9" x14ac:dyDescent="0.3">
      <c r="A1355" s="5">
        <v>43605</v>
      </c>
      <c r="B1355">
        <v>44</v>
      </c>
      <c r="C1355">
        <v>44.52</v>
      </c>
      <c r="D1355">
        <v>43.450001</v>
      </c>
      <c r="E1355">
        <v>43.560001</v>
      </c>
      <c r="F1355">
        <v>38.353274999999996</v>
      </c>
      <c r="G1355">
        <v>28675000</v>
      </c>
      <c r="I1355">
        <f t="shared" si="21"/>
        <v>2.8792123750201963E-4</v>
      </c>
    </row>
    <row r="1356" spans="1:9" x14ac:dyDescent="0.3">
      <c r="A1356" s="5">
        <v>43606</v>
      </c>
      <c r="B1356">
        <v>44.34</v>
      </c>
      <c r="C1356">
        <v>44.779998999999997</v>
      </c>
      <c r="D1356">
        <v>44.18</v>
      </c>
      <c r="E1356">
        <v>44.459999000000003</v>
      </c>
      <c r="F1356">
        <v>39.145690999999999</v>
      </c>
      <c r="G1356">
        <v>25543400</v>
      </c>
      <c r="I1356">
        <f t="shared" ref="I1356:I1419" si="22">LN(C1356/B1356)*(LN(C1356/B1356)-LN(E1356/B1356))+LN(D1356/B1356)*(LN(D1356/B1356)-LN(E1356/B1356))</f>
        <v>9.3654633457075756E-5</v>
      </c>
    </row>
    <row r="1357" spans="1:9" x14ac:dyDescent="0.3">
      <c r="A1357" s="5">
        <v>43607</v>
      </c>
      <c r="B1357">
        <v>44.150002000000001</v>
      </c>
      <c r="C1357">
        <v>44.459999000000003</v>
      </c>
      <c r="D1357">
        <v>43.849997999999999</v>
      </c>
      <c r="E1357">
        <v>44</v>
      </c>
      <c r="F1357">
        <v>38.740668999999997</v>
      </c>
      <c r="G1357">
        <v>16932500</v>
      </c>
      <c r="I1357">
        <f t="shared" si="22"/>
        <v>9.6053890196853335E-5</v>
      </c>
    </row>
    <row r="1358" spans="1:9" x14ac:dyDescent="0.3">
      <c r="A1358" s="5">
        <v>43608</v>
      </c>
      <c r="B1358">
        <v>43.369999</v>
      </c>
      <c r="C1358">
        <v>44.740001999999997</v>
      </c>
      <c r="D1358">
        <v>42.860000999999997</v>
      </c>
      <c r="E1358">
        <v>44.529998999999997</v>
      </c>
      <c r="F1358">
        <v>39.207332999999998</v>
      </c>
      <c r="G1358">
        <v>35783900</v>
      </c>
      <c r="I1358">
        <f t="shared" si="22"/>
        <v>5.9847250110588212E-4</v>
      </c>
    </row>
    <row r="1359" spans="1:9" x14ac:dyDescent="0.3">
      <c r="A1359" s="5">
        <v>43609</v>
      </c>
      <c r="B1359">
        <v>44.59</v>
      </c>
      <c r="C1359">
        <v>45.049999</v>
      </c>
      <c r="D1359">
        <v>44.490001999999997</v>
      </c>
      <c r="E1359">
        <v>44.57</v>
      </c>
      <c r="F1359">
        <v>39.242542</v>
      </c>
      <c r="G1359">
        <v>27168100</v>
      </c>
      <c r="I1359">
        <f t="shared" si="22"/>
        <v>1.1397404261173251E-4</v>
      </c>
    </row>
    <row r="1360" spans="1:9" x14ac:dyDescent="0.3">
      <c r="A1360" s="5">
        <v>43613</v>
      </c>
      <c r="B1360">
        <v>44.66</v>
      </c>
      <c r="C1360">
        <v>44.689999</v>
      </c>
      <c r="D1360">
        <v>43.299999</v>
      </c>
      <c r="E1360">
        <v>43.57</v>
      </c>
      <c r="F1360">
        <v>38.362068000000001</v>
      </c>
      <c r="G1360">
        <v>34779900</v>
      </c>
      <c r="I1360">
        <f t="shared" si="22"/>
        <v>2.0928392809729067E-4</v>
      </c>
    </row>
    <row r="1361" spans="1:9" x14ac:dyDescent="0.3">
      <c r="A1361" s="5">
        <v>43614</v>
      </c>
      <c r="B1361">
        <v>43.349997999999999</v>
      </c>
      <c r="C1361">
        <v>44.529998999999997</v>
      </c>
      <c r="D1361">
        <v>43.330002</v>
      </c>
      <c r="E1361">
        <v>44.23</v>
      </c>
      <c r="F1361">
        <v>38.943184000000002</v>
      </c>
      <c r="G1361">
        <v>28450300</v>
      </c>
      <c r="I1361">
        <f t="shared" si="22"/>
        <v>1.9102925143526644E-4</v>
      </c>
    </row>
    <row r="1362" spans="1:9" x14ac:dyDescent="0.3">
      <c r="A1362" s="5">
        <v>43615</v>
      </c>
      <c r="B1362">
        <v>44.299999</v>
      </c>
      <c r="C1362">
        <v>45.029998999999997</v>
      </c>
      <c r="D1362">
        <v>44.23</v>
      </c>
      <c r="E1362">
        <v>44.73</v>
      </c>
      <c r="F1362">
        <v>39.383423000000001</v>
      </c>
      <c r="G1362">
        <v>21618900</v>
      </c>
      <c r="I1362">
        <f t="shared" si="22"/>
        <v>1.2702939838105974E-4</v>
      </c>
    </row>
    <row r="1363" spans="1:9" x14ac:dyDescent="0.3">
      <c r="A1363" s="5">
        <v>43616</v>
      </c>
      <c r="B1363">
        <v>44.18</v>
      </c>
      <c r="C1363">
        <v>44.970001000000003</v>
      </c>
      <c r="D1363">
        <v>43.93</v>
      </c>
      <c r="E1363">
        <v>44.040000999999997</v>
      </c>
      <c r="F1363">
        <v>38.775894000000001</v>
      </c>
      <c r="G1363">
        <v>25532500</v>
      </c>
      <c r="I1363">
        <f t="shared" si="22"/>
        <v>3.8456334961418671E-4</v>
      </c>
    </row>
    <row r="1364" spans="1:9" x14ac:dyDescent="0.3">
      <c r="A1364" s="5">
        <v>43619</v>
      </c>
      <c r="B1364">
        <v>44.25</v>
      </c>
      <c r="C1364">
        <v>44.59</v>
      </c>
      <c r="D1364">
        <v>43.200001</v>
      </c>
      <c r="E1364">
        <v>43.459999000000003</v>
      </c>
      <c r="F1364">
        <v>38.265220999999997</v>
      </c>
      <c r="G1364">
        <v>31155700</v>
      </c>
      <c r="I1364">
        <f t="shared" si="22"/>
        <v>3.4057384762875732E-4</v>
      </c>
    </row>
    <row r="1365" spans="1:9" x14ac:dyDescent="0.3">
      <c r="A1365" s="5">
        <v>43620</v>
      </c>
      <c r="B1365">
        <v>44.16</v>
      </c>
      <c r="C1365">
        <v>44.860000999999997</v>
      </c>
      <c r="D1365">
        <v>43.77</v>
      </c>
      <c r="E1365">
        <v>44.790000999999997</v>
      </c>
      <c r="F1365">
        <v>39.436241000000003</v>
      </c>
      <c r="G1365">
        <v>28094900</v>
      </c>
      <c r="I1365">
        <f t="shared" si="22"/>
        <v>2.2890899172681395E-4</v>
      </c>
    </row>
    <row r="1366" spans="1:9" x14ac:dyDescent="0.3">
      <c r="A1366" s="5">
        <v>43621</v>
      </c>
      <c r="B1366">
        <v>45.110000999999997</v>
      </c>
      <c r="C1366">
        <v>45.18</v>
      </c>
      <c r="D1366">
        <v>44.189999</v>
      </c>
      <c r="E1366">
        <v>44.549999</v>
      </c>
      <c r="F1366">
        <v>39.224921999999999</v>
      </c>
      <c r="G1366">
        <v>20802000</v>
      </c>
      <c r="I1366">
        <f t="shared" si="22"/>
        <v>1.8895855453539029E-4</v>
      </c>
    </row>
    <row r="1367" spans="1:9" x14ac:dyDescent="0.3">
      <c r="A1367" s="5">
        <v>43622</v>
      </c>
      <c r="B1367">
        <v>44.75</v>
      </c>
      <c r="C1367">
        <v>45.169998</v>
      </c>
      <c r="D1367">
        <v>44.509998000000003</v>
      </c>
      <c r="E1367">
        <v>45.099997999999999</v>
      </c>
      <c r="F1367">
        <v>39.70919</v>
      </c>
      <c r="G1367">
        <v>19076200</v>
      </c>
      <c r="I1367">
        <f t="shared" si="22"/>
        <v>8.5302293552821663E-5</v>
      </c>
    </row>
    <row r="1368" spans="1:9" x14ac:dyDescent="0.3">
      <c r="A1368" s="5">
        <v>43623</v>
      </c>
      <c r="B1368">
        <v>45.25</v>
      </c>
      <c r="C1368">
        <v>46.119999</v>
      </c>
      <c r="D1368">
        <v>45.099997999999999</v>
      </c>
      <c r="E1368">
        <v>46.029998999999997</v>
      </c>
      <c r="F1368">
        <v>40.528030000000001</v>
      </c>
      <c r="G1368">
        <v>24370300</v>
      </c>
      <c r="I1368">
        <f t="shared" si="22"/>
        <v>1.0497388525443E-4</v>
      </c>
    </row>
    <row r="1369" spans="1:9" x14ac:dyDescent="0.3">
      <c r="A1369" s="5">
        <v>43626</v>
      </c>
      <c r="B1369">
        <v>46.23</v>
      </c>
      <c r="C1369">
        <v>47.189999</v>
      </c>
      <c r="D1369">
        <v>46.200001</v>
      </c>
      <c r="E1369">
        <v>46.799999</v>
      </c>
      <c r="F1369">
        <v>41.20599</v>
      </c>
      <c r="G1369">
        <v>20806100</v>
      </c>
      <c r="I1369">
        <f t="shared" si="22"/>
        <v>1.7894149203687655E-4</v>
      </c>
    </row>
    <row r="1370" spans="1:9" x14ac:dyDescent="0.3">
      <c r="A1370" s="5">
        <v>43627</v>
      </c>
      <c r="B1370">
        <v>47.259998000000003</v>
      </c>
      <c r="C1370">
        <v>47.32</v>
      </c>
      <c r="D1370">
        <v>46.52</v>
      </c>
      <c r="E1370">
        <v>46.849997999999999</v>
      </c>
      <c r="F1370">
        <v>41.250019000000002</v>
      </c>
      <c r="G1370">
        <v>18415500</v>
      </c>
      <c r="I1370">
        <f t="shared" si="22"/>
        <v>1.2422190703716008E-4</v>
      </c>
    </row>
    <row r="1371" spans="1:9" x14ac:dyDescent="0.3">
      <c r="A1371" s="5">
        <v>43628</v>
      </c>
      <c r="B1371">
        <v>46.669998</v>
      </c>
      <c r="C1371">
        <v>46.669998</v>
      </c>
      <c r="D1371">
        <v>46.25</v>
      </c>
      <c r="E1371">
        <v>46.32</v>
      </c>
      <c r="F1371">
        <v>40.783366999999998</v>
      </c>
      <c r="G1371">
        <v>15900600</v>
      </c>
      <c r="I1371">
        <f t="shared" si="22"/>
        <v>1.3671898910232652E-5</v>
      </c>
    </row>
    <row r="1372" spans="1:9" x14ac:dyDescent="0.3">
      <c r="A1372" s="5">
        <v>43629</v>
      </c>
      <c r="B1372">
        <v>46.599997999999999</v>
      </c>
      <c r="C1372">
        <v>46.959999000000003</v>
      </c>
      <c r="D1372">
        <v>46.529998999999997</v>
      </c>
      <c r="E1372">
        <v>46.700001</v>
      </c>
      <c r="F1372">
        <v>41.117942999999997</v>
      </c>
      <c r="G1372">
        <v>12267600</v>
      </c>
      <c r="I1372">
        <f t="shared" si="22"/>
        <v>4.8208316150780966E-5</v>
      </c>
    </row>
    <row r="1373" spans="1:9" x14ac:dyDescent="0.3">
      <c r="A1373" s="5">
        <v>43630</v>
      </c>
      <c r="B1373">
        <v>45.830002</v>
      </c>
      <c r="C1373">
        <v>46.419998</v>
      </c>
      <c r="D1373">
        <v>45.549999</v>
      </c>
      <c r="E1373">
        <v>46.189999</v>
      </c>
      <c r="F1373">
        <v>40.668903</v>
      </c>
      <c r="G1373">
        <v>15381100</v>
      </c>
      <c r="I1373">
        <f t="shared" si="22"/>
        <v>1.4904256601133015E-4</v>
      </c>
    </row>
    <row r="1374" spans="1:9" x14ac:dyDescent="0.3">
      <c r="A1374" s="5">
        <v>43633</v>
      </c>
      <c r="B1374">
        <v>46.139999000000003</v>
      </c>
      <c r="C1374">
        <v>46.529998999999997</v>
      </c>
      <c r="D1374">
        <v>45.799999</v>
      </c>
      <c r="E1374">
        <v>46.130001</v>
      </c>
      <c r="F1374">
        <v>40.616076999999997</v>
      </c>
      <c r="G1374">
        <v>12643300</v>
      </c>
      <c r="I1374">
        <f t="shared" si="22"/>
        <v>1.257705525307644E-4</v>
      </c>
    </row>
    <row r="1375" spans="1:9" x14ac:dyDescent="0.3">
      <c r="A1375" s="5">
        <v>43634</v>
      </c>
      <c r="B1375">
        <v>46.75</v>
      </c>
      <c r="C1375">
        <v>48</v>
      </c>
      <c r="D1375">
        <v>46.599997999999999</v>
      </c>
      <c r="E1375">
        <v>47.369999</v>
      </c>
      <c r="F1375">
        <v>41.707867</v>
      </c>
      <c r="G1375">
        <v>25732300</v>
      </c>
      <c r="I1375">
        <f t="shared" si="22"/>
        <v>4.0128854749821893E-4</v>
      </c>
    </row>
    <row r="1376" spans="1:9" x14ac:dyDescent="0.3">
      <c r="A1376" s="5">
        <v>43635</v>
      </c>
      <c r="B1376">
        <v>47.48</v>
      </c>
      <c r="C1376">
        <v>47.580002</v>
      </c>
      <c r="D1376">
        <v>47</v>
      </c>
      <c r="E1376">
        <v>47.07</v>
      </c>
      <c r="F1376">
        <v>41.443725999999998</v>
      </c>
      <c r="G1376">
        <v>17436400</v>
      </c>
      <c r="I1376">
        <f t="shared" si="22"/>
        <v>3.7796011151345372E-5</v>
      </c>
    </row>
    <row r="1377" spans="1:9" x14ac:dyDescent="0.3">
      <c r="A1377" s="5">
        <v>43636</v>
      </c>
      <c r="B1377">
        <v>47.869999</v>
      </c>
      <c r="C1377">
        <v>48.049999</v>
      </c>
      <c r="D1377">
        <v>46.869999</v>
      </c>
      <c r="E1377">
        <v>47.189999</v>
      </c>
      <c r="F1377">
        <v>41.549374</v>
      </c>
      <c r="G1377">
        <v>20126800</v>
      </c>
      <c r="I1377">
        <f t="shared" si="22"/>
        <v>2.1142669794420435E-4</v>
      </c>
    </row>
    <row r="1378" spans="1:9" x14ac:dyDescent="0.3">
      <c r="A1378" s="5">
        <v>43637</v>
      </c>
      <c r="B1378">
        <v>46.950001</v>
      </c>
      <c r="C1378">
        <v>47.73</v>
      </c>
      <c r="D1378">
        <v>46.799999</v>
      </c>
      <c r="E1378">
        <v>47.459999000000003</v>
      </c>
      <c r="F1378">
        <v>41.787098</v>
      </c>
      <c r="G1378">
        <v>31096300</v>
      </c>
      <c r="I1378">
        <f t="shared" si="22"/>
        <v>1.3828543743834107E-4</v>
      </c>
    </row>
    <row r="1379" spans="1:9" x14ac:dyDescent="0.3">
      <c r="A1379" s="5">
        <v>43640</v>
      </c>
      <c r="B1379">
        <v>47.400002000000001</v>
      </c>
      <c r="C1379">
        <v>47.849997999999999</v>
      </c>
      <c r="D1379">
        <v>47.169998</v>
      </c>
      <c r="E1379">
        <v>47.630001</v>
      </c>
      <c r="F1379">
        <v>41.936782999999998</v>
      </c>
      <c r="G1379">
        <v>14479900</v>
      </c>
      <c r="I1379">
        <f t="shared" si="22"/>
        <v>9.0748515455448499E-5</v>
      </c>
    </row>
    <row r="1380" spans="1:9" x14ac:dyDescent="0.3">
      <c r="A1380" s="5">
        <v>43641</v>
      </c>
      <c r="B1380">
        <v>47.560001</v>
      </c>
      <c r="C1380">
        <v>47.68</v>
      </c>
      <c r="D1380">
        <v>46.799999</v>
      </c>
      <c r="E1380">
        <v>46.849997999999999</v>
      </c>
      <c r="F1380">
        <v>41.250019000000002</v>
      </c>
      <c r="G1380">
        <v>16665600</v>
      </c>
      <c r="I1380">
        <f t="shared" si="22"/>
        <v>6.145347696473993E-5</v>
      </c>
    </row>
    <row r="1381" spans="1:9" x14ac:dyDescent="0.3">
      <c r="A1381" s="5">
        <v>43642</v>
      </c>
      <c r="B1381">
        <v>47.650002000000001</v>
      </c>
      <c r="C1381">
        <v>48.48</v>
      </c>
      <c r="D1381">
        <v>47.560001</v>
      </c>
      <c r="E1381">
        <v>48.189999</v>
      </c>
      <c r="F1381">
        <v>42.429836000000002</v>
      </c>
      <c r="G1381">
        <v>21886300</v>
      </c>
      <c r="I1381">
        <f t="shared" si="22"/>
        <v>1.2848803505767639E-4</v>
      </c>
    </row>
    <row r="1382" spans="1:9" x14ac:dyDescent="0.3">
      <c r="A1382" s="5">
        <v>43643</v>
      </c>
      <c r="B1382">
        <v>48.150002000000001</v>
      </c>
      <c r="C1382">
        <v>48.419998</v>
      </c>
      <c r="D1382">
        <v>47.240001999999997</v>
      </c>
      <c r="E1382">
        <v>47.459999000000003</v>
      </c>
      <c r="F1382">
        <v>41.787098</v>
      </c>
      <c r="G1382">
        <v>23062900</v>
      </c>
      <c r="I1382">
        <f t="shared" si="22"/>
        <v>2.0062830933639082E-4</v>
      </c>
    </row>
    <row r="1383" spans="1:9" x14ac:dyDescent="0.3">
      <c r="A1383" s="5">
        <v>43644</v>
      </c>
      <c r="B1383">
        <v>47.77</v>
      </c>
      <c r="C1383">
        <v>48.200001</v>
      </c>
      <c r="D1383">
        <v>47.68</v>
      </c>
      <c r="E1383">
        <v>47.869999</v>
      </c>
      <c r="F1383">
        <v>42.148097999999997</v>
      </c>
      <c r="G1383">
        <v>26646200</v>
      </c>
      <c r="I1383">
        <f t="shared" si="22"/>
        <v>6.9063843422275E-5</v>
      </c>
    </row>
    <row r="1384" spans="1:9" x14ac:dyDescent="0.3">
      <c r="A1384" s="5">
        <v>43647</v>
      </c>
      <c r="B1384">
        <v>49.290000999999997</v>
      </c>
      <c r="C1384">
        <v>49.450001</v>
      </c>
      <c r="D1384">
        <v>47.75</v>
      </c>
      <c r="E1384">
        <v>48.049999</v>
      </c>
      <c r="F1384">
        <v>42.306590999999997</v>
      </c>
      <c r="G1384">
        <v>27423300</v>
      </c>
      <c r="I1384">
        <f t="shared" si="22"/>
        <v>2.9187947881678379E-4</v>
      </c>
    </row>
    <row r="1385" spans="1:9" x14ac:dyDescent="0.3">
      <c r="A1385" s="5">
        <v>43648</v>
      </c>
      <c r="B1385">
        <v>47.91</v>
      </c>
      <c r="C1385">
        <v>48.220001000000003</v>
      </c>
      <c r="D1385">
        <v>47.689999</v>
      </c>
      <c r="E1385">
        <v>48.119999</v>
      </c>
      <c r="F1385">
        <v>42.368209999999998</v>
      </c>
      <c r="G1385">
        <v>15381600</v>
      </c>
      <c r="I1385">
        <f t="shared" si="22"/>
        <v>5.4702734206114761E-5</v>
      </c>
    </row>
    <row r="1386" spans="1:9" x14ac:dyDescent="0.3">
      <c r="A1386" s="5">
        <v>43649</v>
      </c>
      <c r="B1386">
        <v>48.18</v>
      </c>
      <c r="C1386">
        <v>48.560001</v>
      </c>
      <c r="D1386">
        <v>48</v>
      </c>
      <c r="E1386">
        <v>48.52</v>
      </c>
      <c r="F1386">
        <v>42.720405999999997</v>
      </c>
      <c r="G1386">
        <v>10739100</v>
      </c>
      <c r="I1386">
        <f t="shared" si="22"/>
        <v>4.6805089402266274E-5</v>
      </c>
    </row>
    <row r="1387" spans="1:9" x14ac:dyDescent="0.3">
      <c r="A1387" s="5">
        <v>43651</v>
      </c>
      <c r="B1387">
        <v>48.029998999999997</v>
      </c>
      <c r="C1387">
        <v>48.18</v>
      </c>
      <c r="D1387">
        <v>47.439999</v>
      </c>
      <c r="E1387">
        <v>48.080002</v>
      </c>
      <c r="F1387">
        <v>42.332988999999998</v>
      </c>
      <c r="G1387">
        <v>14339200</v>
      </c>
      <c r="I1387">
        <f t="shared" si="22"/>
        <v>1.7211079563647836E-4</v>
      </c>
    </row>
    <row r="1388" spans="1:9" x14ac:dyDescent="0.3">
      <c r="A1388" s="5">
        <v>43654</v>
      </c>
      <c r="B1388">
        <v>47.619999</v>
      </c>
      <c r="C1388">
        <v>47.950001</v>
      </c>
      <c r="D1388">
        <v>47.07</v>
      </c>
      <c r="E1388">
        <v>47.82</v>
      </c>
      <c r="F1388">
        <v>42.104069000000003</v>
      </c>
      <c r="G1388">
        <v>16564300</v>
      </c>
      <c r="I1388">
        <f t="shared" si="22"/>
        <v>2.023910456885734E-4</v>
      </c>
    </row>
    <row r="1389" spans="1:9" x14ac:dyDescent="0.3">
      <c r="A1389" s="5">
        <v>43655</v>
      </c>
      <c r="B1389">
        <v>47.360000999999997</v>
      </c>
      <c r="C1389">
        <v>47.799999</v>
      </c>
      <c r="D1389">
        <v>47.130001</v>
      </c>
      <c r="E1389">
        <v>47.75</v>
      </c>
      <c r="F1389">
        <v>42.042434999999998</v>
      </c>
      <c r="G1389">
        <v>17853200</v>
      </c>
      <c r="I1389">
        <f t="shared" si="22"/>
        <v>7.3302735158850432E-5</v>
      </c>
    </row>
    <row r="1390" spans="1:9" x14ac:dyDescent="0.3">
      <c r="A1390" s="5">
        <v>43656</v>
      </c>
      <c r="B1390">
        <v>47.919998</v>
      </c>
      <c r="C1390">
        <v>48.610000999999997</v>
      </c>
      <c r="D1390">
        <v>47.900002000000001</v>
      </c>
      <c r="E1390">
        <v>48.209999000000003</v>
      </c>
      <c r="F1390">
        <v>42.447453000000003</v>
      </c>
      <c r="G1390">
        <v>16032300</v>
      </c>
      <c r="I1390">
        <f t="shared" si="22"/>
        <v>1.2082113971695517E-4</v>
      </c>
    </row>
    <row r="1391" spans="1:9" x14ac:dyDescent="0.3">
      <c r="A1391" s="5">
        <v>43657</v>
      </c>
      <c r="B1391">
        <v>48.560001</v>
      </c>
      <c r="C1391">
        <v>48.779998999999997</v>
      </c>
      <c r="D1391">
        <v>48.310001</v>
      </c>
      <c r="E1391">
        <v>48.599997999999999</v>
      </c>
      <c r="F1391">
        <v>42.790832999999999</v>
      </c>
      <c r="G1391">
        <v>16615100</v>
      </c>
      <c r="I1391">
        <f t="shared" si="22"/>
        <v>4.760208639848618E-5</v>
      </c>
    </row>
    <row r="1392" spans="1:9" x14ac:dyDescent="0.3">
      <c r="A1392" s="5">
        <v>43658</v>
      </c>
      <c r="B1392">
        <v>49</v>
      </c>
      <c r="C1392">
        <v>49.93</v>
      </c>
      <c r="D1392">
        <v>48.810001</v>
      </c>
      <c r="E1392">
        <v>49.919998</v>
      </c>
      <c r="F1392">
        <v>43.953052999999997</v>
      </c>
      <c r="G1392">
        <v>20148700</v>
      </c>
      <c r="I1392">
        <f t="shared" si="22"/>
        <v>9.1128142706934186E-5</v>
      </c>
    </row>
    <row r="1393" spans="1:9" x14ac:dyDescent="0.3">
      <c r="A1393" s="5">
        <v>43661</v>
      </c>
      <c r="B1393">
        <v>50</v>
      </c>
      <c r="C1393">
        <v>50.25</v>
      </c>
      <c r="D1393">
        <v>49.77</v>
      </c>
      <c r="E1393">
        <v>50.119999</v>
      </c>
      <c r="F1393">
        <v>44.129154</v>
      </c>
      <c r="G1393">
        <v>14345100</v>
      </c>
      <c r="I1393">
        <f t="shared" si="22"/>
        <v>4.5229780335496127E-5</v>
      </c>
    </row>
    <row r="1394" spans="1:9" x14ac:dyDescent="0.3">
      <c r="A1394" s="5">
        <v>43662</v>
      </c>
      <c r="B1394">
        <v>49.91</v>
      </c>
      <c r="C1394">
        <v>50</v>
      </c>
      <c r="D1394">
        <v>48.959999000000003</v>
      </c>
      <c r="E1394">
        <v>49.169998</v>
      </c>
      <c r="F1394">
        <v>43.292706000000003</v>
      </c>
      <c r="G1394">
        <v>17131400</v>
      </c>
      <c r="I1394">
        <f t="shared" si="22"/>
        <v>1.1241048540562733E-4</v>
      </c>
    </row>
    <row r="1395" spans="1:9" x14ac:dyDescent="0.3">
      <c r="A1395" s="5">
        <v>43663</v>
      </c>
      <c r="B1395">
        <v>49.5</v>
      </c>
      <c r="C1395">
        <v>49.700001</v>
      </c>
      <c r="D1395">
        <v>49.240001999999997</v>
      </c>
      <c r="E1395">
        <v>49.389999000000003</v>
      </c>
      <c r="F1395">
        <v>43.486404</v>
      </c>
      <c r="G1395">
        <v>11928600</v>
      </c>
      <c r="I1395">
        <f t="shared" si="22"/>
        <v>4.1248121733179237E-5</v>
      </c>
    </row>
    <row r="1396" spans="1:9" x14ac:dyDescent="0.3">
      <c r="A1396" s="5">
        <v>43664</v>
      </c>
      <c r="B1396">
        <v>49.279998999999997</v>
      </c>
      <c r="C1396">
        <v>49.990001999999997</v>
      </c>
      <c r="D1396">
        <v>48.889999000000003</v>
      </c>
      <c r="E1396">
        <v>49.939999</v>
      </c>
      <c r="F1396">
        <v>43.970661</v>
      </c>
      <c r="G1396">
        <v>15671600</v>
      </c>
      <c r="I1396">
        <f t="shared" si="22"/>
        <v>1.8315156797607757E-4</v>
      </c>
    </row>
    <row r="1397" spans="1:9" x14ac:dyDescent="0.3">
      <c r="A1397" s="5">
        <v>43665</v>
      </c>
      <c r="B1397">
        <v>49.959999000000003</v>
      </c>
      <c r="C1397">
        <v>50.66</v>
      </c>
      <c r="D1397">
        <v>49.91</v>
      </c>
      <c r="E1397">
        <v>50.27</v>
      </c>
      <c r="F1397">
        <v>44.261223000000001</v>
      </c>
      <c r="G1397">
        <v>29141100</v>
      </c>
      <c r="I1397">
        <f t="shared" si="22"/>
        <v>1.147258604431713E-4</v>
      </c>
    </row>
    <row r="1398" spans="1:9" x14ac:dyDescent="0.3">
      <c r="A1398" s="5">
        <v>43668</v>
      </c>
      <c r="B1398">
        <v>50.009998000000003</v>
      </c>
      <c r="C1398">
        <v>51.52</v>
      </c>
      <c r="D1398">
        <v>49.889999000000003</v>
      </c>
      <c r="E1398">
        <v>51.349997999999999</v>
      </c>
      <c r="F1398">
        <v>45.212124000000003</v>
      </c>
      <c r="G1398">
        <v>21688000</v>
      </c>
      <c r="I1398">
        <f t="shared" si="22"/>
        <v>1.6761492921737266E-4</v>
      </c>
    </row>
    <row r="1399" spans="1:9" x14ac:dyDescent="0.3">
      <c r="A1399" s="5">
        <v>43669</v>
      </c>
      <c r="B1399">
        <v>52</v>
      </c>
      <c r="C1399">
        <v>52</v>
      </c>
      <c r="D1399">
        <v>51.299999</v>
      </c>
      <c r="E1399">
        <v>51.75</v>
      </c>
      <c r="F1399">
        <v>45.564320000000002</v>
      </c>
      <c r="G1399">
        <v>18413500</v>
      </c>
      <c r="I1399">
        <f t="shared" si="22"/>
        <v>1.1836770564389943E-4</v>
      </c>
    </row>
    <row r="1400" spans="1:9" x14ac:dyDescent="0.3">
      <c r="A1400" s="5">
        <v>43670</v>
      </c>
      <c r="B1400">
        <v>51.98</v>
      </c>
      <c r="C1400">
        <v>52.970001000000003</v>
      </c>
      <c r="D1400">
        <v>51.799999</v>
      </c>
      <c r="E1400">
        <v>52.919998</v>
      </c>
      <c r="F1400">
        <v>46.594470999999999</v>
      </c>
      <c r="G1400">
        <v>20896400</v>
      </c>
      <c r="I1400">
        <f t="shared" si="22"/>
        <v>9.2022157470512522E-5</v>
      </c>
    </row>
    <row r="1401" spans="1:9" x14ac:dyDescent="0.3">
      <c r="A1401" s="5">
        <v>43671</v>
      </c>
      <c r="B1401">
        <v>52.509998000000003</v>
      </c>
      <c r="C1401">
        <v>52.599997999999999</v>
      </c>
      <c r="D1401">
        <v>51.880001</v>
      </c>
      <c r="E1401">
        <v>52.16</v>
      </c>
      <c r="F1401">
        <v>45.925308000000001</v>
      </c>
      <c r="G1401">
        <v>27765400</v>
      </c>
      <c r="I1401">
        <f t="shared" si="22"/>
        <v>7.9353594467102955E-5</v>
      </c>
    </row>
    <row r="1402" spans="1:9" x14ac:dyDescent="0.3">
      <c r="A1402" s="5">
        <v>43672</v>
      </c>
      <c r="B1402">
        <v>52.689999</v>
      </c>
      <c r="C1402">
        <v>53.5</v>
      </c>
      <c r="D1402">
        <v>51.529998999999997</v>
      </c>
      <c r="E1402">
        <v>51.59</v>
      </c>
      <c r="F1402">
        <v>45.423442999999999</v>
      </c>
      <c r="G1402">
        <v>36401500</v>
      </c>
      <c r="I1402">
        <f t="shared" si="22"/>
        <v>5.8051914770121242E-4</v>
      </c>
    </row>
    <row r="1403" spans="1:9" x14ac:dyDescent="0.3">
      <c r="A1403" s="5">
        <v>43675</v>
      </c>
      <c r="B1403">
        <v>51.529998999999997</v>
      </c>
      <c r="C1403">
        <v>52.560001</v>
      </c>
      <c r="D1403">
        <v>50.779998999999997</v>
      </c>
      <c r="E1403">
        <v>52.509998000000003</v>
      </c>
      <c r="F1403">
        <v>46.233482000000002</v>
      </c>
      <c r="G1403">
        <v>21897500</v>
      </c>
      <c r="I1403">
        <f t="shared" si="22"/>
        <v>5.1001567188353877E-4</v>
      </c>
    </row>
    <row r="1404" spans="1:9" x14ac:dyDescent="0.3">
      <c r="A1404" s="5">
        <v>43676</v>
      </c>
      <c r="B1404">
        <v>51.709999000000003</v>
      </c>
      <c r="C1404">
        <v>52.310001</v>
      </c>
      <c r="D1404">
        <v>51.560001</v>
      </c>
      <c r="E1404">
        <v>51.700001</v>
      </c>
      <c r="F1404">
        <v>45.520294</v>
      </c>
      <c r="G1404">
        <v>16487700</v>
      </c>
      <c r="I1404">
        <f t="shared" si="22"/>
        <v>1.4319661976028072E-4</v>
      </c>
    </row>
    <row r="1405" spans="1:9" x14ac:dyDescent="0.3">
      <c r="A1405" s="5">
        <v>43677</v>
      </c>
      <c r="B1405">
        <v>51.509998000000003</v>
      </c>
      <c r="C1405">
        <v>51.720001000000003</v>
      </c>
      <c r="D1405">
        <v>50.049999</v>
      </c>
      <c r="E1405">
        <v>50.549999</v>
      </c>
      <c r="F1405">
        <v>44.507755000000003</v>
      </c>
      <c r="G1405">
        <v>24169800</v>
      </c>
      <c r="I1405">
        <f t="shared" si="22"/>
        <v>3.789192128069045E-4</v>
      </c>
    </row>
    <row r="1406" spans="1:9" x14ac:dyDescent="0.3">
      <c r="A1406" s="5">
        <v>43678</v>
      </c>
      <c r="B1406">
        <v>50.52</v>
      </c>
      <c r="C1406">
        <v>51.889999000000003</v>
      </c>
      <c r="D1406">
        <v>49.470001000000003</v>
      </c>
      <c r="E1406">
        <v>49.5</v>
      </c>
      <c r="F1406">
        <v>43.583263000000002</v>
      </c>
      <c r="G1406">
        <v>34020800</v>
      </c>
      <c r="I1406">
        <f t="shared" si="22"/>
        <v>1.2744055477532988E-3</v>
      </c>
    </row>
    <row r="1407" spans="1:9" x14ac:dyDescent="0.3">
      <c r="A1407" s="5">
        <v>43679</v>
      </c>
      <c r="B1407">
        <v>49.09</v>
      </c>
      <c r="C1407">
        <v>49.360000999999997</v>
      </c>
      <c r="D1407">
        <v>48.5</v>
      </c>
      <c r="E1407">
        <v>48.68</v>
      </c>
      <c r="F1407">
        <v>42.861274999999999</v>
      </c>
      <c r="G1407">
        <v>27881600</v>
      </c>
      <c r="I1407">
        <f t="shared" si="22"/>
        <v>1.2088214779111688E-4</v>
      </c>
    </row>
    <row r="1408" spans="1:9" x14ac:dyDescent="0.3">
      <c r="A1408" s="5">
        <v>43682</v>
      </c>
      <c r="B1408">
        <v>47.759998000000003</v>
      </c>
      <c r="C1408">
        <v>47.959999000000003</v>
      </c>
      <c r="D1408">
        <v>46.57</v>
      </c>
      <c r="E1408">
        <v>46.970001000000003</v>
      </c>
      <c r="F1408">
        <v>41.355674999999998</v>
      </c>
      <c r="G1408">
        <v>38936600</v>
      </c>
      <c r="I1408">
        <f t="shared" si="22"/>
        <v>3.0296110168514617E-4</v>
      </c>
    </row>
    <row r="1409" spans="1:9" x14ac:dyDescent="0.3">
      <c r="A1409" s="5">
        <v>43683</v>
      </c>
      <c r="B1409">
        <v>47.150002000000001</v>
      </c>
      <c r="C1409">
        <v>47.560001</v>
      </c>
      <c r="D1409">
        <v>46.77</v>
      </c>
      <c r="E1409">
        <v>46.959999000000003</v>
      </c>
      <c r="F1409">
        <v>41.626033999999997</v>
      </c>
      <c r="G1409">
        <v>26119600</v>
      </c>
      <c r="I1409">
        <f t="shared" si="22"/>
        <v>1.4272872964397789E-4</v>
      </c>
    </row>
    <row r="1410" spans="1:9" x14ac:dyDescent="0.3">
      <c r="A1410" s="5">
        <v>43684</v>
      </c>
      <c r="B1410">
        <v>46.299999</v>
      </c>
      <c r="C1410">
        <v>46.880001</v>
      </c>
      <c r="D1410">
        <v>45.970001000000003</v>
      </c>
      <c r="E1410">
        <v>46.73</v>
      </c>
      <c r="F1410">
        <v>41.422161000000003</v>
      </c>
      <c r="G1410">
        <v>29440400</v>
      </c>
      <c r="I1410">
        <f t="shared" si="22"/>
        <v>1.5718596302786693E-4</v>
      </c>
    </row>
    <row r="1411" spans="1:9" x14ac:dyDescent="0.3">
      <c r="A1411" s="5">
        <v>43685</v>
      </c>
      <c r="B1411">
        <v>46.16</v>
      </c>
      <c r="C1411">
        <v>47.369999</v>
      </c>
      <c r="D1411">
        <v>45.91</v>
      </c>
      <c r="E1411">
        <v>47.169998</v>
      </c>
      <c r="F1411">
        <v>41.812168</v>
      </c>
      <c r="G1411">
        <v>30643700</v>
      </c>
      <c r="I1411">
        <f t="shared" si="22"/>
        <v>2.5651593889813829E-4</v>
      </c>
    </row>
    <row r="1412" spans="1:9" x14ac:dyDescent="0.3">
      <c r="A1412" s="5">
        <v>43686</v>
      </c>
      <c r="B1412">
        <v>46.939999</v>
      </c>
      <c r="C1412">
        <v>47</v>
      </c>
      <c r="D1412">
        <v>45.779998999999997</v>
      </c>
      <c r="E1412">
        <v>45.98</v>
      </c>
      <c r="F1412">
        <v>40.757347000000003</v>
      </c>
      <c r="G1412">
        <v>24975500</v>
      </c>
      <c r="I1412">
        <f t="shared" si="22"/>
        <v>1.3710864364189777E-4</v>
      </c>
    </row>
    <row r="1413" spans="1:9" x14ac:dyDescent="0.3">
      <c r="A1413" s="5">
        <v>43689</v>
      </c>
      <c r="B1413">
        <v>45.759998000000003</v>
      </c>
      <c r="C1413">
        <v>46.07</v>
      </c>
      <c r="D1413">
        <v>45.439999</v>
      </c>
      <c r="E1413">
        <v>45.599997999999999</v>
      </c>
      <c r="F1413">
        <v>40.420498000000002</v>
      </c>
      <c r="G1413">
        <v>18494300</v>
      </c>
      <c r="I1413">
        <f t="shared" si="22"/>
        <v>9.3899881381649404E-5</v>
      </c>
    </row>
    <row r="1414" spans="1:9" x14ac:dyDescent="0.3">
      <c r="A1414" s="5">
        <v>43690</v>
      </c>
      <c r="B1414">
        <v>45.490001999999997</v>
      </c>
      <c r="C1414">
        <v>47.049999</v>
      </c>
      <c r="D1414">
        <v>45.360000999999997</v>
      </c>
      <c r="E1414">
        <v>46.84</v>
      </c>
      <c r="F1414">
        <v>41.519657000000002</v>
      </c>
      <c r="G1414">
        <v>28959500</v>
      </c>
      <c r="I1414">
        <f t="shared" si="22"/>
        <v>2.4271828613885068E-4</v>
      </c>
    </row>
    <row r="1415" spans="1:9" x14ac:dyDescent="0.3">
      <c r="A1415" s="5">
        <v>43691</v>
      </c>
      <c r="B1415">
        <v>46.060001</v>
      </c>
      <c r="C1415">
        <v>46.630001</v>
      </c>
      <c r="D1415">
        <v>45.650002000000001</v>
      </c>
      <c r="E1415">
        <v>45.869999</v>
      </c>
      <c r="F1415">
        <v>40.659840000000003</v>
      </c>
      <c r="G1415">
        <v>25650200</v>
      </c>
      <c r="I1415">
        <f t="shared" si="22"/>
        <v>2.4509746675063733E-4</v>
      </c>
    </row>
    <row r="1416" spans="1:9" x14ac:dyDescent="0.3">
      <c r="A1416" s="5">
        <v>43692</v>
      </c>
      <c r="B1416">
        <v>46.099997999999999</v>
      </c>
      <c r="C1416">
        <v>46.18</v>
      </c>
      <c r="D1416">
        <v>45.439999</v>
      </c>
      <c r="E1416">
        <v>45.700001</v>
      </c>
      <c r="F1416">
        <v>40.509148000000003</v>
      </c>
      <c r="G1416">
        <v>21896000</v>
      </c>
      <c r="I1416">
        <f t="shared" si="22"/>
        <v>1.0039175996290238E-4</v>
      </c>
    </row>
    <row r="1417" spans="1:9" x14ac:dyDescent="0.3">
      <c r="A1417" s="5">
        <v>43693</v>
      </c>
      <c r="B1417">
        <v>46.34</v>
      </c>
      <c r="C1417">
        <v>46.68</v>
      </c>
      <c r="D1417">
        <v>46.060001</v>
      </c>
      <c r="E1417">
        <v>46.5</v>
      </c>
      <c r="F1417">
        <v>41.218277</v>
      </c>
      <c r="G1417">
        <v>22701800</v>
      </c>
      <c r="I1417">
        <f t="shared" si="22"/>
        <v>8.5863816204415742E-5</v>
      </c>
    </row>
    <row r="1418" spans="1:9" x14ac:dyDescent="0.3">
      <c r="A1418" s="5">
        <v>43696</v>
      </c>
      <c r="B1418">
        <v>47.459999000000003</v>
      </c>
      <c r="C1418">
        <v>47.599997999999999</v>
      </c>
      <c r="D1418">
        <v>47.040000999999997</v>
      </c>
      <c r="E1418">
        <v>47.23</v>
      </c>
      <c r="F1418">
        <v>41.865355999999998</v>
      </c>
      <c r="G1418">
        <v>21403600</v>
      </c>
      <c r="I1418">
        <f t="shared" si="22"/>
        <v>5.8815747578095496E-5</v>
      </c>
    </row>
    <row r="1419" spans="1:9" x14ac:dyDescent="0.3">
      <c r="A1419" s="5">
        <v>43697</v>
      </c>
      <c r="B1419">
        <v>47.029998999999997</v>
      </c>
      <c r="C1419">
        <v>47.119999</v>
      </c>
      <c r="D1419">
        <v>46.459999000000003</v>
      </c>
      <c r="E1419">
        <v>46.599997999999999</v>
      </c>
      <c r="F1419">
        <v>41.306914999999996</v>
      </c>
      <c r="G1419">
        <v>23113300</v>
      </c>
      <c r="I1419">
        <f t="shared" si="22"/>
        <v>5.7904885384715603E-5</v>
      </c>
    </row>
    <row r="1420" spans="1:9" x14ac:dyDescent="0.3">
      <c r="A1420" s="5">
        <v>43698</v>
      </c>
      <c r="B1420">
        <v>47.110000999999997</v>
      </c>
      <c r="C1420">
        <v>47.290000999999997</v>
      </c>
      <c r="D1420">
        <v>46.889999000000003</v>
      </c>
      <c r="E1420">
        <v>47.150002000000001</v>
      </c>
      <c r="F1420">
        <v>41.794445000000003</v>
      </c>
      <c r="G1420">
        <v>15915000</v>
      </c>
      <c r="I1420">
        <f t="shared" ref="I1420:I1483" si="23">LN(C1420/B1420)*(LN(C1420/B1420)-LN(E1420/B1420))+LN(D1420/B1420)*(LN(D1420/B1420)-LN(E1420/B1420))</f>
        <v>3.7190256997059987E-5</v>
      </c>
    </row>
    <row r="1421" spans="1:9" x14ac:dyDescent="0.3">
      <c r="A1421" s="5">
        <v>43699</v>
      </c>
      <c r="B1421">
        <v>47.279998999999997</v>
      </c>
      <c r="C1421">
        <v>47.43</v>
      </c>
      <c r="D1421">
        <v>46.689999</v>
      </c>
      <c r="E1421">
        <v>46.779998999999997</v>
      </c>
      <c r="F1421">
        <v>41.466476</v>
      </c>
      <c r="G1421">
        <v>19783000</v>
      </c>
      <c r="I1421">
        <f t="shared" si="23"/>
        <v>6.7892552147446491E-5</v>
      </c>
    </row>
    <row r="1422" spans="1:9" x14ac:dyDescent="0.3">
      <c r="A1422" s="5">
        <v>43700</v>
      </c>
      <c r="B1422">
        <v>46.349997999999999</v>
      </c>
      <c r="C1422">
        <v>46.630001</v>
      </c>
      <c r="D1422">
        <v>44.799999</v>
      </c>
      <c r="E1422">
        <v>44.959999000000003</v>
      </c>
      <c r="F1422">
        <v>39.853206999999998</v>
      </c>
      <c r="G1422">
        <v>32814000</v>
      </c>
      <c r="I1422">
        <f t="shared" si="23"/>
        <v>3.4091934087854758E-4</v>
      </c>
    </row>
    <row r="1423" spans="1:9" x14ac:dyDescent="0.3">
      <c r="A1423" s="5">
        <v>43703</v>
      </c>
      <c r="B1423">
        <v>45.82</v>
      </c>
      <c r="C1423">
        <v>45.82</v>
      </c>
      <c r="D1423">
        <v>45.25</v>
      </c>
      <c r="E1423">
        <v>45.560001</v>
      </c>
      <c r="F1423">
        <v>40.385052000000002</v>
      </c>
      <c r="G1423">
        <v>22080500</v>
      </c>
      <c r="I1423">
        <f t="shared" si="23"/>
        <v>8.5466571572564531E-5</v>
      </c>
    </row>
    <row r="1424" spans="1:9" x14ac:dyDescent="0.3">
      <c r="A1424" s="5">
        <v>43704</v>
      </c>
      <c r="B1424">
        <v>45.869999</v>
      </c>
      <c r="C1424">
        <v>46.119999</v>
      </c>
      <c r="D1424">
        <v>45.5</v>
      </c>
      <c r="E1424">
        <v>45.790000999999997</v>
      </c>
      <c r="F1424">
        <v>40.588920999999999</v>
      </c>
      <c r="G1424">
        <v>16925500</v>
      </c>
      <c r="I1424">
        <f t="shared" si="23"/>
        <v>9.048722740285363E-5</v>
      </c>
    </row>
    <row r="1425" spans="1:9" x14ac:dyDescent="0.3">
      <c r="A1425" s="5">
        <v>43705</v>
      </c>
      <c r="B1425">
        <v>45.700001</v>
      </c>
      <c r="C1425">
        <v>45.91</v>
      </c>
      <c r="D1425">
        <v>45.369999</v>
      </c>
      <c r="E1425">
        <v>45.790000999999997</v>
      </c>
      <c r="F1425">
        <v>40.588920999999999</v>
      </c>
      <c r="G1425">
        <v>14888800</v>
      </c>
      <c r="I1425">
        <f t="shared" si="23"/>
        <v>7.8780010436786839E-5</v>
      </c>
    </row>
    <row r="1426" spans="1:9" x14ac:dyDescent="0.3">
      <c r="A1426" s="5">
        <v>43706</v>
      </c>
      <c r="B1426">
        <v>46.459999000000003</v>
      </c>
      <c r="C1426">
        <v>47.220001000000003</v>
      </c>
      <c r="D1426">
        <v>46.400002000000001</v>
      </c>
      <c r="E1426">
        <v>46.869999</v>
      </c>
      <c r="F1426">
        <v>41.546238000000002</v>
      </c>
      <c r="G1426">
        <v>17803800</v>
      </c>
      <c r="I1426">
        <f t="shared" si="23"/>
        <v>1.3373964307110929E-4</v>
      </c>
    </row>
    <row r="1427" spans="1:9" x14ac:dyDescent="0.3">
      <c r="A1427" s="5">
        <v>43707</v>
      </c>
      <c r="B1427">
        <v>47.240001999999997</v>
      </c>
      <c r="C1427">
        <v>47.790000999999997</v>
      </c>
      <c r="D1427">
        <v>47.16</v>
      </c>
      <c r="E1427">
        <v>47.41</v>
      </c>
      <c r="F1427">
        <v>42.024920999999999</v>
      </c>
      <c r="G1427">
        <v>16922600</v>
      </c>
      <c r="I1427">
        <f t="shared" si="23"/>
        <v>1.0137080178695848E-4</v>
      </c>
    </row>
    <row r="1428" spans="1:9" x14ac:dyDescent="0.3">
      <c r="A1428" s="5">
        <v>43711</v>
      </c>
      <c r="B1428">
        <v>47.119999</v>
      </c>
      <c r="C1428">
        <v>47.220001000000003</v>
      </c>
      <c r="D1428">
        <v>46.5</v>
      </c>
      <c r="E1428">
        <v>46.98</v>
      </c>
      <c r="F1428">
        <v>41.643752999999997</v>
      </c>
      <c r="G1428">
        <v>15003800</v>
      </c>
      <c r="I1428">
        <f t="shared" si="23"/>
        <v>1.4682663824106497E-4</v>
      </c>
    </row>
    <row r="1429" spans="1:9" x14ac:dyDescent="0.3">
      <c r="A1429" s="5">
        <v>43712</v>
      </c>
      <c r="B1429">
        <v>47.560001</v>
      </c>
      <c r="C1429">
        <v>48.950001</v>
      </c>
      <c r="D1429">
        <v>47.540000999999997</v>
      </c>
      <c r="E1429">
        <v>48.919998</v>
      </c>
      <c r="F1429">
        <v>43.363407000000002</v>
      </c>
      <c r="G1429">
        <v>23450700</v>
      </c>
      <c r="I1429">
        <f t="shared" si="23"/>
        <v>2.9697976548000624E-5</v>
      </c>
    </row>
    <row r="1430" spans="1:9" x14ac:dyDescent="0.3">
      <c r="A1430" s="5">
        <v>43713</v>
      </c>
      <c r="B1430">
        <v>49.93</v>
      </c>
      <c r="C1430">
        <v>51.169998</v>
      </c>
      <c r="D1430">
        <v>49.869999</v>
      </c>
      <c r="E1430">
        <v>50.099997999999999</v>
      </c>
      <c r="F1430">
        <v>44.409362999999999</v>
      </c>
      <c r="G1430">
        <v>30014200</v>
      </c>
      <c r="I1430">
        <f t="shared" si="23"/>
        <v>5.2393967803948584E-4</v>
      </c>
    </row>
    <row r="1431" spans="1:9" x14ac:dyDescent="0.3">
      <c r="A1431" s="5">
        <v>43714</v>
      </c>
      <c r="B1431">
        <v>50.25</v>
      </c>
      <c r="C1431">
        <v>50.990001999999997</v>
      </c>
      <c r="D1431">
        <v>50.07</v>
      </c>
      <c r="E1431">
        <v>50.919998</v>
      </c>
      <c r="F1431">
        <v>45.136229999999998</v>
      </c>
      <c r="G1431">
        <v>17067900</v>
      </c>
      <c r="I1431">
        <f t="shared" si="23"/>
        <v>8.0492310899384377E-5</v>
      </c>
    </row>
    <row r="1432" spans="1:9" x14ac:dyDescent="0.3">
      <c r="A1432" s="5">
        <v>43717</v>
      </c>
      <c r="B1432">
        <v>51.060001</v>
      </c>
      <c r="C1432">
        <v>52.029998999999997</v>
      </c>
      <c r="D1432">
        <v>51.02</v>
      </c>
      <c r="E1432">
        <v>51.59</v>
      </c>
      <c r="F1432">
        <v>45.730128999999998</v>
      </c>
      <c r="G1432">
        <v>20749700</v>
      </c>
      <c r="I1432">
        <f t="shared" si="23"/>
        <v>1.6852969087669176E-4</v>
      </c>
    </row>
    <row r="1433" spans="1:9" x14ac:dyDescent="0.3">
      <c r="A1433" s="5">
        <v>43718</v>
      </c>
      <c r="B1433">
        <v>51.330002</v>
      </c>
      <c r="C1433">
        <v>51.84</v>
      </c>
      <c r="D1433">
        <v>50.830002</v>
      </c>
      <c r="E1433">
        <v>51.82</v>
      </c>
      <c r="F1433">
        <v>45.934010000000001</v>
      </c>
      <c r="G1433">
        <v>18532000</v>
      </c>
      <c r="I1433">
        <f t="shared" si="23"/>
        <v>1.926321507722587E-4</v>
      </c>
    </row>
    <row r="1434" spans="1:9" x14ac:dyDescent="0.3">
      <c r="A1434" s="5">
        <v>43719</v>
      </c>
      <c r="B1434">
        <v>51.599997999999999</v>
      </c>
      <c r="C1434">
        <v>52.790000999999997</v>
      </c>
      <c r="D1434">
        <v>51.380001</v>
      </c>
      <c r="E1434">
        <v>52.790000999999997</v>
      </c>
      <c r="F1434">
        <v>46.793818999999999</v>
      </c>
      <c r="G1434">
        <v>18968900</v>
      </c>
      <c r="I1434">
        <f t="shared" si="23"/>
        <v>1.1567179956404567E-4</v>
      </c>
    </row>
    <row r="1435" spans="1:9" x14ac:dyDescent="0.3">
      <c r="A1435" s="5">
        <v>43720</v>
      </c>
      <c r="B1435">
        <v>53</v>
      </c>
      <c r="C1435">
        <v>53.330002</v>
      </c>
      <c r="D1435">
        <v>52.07</v>
      </c>
      <c r="E1435">
        <v>53.009998000000003</v>
      </c>
      <c r="F1435">
        <v>46.988830999999998</v>
      </c>
      <c r="G1435">
        <v>23308700</v>
      </c>
      <c r="I1435">
        <f t="shared" si="23"/>
        <v>3.5409138385295952E-4</v>
      </c>
    </row>
    <row r="1436" spans="1:9" x14ac:dyDescent="0.3">
      <c r="A1436" s="5">
        <v>43721</v>
      </c>
      <c r="B1436">
        <v>52.759998000000003</v>
      </c>
      <c r="C1436">
        <v>53</v>
      </c>
      <c r="D1436">
        <v>52.23</v>
      </c>
      <c r="E1436">
        <v>52.540000999999997</v>
      </c>
      <c r="F1436">
        <v>46.572223999999999</v>
      </c>
      <c r="G1436">
        <v>18010800</v>
      </c>
      <c r="I1436">
        <f t="shared" si="23"/>
        <v>9.9310860519456374E-5</v>
      </c>
    </row>
    <row r="1437" spans="1:9" x14ac:dyDescent="0.3">
      <c r="A1437" s="5">
        <v>43724</v>
      </c>
      <c r="B1437">
        <v>51.900002000000001</v>
      </c>
      <c r="C1437">
        <v>52.290000999999997</v>
      </c>
      <c r="D1437">
        <v>51.700001</v>
      </c>
      <c r="E1437">
        <v>52.200001</v>
      </c>
      <c r="F1437">
        <v>46.270843999999997</v>
      </c>
      <c r="G1437">
        <v>13354600</v>
      </c>
      <c r="I1437">
        <f t="shared" si="23"/>
        <v>5.0057651439682714E-5</v>
      </c>
    </row>
    <row r="1438" spans="1:9" x14ac:dyDescent="0.3">
      <c r="A1438" s="5">
        <v>43725</v>
      </c>
      <c r="B1438">
        <v>52.049999</v>
      </c>
      <c r="C1438">
        <v>52.139999000000003</v>
      </c>
      <c r="D1438">
        <v>51.349997999999999</v>
      </c>
      <c r="E1438">
        <v>51.950001</v>
      </c>
      <c r="F1438">
        <v>46.049236000000001</v>
      </c>
      <c r="G1438">
        <v>19641100</v>
      </c>
      <c r="I1438">
        <f t="shared" si="23"/>
        <v>1.635975092167496E-4</v>
      </c>
    </row>
    <row r="1439" spans="1:9" x14ac:dyDescent="0.3">
      <c r="A1439" s="5">
        <v>43726</v>
      </c>
      <c r="B1439">
        <v>52.130001</v>
      </c>
      <c r="C1439">
        <v>52.130001</v>
      </c>
      <c r="D1439">
        <v>51.16</v>
      </c>
      <c r="E1439">
        <v>51.740001999999997</v>
      </c>
      <c r="F1439">
        <v>45.863093999999997</v>
      </c>
      <c r="G1439">
        <v>14906800</v>
      </c>
      <c r="I1439">
        <f t="shared" si="23"/>
        <v>2.1174119829090476E-4</v>
      </c>
    </row>
    <row r="1440" spans="1:9" x14ac:dyDescent="0.3">
      <c r="A1440" s="5">
        <v>43727</v>
      </c>
      <c r="B1440">
        <v>51.700001</v>
      </c>
      <c r="C1440">
        <v>51.990001999999997</v>
      </c>
      <c r="D1440">
        <v>51.5</v>
      </c>
      <c r="E1440">
        <v>51.57</v>
      </c>
      <c r="F1440">
        <v>45.712398999999998</v>
      </c>
      <c r="G1440">
        <v>11428400</v>
      </c>
      <c r="I1440">
        <f t="shared" si="23"/>
        <v>5.0636501696562177E-5</v>
      </c>
    </row>
    <row r="1441" spans="1:9" x14ac:dyDescent="0.3">
      <c r="A1441" s="5">
        <v>43728</v>
      </c>
      <c r="B1441">
        <v>51.599997999999999</v>
      </c>
      <c r="C1441">
        <v>51.880001</v>
      </c>
      <c r="D1441">
        <v>50.560001</v>
      </c>
      <c r="E1441">
        <v>50.720001000000003</v>
      </c>
      <c r="F1441">
        <v>44.958950000000002</v>
      </c>
      <c r="G1441">
        <v>37067900</v>
      </c>
      <c r="I1441">
        <f t="shared" si="23"/>
        <v>1.8670743055617501E-4</v>
      </c>
    </row>
    <row r="1442" spans="1:9" x14ac:dyDescent="0.3">
      <c r="A1442" s="5">
        <v>43731</v>
      </c>
      <c r="B1442">
        <v>50.830002</v>
      </c>
      <c r="C1442">
        <v>51.23</v>
      </c>
      <c r="D1442">
        <v>50.389999000000003</v>
      </c>
      <c r="E1442">
        <v>50.900002000000001</v>
      </c>
      <c r="F1442">
        <v>45.118499999999997</v>
      </c>
      <c r="G1442">
        <v>18916600</v>
      </c>
      <c r="I1442">
        <f t="shared" si="23"/>
        <v>1.3820633864803733E-4</v>
      </c>
    </row>
    <row r="1443" spans="1:9" x14ac:dyDescent="0.3">
      <c r="A1443" s="5">
        <v>43732</v>
      </c>
      <c r="B1443">
        <v>51.099997999999999</v>
      </c>
      <c r="C1443">
        <v>51.18</v>
      </c>
      <c r="D1443">
        <v>49.639999000000003</v>
      </c>
      <c r="E1443">
        <v>49.82</v>
      </c>
      <c r="F1443">
        <v>44.161175</v>
      </c>
      <c r="G1443">
        <v>28197400</v>
      </c>
      <c r="I1443">
        <f t="shared" si="23"/>
        <v>1.4705452624008946E-4</v>
      </c>
    </row>
    <row r="1444" spans="1:9" x14ac:dyDescent="0.3">
      <c r="A1444" s="5">
        <v>43733</v>
      </c>
      <c r="B1444">
        <v>49.75</v>
      </c>
      <c r="C1444">
        <v>51.209999000000003</v>
      </c>
      <c r="D1444">
        <v>49.419998</v>
      </c>
      <c r="E1444">
        <v>51.02</v>
      </c>
      <c r="F1444">
        <v>45.224868999999998</v>
      </c>
      <c r="G1444">
        <v>19486700</v>
      </c>
      <c r="I1444">
        <f t="shared" si="23"/>
        <v>3.1956943562159437E-4</v>
      </c>
    </row>
    <row r="1445" spans="1:9" x14ac:dyDescent="0.3">
      <c r="A1445" s="5">
        <v>43734</v>
      </c>
      <c r="B1445">
        <v>50.98</v>
      </c>
      <c r="C1445">
        <v>51.150002000000001</v>
      </c>
      <c r="D1445">
        <v>50.34</v>
      </c>
      <c r="E1445">
        <v>50.919998</v>
      </c>
      <c r="F1445">
        <v>45.136229999999998</v>
      </c>
      <c r="G1445">
        <v>11351800</v>
      </c>
      <c r="I1445">
        <f t="shared" si="23"/>
        <v>1.597288358912629E-4</v>
      </c>
    </row>
    <row r="1446" spans="1:9" x14ac:dyDescent="0.3">
      <c r="A1446" s="5">
        <v>43735</v>
      </c>
      <c r="B1446">
        <v>50.630001</v>
      </c>
      <c r="C1446">
        <v>51.220001000000003</v>
      </c>
      <c r="D1446">
        <v>50.34</v>
      </c>
      <c r="E1446">
        <v>50.779998999999997</v>
      </c>
      <c r="F1446">
        <v>45.012130999999997</v>
      </c>
      <c r="G1446">
        <v>14845700</v>
      </c>
      <c r="I1446">
        <f t="shared" si="23"/>
        <v>1.4994724338832443E-4</v>
      </c>
    </row>
    <row r="1447" spans="1:9" x14ac:dyDescent="0.3">
      <c r="A1447" s="5">
        <v>43738</v>
      </c>
      <c r="B1447">
        <v>51.189999</v>
      </c>
      <c r="C1447">
        <v>51.599997999999999</v>
      </c>
      <c r="D1447">
        <v>50.939999</v>
      </c>
      <c r="E1447">
        <v>51.529998999999997</v>
      </c>
      <c r="F1447">
        <v>45.676940999999999</v>
      </c>
      <c r="G1447">
        <v>13652100</v>
      </c>
      <c r="I1447">
        <f t="shared" si="23"/>
        <v>6.7207054160481949E-5</v>
      </c>
    </row>
    <row r="1448" spans="1:9" x14ac:dyDescent="0.3">
      <c r="A1448" s="5">
        <v>43739</v>
      </c>
      <c r="B1448">
        <v>51.970001000000003</v>
      </c>
      <c r="C1448">
        <v>52.240001999999997</v>
      </c>
      <c r="D1448">
        <v>50.43</v>
      </c>
      <c r="E1448">
        <v>50.759998000000003</v>
      </c>
      <c r="F1448">
        <v>44.994391999999998</v>
      </c>
      <c r="G1448">
        <v>18413100</v>
      </c>
      <c r="I1448">
        <f t="shared" si="23"/>
        <v>3.4512217011966234E-4</v>
      </c>
    </row>
    <row r="1449" spans="1:9" x14ac:dyDescent="0.3">
      <c r="A1449" s="5">
        <v>43740</v>
      </c>
      <c r="B1449">
        <v>50.310001</v>
      </c>
      <c r="C1449">
        <v>50.369999</v>
      </c>
      <c r="D1449">
        <v>48.98</v>
      </c>
      <c r="E1449">
        <v>49.389999000000003</v>
      </c>
      <c r="F1449">
        <v>43.780014000000001</v>
      </c>
      <c r="G1449">
        <v>20078700</v>
      </c>
      <c r="I1449">
        <f t="shared" si="23"/>
        <v>2.4675143583543097E-4</v>
      </c>
    </row>
    <row r="1450" spans="1:9" x14ac:dyDescent="0.3">
      <c r="A1450" s="5">
        <v>43741</v>
      </c>
      <c r="B1450">
        <v>49.5</v>
      </c>
      <c r="C1450">
        <v>50.07</v>
      </c>
      <c r="D1450">
        <v>48.529998999999997</v>
      </c>
      <c r="E1450">
        <v>50.029998999999997</v>
      </c>
      <c r="F1450">
        <v>44.347316999999997</v>
      </c>
      <c r="G1450">
        <v>16320100</v>
      </c>
      <c r="I1450">
        <f t="shared" si="23"/>
        <v>6.1158731428912394E-4</v>
      </c>
    </row>
    <row r="1451" spans="1:9" x14ac:dyDescent="0.3">
      <c r="A1451" s="5">
        <v>43742</v>
      </c>
      <c r="B1451">
        <v>50.349997999999999</v>
      </c>
      <c r="C1451">
        <v>50.970001000000003</v>
      </c>
      <c r="D1451">
        <v>50.029998999999997</v>
      </c>
      <c r="E1451">
        <v>50.919998</v>
      </c>
      <c r="F1451">
        <v>45.136229999999998</v>
      </c>
      <c r="G1451">
        <v>12644900</v>
      </c>
      <c r="I1451">
        <f t="shared" si="23"/>
        <v>1.2443593462757406E-4</v>
      </c>
    </row>
    <row r="1452" spans="1:9" x14ac:dyDescent="0.3">
      <c r="A1452" s="5">
        <v>43745</v>
      </c>
      <c r="B1452">
        <v>50.700001</v>
      </c>
      <c r="C1452">
        <v>51.23</v>
      </c>
      <c r="D1452">
        <v>50.560001</v>
      </c>
      <c r="E1452">
        <v>50.619999</v>
      </c>
      <c r="F1452">
        <v>44.870308000000001</v>
      </c>
      <c r="G1452">
        <v>12081400</v>
      </c>
      <c r="I1452">
        <f t="shared" si="23"/>
        <v>1.2784886191891318E-4</v>
      </c>
    </row>
    <row r="1453" spans="1:9" x14ac:dyDescent="0.3">
      <c r="A1453" s="5">
        <v>43746</v>
      </c>
      <c r="B1453">
        <v>50.16</v>
      </c>
      <c r="C1453">
        <v>50.48</v>
      </c>
      <c r="D1453">
        <v>49.610000999999997</v>
      </c>
      <c r="E1453">
        <v>49.73</v>
      </c>
      <c r="F1453">
        <v>44.081398</v>
      </c>
      <c r="G1453">
        <v>17409100</v>
      </c>
      <c r="I1453">
        <f t="shared" si="23"/>
        <v>1.2182838096288834E-4</v>
      </c>
    </row>
    <row r="1454" spans="1:9" x14ac:dyDescent="0.3">
      <c r="A1454" s="5">
        <v>43747</v>
      </c>
      <c r="B1454">
        <v>50.470001000000003</v>
      </c>
      <c r="C1454">
        <v>50.790000999999997</v>
      </c>
      <c r="D1454">
        <v>50.150002000000001</v>
      </c>
      <c r="E1454">
        <v>50.48</v>
      </c>
      <c r="F1454">
        <v>44.746208000000003</v>
      </c>
      <c r="G1454">
        <v>11834900</v>
      </c>
      <c r="I1454">
        <f t="shared" si="23"/>
        <v>8.041201632583584E-5</v>
      </c>
    </row>
    <row r="1455" spans="1:9" x14ac:dyDescent="0.3">
      <c r="A1455" s="5">
        <v>43748</v>
      </c>
      <c r="B1455">
        <v>50.41</v>
      </c>
      <c r="C1455">
        <v>51.779998999999997</v>
      </c>
      <c r="D1455">
        <v>50.400002000000001</v>
      </c>
      <c r="E1455">
        <v>51.110000999999997</v>
      </c>
      <c r="F1455">
        <v>45.304653000000002</v>
      </c>
      <c r="G1455">
        <v>13907900</v>
      </c>
      <c r="I1455">
        <f t="shared" si="23"/>
        <v>3.5199897156154271E-4</v>
      </c>
    </row>
    <row r="1456" spans="1:9" x14ac:dyDescent="0.3">
      <c r="A1456" s="5">
        <v>43749</v>
      </c>
      <c r="B1456">
        <v>52</v>
      </c>
      <c r="C1456">
        <v>52.790000999999997</v>
      </c>
      <c r="D1456">
        <v>51.82</v>
      </c>
      <c r="E1456">
        <v>52.09</v>
      </c>
      <c r="F1456">
        <v>46.173332000000002</v>
      </c>
      <c r="G1456">
        <v>24072500</v>
      </c>
      <c r="I1456">
        <f t="shared" si="23"/>
        <v>2.1929454180643005E-4</v>
      </c>
    </row>
    <row r="1457" spans="1:9" x14ac:dyDescent="0.3">
      <c r="A1457" s="5">
        <v>43752</v>
      </c>
      <c r="B1457">
        <v>51.900002000000001</v>
      </c>
      <c r="C1457">
        <v>51.950001</v>
      </c>
      <c r="D1457">
        <v>51.439999</v>
      </c>
      <c r="E1457">
        <v>51.639999000000003</v>
      </c>
      <c r="F1457">
        <v>45.774448</v>
      </c>
      <c r="G1457">
        <v>15016800</v>
      </c>
      <c r="I1457">
        <f t="shared" si="23"/>
        <v>4.0310256566972032E-5</v>
      </c>
    </row>
    <row r="1458" spans="1:9" x14ac:dyDescent="0.3">
      <c r="A1458" s="5">
        <v>43753</v>
      </c>
      <c r="B1458">
        <v>51.93</v>
      </c>
      <c r="C1458">
        <v>53.07</v>
      </c>
      <c r="D1458">
        <v>51.830002</v>
      </c>
      <c r="E1458">
        <v>52.650002000000001</v>
      </c>
      <c r="F1458">
        <v>46.669727000000002</v>
      </c>
      <c r="G1458">
        <v>18878100</v>
      </c>
      <c r="I1458">
        <f t="shared" si="23"/>
        <v>2.0279404540153692E-4</v>
      </c>
    </row>
    <row r="1459" spans="1:9" x14ac:dyDescent="0.3">
      <c r="A1459" s="5">
        <v>43754</v>
      </c>
      <c r="B1459">
        <v>52.349997999999999</v>
      </c>
      <c r="C1459">
        <v>52.560001</v>
      </c>
      <c r="D1459">
        <v>52.119999</v>
      </c>
      <c r="E1459">
        <v>52.450001</v>
      </c>
      <c r="F1459">
        <v>46.492446999999999</v>
      </c>
      <c r="G1459">
        <v>14769300</v>
      </c>
      <c r="I1459">
        <f t="shared" si="23"/>
        <v>3.6178591976160411E-5</v>
      </c>
    </row>
    <row r="1460" spans="1:9" x14ac:dyDescent="0.3">
      <c r="A1460" s="5">
        <v>43755</v>
      </c>
      <c r="B1460">
        <v>52.639999000000003</v>
      </c>
      <c r="C1460">
        <v>52.84</v>
      </c>
      <c r="D1460">
        <v>51.380001</v>
      </c>
      <c r="E1460">
        <v>51.860000999999997</v>
      </c>
      <c r="F1460">
        <v>45.969459999999998</v>
      </c>
      <c r="G1460">
        <v>16533900</v>
      </c>
      <c r="I1460">
        <f t="shared" si="23"/>
        <v>2.9627691301330813E-4</v>
      </c>
    </row>
    <row r="1461" spans="1:9" x14ac:dyDescent="0.3">
      <c r="A1461" s="5">
        <v>43756</v>
      </c>
      <c r="B1461">
        <v>51.75</v>
      </c>
      <c r="C1461">
        <v>51.82</v>
      </c>
      <c r="D1461">
        <v>51.029998999999997</v>
      </c>
      <c r="E1461">
        <v>51.360000999999997</v>
      </c>
      <c r="F1461">
        <v>45.526252999999997</v>
      </c>
      <c r="G1461">
        <v>16974100</v>
      </c>
      <c r="I1461">
        <f t="shared" si="23"/>
        <v>1.0236619605126619E-4</v>
      </c>
    </row>
    <row r="1462" spans="1:9" x14ac:dyDescent="0.3">
      <c r="A1462" s="5">
        <v>43759</v>
      </c>
      <c r="B1462">
        <v>51.52</v>
      </c>
      <c r="C1462">
        <v>52.169998</v>
      </c>
      <c r="D1462">
        <v>51.34</v>
      </c>
      <c r="E1462">
        <v>52.130001</v>
      </c>
      <c r="F1462">
        <v>46.20879</v>
      </c>
      <c r="G1462">
        <v>12189000</v>
      </c>
      <c r="I1462">
        <f t="shared" si="23"/>
        <v>6.3060886632208281E-5</v>
      </c>
    </row>
    <row r="1463" spans="1:9" x14ac:dyDescent="0.3">
      <c r="A1463" s="5">
        <v>43760</v>
      </c>
      <c r="B1463">
        <v>51.900002000000001</v>
      </c>
      <c r="C1463">
        <v>52.32</v>
      </c>
      <c r="D1463">
        <v>51.889999000000003</v>
      </c>
      <c r="E1463">
        <v>52.009998000000003</v>
      </c>
      <c r="F1463">
        <v>46.102412999999999</v>
      </c>
      <c r="G1463">
        <v>13114300</v>
      </c>
      <c r="I1463">
        <f t="shared" si="23"/>
        <v>4.8342987351634614E-5</v>
      </c>
    </row>
    <row r="1464" spans="1:9" x14ac:dyDescent="0.3">
      <c r="A1464" s="5">
        <v>43761</v>
      </c>
      <c r="B1464">
        <v>51.369999</v>
      </c>
      <c r="C1464">
        <v>51.959999000000003</v>
      </c>
      <c r="D1464">
        <v>51.200001</v>
      </c>
      <c r="E1464">
        <v>51.720001000000003</v>
      </c>
      <c r="F1464">
        <v>45.845367000000003</v>
      </c>
      <c r="G1464">
        <v>15887500</v>
      </c>
      <c r="I1464">
        <f t="shared" si="23"/>
        <v>8.6365175779182311E-5</v>
      </c>
    </row>
    <row r="1465" spans="1:9" x14ac:dyDescent="0.3">
      <c r="A1465" s="5">
        <v>43762</v>
      </c>
      <c r="B1465">
        <v>52.09</v>
      </c>
      <c r="C1465">
        <v>52.43</v>
      </c>
      <c r="D1465">
        <v>51.43</v>
      </c>
      <c r="E1465">
        <v>52.23</v>
      </c>
      <c r="F1465">
        <v>46.297423999999999</v>
      </c>
      <c r="G1465">
        <v>23413000</v>
      </c>
      <c r="I1465">
        <f t="shared" si="23"/>
        <v>2.2168682406828878E-4</v>
      </c>
    </row>
    <row r="1466" spans="1:9" x14ac:dyDescent="0.3">
      <c r="A1466" s="5">
        <v>43763</v>
      </c>
      <c r="B1466">
        <v>54.189999</v>
      </c>
      <c r="C1466">
        <v>56.610000999999997</v>
      </c>
      <c r="D1466">
        <v>53.919998</v>
      </c>
      <c r="E1466">
        <v>56.459999000000003</v>
      </c>
      <c r="F1466">
        <v>50.046967000000002</v>
      </c>
      <c r="G1466">
        <v>59767700</v>
      </c>
      <c r="I1466">
        <f t="shared" si="23"/>
        <v>3.4584111944765039E-4</v>
      </c>
    </row>
    <row r="1467" spans="1:9" x14ac:dyDescent="0.3">
      <c r="A1467" s="5">
        <v>43766</v>
      </c>
      <c r="B1467">
        <v>56.380001</v>
      </c>
      <c r="C1467">
        <v>56.810001</v>
      </c>
      <c r="D1467">
        <v>56.060001</v>
      </c>
      <c r="E1467">
        <v>56.759998000000003</v>
      </c>
      <c r="F1467">
        <v>50.312880999999997</v>
      </c>
      <c r="G1467">
        <v>32307500</v>
      </c>
      <c r="I1467">
        <f t="shared" si="23"/>
        <v>7.7323168311177663E-5</v>
      </c>
    </row>
    <row r="1468" spans="1:9" x14ac:dyDescent="0.3">
      <c r="A1468" s="5">
        <v>43767</v>
      </c>
      <c r="B1468">
        <v>56.369999</v>
      </c>
      <c r="C1468">
        <v>57.240001999999997</v>
      </c>
      <c r="D1468">
        <v>56.240001999999997</v>
      </c>
      <c r="E1468">
        <v>56.34</v>
      </c>
      <c r="F1468">
        <v>49.94059</v>
      </c>
      <c r="G1468">
        <v>18155800</v>
      </c>
      <c r="I1468">
        <f t="shared" si="23"/>
        <v>2.4683148417185705E-4</v>
      </c>
    </row>
    <row r="1469" spans="1:9" x14ac:dyDescent="0.3">
      <c r="A1469" s="5">
        <v>43768</v>
      </c>
      <c r="B1469">
        <v>56.32</v>
      </c>
      <c r="C1469">
        <v>56.630001</v>
      </c>
      <c r="D1469">
        <v>55.619999</v>
      </c>
      <c r="E1469">
        <v>56.599997999999999</v>
      </c>
      <c r="F1469">
        <v>50.171059</v>
      </c>
      <c r="G1469">
        <v>15248000</v>
      </c>
      <c r="I1469">
        <f t="shared" si="23"/>
        <v>2.2135565547117588E-4</v>
      </c>
    </row>
    <row r="1470" spans="1:9" x14ac:dyDescent="0.3">
      <c r="A1470" s="5">
        <v>43769</v>
      </c>
      <c r="B1470">
        <v>56.330002</v>
      </c>
      <c r="C1470">
        <v>56.599997999999999</v>
      </c>
      <c r="D1470">
        <v>55.619999</v>
      </c>
      <c r="E1470">
        <v>56.529998999999997</v>
      </c>
      <c r="F1470">
        <v>50.109015999999997</v>
      </c>
      <c r="G1470">
        <v>19249700</v>
      </c>
      <c r="I1470">
        <f t="shared" si="23"/>
        <v>2.1176856070953285E-4</v>
      </c>
    </row>
    <row r="1471" spans="1:9" x14ac:dyDescent="0.3">
      <c r="A1471" s="5">
        <v>43770</v>
      </c>
      <c r="B1471">
        <v>55.939999</v>
      </c>
      <c r="C1471">
        <v>56.650002000000001</v>
      </c>
      <c r="D1471">
        <v>55.619999</v>
      </c>
      <c r="E1471">
        <v>56.509998000000003</v>
      </c>
      <c r="F1471">
        <v>50.091282</v>
      </c>
      <c r="G1471">
        <v>17953500</v>
      </c>
      <c r="I1471">
        <f t="shared" si="23"/>
        <v>1.2227943883747416E-4</v>
      </c>
    </row>
    <row r="1472" spans="1:9" x14ac:dyDescent="0.3">
      <c r="A1472" s="5">
        <v>43773</v>
      </c>
      <c r="B1472">
        <v>56.93</v>
      </c>
      <c r="C1472">
        <v>57.799999</v>
      </c>
      <c r="D1472">
        <v>56.849997999999999</v>
      </c>
      <c r="E1472">
        <v>57.610000999999997</v>
      </c>
      <c r="F1472">
        <v>51.066344999999998</v>
      </c>
      <c r="G1472">
        <v>19068000</v>
      </c>
      <c r="I1472">
        <f t="shared" si="23"/>
        <v>6.8611365506051936E-5</v>
      </c>
    </row>
    <row r="1473" spans="1:9" x14ac:dyDescent="0.3">
      <c r="A1473" s="5">
        <v>43774</v>
      </c>
      <c r="B1473">
        <v>57.470001000000003</v>
      </c>
      <c r="C1473">
        <v>58.349997999999999</v>
      </c>
      <c r="D1473">
        <v>57.209999000000003</v>
      </c>
      <c r="E1473">
        <v>57.549999</v>
      </c>
      <c r="F1473">
        <v>51.013148999999999</v>
      </c>
      <c r="G1473">
        <v>20865400</v>
      </c>
      <c r="I1473">
        <f t="shared" si="23"/>
        <v>2.3665540923366738E-4</v>
      </c>
    </row>
    <row r="1474" spans="1:9" x14ac:dyDescent="0.3">
      <c r="A1474" s="5">
        <v>43775</v>
      </c>
      <c r="B1474">
        <v>57.490001999999997</v>
      </c>
      <c r="C1474">
        <v>57.709999000000003</v>
      </c>
      <c r="D1474">
        <v>56.98</v>
      </c>
      <c r="E1474">
        <v>57.599997999999999</v>
      </c>
      <c r="F1474">
        <v>51.338486000000003</v>
      </c>
      <c r="G1474">
        <v>17721000</v>
      </c>
      <c r="I1474">
        <f t="shared" si="23"/>
        <v>1.0372078458283769E-4</v>
      </c>
    </row>
    <row r="1475" spans="1:9" x14ac:dyDescent="0.3">
      <c r="A1475" s="5">
        <v>43776</v>
      </c>
      <c r="B1475">
        <v>58</v>
      </c>
      <c r="C1475">
        <v>58.549999</v>
      </c>
      <c r="D1475">
        <v>57.860000999999997</v>
      </c>
      <c r="E1475">
        <v>58.049999</v>
      </c>
      <c r="F1475">
        <v>51.739562999999997</v>
      </c>
      <c r="G1475">
        <v>16962800</v>
      </c>
      <c r="I1475">
        <f t="shared" si="23"/>
        <v>8.8867255129464851E-5</v>
      </c>
    </row>
    <row r="1476" spans="1:9" x14ac:dyDescent="0.3">
      <c r="A1476" s="5">
        <v>43777</v>
      </c>
      <c r="B1476">
        <v>57.849997999999999</v>
      </c>
      <c r="C1476">
        <v>58.299999</v>
      </c>
      <c r="D1476">
        <v>57.310001</v>
      </c>
      <c r="E1476">
        <v>58.27</v>
      </c>
      <c r="F1476">
        <v>51.935645999999998</v>
      </c>
      <c r="G1476">
        <v>11888900</v>
      </c>
      <c r="I1476">
        <f t="shared" si="23"/>
        <v>1.5978227268045612E-4</v>
      </c>
    </row>
    <row r="1477" spans="1:9" x14ac:dyDescent="0.3">
      <c r="A1477" s="5">
        <v>43780</v>
      </c>
      <c r="B1477">
        <v>57.970001000000003</v>
      </c>
      <c r="C1477">
        <v>58.5</v>
      </c>
      <c r="D1477">
        <v>57.900002000000001</v>
      </c>
      <c r="E1477">
        <v>58.349997999999999</v>
      </c>
      <c r="F1477">
        <v>52.006946999999997</v>
      </c>
      <c r="G1477">
        <v>11228900</v>
      </c>
      <c r="I1477">
        <f t="shared" si="23"/>
        <v>3.2720468611820475E-5</v>
      </c>
    </row>
    <row r="1478" spans="1:9" x14ac:dyDescent="0.3">
      <c r="A1478" s="5">
        <v>43781</v>
      </c>
      <c r="B1478">
        <v>58.400002000000001</v>
      </c>
      <c r="C1478">
        <v>58.799999</v>
      </c>
      <c r="D1478">
        <v>58.029998999999997</v>
      </c>
      <c r="E1478">
        <v>58.200001</v>
      </c>
      <c r="F1478">
        <v>51.873257000000002</v>
      </c>
      <c r="G1478">
        <v>11952500</v>
      </c>
      <c r="I1478">
        <f t="shared" si="23"/>
        <v>8.8602257540521884E-5</v>
      </c>
    </row>
    <row r="1479" spans="1:9" x14ac:dyDescent="0.3">
      <c r="A1479" s="5">
        <v>43782</v>
      </c>
      <c r="B1479">
        <v>57.869999</v>
      </c>
      <c r="C1479">
        <v>57.970001000000003</v>
      </c>
      <c r="D1479">
        <v>57.349997999999999</v>
      </c>
      <c r="E1479">
        <v>57.889999000000003</v>
      </c>
      <c r="F1479">
        <v>51.596953999999997</v>
      </c>
      <c r="G1479">
        <v>15332700</v>
      </c>
      <c r="I1479">
        <f t="shared" si="23"/>
        <v>8.6977262619294113E-5</v>
      </c>
    </row>
    <row r="1480" spans="1:9" x14ac:dyDescent="0.3">
      <c r="A1480" s="5">
        <v>43783</v>
      </c>
      <c r="B1480">
        <v>57.610000999999997</v>
      </c>
      <c r="C1480">
        <v>58.040000999999997</v>
      </c>
      <c r="D1480">
        <v>57.57</v>
      </c>
      <c r="E1480">
        <v>57.810001</v>
      </c>
      <c r="F1480">
        <v>51.525649999999999</v>
      </c>
      <c r="G1480">
        <v>12119000</v>
      </c>
      <c r="I1480">
        <f t="shared" si="23"/>
        <v>3.2416447791485928E-5</v>
      </c>
    </row>
    <row r="1481" spans="1:9" x14ac:dyDescent="0.3">
      <c r="A1481" s="5">
        <v>43784</v>
      </c>
      <c r="B1481">
        <v>58.169998</v>
      </c>
      <c r="C1481">
        <v>58.700001</v>
      </c>
      <c r="D1481">
        <v>57.619999</v>
      </c>
      <c r="E1481">
        <v>57.959999000000003</v>
      </c>
      <c r="F1481">
        <v>51.65934</v>
      </c>
      <c r="G1481">
        <v>16112100</v>
      </c>
      <c r="I1481">
        <f t="shared" si="23"/>
        <v>1.7096036715689094E-4</v>
      </c>
    </row>
    <row r="1482" spans="1:9" x14ac:dyDescent="0.3">
      <c r="A1482" s="5">
        <v>43787</v>
      </c>
      <c r="B1482">
        <v>57.700001</v>
      </c>
      <c r="C1482">
        <v>58.48</v>
      </c>
      <c r="D1482">
        <v>57.57</v>
      </c>
      <c r="E1482">
        <v>58.25</v>
      </c>
      <c r="F1482">
        <v>51.917824000000003</v>
      </c>
      <c r="G1482">
        <v>16097500</v>
      </c>
      <c r="I1482">
        <f t="shared" si="23"/>
        <v>7.9400825853596831E-5</v>
      </c>
    </row>
    <row r="1483" spans="1:9" x14ac:dyDescent="0.3">
      <c r="A1483" s="5">
        <v>43788</v>
      </c>
      <c r="B1483">
        <v>58.48</v>
      </c>
      <c r="C1483">
        <v>58.650002000000001</v>
      </c>
      <c r="D1483">
        <v>57.75</v>
      </c>
      <c r="E1483">
        <v>58.349997999999999</v>
      </c>
      <c r="F1483">
        <v>52.006946999999997</v>
      </c>
      <c r="G1483">
        <v>17061900</v>
      </c>
      <c r="I1483">
        <f t="shared" si="23"/>
        <v>1.4472135258183699E-4</v>
      </c>
    </row>
    <row r="1484" spans="1:9" x14ac:dyDescent="0.3">
      <c r="A1484" s="5">
        <v>43789</v>
      </c>
      <c r="B1484">
        <v>58.259998000000003</v>
      </c>
      <c r="C1484">
        <v>58.360000999999997</v>
      </c>
      <c r="D1484">
        <v>57.369999</v>
      </c>
      <c r="E1484">
        <v>57.900002000000001</v>
      </c>
      <c r="F1484">
        <v>51.605877</v>
      </c>
      <c r="G1484">
        <v>18542300</v>
      </c>
      <c r="I1484">
        <f t="shared" ref="I1484:I1547" si="24">LN(C1484/B1484)*(LN(C1484/B1484)-LN(E1484/B1484))+LN(D1484/B1484)*(LN(D1484/B1484)-LN(E1484/B1484))</f>
        <v>1.5513548055106702E-4</v>
      </c>
    </row>
    <row r="1485" spans="1:9" x14ac:dyDescent="0.3">
      <c r="A1485" s="5">
        <v>43790</v>
      </c>
      <c r="B1485">
        <v>57.490001999999997</v>
      </c>
      <c r="C1485">
        <v>58.299999</v>
      </c>
      <c r="D1485">
        <v>57.41</v>
      </c>
      <c r="E1485">
        <v>58.220001000000003</v>
      </c>
      <c r="F1485">
        <v>51.891078999999998</v>
      </c>
      <c r="G1485">
        <v>16139000</v>
      </c>
      <c r="I1485">
        <f t="shared" si="24"/>
        <v>3.8721619161702849E-5</v>
      </c>
    </row>
    <row r="1486" spans="1:9" x14ac:dyDescent="0.3">
      <c r="A1486" s="5">
        <v>43791</v>
      </c>
      <c r="B1486">
        <v>58.34</v>
      </c>
      <c r="C1486">
        <v>58.650002000000001</v>
      </c>
      <c r="D1486">
        <v>57.490001999999997</v>
      </c>
      <c r="E1486">
        <v>57.610000999999997</v>
      </c>
      <c r="F1486">
        <v>51.347397000000001</v>
      </c>
      <c r="G1486">
        <v>15690200</v>
      </c>
      <c r="I1486">
        <f t="shared" si="24"/>
        <v>1.2542142980806169E-4</v>
      </c>
    </row>
    <row r="1487" spans="1:9" x14ac:dyDescent="0.3">
      <c r="A1487" s="5">
        <v>43794</v>
      </c>
      <c r="B1487">
        <v>58</v>
      </c>
      <c r="C1487">
        <v>58.84</v>
      </c>
      <c r="D1487">
        <v>58</v>
      </c>
      <c r="E1487">
        <v>58.810001</v>
      </c>
      <c r="F1487">
        <v>52.41695</v>
      </c>
      <c r="G1487">
        <v>15011700</v>
      </c>
      <c r="I1487">
        <f t="shared" si="24"/>
        <v>7.3328037807286187E-6</v>
      </c>
    </row>
    <row r="1488" spans="1:9" x14ac:dyDescent="0.3">
      <c r="A1488" s="5">
        <v>43795</v>
      </c>
      <c r="B1488">
        <v>58.950001</v>
      </c>
      <c r="C1488">
        <v>59.130001</v>
      </c>
      <c r="D1488">
        <v>58.450001</v>
      </c>
      <c r="E1488">
        <v>58.900002000000001</v>
      </c>
      <c r="F1488">
        <v>52.497157999999999</v>
      </c>
      <c r="G1488">
        <v>22338700</v>
      </c>
      <c r="I1488">
        <f t="shared" si="24"/>
        <v>7.7209675287870936E-5</v>
      </c>
    </row>
    <row r="1489" spans="1:9" x14ac:dyDescent="0.3">
      <c r="A1489" s="5">
        <v>43796</v>
      </c>
      <c r="B1489">
        <v>58.529998999999997</v>
      </c>
      <c r="C1489">
        <v>58.59</v>
      </c>
      <c r="D1489">
        <v>57.91</v>
      </c>
      <c r="E1489">
        <v>58.509998000000003</v>
      </c>
      <c r="F1489">
        <v>52.149551000000002</v>
      </c>
      <c r="G1489">
        <v>18184200</v>
      </c>
      <c r="I1489">
        <f t="shared" si="24"/>
        <v>1.1116882010042033E-4</v>
      </c>
    </row>
    <row r="1490" spans="1:9" x14ac:dyDescent="0.3">
      <c r="A1490" s="5">
        <v>43798</v>
      </c>
      <c r="B1490">
        <v>58.150002000000001</v>
      </c>
      <c r="C1490">
        <v>58.299999</v>
      </c>
      <c r="D1490">
        <v>57.790000999999997</v>
      </c>
      <c r="E1490">
        <v>58.049999</v>
      </c>
      <c r="F1490">
        <v>51.739562999999997</v>
      </c>
      <c r="G1490">
        <v>9481100</v>
      </c>
      <c r="I1490">
        <f t="shared" si="24"/>
        <v>3.8947632045602188E-5</v>
      </c>
    </row>
    <row r="1491" spans="1:9" x14ac:dyDescent="0.3">
      <c r="A1491" s="5">
        <v>43801</v>
      </c>
      <c r="B1491">
        <v>58.549999</v>
      </c>
      <c r="C1491">
        <v>58.689999</v>
      </c>
      <c r="D1491">
        <v>57.470001000000003</v>
      </c>
      <c r="E1491">
        <v>57.66</v>
      </c>
      <c r="F1491">
        <v>51.391953000000001</v>
      </c>
      <c r="G1491">
        <v>19154500</v>
      </c>
      <c r="I1491">
        <f t="shared" si="24"/>
        <v>1.037363228365916E-4</v>
      </c>
    </row>
    <row r="1492" spans="1:9" x14ac:dyDescent="0.3">
      <c r="A1492" s="5">
        <v>43802</v>
      </c>
      <c r="B1492">
        <v>56.860000999999997</v>
      </c>
      <c r="C1492">
        <v>56.860000999999997</v>
      </c>
      <c r="D1492">
        <v>55.75</v>
      </c>
      <c r="E1492">
        <v>56.07</v>
      </c>
      <c r="F1492">
        <v>49.974792000000001</v>
      </c>
      <c r="G1492">
        <v>25737400</v>
      </c>
      <c r="I1492">
        <f t="shared" si="24"/>
        <v>1.1283715850916423E-4</v>
      </c>
    </row>
    <row r="1493" spans="1:9" x14ac:dyDescent="0.3">
      <c r="A1493" s="5">
        <v>43803</v>
      </c>
      <c r="B1493">
        <v>56.66</v>
      </c>
      <c r="C1493">
        <v>56.66</v>
      </c>
      <c r="D1493">
        <v>55.860000999999997</v>
      </c>
      <c r="E1493">
        <v>56.02</v>
      </c>
      <c r="F1493">
        <v>49.930236999999998</v>
      </c>
      <c r="G1493">
        <v>18881400</v>
      </c>
      <c r="I1493">
        <f t="shared" si="24"/>
        <v>4.0671681589913169E-5</v>
      </c>
    </row>
    <row r="1494" spans="1:9" x14ac:dyDescent="0.3">
      <c r="A1494" s="5">
        <v>43804</v>
      </c>
      <c r="B1494">
        <v>56.41</v>
      </c>
      <c r="C1494">
        <v>56.41</v>
      </c>
      <c r="D1494">
        <v>55.759998000000003</v>
      </c>
      <c r="E1494">
        <v>56.080002</v>
      </c>
      <c r="F1494">
        <v>49.983711</v>
      </c>
      <c r="G1494">
        <v>17673700</v>
      </c>
      <c r="I1494">
        <f t="shared" si="24"/>
        <v>6.632271054290146E-5</v>
      </c>
    </row>
    <row r="1495" spans="1:9" x14ac:dyDescent="0.3">
      <c r="A1495" s="5">
        <v>43805</v>
      </c>
      <c r="B1495">
        <v>56.66</v>
      </c>
      <c r="C1495">
        <v>56.990001999999997</v>
      </c>
      <c r="D1495">
        <v>56.419998</v>
      </c>
      <c r="E1495">
        <v>56.810001</v>
      </c>
      <c r="F1495">
        <v>50.634354000000002</v>
      </c>
      <c r="G1495">
        <v>16476800</v>
      </c>
      <c r="I1495">
        <f t="shared" si="24"/>
        <v>4.761274210459005E-5</v>
      </c>
    </row>
    <row r="1496" spans="1:9" x14ac:dyDescent="0.3">
      <c r="A1496" s="5">
        <v>43808</v>
      </c>
      <c r="B1496">
        <v>56.540000999999997</v>
      </c>
      <c r="C1496">
        <v>56.959999000000003</v>
      </c>
      <c r="D1496">
        <v>56.5</v>
      </c>
      <c r="E1496">
        <v>56.529998999999997</v>
      </c>
      <c r="F1496">
        <v>50.384791999999997</v>
      </c>
      <c r="G1496">
        <v>14298600</v>
      </c>
      <c r="I1496">
        <f t="shared" si="24"/>
        <v>5.6458034411823313E-5</v>
      </c>
    </row>
    <row r="1497" spans="1:9" x14ac:dyDescent="0.3">
      <c r="A1497" s="5">
        <v>43809</v>
      </c>
      <c r="B1497">
        <v>56.709999000000003</v>
      </c>
      <c r="C1497">
        <v>56.830002</v>
      </c>
      <c r="D1497">
        <v>56.439999</v>
      </c>
      <c r="E1497">
        <v>56.59</v>
      </c>
      <c r="F1497">
        <v>50.438277999999997</v>
      </c>
      <c r="G1497">
        <v>16157900</v>
      </c>
      <c r="I1497">
        <f t="shared" si="24"/>
        <v>2.1612917610653039E-5</v>
      </c>
    </row>
    <row r="1498" spans="1:9" x14ac:dyDescent="0.3">
      <c r="A1498" s="5">
        <v>43810</v>
      </c>
      <c r="B1498">
        <v>56.91</v>
      </c>
      <c r="C1498">
        <v>57.169998</v>
      </c>
      <c r="D1498">
        <v>56.580002</v>
      </c>
      <c r="E1498">
        <v>57.07</v>
      </c>
      <c r="F1498">
        <v>50.866092999999999</v>
      </c>
      <c r="G1498">
        <v>20051100</v>
      </c>
      <c r="I1498">
        <f t="shared" si="24"/>
        <v>5.8126558378762998E-5</v>
      </c>
    </row>
    <row r="1499" spans="1:9" x14ac:dyDescent="0.3">
      <c r="A1499" s="5">
        <v>43811</v>
      </c>
      <c r="B1499">
        <v>56.75</v>
      </c>
      <c r="C1499">
        <v>58.049999</v>
      </c>
      <c r="D1499">
        <v>56.610000999999997</v>
      </c>
      <c r="E1499">
        <v>57.549999</v>
      </c>
      <c r="F1499">
        <v>51.293914999999998</v>
      </c>
      <c r="G1499">
        <v>27883300</v>
      </c>
      <c r="I1499">
        <f t="shared" si="24"/>
        <v>2.3660405227571681E-4</v>
      </c>
    </row>
    <row r="1500" spans="1:9" x14ac:dyDescent="0.3">
      <c r="A1500" s="5">
        <v>43812</v>
      </c>
      <c r="B1500">
        <v>57.549999</v>
      </c>
      <c r="C1500">
        <v>58.34</v>
      </c>
      <c r="D1500">
        <v>57.380001</v>
      </c>
      <c r="E1500">
        <v>57.790000999999997</v>
      </c>
      <c r="F1500">
        <v>51.507828000000003</v>
      </c>
      <c r="G1500">
        <v>22795200</v>
      </c>
      <c r="I1500">
        <f t="shared" si="24"/>
        <v>1.5020532359806416E-4</v>
      </c>
    </row>
    <row r="1501" spans="1:9" x14ac:dyDescent="0.3">
      <c r="A1501" s="5">
        <v>43815</v>
      </c>
      <c r="B1501">
        <v>58.209999000000003</v>
      </c>
      <c r="C1501">
        <v>58.57</v>
      </c>
      <c r="D1501">
        <v>57.650002000000001</v>
      </c>
      <c r="E1501">
        <v>57.700001</v>
      </c>
      <c r="F1501">
        <v>51.427607999999999</v>
      </c>
      <c r="G1501">
        <v>19131200</v>
      </c>
      <c r="I1501">
        <f t="shared" si="24"/>
        <v>1.0064928937701602E-4</v>
      </c>
    </row>
    <row r="1502" spans="1:9" x14ac:dyDescent="0.3">
      <c r="A1502" s="5">
        <v>43816</v>
      </c>
      <c r="B1502">
        <v>58</v>
      </c>
      <c r="C1502">
        <v>58.099997999999999</v>
      </c>
      <c r="D1502">
        <v>57.130001</v>
      </c>
      <c r="E1502">
        <v>57.299999</v>
      </c>
      <c r="F1502">
        <v>51.071083000000002</v>
      </c>
      <c r="G1502">
        <v>21653100</v>
      </c>
      <c r="I1502">
        <f t="shared" si="24"/>
        <v>6.8789981688758327E-5</v>
      </c>
    </row>
    <row r="1503" spans="1:9" x14ac:dyDescent="0.3">
      <c r="A1503" s="5">
        <v>43817</v>
      </c>
      <c r="B1503">
        <v>57.389999000000003</v>
      </c>
      <c r="C1503">
        <v>57.459999000000003</v>
      </c>
      <c r="D1503">
        <v>56.939999</v>
      </c>
      <c r="E1503">
        <v>57.169998</v>
      </c>
      <c r="F1503">
        <v>50.955219</v>
      </c>
      <c r="G1503">
        <v>28261000</v>
      </c>
      <c r="I1503">
        <f t="shared" si="24"/>
        <v>3.7901242673322818E-5</v>
      </c>
    </row>
    <row r="1504" spans="1:9" x14ac:dyDescent="0.3">
      <c r="A1504" s="5">
        <v>43818</v>
      </c>
      <c r="B1504">
        <v>57.169998</v>
      </c>
      <c r="C1504">
        <v>57.990001999999997</v>
      </c>
      <c r="D1504">
        <v>56.970001000000003</v>
      </c>
      <c r="E1504">
        <v>57.959999000000003</v>
      </c>
      <c r="F1504">
        <v>51.65934</v>
      </c>
      <c r="G1504">
        <v>18865100</v>
      </c>
      <c r="I1504">
        <f t="shared" si="24"/>
        <v>6.7745215360141934E-5</v>
      </c>
    </row>
    <row r="1505" spans="1:9" x14ac:dyDescent="0.3">
      <c r="A1505" s="5">
        <v>43819</v>
      </c>
      <c r="B1505">
        <v>58.32</v>
      </c>
      <c r="C1505">
        <v>59.049999</v>
      </c>
      <c r="D1505">
        <v>57.889999000000003</v>
      </c>
      <c r="E1505">
        <v>58.950001</v>
      </c>
      <c r="F1505">
        <v>52.541725</v>
      </c>
      <c r="G1505">
        <v>49953000</v>
      </c>
      <c r="I1505">
        <f t="shared" si="24"/>
        <v>1.553645084732396E-4</v>
      </c>
    </row>
    <row r="1506" spans="1:9" x14ac:dyDescent="0.3">
      <c r="A1506" s="5">
        <v>43822</v>
      </c>
      <c r="B1506">
        <v>59.060001</v>
      </c>
      <c r="C1506">
        <v>59.779998999999997</v>
      </c>
      <c r="D1506">
        <v>59.040000999999997</v>
      </c>
      <c r="E1506">
        <v>59.23</v>
      </c>
      <c r="F1506">
        <v>52.791274999999999</v>
      </c>
      <c r="G1506">
        <v>23593000</v>
      </c>
      <c r="I1506">
        <f t="shared" si="24"/>
        <v>1.1308756862371094E-4</v>
      </c>
    </row>
    <row r="1507" spans="1:9" x14ac:dyDescent="0.3">
      <c r="A1507" s="5">
        <v>43823</v>
      </c>
      <c r="B1507">
        <v>59.25</v>
      </c>
      <c r="C1507">
        <v>59.48</v>
      </c>
      <c r="D1507">
        <v>59.16</v>
      </c>
      <c r="E1507">
        <v>59.41</v>
      </c>
      <c r="F1507">
        <v>52.951720999999999</v>
      </c>
      <c r="G1507">
        <v>6313200</v>
      </c>
      <c r="I1507">
        <f t="shared" si="24"/>
        <v>1.0972591471142295E-5</v>
      </c>
    </row>
    <row r="1508" spans="1:9" x14ac:dyDescent="0.3">
      <c r="A1508" s="5">
        <v>43825</v>
      </c>
      <c r="B1508">
        <v>59.41</v>
      </c>
      <c r="C1508">
        <v>59.849997999999999</v>
      </c>
      <c r="D1508">
        <v>59.349997999999999</v>
      </c>
      <c r="E1508">
        <v>59.82</v>
      </c>
      <c r="F1508">
        <v>53.317149999999998</v>
      </c>
      <c r="G1508">
        <v>11480300</v>
      </c>
      <c r="I1508">
        <f t="shared" si="24"/>
        <v>1.166993785610468E-5</v>
      </c>
    </row>
    <row r="1509" spans="1:9" x14ac:dyDescent="0.3">
      <c r="A1509" s="5">
        <v>43826</v>
      </c>
      <c r="B1509">
        <v>59.91</v>
      </c>
      <c r="C1509">
        <v>60.48</v>
      </c>
      <c r="D1509">
        <v>59.900002000000001</v>
      </c>
      <c r="E1509">
        <v>60.080002</v>
      </c>
      <c r="F1509">
        <v>53.548889000000003</v>
      </c>
      <c r="G1509">
        <v>14085800</v>
      </c>
      <c r="I1509">
        <f t="shared" si="24"/>
        <v>6.3336098528910906E-5</v>
      </c>
    </row>
    <row r="1510" spans="1:9" x14ac:dyDescent="0.3">
      <c r="A1510" s="5">
        <v>43829</v>
      </c>
      <c r="B1510">
        <v>59.990001999999997</v>
      </c>
      <c r="C1510">
        <v>60.049999</v>
      </c>
      <c r="D1510">
        <v>59.380001</v>
      </c>
      <c r="E1510">
        <v>59.619999</v>
      </c>
      <c r="F1510">
        <v>53.138897</v>
      </c>
      <c r="G1510">
        <v>12750500</v>
      </c>
      <c r="I1510">
        <f t="shared" si="24"/>
        <v>4.840867852877764E-5</v>
      </c>
    </row>
    <row r="1511" spans="1:9" x14ac:dyDescent="0.3">
      <c r="A1511" s="5">
        <v>43830</v>
      </c>
      <c r="B1511">
        <v>59.619999</v>
      </c>
      <c r="C1511">
        <v>59.93</v>
      </c>
      <c r="D1511">
        <v>59.360000999999997</v>
      </c>
      <c r="E1511">
        <v>59.849997999999999</v>
      </c>
      <c r="F1511">
        <v>53.343879999999999</v>
      </c>
      <c r="G1511">
        <v>14432900</v>
      </c>
      <c r="I1511">
        <f t="shared" si="24"/>
        <v>4.2856300173167976E-5</v>
      </c>
    </row>
    <row r="1512" spans="1:9" x14ac:dyDescent="0.3">
      <c r="A1512" s="5">
        <v>43832</v>
      </c>
      <c r="B1512">
        <v>60.240001999999997</v>
      </c>
      <c r="C1512">
        <v>60.970001000000003</v>
      </c>
      <c r="D1512">
        <v>60.220001000000003</v>
      </c>
      <c r="E1512">
        <v>60.84</v>
      </c>
      <c r="F1512">
        <v>54.226272999999999</v>
      </c>
      <c r="G1512">
        <v>18056000</v>
      </c>
      <c r="I1512">
        <f t="shared" si="24"/>
        <v>2.911208514639051E-5</v>
      </c>
    </row>
    <row r="1513" spans="1:9" x14ac:dyDescent="0.3">
      <c r="A1513" s="5">
        <v>43833</v>
      </c>
      <c r="B1513">
        <v>59.810001</v>
      </c>
      <c r="C1513">
        <v>60.700001</v>
      </c>
      <c r="D1513">
        <v>59.810001</v>
      </c>
      <c r="E1513">
        <v>60.099997999999999</v>
      </c>
      <c r="F1513">
        <v>53.566707999999998</v>
      </c>
      <c r="G1513">
        <v>15293900</v>
      </c>
      <c r="I1513">
        <f t="shared" si="24"/>
        <v>1.4673200870026076E-4</v>
      </c>
    </row>
    <row r="1514" spans="1:9" x14ac:dyDescent="0.3">
      <c r="A1514" s="5">
        <v>43836</v>
      </c>
      <c r="B1514">
        <v>59.59</v>
      </c>
      <c r="C1514">
        <v>60.200001</v>
      </c>
      <c r="D1514">
        <v>59.330002</v>
      </c>
      <c r="E1514">
        <v>59.93</v>
      </c>
      <c r="F1514">
        <v>53.415191999999998</v>
      </c>
      <c r="G1514">
        <v>17755200</v>
      </c>
      <c r="I1514">
        <f t="shared" si="24"/>
        <v>8.9779476014713495E-5</v>
      </c>
    </row>
    <row r="1515" spans="1:9" x14ac:dyDescent="0.3">
      <c r="A1515" s="5">
        <v>43837</v>
      </c>
      <c r="B1515">
        <v>59.779998999999997</v>
      </c>
      <c r="C1515">
        <v>59.799999</v>
      </c>
      <c r="D1515">
        <v>58.889999000000003</v>
      </c>
      <c r="E1515">
        <v>58.93</v>
      </c>
      <c r="F1515">
        <v>52.523899</v>
      </c>
      <c r="G1515">
        <v>21876100</v>
      </c>
      <c r="I1515">
        <f t="shared" si="24"/>
        <v>1.5087461364583934E-5</v>
      </c>
    </row>
    <row r="1516" spans="1:9" x14ac:dyDescent="0.3">
      <c r="A1516" s="5">
        <v>43838</v>
      </c>
      <c r="B1516">
        <v>58.889999000000003</v>
      </c>
      <c r="C1516">
        <v>59.32</v>
      </c>
      <c r="D1516">
        <v>58.52</v>
      </c>
      <c r="E1516">
        <v>58.970001000000003</v>
      </c>
      <c r="F1516">
        <v>52.559562999999997</v>
      </c>
      <c r="G1516">
        <v>23133500</v>
      </c>
      <c r="I1516">
        <f t="shared" si="24"/>
        <v>9.1332864109067624E-5</v>
      </c>
    </row>
    <row r="1517" spans="1:9" x14ac:dyDescent="0.3">
      <c r="A1517" s="5">
        <v>43839</v>
      </c>
      <c r="B1517">
        <v>59.049999</v>
      </c>
      <c r="C1517">
        <v>59.509998000000003</v>
      </c>
      <c r="D1517">
        <v>58.830002</v>
      </c>
      <c r="E1517">
        <v>59.299999</v>
      </c>
      <c r="F1517">
        <v>52.853679999999997</v>
      </c>
      <c r="G1517">
        <v>18813300</v>
      </c>
      <c r="I1517">
        <f t="shared" si="24"/>
        <v>5.713246867653284E-5</v>
      </c>
    </row>
    <row r="1518" spans="1:9" x14ac:dyDescent="0.3">
      <c r="A1518" s="5">
        <v>43840</v>
      </c>
      <c r="B1518">
        <v>59.57</v>
      </c>
      <c r="C1518">
        <v>60.080002</v>
      </c>
      <c r="D1518">
        <v>58.869999</v>
      </c>
      <c r="E1518">
        <v>58.939999</v>
      </c>
      <c r="F1518">
        <v>52.532809999999998</v>
      </c>
      <c r="G1518">
        <v>15200600</v>
      </c>
      <c r="I1518">
        <f t="shared" si="24"/>
        <v>1.7736006016193408E-4</v>
      </c>
    </row>
    <row r="1519" spans="1:9" x14ac:dyDescent="0.3">
      <c r="A1519" s="5">
        <v>43843</v>
      </c>
      <c r="B1519">
        <v>59.169998</v>
      </c>
      <c r="C1519">
        <v>59.779998999999997</v>
      </c>
      <c r="D1519">
        <v>59.080002</v>
      </c>
      <c r="E1519">
        <v>59.59</v>
      </c>
      <c r="F1519">
        <v>53.112147999999998</v>
      </c>
      <c r="G1519">
        <v>16453300</v>
      </c>
      <c r="I1519">
        <f t="shared" si="24"/>
        <v>4.5733392064456507E-5</v>
      </c>
    </row>
    <row r="1520" spans="1:9" x14ac:dyDescent="0.3">
      <c r="A1520" s="5">
        <v>43844</v>
      </c>
      <c r="B1520">
        <v>59.490001999999997</v>
      </c>
      <c r="C1520">
        <v>59.740001999999997</v>
      </c>
      <c r="D1520">
        <v>59.189999</v>
      </c>
      <c r="E1520">
        <v>59.43</v>
      </c>
      <c r="F1520">
        <v>52.969540000000002</v>
      </c>
      <c r="G1520">
        <v>17051200</v>
      </c>
      <c r="I1520">
        <f t="shared" si="24"/>
        <v>4.227600504307729E-5</v>
      </c>
    </row>
    <row r="1521" spans="1:9" x14ac:dyDescent="0.3">
      <c r="A1521" s="5">
        <v>43845</v>
      </c>
      <c r="B1521">
        <v>59.299999</v>
      </c>
      <c r="C1521">
        <v>59.650002000000001</v>
      </c>
      <c r="D1521">
        <v>58.75</v>
      </c>
      <c r="E1521">
        <v>58.939999</v>
      </c>
      <c r="F1521">
        <v>52.532809999999998</v>
      </c>
      <c r="G1521">
        <v>18498800</v>
      </c>
      <c r="I1521">
        <f t="shared" si="24"/>
        <v>1.0055347891976167E-4</v>
      </c>
    </row>
    <row r="1522" spans="1:9" x14ac:dyDescent="0.3">
      <c r="A1522" s="5">
        <v>43846</v>
      </c>
      <c r="B1522">
        <v>59.259998000000003</v>
      </c>
      <c r="C1522">
        <v>59.84</v>
      </c>
      <c r="D1522">
        <v>59.07</v>
      </c>
      <c r="E1522">
        <v>59.66</v>
      </c>
      <c r="F1522">
        <v>53.174545000000002</v>
      </c>
      <c r="G1522">
        <v>21365500</v>
      </c>
      <c r="I1522">
        <f t="shared" si="24"/>
        <v>6.1257843338016066E-5</v>
      </c>
    </row>
    <row r="1523" spans="1:9" x14ac:dyDescent="0.3">
      <c r="A1523" s="5">
        <v>43847</v>
      </c>
      <c r="B1523">
        <v>59.98</v>
      </c>
      <c r="C1523">
        <v>60</v>
      </c>
      <c r="D1523">
        <v>59.240001999999997</v>
      </c>
      <c r="E1523">
        <v>59.599997999999999</v>
      </c>
      <c r="F1523">
        <v>53.121066999999996</v>
      </c>
      <c r="G1523">
        <v>21803400</v>
      </c>
      <c r="I1523">
        <f t="shared" si="24"/>
        <v>7.7441389774945222E-5</v>
      </c>
    </row>
    <row r="1524" spans="1:9" x14ac:dyDescent="0.3">
      <c r="A1524" s="5">
        <v>43851</v>
      </c>
      <c r="B1524">
        <v>59.810001</v>
      </c>
      <c r="C1524">
        <v>61.25</v>
      </c>
      <c r="D1524">
        <v>59.790000999999997</v>
      </c>
      <c r="E1524">
        <v>60.549999</v>
      </c>
      <c r="F1524">
        <v>53.967796</v>
      </c>
      <c r="G1524">
        <v>28358500</v>
      </c>
      <c r="I1524">
        <f t="shared" si="24"/>
        <v>2.7768715233011162E-4</v>
      </c>
    </row>
    <row r="1525" spans="1:9" x14ac:dyDescent="0.3">
      <c r="A1525" s="5">
        <v>43852</v>
      </c>
      <c r="B1525">
        <v>61.040000999999997</v>
      </c>
      <c r="C1525">
        <v>62.849997999999999</v>
      </c>
      <c r="D1525">
        <v>60.970001000000003</v>
      </c>
      <c r="E1525">
        <v>62.73</v>
      </c>
      <c r="F1525">
        <v>55.910809</v>
      </c>
      <c r="G1525">
        <v>29475100</v>
      </c>
      <c r="I1525">
        <f t="shared" si="24"/>
        <v>8.8499111534449951E-5</v>
      </c>
    </row>
    <row r="1526" spans="1:9" x14ac:dyDescent="0.3">
      <c r="A1526" s="5">
        <v>43853</v>
      </c>
      <c r="B1526">
        <v>62.860000999999997</v>
      </c>
      <c r="C1526">
        <v>63.709999000000003</v>
      </c>
      <c r="D1526">
        <v>62.810001</v>
      </c>
      <c r="E1526">
        <v>63.32</v>
      </c>
      <c r="F1526">
        <v>56.436672000000002</v>
      </c>
      <c r="G1526">
        <v>42778700</v>
      </c>
      <c r="I1526">
        <f t="shared" si="24"/>
        <v>8.8908125261999649E-5</v>
      </c>
    </row>
    <row r="1527" spans="1:9" x14ac:dyDescent="0.3">
      <c r="A1527" s="5">
        <v>43854</v>
      </c>
      <c r="B1527">
        <v>66.569999999999993</v>
      </c>
      <c r="C1527">
        <v>69.290001000000004</v>
      </c>
      <c r="D1527">
        <v>66.459998999999996</v>
      </c>
      <c r="E1527">
        <v>68.470000999999996</v>
      </c>
      <c r="F1527">
        <v>61.026833000000003</v>
      </c>
      <c r="G1527">
        <v>84711000</v>
      </c>
      <c r="I1527">
        <f t="shared" si="24"/>
        <v>5.2602574482325391E-4</v>
      </c>
    </row>
    <row r="1528" spans="1:9" x14ac:dyDescent="0.3">
      <c r="A1528" s="5">
        <v>43857</v>
      </c>
      <c r="B1528">
        <v>66.720000999999996</v>
      </c>
      <c r="C1528">
        <v>67.419998000000007</v>
      </c>
      <c r="D1528">
        <v>65.599997999999999</v>
      </c>
      <c r="E1528">
        <v>65.690002000000007</v>
      </c>
      <c r="F1528">
        <v>58.549038000000003</v>
      </c>
      <c r="G1528">
        <v>30764000</v>
      </c>
      <c r="I1528">
        <f t="shared" si="24"/>
        <v>2.9451782653446679E-4</v>
      </c>
    </row>
    <row r="1529" spans="1:9" x14ac:dyDescent="0.3">
      <c r="A1529" s="5">
        <v>43858</v>
      </c>
      <c r="B1529">
        <v>66.5</v>
      </c>
      <c r="C1529">
        <v>67.580001999999993</v>
      </c>
      <c r="D1529">
        <v>65.940002000000007</v>
      </c>
      <c r="E1529">
        <v>67.309997999999993</v>
      </c>
      <c r="F1529">
        <v>59.992930999999999</v>
      </c>
      <c r="G1529">
        <v>30915400</v>
      </c>
      <c r="I1529">
        <f t="shared" si="24"/>
        <v>2.3839331538050805E-4</v>
      </c>
    </row>
    <row r="1530" spans="1:9" x14ac:dyDescent="0.3">
      <c r="A1530" s="5">
        <v>43859</v>
      </c>
      <c r="B1530">
        <v>67.629997000000003</v>
      </c>
      <c r="C1530">
        <v>68.059997999999993</v>
      </c>
      <c r="D1530">
        <v>66.169998000000007</v>
      </c>
      <c r="E1530">
        <v>66.330001999999993</v>
      </c>
      <c r="F1530">
        <v>59.119464999999998</v>
      </c>
      <c r="G1530">
        <v>18055800</v>
      </c>
      <c r="I1530">
        <f t="shared" si="24"/>
        <v>2.1589636886664215E-4</v>
      </c>
    </row>
    <row r="1531" spans="1:9" x14ac:dyDescent="0.3">
      <c r="A1531" s="5">
        <v>43860</v>
      </c>
      <c r="B1531">
        <v>65.639999000000003</v>
      </c>
      <c r="C1531">
        <v>66.5</v>
      </c>
      <c r="D1531">
        <v>64.930000000000007</v>
      </c>
      <c r="E1531">
        <v>66.470000999999996</v>
      </c>
      <c r="F1531">
        <v>59.244255000000003</v>
      </c>
      <c r="G1531">
        <v>18522400</v>
      </c>
      <c r="I1531">
        <f t="shared" si="24"/>
        <v>2.6080519101592814E-4</v>
      </c>
    </row>
    <row r="1532" spans="1:9" x14ac:dyDescent="0.3">
      <c r="A1532" s="5">
        <v>43861</v>
      </c>
      <c r="B1532">
        <v>65.800003000000004</v>
      </c>
      <c r="C1532">
        <v>65.980002999999996</v>
      </c>
      <c r="D1532">
        <v>63.669998</v>
      </c>
      <c r="E1532">
        <v>63.93</v>
      </c>
      <c r="F1532">
        <v>56.980362</v>
      </c>
      <c r="G1532">
        <v>25268400</v>
      </c>
      <c r="I1532">
        <f t="shared" si="24"/>
        <v>2.20327224951086E-4</v>
      </c>
    </row>
    <row r="1533" spans="1:9" x14ac:dyDescent="0.3">
      <c r="A1533" s="5">
        <v>43864</v>
      </c>
      <c r="B1533">
        <v>64.459998999999996</v>
      </c>
      <c r="C1533">
        <v>65.040001000000004</v>
      </c>
      <c r="D1533">
        <v>64.300003000000004</v>
      </c>
      <c r="E1533">
        <v>64.419998000000007</v>
      </c>
      <c r="F1533">
        <v>57.417102999999997</v>
      </c>
      <c r="G1533">
        <v>16646600</v>
      </c>
      <c r="I1533">
        <f t="shared" si="24"/>
        <v>9.0432838124966135E-5</v>
      </c>
    </row>
    <row r="1534" spans="1:9" x14ac:dyDescent="0.3">
      <c r="A1534" s="5">
        <v>43865</v>
      </c>
      <c r="B1534">
        <v>65.769997000000004</v>
      </c>
      <c r="C1534">
        <v>66.059997999999993</v>
      </c>
      <c r="D1534">
        <v>64.919998000000007</v>
      </c>
      <c r="E1534">
        <v>65.459998999999996</v>
      </c>
      <c r="F1534">
        <v>58.34404</v>
      </c>
      <c r="G1534">
        <v>20970800</v>
      </c>
      <c r="I1534">
        <f t="shared" si="24"/>
        <v>1.4789553042700895E-4</v>
      </c>
    </row>
    <row r="1535" spans="1:9" x14ac:dyDescent="0.3">
      <c r="A1535" s="5">
        <v>43866</v>
      </c>
      <c r="B1535">
        <v>66.690002000000007</v>
      </c>
      <c r="C1535">
        <v>67.599997999999999</v>
      </c>
      <c r="D1535">
        <v>66.129997000000003</v>
      </c>
      <c r="E1535">
        <v>67.339995999999999</v>
      </c>
      <c r="F1535">
        <v>60.019669</v>
      </c>
      <c r="G1535">
        <v>23401400</v>
      </c>
      <c r="I1535">
        <f t="shared" si="24"/>
        <v>2.0512633748613165E-4</v>
      </c>
    </row>
    <row r="1536" spans="1:9" x14ac:dyDescent="0.3">
      <c r="A1536" s="5">
        <v>43867</v>
      </c>
      <c r="B1536">
        <v>67.300003000000004</v>
      </c>
      <c r="C1536">
        <v>67.400002000000001</v>
      </c>
      <c r="D1536">
        <v>66.769997000000004</v>
      </c>
      <c r="E1536">
        <v>67.089995999999999</v>
      </c>
      <c r="F1536">
        <v>60.091324</v>
      </c>
      <c r="G1536">
        <v>17408000</v>
      </c>
      <c r="I1536">
        <f t="shared" si="24"/>
        <v>4.4646520966695001E-5</v>
      </c>
    </row>
    <row r="1537" spans="1:9" x14ac:dyDescent="0.3">
      <c r="A1537" s="5">
        <v>43868</v>
      </c>
      <c r="B1537">
        <v>66.860000999999997</v>
      </c>
      <c r="C1537">
        <v>67.300003000000004</v>
      </c>
      <c r="D1537">
        <v>66.010002</v>
      </c>
      <c r="E1537">
        <v>66.019997000000004</v>
      </c>
      <c r="F1537">
        <v>59.132945999999997</v>
      </c>
      <c r="G1537">
        <v>18134600</v>
      </c>
      <c r="I1537">
        <f t="shared" si="24"/>
        <v>1.2789442258830976E-4</v>
      </c>
    </row>
    <row r="1538" spans="1:9" x14ac:dyDescent="0.3">
      <c r="A1538" s="5">
        <v>43871</v>
      </c>
      <c r="B1538">
        <v>65.559997999999993</v>
      </c>
      <c r="C1538">
        <v>66.400002000000001</v>
      </c>
      <c r="D1538">
        <v>65.440002000000007</v>
      </c>
      <c r="E1538">
        <v>66.389999000000003</v>
      </c>
      <c r="F1538">
        <v>59.464343999999997</v>
      </c>
      <c r="G1538">
        <v>22299300</v>
      </c>
      <c r="I1538">
        <f t="shared" si="24"/>
        <v>2.8322176217014814E-5</v>
      </c>
    </row>
    <row r="1539" spans="1:9" x14ac:dyDescent="0.3">
      <c r="A1539" s="5">
        <v>43872</v>
      </c>
      <c r="B1539">
        <v>66.830001999999993</v>
      </c>
      <c r="C1539">
        <v>67.709998999999996</v>
      </c>
      <c r="D1539">
        <v>66.569999999999993</v>
      </c>
      <c r="E1539">
        <v>67.410004000000001</v>
      </c>
      <c r="F1539">
        <v>60.377949000000001</v>
      </c>
      <c r="G1539">
        <v>17975600</v>
      </c>
      <c r="I1539">
        <f t="shared" si="24"/>
        <v>1.069683076141809E-4</v>
      </c>
    </row>
    <row r="1540" spans="1:9" x14ac:dyDescent="0.3">
      <c r="A1540" s="5">
        <v>43873</v>
      </c>
      <c r="B1540">
        <v>67.599997999999999</v>
      </c>
      <c r="C1540">
        <v>68.089995999999999</v>
      </c>
      <c r="D1540">
        <v>67.309997999999993</v>
      </c>
      <c r="E1540">
        <v>67.459998999999996</v>
      </c>
      <c r="F1540">
        <v>60.422728999999997</v>
      </c>
      <c r="G1540">
        <v>15586600</v>
      </c>
      <c r="I1540">
        <f t="shared" si="24"/>
        <v>7.6705309308058243E-5</v>
      </c>
    </row>
    <row r="1541" spans="1:9" x14ac:dyDescent="0.3">
      <c r="A1541" s="5">
        <v>43874</v>
      </c>
      <c r="B1541">
        <v>66.989998</v>
      </c>
      <c r="C1541">
        <v>67.650002000000001</v>
      </c>
      <c r="D1541">
        <v>66.739998</v>
      </c>
      <c r="E1541">
        <v>67.440002000000007</v>
      </c>
      <c r="F1541">
        <v>60.404823</v>
      </c>
      <c r="G1541">
        <v>11602700</v>
      </c>
      <c r="I1541">
        <f t="shared" si="24"/>
        <v>6.949233500841568E-5</v>
      </c>
    </row>
    <row r="1542" spans="1:9" x14ac:dyDescent="0.3">
      <c r="A1542" s="5">
        <v>43875</v>
      </c>
      <c r="B1542">
        <v>67.519997000000004</v>
      </c>
      <c r="C1542">
        <v>67.860000999999997</v>
      </c>
      <c r="D1542">
        <v>66.819999999999993</v>
      </c>
      <c r="E1542">
        <v>67.269997000000004</v>
      </c>
      <c r="F1542">
        <v>60.252544</v>
      </c>
      <c r="G1542">
        <v>13405500</v>
      </c>
      <c r="I1542">
        <f t="shared" si="24"/>
        <v>1.138098893843465E-4</v>
      </c>
    </row>
    <row r="1543" spans="1:9" x14ac:dyDescent="0.3">
      <c r="A1543" s="5">
        <v>43879</v>
      </c>
      <c r="B1543">
        <v>66.660004000000001</v>
      </c>
      <c r="C1543">
        <v>66.690002000000007</v>
      </c>
      <c r="D1543">
        <v>65.879997000000003</v>
      </c>
      <c r="E1543">
        <v>66.139999000000003</v>
      </c>
      <c r="F1543">
        <v>59.240443999999997</v>
      </c>
      <c r="G1543">
        <v>12758400</v>
      </c>
      <c r="I1543">
        <f t="shared" si="24"/>
        <v>5.0087031288790491E-5</v>
      </c>
    </row>
    <row r="1544" spans="1:9" x14ac:dyDescent="0.3">
      <c r="A1544" s="5">
        <v>43880</v>
      </c>
      <c r="B1544">
        <v>66.389999000000003</v>
      </c>
      <c r="C1544">
        <v>67.199996999999996</v>
      </c>
      <c r="D1544">
        <v>66.180000000000007</v>
      </c>
      <c r="E1544">
        <v>67.110000999999997</v>
      </c>
      <c r="F1544">
        <v>60.109240999999997</v>
      </c>
      <c r="G1544">
        <v>13551200</v>
      </c>
      <c r="I1544">
        <f t="shared" si="24"/>
        <v>6.0461859258918327E-5</v>
      </c>
    </row>
    <row r="1545" spans="1:9" x14ac:dyDescent="0.3">
      <c r="A1545" s="5">
        <v>43881</v>
      </c>
      <c r="B1545">
        <v>67.040001000000004</v>
      </c>
      <c r="C1545">
        <v>67.290001000000004</v>
      </c>
      <c r="D1545">
        <v>64.559997999999993</v>
      </c>
      <c r="E1545">
        <v>65.449996999999996</v>
      </c>
      <c r="F1545">
        <v>58.622405999999998</v>
      </c>
      <c r="G1545">
        <v>26452600</v>
      </c>
      <c r="I1545">
        <f t="shared" si="24"/>
        <v>6.1929042808149049E-4</v>
      </c>
    </row>
    <row r="1546" spans="1:9" x14ac:dyDescent="0.3">
      <c r="A1546" s="5">
        <v>43882</v>
      </c>
      <c r="B1546">
        <v>65.180000000000007</v>
      </c>
      <c r="C1546">
        <v>65.25</v>
      </c>
      <c r="D1546">
        <v>64.040001000000004</v>
      </c>
      <c r="E1546">
        <v>64.339995999999999</v>
      </c>
      <c r="F1546">
        <v>57.628200999999997</v>
      </c>
      <c r="G1546">
        <v>20775900</v>
      </c>
      <c r="I1546">
        <f t="shared" si="24"/>
        <v>9.7538894438872577E-5</v>
      </c>
    </row>
    <row r="1547" spans="1:9" x14ac:dyDescent="0.3">
      <c r="A1547" s="5">
        <v>43885</v>
      </c>
      <c r="B1547">
        <v>61.610000999999997</v>
      </c>
      <c r="C1547">
        <v>62.77</v>
      </c>
      <c r="D1547">
        <v>61.32</v>
      </c>
      <c r="E1547">
        <v>61.759998000000003</v>
      </c>
      <c r="F1547">
        <v>55.317340999999999</v>
      </c>
      <c r="G1547">
        <v>26903100</v>
      </c>
      <c r="I1547">
        <f t="shared" si="24"/>
        <v>3.3631202059463327E-4</v>
      </c>
    </row>
    <row r="1548" spans="1:9" x14ac:dyDescent="0.3">
      <c r="A1548" s="5">
        <v>43886</v>
      </c>
      <c r="B1548">
        <v>61.990001999999997</v>
      </c>
      <c r="C1548">
        <v>62.279998999999997</v>
      </c>
      <c r="D1548">
        <v>59.459999000000003</v>
      </c>
      <c r="E1548">
        <v>59.73</v>
      </c>
      <c r="F1548">
        <v>53.499107000000002</v>
      </c>
      <c r="G1548">
        <v>34495700</v>
      </c>
      <c r="I1548">
        <f t="shared" ref="I1548:I1611" si="25">LN(C1548/B1548)*(LN(C1548/B1548)-LN(E1548/B1548))+LN(D1548/B1548)*(LN(D1548/B1548)-LN(E1548/B1548))</f>
        <v>3.8390455732139597E-4</v>
      </c>
    </row>
    <row r="1549" spans="1:9" x14ac:dyDescent="0.3">
      <c r="A1549" s="5">
        <v>43887</v>
      </c>
      <c r="B1549">
        <v>60.110000999999997</v>
      </c>
      <c r="C1549">
        <v>60.82</v>
      </c>
      <c r="D1549">
        <v>59.27</v>
      </c>
      <c r="E1549">
        <v>59.650002000000001</v>
      </c>
      <c r="F1549">
        <v>53.427460000000004</v>
      </c>
      <c r="G1549">
        <v>26190100</v>
      </c>
      <c r="I1549">
        <f t="shared" si="25"/>
        <v>3.1803014900746551E-4</v>
      </c>
    </row>
    <row r="1550" spans="1:9" x14ac:dyDescent="0.3">
      <c r="A1550" s="5">
        <v>43888</v>
      </c>
      <c r="B1550">
        <v>57.93</v>
      </c>
      <c r="C1550">
        <v>58.509998000000003</v>
      </c>
      <c r="D1550">
        <v>55.799999</v>
      </c>
      <c r="E1550">
        <v>55.830002</v>
      </c>
      <c r="F1550">
        <v>50.005943000000002</v>
      </c>
      <c r="G1550">
        <v>42226900</v>
      </c>
      <c r="I1550">
        <f t="shared" si="25"/>
        <v>4.8723025214052109E-4</v>
      </c>
    </row>
    <row r="1551" spans="1:9" x14ac:dyDescent="0.3">
      <c r="A1551" s="5">
        <v>43889</v>
      </c>
      <c r="B1551">
        <v>54.299999</v>
      </c>
      <c r="C1551">
        <v>56.380001</v>
      </c>
      <c r="D1551">
        <v>53.599997999999999</v>
      </c>
      <c r="E1551">
        <v>55.52</v>
      </c>
      <c r="F1551">
        <v>49.728282999999998</v>
      </c>
      <c r="G1551">
        <v>60721700</v>
      </c>
      <c r="I1551">
        <f t="shared" si="25"/>
        <v>1.0344595703775379E-3</v>
      </c>
    </row>
    <row r="1552" spans="1:9" x14ac:dyDescent="0.3">
      <c r="A1552" s="5">
        <v>43892</v>
      </c>
      <c r="B1552">
        <v>55.790000999999997</v>
      </c>
      <c r="C1552">
        <v>58.220001000000003</v>
      </c>
      <c r="D1552">
        <v>54.52</v>
      </c>
      <c r="E1552">
        <v>58.18</v>
      </c>
      <c r="F1552">
        <v>52.110802</v>
      </c>
      <c r="G1552">
        <v>43140300</v>
      </c>
      <c r="I1552">
        <f t="shared" si="25"/>
        <v>1.5254634582412055E-3</v>
      </c>
    </row>
    <row r="1553" spans="1:9" x14ac:dyDescent="0.3">
      <c r="A1553" s="5">
        <v>43893</v>
      </c>
      <c r="B1553">
        <v>58.029998999999997</v>
      </c>
      <c r="C1553">
        <v>59.02</v>
      </c>
      <c r="D1553">
        <v>55.400002000000001</v>
      </c>
      <c r="E1553">
        <v>55.970001000000003</v>
      </c>
      <c r="F1553">
        <v>50.131340000000002</v>
      </c>
      <c r="G1553">
        <v>49740300</v>
      </c>
      <c r="I1553">
        <f t="shared" si="25"/>
        <v>1.372346732723656E-3</v>
      </c>
    </row>
    <row r="1554" spans="1:9" x14ac:dyDescent="0.3">
      <c r="A1554" s="5">
        <v>43894</v>
      </c>
      <c r="B1554">
        <v>57.009998000000003</v>
      </c>
      <c r="C1554">
        <v>58.709999000000003</v>
      </c>
      <c r="D1554">
        <v>56.16</v>
      </c>
      <c r="E1554">
        <v>58.68</v>
      </c>
      <c r="F1554">
        <v>52.558647000000001</v>
      </c>
      <c r="G1554">
        <v>29223100</v>
      </c>
      <c r="I1554">
        <f t="shared" si="25"/>
        <v>6.7439186879115272E-4</v>
      </c>
    </row>
    <row r="1555" spans="1:9" x14ac:dyDescent="0.3">
      <c r="A1555" s="5">
        <v>43895</v>
      </c>
      <c r="B1555">
        <v>57.060001</v>
      </c>
      <c r="C1555">
        <v>58.66</v>
      </c>
      <c r="D1555">
        <v>56.610000999999997</v>
      </c>
      <c r="E1555">
        <v>56.959999000000003</v>
      </c>
      <c r="F1555">
        <v>51.018059000000001</v>
      </c>
      <c r="G1555">
        <v>29099200</v>
      </c>
      <c r="I1555">
        <f t="shared" si="25"/>
        <v>8.6209332850601175E-4</v>
      </c>
    </row>
    <row r="1556" spans="1:9" x14ac:dyDescent="0.3">
      <c r="A1556" s="5">
        <v>43896</v>
      </c>
      <c r="B1556">
        <v>55.18</v>
      </c>
      <c r="C1556">
        <v>56.009998000000003</v>
      </c>
      <c r="D1556">
        <v>54.540000999999997</v>
      </c>
      <c r="E1556">
        <v>55.77</v>
      </c>
      <c r="F1556">
        <v>49.952202</v>
      </c>
      <c r="G1556">
        <v>36259200</v>
      </c>
      <c r="I1556">
        <f t="shared" si="25"/>
        <v>3.2428510358185468E-4</v>
      </c>
    </row>
    <row r="1557" spans="1:9" x14ac:dyDescent="0.3">
      <c r="A1557" s="5">
        <v>43899</v>
      </c>
      <c r="B1557">
        <v>51.919998</v>
      </c>
      <c r="C1557">
        <v>52.709999000000003</v>
      </c>
      <c r="D1557">
        <v>50</v>
      </c>
      <c r="E1557">
        <v>50.849997999999999</v>
      </c>
      <c r="F1557">
        <v>45.545448</v>
      </c>
      <c r="G1557">
        <v>56197000</v>
      </c>
      <c r="I1557">
        <f t="shared" si="25"/>
        <v>1.1777017490040239E-3</v>
      </c>
    </row>
    <row r="1558" spans="1:9" x14ac:dyDescent="0.3">
      <c r="A1558" s="5">
        <v>43900</v>
      </c>
      <c r="B1558">
        <v>52.759998000000003</v>
      </c>
      <c r="C1558">
        <v>54</v>
      </c>
      <c r="D1558">
        <v>50.43</v>
      </c>
      <c r="E1558">
        <v>53.98</v>
      </c>
      <c r="F1558">
        <v>48.348937999999997</v>
      </c>
      <c r="G1558">
        <v>36569000</v>
      </c>
      <c r="I1558">
        <f t="shared" si="25"/>
        <v>3.0812015297302653E-3</v>
      </c>
    </row>
    <row r="1559" spans="1:9" x14ac:dyDescent="0.3">
      <c r="A1559" s="5">
        <v>43901</v>
      </c>
      <c r="B1559">
        <v>52.389999000000003</v>
      </c>
      <c r="C1559">
        <v>53.540000999999997</v>
      </c>
      <c r="D1559">
        <v>51.009998000000003</v>
      </c>
      <c r="E1559">
        <v>51.66</v>
      </c>
      <c r="F1559">
        <v>46.270958</v>
      </c>
      <c r="G1559">
        <v>38563500</v>
      </c>
      <c r="I1559">
        <f t="shared" si="25"/>
        <v>1.1141530786993345E-3</v>
      </c>
    </row>
    <row r="1560" spans="1:9" x14ac:dyDescent="0.3">
      <c r="A1560" s="5">
        <v>43902</v>
      </c>
      <c r="B1560">
        <v>47.990001999999997</v>
      </c>
      <c r="C1560">
        <v>50.09</v>
      </c>
      <c r="D1560">
        <v>45.369999</v>
      </c>
      <c r="E1560">
        <v>45.540000999999997</v>
      </c>
      <c r="F1560">
        <v>40.789375</v>
      </c>
      <c r="G1560">
        <v>50661700</v>
      </c>
      <c r="I1560">
        <f t="shared" si="25"/>
        <v>4.2885594812511092E-3</v>
      </c>
    </row>
    <row r="1561" spans="1:9" x14ac:dyDescent="0.3">
      <c r="A1561" s="5">
        <v>43903</v>
      </c>
      <c r="B1561">
        <v>48.259998000000003</v>
      </c>
      <c r="C1561">
        <v>55</v>
      </c>
      <c r="D1561">
        <v>47.740001999999997</v>
      </c>
      <c r="E1561">
        <v>54.43</v>
      </c>
      <c r="F1561">
        <v>48.751987</v>
      </c>
      <c r="G1561">
        <v>48805100</v>
      </c>
      <c r="I1561">
        <f t="shared" si="25"/>
        <v>2.7826585641352649E-3</v>
      </c>
    </row>
    <row r="1562" spans="1:9" x14ac:dyDescent="0.3">
      <c r="A1562" s="5">
        <v>43906</v>
      </c>
      <c r="B1562">
        <v>47.509998000000003</v>
      </c>
      <c r="C1562">
        <v>52.25</v>
      </c>
      <c r="D1562">
        <v>43.630001</v>
      </c>
      <c r="E1562">
        <v>44.610000999999997</v>
      </c>
      <c r="F1562">
        <v>39.956389999999999</v>
      </c>
      <c r="G1562">
        <v>53878900</v>
      </c>
      <c r="I1562">
        <f t="shared" si="25"/>
        <v>1.6925981790892955E-2</v>
      </c>
    </row>
    <row r="1563" spans="1:9" x14ac:dyDescent="0.3">
      <c r="A1563" s="5">
        <v>43907</v>
      </c>
      <c r="B1563">
        <v>45.759998000000003</v>
      </c>
      <c r="C1563">
        <v>51.630001</v>
      </c>
      <c r="D1563">
        <v>45.200001</v>
      </c>
      <c r="E1563">
        <v>50.080002</v>
      </c>
      <c r="F1563">
        <v>44.85577</v>
      </c>
      <c r="G1563">
        <v>52085200</v>
      </c>
      <c r="I1563">
        <f t="shared" si="25"/>
        <v>4.9412559256178283E-3</v>
      </c>
    </row>
    <row r="1564" spans="1:9" x14ac:dyDescent="0.3">
      <c r="A1564" s="5">
        <v>43908</v>
      </c>
      <c r="B1564">
        <v>46.709999000000003</v>
      </c>
      <c r="C1564">
        <v>50.049999</v>
      </c>
      <c r="D1564">
        <v>45.200001</v>
      </c>
      <c r="E1564">
        <v>47.610000999999997</v>
      </c>
      <c r="F1564">
        <v>42.643436000000001</v>
      </c>
      <c r="G1564">
        <v>49309900</v>
      </c>
      <c r="I1564">
        <f t="shared" si="25"/>
        <v>5.1588018881249887E-3</v>
      </c>
    </row>
    <row r="1565" spans="1:9" x14ac:dyDescent="0.3">
      <c r="A1565" s="5">
        <v>43909</v>
      </c>
      <c r="B1565">
        <v>47.84</v>
      </c>
      <c r="C1565">
        <v>49.23</v>
      </c>
      <c r="D1565">
        <v>45.16</v>
      </c>
      <c r="E1565">
        <v>45.939999</v>
      </c>
      <c r="F1565">
        <v>41.147644</v>
      </c>
      <c r="G1565">
        <v>44538000</v>
      </c>
      <c r="I1565">
        <f t="shared" si="25"/>
        <v>2.9682484791686376E-3</v>
      </c>
    </row>
    <row r="1566" spans="1:9" x14ac:dyDescent="0.3">
      <c r="A1566" s="5">
        <v>43910</v>
      </c>
      <c r="B1566">
        <v>46.509998000000003</v>
      </c>
      <c r="C1566">
        <v>49.419998</v>
      </c>
      <c r="D1566">
        <v>45.470001000000003</v>
      </c>
      <c r="E1566">
        <v>45.830002</v>
      </c>
      <c r="F1566">
        <v>41.049126000000001</v>
      </c>
      <c r="G1566">
        <v>52344000</v>
      </c>
      <c r="I1566">
        <f t="shared" si="25"/>
        <v>4.7551903386198382E-3</v>
      </c>
    </row>
    <row r="1567" spans="1:9" x14ac:dyDescent="0.3">
      <c r="A1567" s="5">
        <v>43913</v>
      </c>
      <c r="B1567">
        <v>46.02</v>
      </c>
      <c r="C1567">
        <v>50.490001999999997</v>
      </c>
      <c r="D1567">
        <v>45.91</v>
      </c>
      <c r="E1567">
        <v>49.580002</v>
      </c>
      <c r="F1567">
        <v>44.407927999999998</v>
      </c>
      <c r="G1567">
        <v>46698500</v>
      </c>
      <c r="I1567">
        <f t="shared" si="25"/>
        <v>1.8700350745171367E-3</v>
      </c>
    </row>
    <row r="1568" spans="1:9" x14ac:dyDescent="0.3">
      <c r="A1568" s="5">
        <v>43914</v>
      </c>
      <c r="B1568">
        <v>53.139999000000003</v>
      </c>
      <c r="C1568">
        <v>54.639999000000003</v>
      </c>
      <c r="D1568">
        <v>51.349997999999999</v>
      </c>
      <c r="E1568">
        <v>52.400002000000001</v>
      </c>
      <c r="F1568">
        <v>46.933750000000003</v>
      </c>
      <c r="G1568">
        <v>50019800</v>
      </c>
      <c r="I1568">
        <f t="shared" si="25"/>
        <v>1.8587978869996895E-3</v>
      </c>
    </row>
    <row r="1569" spans="1:9" x14ac:dyDescent="0.3">
      <c r="A1569" s="5">
        <v>43915</v>
      </c>
      <c r="B1569">
        <v>52.48</v>
      </c>
      <c r="C1569">
        <v>53.790000999999997</v>
      </c>
      <c r="D1569">
        <v>49.91</v>
      </c>
      <c r="E1569">
        <v>51.259998000000003</v>
      </c>
      <c r="F1569">
        <v>45.912674000000003</v>
      </c>
      <c r="G1569">
        <v>41106100</v>
      </c>
      <c r="I1569">
        <f t="shared" si="25"/>
        <v>2.5279134693581783E-3</v>
      </c>
    </row>
    <row r="1570" spans="1:9" x14ac:dyDescent="0.3">
      <c r="A1570" s="5">
        <v>43916</v>
      </c>
      <c r="B1570">
        <v>51.740001999999997</v>
      </c>
      <c r="C1570">
        <v>55.950001</v>
      </c>
      <c r="D1570">
        <v>51.66</v>
      </c>
      <c r="E1570">
        <v>55.540000999999997</v>
      </c>
      <c r="F1570">
        <v>49.746197000000002</v>
      </c>
      <c r="G1570">
        <v>41459800</v>
      </c>
      <c r="I1570">
        <f t="shared" si="25"/>
        <v>6.8742190526384979E-4</v>
      </c>
    </row>
    <row r="1571" spans="1:9" x14ac:dyDescent="0.3">
      <c r="A1571" s="5">
        <v>43917</v>
      </c>
      <c r="B1571">
        <v>53.419998</v>
      </c>
      <c r="C1571">
        <v>54.639999000000003</v>
      </c>
      <c r="D1571">
        <v>52.07</v>
      </c>
      <c r="E1571">
        <v>52.369999</v>
      </c>
      <c r="F1571">
        <v>46.906879000000004</v>
      </c>
      <c r="G1571">
        <v>31633500</v>
      </c>
      <c r="I1571">
        <f t="shared" si="25"/>
        <v>1.1052132660225216E-3</v>
      </c>
    </row>
    <row r="1572" spans="1:9" x14ac:dyDescent="0.3">
      <c r="A1572" s="5">
        <v>43920</v>
      </c>
      <c r="B1572">
        <v>52.990001999999997</v>
      </c>
      <c r="C1572">
        <v>56.099997999999999</v>
      </c>
      <c r="D1572">
        <v>52.830002</v>
      </c>
      <c r="E1572">
        <v>55.490001999999997</v>
      </c>
      <c r="F1572">
        <v>49.701408000000001</v>
      </c>
      <c r="G1572">
        <v>31628600</v>
      </c>
      <c r="I1572">
        <f t="shared" si="25"/>
        <v>7.7208186442058859E-4</v>
      </c>
    </row>
    <row r="1573" spans="1:9" x14ac:dyDescent="0.3">
      <c r="A1573" s="5">
        <v>43921</v>
      </c>
      <c r="B1573">
        <v>55.060001</v>
      </c>
      <c r="C1573">
        <v>55.799999</v>
      </c>
      <c r="D1573">
        <v>53.220001000000003</v>
      </c>
      <c r="E1573">
        <v>54.119999</v>
      </c>
      <c r="F1573">
        <v>48.474330999999999</v>
      </c>
      <c r="G1573">
        <v>48074700</v>
      </c>
      <c r="I1573">
        <f t="shared" si="25"/>
        <v>9.7810305582086217E-4</v>
      </c>
    </row>
    <row r="1574" spans="1:9" x14ac:dyDescent="0.3">
      <c r="A1574" s="5">
        <v>43922</v>
      </c>
      <c r="B1574">
        <v>52.5</v>
      </c>
      <c r="C1574">
        <v>54.689999</v>
      </c>
      <c r="D1574">
        <v>51.43</v>
      </c>
      <c r="E1574">
        <v>51.880001</v>
      </c>
      <c r="F1574">
        <v>46.468001999999998</v>
      </c>
      <c r="G1574">
        <v>29586600</v>
      </c>
      <c r="I1574">
        <f t="shared" si="25"/>
        <v>2.3350550935626537E-3</v>
      </c>
    </row>
    <row r="1575" spans="1:9" x14ac:dyDescent="0.3">
      <c r="A1575" s="5">
        <v>43923</v>
      </c>
      <c r="B1575">
        <v>51.290000999999997</v>
      </c>
      <c r="C1575">
        <v>54.560001</v>
      </c>
      <c r="D1575">
        <v>51.220001000000003</v>
      </c>
      <c r="E1575">
        <v>54.349997999999999</v>
      </c>
      <c r="F1575">
        <v>48.680335999999997</v>
      </c>
      <c r="G1575">
        <v>27810000</v>
      </c>
      <c r="I1575">
        <f t="shared" si="25"/>
        <v>3.1935602330843203E-4</v>
      </c>
    </row>
    <row r="1576" spans="1:9" x14ac:dyDescent="0.3">
      <c r="A1576" s="5">
        <v>43924</v>
      </c>
      <c r="B1576">
        <v>53.849997999999999</v>
      </c>
      <c r="C1576">
        <v>55.130001</v>
      </c>
      <c r="D1576">
        <v>52.73</v>
      </c>
      <c r="E1576">
        <v>54.130001</v>
      </c>
      <c r="F1576">
        <v>48.483294999999998</v>
      </c>
      <c r="G1576">
        <v>23906100</v>
      </c>
      <c r="I1576">
        <f t="shared" si="25"/>
        <v>9.8077766680923343E-4</v>
      </c>
    </row>
    <row r="1577" spans="1:9" x14ac:dyDescent="0.3">
      <c r="A1577" s="5">
        <v>43927</v>
      </c>
      <c r="B1577">
        <v>56.630001</v>
      </c>
      <c r="C1577">
        <v>58.77</v>
      </c>
      <c r="D1577">
        <v>56.119999</v>
      </c>
      <c r="E1577">
        <v>58.43</v>
      </c>
      <c r="F1577">
        <v>52.334721000000002</v>
      </c>
      <c r="G1577">
        <v>32323400</v>
      </c>
      <c r="I1577">
        <f t="shared" si="25"/>
        <v>5.801308956922299E-4</v>
      </c>
    </row>
    <row r="1578" spans="1:9" x14ac:dyDescent="0.3">
      <c r="A1578" s="5">
        <v>43928</v>
      </c>
      <c r="B1578">
        <v>59.939999</v>
      </c>
      <c r="C1578">
        <v>61.490001999999997</v>
      </c>
      <c r="D1578">
        <v>58.209999000000003</v>
      </c>
      <c r="E1578">
        <v>58.400002000000001</v>
      </c>
      <c r="F1578">
        <v>52.307842000000001</v>
      </c>
      <c r="G1578">
        <v>41410000</v>
      </c>
      <c r="I1578">
        <f t="shared" si="25"/>
        <v>1.4117605887162472E-3</v>
      </c>
    </row>
    <row r="1579" spans="1:9" x14ac:dyDescent="0.3">
      <c r="A1579" s="5">
        <v>43929</v>
      </c>
      <c r="B1579">
        <v>58.990001999999997</v>
      </c>
      <c r="C1579">
        <v>59.509998000000003</v>
      </c>
      <c r="D1579">
        <v>57.91</v>
      </c>
      <c r="E1579">
        <v>58.98</v>
      </c>
      <c r="F1579">
        <v>52.827339000000002</v>
      </c>
      <c r="G1579">
        <v>26719500</v>
      </c>
      <c r="I1579">
        <f t="shared" si="25"/>
        <v>4.1681186686878547E-4</v>
      </c>
    </row>
    <row r="1580" spans="1:9" x14ac:dyDescent="0.3">
      <c r="A1580" s="5">
        <v>43930</v>
      </c>
      <c r="B1580">
        <v>59.360000999999997</v>
      </c>
      <c r="C1580">
        <v>59.720001000000003</v>
      </c>
      <c r="D1580">
        <v>56.060001</v>
      </c>
      <c r="E1580">
        <v>57.139999000000003</v>
      </c>
      <c r="F1580">
        <v>51.179287000000002</v>
      </c>
      <c r="G1580">
        <v>40499700</v>
      </c>
      <c r="I1580">
        <f t="shared" si="25"/>
        <v>1.3584663354803961E-3</v>
      </c>
    </row>
    <row r="1581" spans="1:9" x14ac:dyDescent="0.3">
      <c r="A1581" s="5">
        <v>43934</v>
      </c>
      <c r="B1581">
        <v>56.57</v>
      </c>
      <c r="C1581">
        <v>58.77</v>
      </c>
      <c r="D1581">
        <v>56.57</v>
      </c>
      <c r="E1581">
        <v>58.700001</v>
      </c>
      <c r="F1581">
        <v>52.576549999999997</v>
      </c>
      <c r="G1581">
        <v>23251900</v>
      </c>
      <c r="I1581">
        <f t="shared" si="25"/>
        <v>4.546951442103401E-5</v>
      </c>
    </row>
    <row r="1582" spans="1:9" x14ac:dyDescent="0.3">
      <c r="A1582" s="5">
        <v>43935</v>
      </c>
      <c r="B1582">
        <v>60.040000999999997</v>
      </c>
      <c r="C1582">
        <v>60.900002000000001</v>
      </c>
      <c r="D1582">
        <v>59.509998000000003</v>
      </c>
      <c r="E1582">
        <v>60.66</v>
      </c>
      <c r="F1582">
        <v>54.332092000000003</v>
      </c>
      <c r="G1582">
        <v>25674000</v>
      </c>
      <c r="I1582">
        <f t="shared" si="25"/>
        <v>2.2586919588949263E-4</v>
      </c>
    </row>
    <row r="1583" spans="1:9" x14ac:dyDescent="0.3">
      <c r="A1583" s="5">
        <v>43936</v>
      </c>
      <c r="B1583">
        <v>59.740001999999997</v>
      </c>
      <c r="C1583">
        <v>59.830002</v>
      </c>
      <c r="D1583">
        <v>58.389999000000003</v>
      </c>
      <c r="E1583">
        <v>58.869999</v>
      </c>
      <c r="F1583">
        <v>52.728813000000002</v>
      </c>
      <c r="G1583">
        <v>22841600</v>
      </c>
      <c r="I1583">
        <f t="shared" si="25"/>
        <v>2.1148234484741493E-4</v>
      </c>
    </row>
    <row r="1584" spans="1:9" x14ac:dyDescent="0.3">
      <c r="A1584" s="5">
        <v>43937</v>
      </c>
      <c r="B1584">
        <v>59.610000999999997</v>
      </c>
      <c r="C1584">
        <v>60.959999000000003</v>
      </c>
      <c r="D1584">
        <v>58.810001</v>
      </c>
      <c r="E1584">
        <v>60.790000999999997</v>
      </c>
      <c r="F1584">
        <v>54.448528000000003</v>
      </c>
      <c r="G1584">
        <v>24433500</v>
      </c>
      <c r="I1584">
        <f t="shared" si="25"/>
        <v>5.099479566813128E-4</v>
      </c>
    </row>
    <row r="1585" spans="1:9" x14ac:dyDescent="0.3">
      <c r="A1585" s="5">
        <v>43938</v>
      </c>
      <c r="B1585">
        <v>62.02</v>
      </c>
      <c r="C1585">
        <v>62.130001</v>
      </c>
      <c r="D1585">
        <v>59.830002</v>
      </c>
      <c r="E1585">
        <v>60.360000999999997</v>
      </c>
      <c r="F1585">
        <v>54.063384999999997</v>
      </c>
      <c r="G1585">
        <v>27385600</v>
      </c>
      <c r="I1585">
        <f t="shared" si="25"/>
        <v>3.6827174130925702E-4</v>
      </c>
    </row>
    <row r="1586" spans="1:9" x14ac:dyDescent="0.3">
      <c r="A1586" s="5">
        <v>43941</v>
      </c>
      <c r="B1586">
        <v>59.279998999999997</v>
      </c>
      <c r="C1586">
        <v>60.040000999999997</v>
      </c>
      <c r="D1586">
        <v>58.889999000000003</v>
      </c>
      <c r="E1586">
        <v>59.18</v>
      </c>
      <c r="F1586">
        <v>53.006476999999997</v>
      </c>
      <c r="G1586">
        <v>26420300</v>
      </c>
      <c r="I1586">
        <f t="shared" si="25"/>
        <v>2.162161870923561E-4</v>
      </c>
    </row>
    <row r="1587" spans="1:9" x14ac:dyDescent="0.3">
      <c r="A1587" s="5">
        <v>43942</v>
      </c>
      <c r="B1587">
        <v>58.110000999999997</v>
      </c>
      <c r="C1587">
        <v>58.599997999999999</v>
      </c>
      <c r="D1587">
        <v>55.93</v>
      </c>
      <c r="E1587">
        <v>56.360000999999997</v>
      </c>
      <c r="F1587">
        <v>50.480651999999999</v>
      </c>
      <c r="G1587">
        <v>25248000</v>
      </c>
      <c r="I1587">
        <f t="shared" si="25"/>
        <v>6.2011642869816072E-4</v>
      </c>
    </row>
    <row r="1588" spans="1:9" x14ac:dyDescent="0.3">
      <c r="A1588" s="5">
        <v>43943</v>
      </c>
      <c r="B1588">
        <v>58.27</v>
      </c>
      <c r="C1588">
        <v>60.5</v>
      </c>
      <c r="D1588">
        <v>57.810001</v>
      </c>
      <c r="E1588">
        <v>60.099997999999999</v>
      </c>
      <c r="F1588">
        <v>53.830508999999999</v>
      </c>
      <c r="G1588">
        <v>23350400</v>
      </c>
      <c r="I1588">
        <f t="shared" si="25"/>
        <v>5.5702333639284058E-4</v>
      </c>
    </row>
    <row r="1589" spans="1:9" x14ac:dyDescent="0.3">
      <c r="A1589" s="5">
        <v>43944</v>
      </c>
      <c r="B1589">
        <v>59.669998</v>
      </c>
      <c r="C1589">
        <v>60.099997999999999</v>
      </c>
      <c r="D1589">
        <v>58.810001</v>
      </c>
      <c r="E1589">
        <v>59.040000999999997</v>
      </c>
      <c r="F1589">
        <v>52.881092000000002</v>
      </c>
      <c r="G1589">
        <v>35092000</v>
      </c>
      <c r="I1589">
        <f t="shared" si="25"/>
        <v>1.8443894248082359E-4</v>
      </c>
    </row>
    <row r="1590" spans="1:9" x14ac:dyDescent="0.3">
      <c r="A1590" s="5">
        <v>43945</v>
      </c>
      <c r="B1590">
        <v>56.200001</v>
      </c>
      <c r="C1590">
        <v>59.400002000000001</v>
      </c>
      <c r="D1590">
        <v>56.099997999999999</v>
      </c>
      <c r="E1590">
        <v>59.259998000000003</v>
      </c>
      <c r="F1590">
        <v>53.078133000000001</v>
      </c>
      <c r="G1590">
        <v>50187000</v>
      </c>
      <c r="I1590">
        <f t="shared" si="25"/>
        <v>2.2827353312715991E-4</v>
      </c>
    </row>
    <row r="1591" spans="1:9" x14ac:dyDescent="0.3">
      <c r="A1591" s="5">
        <v>43948</v>
      </c>
      <c r="B1591">
        <v>59.720001000000003</v>
      </c>
      <c r="C1591">
        <v>59.830002</v>
      </c>
      <c r="D1591">
        <v>58.389999000000003</v>
      </c>
      <c r="E1591">
        <v>59.470001000000003</v>
      </c>
      <c r="F1591">
        <v>53.266227999999998</v>
      </c>
      <c r="G1591">
        <v>25902200</v>
      </c>
      <c r="I1591">
        <f t="shared" si="25"/>
        <v>4.2388218313261491E-4</v>
      </c>
    </row>
    <row r="1592" spans="1:9" x14ac:dyDescent="0.3">
      <c r="A1592" s="5">
        <v>43949</v>
      </c>
      <c r="B1592">
        <v>59.990001999999997</v>
      </c>
      <c r="C1592">
        <v>60.220001000000003</v>
      </c>
      <c r="D1592">
        <v>58.259998000000003</v>
      </c>
      <c r="E1592">
        <v>58.75</v>
      </c>
      <c r="F1592">
        <v>52.621341999999999</v>
      </c>
      <c r="G1592">
        <v>28784700</v>
      </c>
      <c r="I1592">
        <f t="shared" si="25"/>
        <v>3.3965251431071529E-4</v>
      </c>
    </row>
    <row r="1593" spans="1:9" x14ac:dyDescent="0.3">
      <c r="A1593" s="5">
        <v>43950</v>
      </c>
      <c r="B1593">
        <v>59.439999</v>
      </c>
      <c r="C1593">
        <v>62.029998999999997</v>
      </c>
      <c r="D1593">
        <v>59.32</v>
      </c>
      <c r="E1593">
        <v>61.799999</v>
      </c>
      <c r="F1593">
        <v>55.353167999999997</v>
      </c>
      <c r="G1593">
        <v>30451500</v>
      </c>
      <c r="I1593">
        <f t="shared" si="25"/>
        <v>2.4120616235396086E-4</v>
      </c>
    </row>
    <row r="1594" spans="1:9" x14ac:dyDescent="0.3">
      <c r="A1594" s="5">
        <v>43951</v>
      </c>
      <c r="B1594">
        <v>61.369999</v>
      </c>
      <c r="C1594">
        <v>61.540000999999997</v>
      </c>
      <c r="D1594">
        <v>59.75</v>
      </c>
      <c r="E1594">
        <v>59.98</v>
      </c>
      <c r="F1594">
        <v>53.723025999999997</v>
      </c>
      <c r="G1594">
        <v>26279900</v>
      </c>
      <c r="I1594">
        <f t="shared" si="25"/>
        <v>1.7380811661599088E-4</v>
      </c>
    </row>
    <row r="1595" spans="1:9" x14ac:dyDescent="0.3">
      <c r="A1595" s="5">
        <v>43952</v>
      </c>
      <c r="B1595">
        <v>58.830002</v>
      </c>
      <c r="C1595">
        <v>59.32</v>
      </c>
      <c r="D1595">
        <v>57.310001</v>
      </c>
      <c r="E1595">
        <v>57.470001000000003</v>
      </c>
      <c r="F1595">
        <v>51.474865000000001</v>
      </c>
      <c r="G1595">
        <v>21194800</v>
      </c>
      <c r="I1595">
        <f t="shared" si="25"/>
        <v>3.3577940871952922E-4</v>
      </c>
    </row>
    <row r="1596" spans="1:9" x14ac:dyDescent="0.3">
      <c r="A1596" s="5">
        <v>43955</v>
      </c>
      <c r="B1596">
        <v>57.119999</v>
      </c>
      <c r="C1596">
        <v>58.07</v>
      </c>
      <c r="D1596">
        <v>56.310001</v>
      </c>
      <c r="E1596">
        <v>57.990001999999997</v>
      </c>
      <c r="F1596">
        <v>51.940632000000001</v>
      </c>
      <c r="G1596">
        <v>18957200</v>
      </c>
      <c r="I1596">
        <f t="shared" si="25"/>
        <v>4.4261224490858863E-4</v>
      </c>
    </row>
    <row r="1597" spans="1:9" x14ac:dyDescent="0.3">
      <c r="A1597" s="5">
        <v>43956</v>
      </c>
      <c r="B1597">
        <v>58.790000999999997</v>
      </c>
      <c r="C1597">
        <v>59.299999</v>
      </c>
      <c r="D1597">
        <v>58.349997999999999</v>
      </c>
      <c r="E1597">
        <v>58.75</v>
      </c>
      <c r="F1597">
        <v>52.621341999999999</v>
      </c>
      <c r="G1597">
        <v>17252100</v>
      </c>
      <c r="I1597">
        <f t="shared" si="25"/>
        <v>1.3180927083580884E-4</v>
      </c>
    </row>
    <row r="1598" spans="1:9" x14ac:dyDescent="0.3">
      <c r="A1598" s="5">
        <v>43957</v>
      </c>
      <c r="B1598">
        <v>59.040000999999997</v>
      </c>
      <c r="C1598">
        <v>59.950001</v>
      </c>
      <c r="D1598">
        <v>58.939999</v>
      </c>
      <c r="E1598">
        <v>59.18</v>
      </c>
      <c r="F1598">
        <v>53.305897000000002</v>
      </c>
      <c r="G1598">
        <v>17848700</v>
      </c>
      <c r="I1598">
        <f t="shared" si="25"/>
        <v>2.0462027932185596E-4</v>
      </c>
    </row>
    <row r="1599" spans="1:9" x14ac:dyDescent="0.3">
      <c r="A1599" s="5">
        <v>43958</v>
      </c>
      <c r="B1599">
        <v>59.93</v>
      </c>
      <c r="C1599">
        <v>60.099997999999999</v>
      </c>
      <c r="D1599">
        <v>58.919998</v>
      </c>
      <c r="E1599">
        <v>59.169998</v>
      </c>
      <c r="F1599">
        <v>53.296889999999998</v>
      </c>
      <c r="G1599">
        <v>14733500</v>
      </c>
      <c r="I1599">
        <f t="shared" si="25"/>
        <v>1.1613977909551233E-4</v>
      </c>
    </row>
    <row r="1600" spans="1:9" x14ac:dyDescent="0.3">
      <c r="A1600" s="5">
        <v>43959</v>
      </c>
      <c r="B1600">
        <v>59.669998</v>
      </c>
      <c r="C1600">
        <v>59.779998999999997</v>
      </c>
      <c r="D1600">
        <v>59.049999</v>
      </c>
      <c r="E1600">
        <v>59.669998</v>
      </c>
      <c r="F1600">
        <v>53.747269000000003</v>
      </c>
      <c r="G1600">
        <v>20384500</v>
      </c>
      <c r="I1600">
        <f t="shared" si="25"/>
        <v>1.1248651122215595E-4</v>
      </c>
    </row>
    <row r="1601" spans="1:9" x14ac:dyDescent="0.3">
      <c r="A1601" s="5">
        <v>43962</v>
      </c>
      <c r="B1601">
        <v>59.740001999999997</v>
      </c>
      <c r="C1601">
        <v>60.84</v>
      </c>
      <c r="D1601">
        <v>59.709999000000003</v>
      </c>
      <c r="E1601">
        <v>60.130001</v>
      </c>
      <c r="F1601">
        <v>54.161602000000002</v>
      </c>
      <c r="G1601">
        <v>18684400</v>
      </c>
      <c r="I1601">
        <f t="shared" si="25"/>
        <v>2.1769861572631537E-4</v>
      </c>
    </row>
    <row r="1602" spans="1:9" x14ac:dyDescent="0.3">
      <c r="A1602" s="5">
        <v>43963</v>
      </c>
      <c r="B1602">
        <v>60.220001000000003</v>
      </c>
      <c r="C1602">
        <v>60.639999000000003</v>
      </c>
      <c r="D1602">
        <v>58.259998000000003</v>
      </c>
      <c r="E1602">
        <v>58.389999000000003</v>
      </c>
      <c r="F1602">
        <v>52.594310999999998</v>
      </c>
      <c r="G1602">
        <v>16754900</v>
      </c>
      <c r="I1602">
        <f t="shared" si="25"/>
        <v>3.3653913454669183E-4</v>
      </c>
    </row>
    <row r="1603" spans="1:9" x14ac:dyDescent="0.3">
      <c r="A1603" s="5">
        <v>43964</v>
      </c>
      <c r="B1603">
        <v>58.450001</v>
      </c>
      <c r="C1603">
        <v>59.23</v>
      </c>
      <c r="D1603">
        <v>56.900002000000001</v>
      </c>
      <c r="E1603">
        <v>57.740001999999997</v>
      </c>
      <c r="F1603">
        <v>52.008831000000001</v>
      </c>
      <c r="G1603">
        <v>21065000</v>
      </c>
      <c r="I1603">
        <f t="shared" si="25"/>
        <v>7.3161580888589405E-4</v>
      </c>
    </row>
    <row r="1604" spans="1:9" x14ac:dyDescent="0.3">
      <c r="A1604" s="5">
        <v>43965</v>
      </c>
      <c r="B1604">
        <v>57.32</v>
      </c>
      <c r="C1604">
        <v>59.150002000000001</v>
      </c>
      <c r="D1604">
        <v>56.099997999999999</v>
      </c>
      <c r="E1604">
        <v>59.080002</v>
      </c>
      <c r="F1604">
        <v>53.215828000000002</v>
      </c>
      <c r="G1604">
        <v>21569400</v>
      </c>
      <c r="I1604">
        <f t="shared" si="25"/>
        <v>1.1506987215074787E-3</v>
      </c>
    </row>
    <row r="1605" spans="1:9" x14ac:dyDescent="0.3">
      <c r="A1605" s="5">
        <v>43966</v>
      </c>
      <c r="B1605">
        <v>57.400002000000001</v>
      </c>
      <c r="C1605">
        <v>58.369999</v>
      </c>
      <c r="D1605">
        <v>56.959999000000003</v>
      </c>
      <c r="E1605">
        <v>58.279998999999997</v>
      </c>
      <c r="F1605">
        <v>52.495232000000001</v>
      </c>
      <c r="G1605">
        <v>21373300</v>
      </c>
      <c r="I1605">
        <f t="shared" si="25"/>
        <v>2.0215072711374951E-4</v>
      </c>
    </row>
    <row r="1606" spans="1:9" x14ac:dyDescent="0.3">
      <c r="A1606" s="5">
        <v>43969</v>
      </c>
      <c r="B1606">
        <v>59.740001999999997</v>
      </c>
      <c r="C1606">
        <v>60.279998999999997</v>
      </c>
      <c r="D1606">
        <v>59.360000999999997</v>
      </c>
      <c r="E1606">
        <v>59.919998</v>
      </c>
      <c r="F1606">
        <v>53.972450000000002</v>
      </c>
      <c r="G1606">
        <v>20428700</v>
      </c>
      <c r="I1606">
        <f t="shared" si="25"/>
        <v>1.1381931985879975E-4</v>
      </c>
    </row>
    <row r="1607" spans="1:9" x14ac:dyDescent="0.3">
      <c r="A1607" s="5">
        <v>43970</v>
      </c>
      <c r="B1607">
        <v>60.130001</v>
      </c>
      <c r="C1607">
        <v>61.77</v>
      </c>
      <c r="D1607">
        <v>59.849997999999999</v>
      </c>
      <c r="E1607">
        <v>60.290000999999997</v>
      </c>
      <c r="F1607">
        <v>54.305728999999999</v>
      </c>
      <c r="G1607">
        <v>21865000</v>
      </c>
      <c r="I1607">
        <f t="shared" si="25"/>
        <v>6.8677133175745915E-4</v>
      </c>
    </row>
    <row r="1608" spans="1:9" x14ac:dyDescent="0.3">
      <c r="A1608" s="5">
        <v>43971</v>
      </c>
      <c r="B1608">
        <v>61.16</v>
      </c>
      <c r="C1608">
        <v>63.490001999999997</v>
      </c>
      <c r="D1608">
        <v>61.02</v>
      </c>
      <c r="E1608">
        <v>63.099997999999999</v>
      </c>
      <c r="F1608">
        <v>56.836803000000003</v>
      </c>
      <c r="G1608">
        <v>30584000</v>
      </c>
      <c r="I1608">
        <f t="shared" si="25"/>
        <v>3.0719613467831373E-4</v>
      </c>
    </row>
    <row r="1609" spans="1:9" x14ac:dyDescent="0.3">
      <c r="A1609" s="5">
        <v>43972</v>
      </c>
      <c r="B1609">
        <v>63.099997999999999</v>
      </c>
      <c r="C1609">
        <v>63.799999</v>
      </c>
      <c r="D1609">
        <v>61.82</v>
      </c>
      <c r="E1609">
        <v>61.98</v>
      </c>
      <c r="F1609">
        <v>55.827979999999997</v>
      </c>
      <c r="G1609">
        <v>20987700</v>
      </c>
      <c r="I1609">
        <f t="shared" si="25"/>
        <v>3.7226711139829718E-4</v>
      </c>
    </row>
    <row r="1610" spans="1:9" x14ac:dyDescent="0.3">
      <c r="A1610" s="5">
        <v>43973</v>
      </c>
      <c r="B1610">
        <v>61.98</v>
      </c>
      <c r="C1610">
        <v>62.32</v>
      </c>
      <c r="D1610">
        <v>61.419998</v>
      </c>
      <c r="E1610">
        <v>62.259998000000003</v>
      </c>
      <c r="F1610">
        <v>56.080185</v>
      </c>
      <c r="G1610">
        <v>14103000</v>
      </c>
      <c r="I1610">
        <f t="shared" si="25"/>
        <v>1.285585827470237E-4</v>
      </c>
    </row>
    <row r="1611" spans="1:9" x14ac:dyDescent="0.3">
      <c r="A1611" s="5">
        <v>43977</v>
      </c>
      <c r="B1611">
        <v>63.68</v>
      </c>
      <c r="C1611">
        <v>64.139999000000003</v>
      </c>
      <c r="D1611">
        <v>62.119999</v>
      </c>
      <c r="E1611">
        <v>62.34</v>
      </c>
      <c r="F1611">
        <v>56.152245000000001</v>
      </c>
      <c r="G1611">
        <v>20933600</v>
      </c>
      <c r="I1611">
        <f t="shared" si="25"/>
        <v>2.9256434611586474E-4</v>
      </c>
    </row>
    <row r="1612" spans="1:9" x14ac:dyDescent="0.3">
      <c r="A1612" s="5">
        <v>43978</v>
      </c>
      <c r="B1612">
        <v>62.32</v>
      </c>
      <c r="C1612">
        <v>63.59</v>
      </c>
      <c r="D1612">
        <v>61.07</v>
      </c>
      <c r="E1612">
        <v>63.560001</v>
      </c>
      <c r="F1612">
        <v>57.251151999999998</v>
      </c>
      <c r="G1612">
        <v>19886300</v>
      </c>
      <c r="I1612">
        <f t="shared" ref="I1612:I1675" si="26">LN(C1612/B1612)*(LN(C1612/B1612)-LN(E1612/B1612))+LN(D1612/B1612)*(LN(D1612/B1612)-LN(E1612/B1612))</f>
        <v>8.1924823425440717E-4</v>
      </c>
    </row>
    <row r="1613" spans="1:9" x14ac:dyDescent="0.3">
      <c r="A1613" s="5">
        <v>43979</v>
      </c>
      <c r="B1613">
        <v>63</v>
      </c>
      <c r="C1613">
        <v>63.450001</v>
      </c>
      <c r="D1613">
        <v>61.490001999999997</v>
      </c>
      <c r="E1613">
        <v>61.700001</v>
      </c>
      <c r="F1613">
        <v>55.575775</v>
      </c>
      <c r="G1613">
        <v>17253500</v>
      </c>
      <c r="I1613">
        <f t="shared" si="26"/>
        <v>2.8177504962180119E-4</v>
      </c>
    </row>
    <row r="1614" spans="1:9" x14ac:dyDescent="0.3">
      <c r="A1614" s="5">
        <v>43980</v>
      </c>
      <c r="B1614">
        <v>61.900002000000001</v>
      </c>
      <c r="C1614">
        <v>63.66</v>
      </c>
      <c r="D1614">
        <v>61.619999</v>
      </c>
      <c r="E1614">
        <v>62.93</v>
      </c>
      <c r="F1614">
        <v>56.683684999999997</v>
      </c>
      <c r="G1614">
        <v>33393900</v>
      </c>
      <c r="I1614">
        <f t="shared" si="26"/>
        <v>4.1872751541855216E-4</v>
      </c>
    </row>
    <row r="1615" spans="1:9" x14ac:dyDescent="0.3">
      <c r="A1615" s="5">
        <v>43983</v>
      </c>
      <c r="B1615">
        <v>62.490001999999997</v>
      </c>
      <c r="C1615">
        <v>62.66</v>
      </c>
      <c r="D1615">
        <v>61.66</v>
      </c>
      <c r="E1615">
        <v>61.860000999999997</v>
      </c>
      <c r="F1615">
        <v>55.719898000000001</v>
      </c>
      <c r="G1615">
        <v>14317700</v>
      </c>
      <c r="I1615">
        <f t="shared" si="26"/>
        <v>7.820898693668775E-5</v>
      </c>
    </row>
    <row r="1616" spans="1:9" x14ac:dyDescent="0.3">
      <c r="A1616" s="5">
        <v>43984</v>
      </c>
      <c r="B1616">
        <v>61.700001</v>
      </c>
      <c r="C1616">
        <v>62.169998</v>
      </c>
      <c r="D1616">
        <v>60.830002</v>
      </c>
      <c r="E1616">
        <v>62.119999</v>
      </c>
      <c r="F1616">
        <v>55.954082</v>
      </c>
      <c r="G1616">
        <v>20702400</v>
      </c>
      <c r="I1616">
        <f t="shared" si="26"/>
        <v>3.0410778644057127E-4</v>
      </c>
    </row>
    <row r="1617" spans="1:9" x14ac:dyDescent="0.3">
      <c r="A1617" s="5">
        <v>43985</v>
      </c>
      <c r="B1617">
        <v>62.450001</v>
      </c>
      <c r="C1617">
        <v>62.540000999999997</v>
      </c>
      <c r="D1617">
        <v>61.529998999999997</v>
      </c>
      <c r="E1617">
        <v>61.93</v>
      </c>
      <c r="F1617">
        <v>55.782935999999999</v>
      </c>
      <c r="G1617">
        <v>16737300</v>
      </c>
      <c r="I1617">
        <f t="shared" si="26"/>
        <v>1.102859135530506E-4</v>
      </c>
    </row>
    <row r="1618" spans="1:9" x14ac:dyDescent="0.3">
      <c r="A1618" s="5">
        <v>43986</v>
      </c>
      <c r="B1618">
        <v>61.740001999999997</v>
      </c>
      <c r="C1618">
        <v>63.470001000000003</v>
      </c>
      <c r="D1618">
        <v>61.34</v>
      </c>
      <c r="E1618">
        <v>62.970001000000003</v>
      </c>
      <c r="F1618">
        <v>56.719710999999997</v>
      </c>
      <c r="G1618">
        <v>22010100</v>
      </c>
      <c r="I1618">
        <f t="shared" si="26"/>
        <v>3.8903381769822223E-4</v>
      </c>
    </row>
    <row r="1619" spans="1:9" x14ac:dyDescent="0.3">
      <c r="A1619" s="5">
        <v>43987</v>
      </c>
      <c r="B1619">
        <v>63.360000999999997</v>
      </c>
      <c r="C1619">
        <v>65.110000999999997</v>
      </c>
      <c r="D1619">
        <v>63.16</v>
      </c>
      <c r="E1619">
        <v>64.339995999999999</v>
      </c>
      <c r="F1619">
        <v>57.953727999999998</v>
      </c>
      <c r="G1619">
        <v>26813100</v>
      </c>
      <c r="I1619">
        <f t="shared" si="26"/>
        <v>3.8265201023244622E-4</v>
      </c>
    </row>
    <row r="1620" spans="1:9" x14ac:dyDescent="0.3">
      <c r="A1620" s="5">
        <v>43990</v>
      </c>
      <c r="B1620">
        <v>63.970001000000003</v>
      </c>
      <c r="C1620">
        <v>64.150002000000001</v>
      </c>
      <c r="D1620">
        <v>62.939999</v>
      </c>
      <c r="E1620">
        <v>63.669998</v>
      </c>
      <c r="F1620">
        <v>57.350234999999998</v>
      </c>
      <c r="G1620">
        <v>21546200</v>
      </c>
      <c r="I1620">
        <f t="shared" si="26"/>
        <v>2.0828898388675852E-4</v>
      </c>
    </row>
    <row r="1621" spans="1:9" x14ac:dyDescent="0.3">
      <c r="A1621" s="5">
        <v>43991</v>
      </c>
      <c r="B1621">
        <v>62.990001999999997</v>
      </c>
      <c r="C1621">
        <v>63.709999000000003</v>
      </c>
      <c r="D1621">
        <v>62.900002000000001</v>
      </c>
      <c r="E1621">
        <v>63.040000999999997</v>
      </c>
      <c r="F1621">
        <v>56.782775999999998</v>
      </c>
      <c r="G1621">
        <v>23594100</v>
      </c>
      <c r="I1621">
        <f t="shared" si="26"/>
        <v>1.2333565995015794E-4</v>
      </c>
    </row>
    <row r="1622" spans="1:9" x14ac:dyDescent="0.3">
      <c r="A1622" s="5">
        <v>43992</v>
      </c>
      <c r="B1622">
        <v>62.790000999999997</v>
      </c>
      <c r="C1622">
        <v>64.290001000000004</v>
      </c>
      <c r="D1622">
        <v>62.75</v>
      </c>
      <c r="E1622">
        <v>63.869999</v>
      </c>
      <c r="F1622">
        <v>57.530383999999998</v>
      </c>
      <c r="G1622">
        <v>21367800</v>
      </c>
      <c r="I1622">
        <f t="shared" si="26"/>
        <v>1.6601109152561557E-4</v>
      </c>
    </row>
    <row r="1623" spans="1:9" x14ac:dyDescent="0.3">
      <c r="A1623" s="5">
        <v>43993</v>
      </c>
      <c r="B1623">
        <v>63.07</v>
      </c>
      <c r="C1623">
        <v>63.299999</v>
      </c>
      <c r="D1623">
        <v>59.52</v>
      </c>
      <c r="E1623">
        <v>59.700001</v>
      </c>
      <c r="F1623">
        <v>53.774287999999999</v>
      </c>
      <c r="G1623">
        <v>26998200</v>
      </c>
      <c r="I1623">
        <f t="shared" si="26"/>
        <v>3.880760269009023E-4</v>
      </c>
    </row>
    <row r="1624" spans="1:9" x14ac:dyDescent="0.3">
      <c r="A1624" s="5">
        <v>43994</v>
      </c>
      <c r="B1624">
        <v>60.110000999999997</v>
      </c>
      <c r="C1624">
        <v>60.959999000000003</v>
      </c>
      <c r="D1624">
        <v>58.119999</v>
      </c>
      <c r="E1624">
        <v>59.330002</v>
      </c>
      <c r="F1624">
        <v>53.441012999999998</v>
      </c>
      <c r="G1624">
        <v>30419800</v>
      </c>
      <c r="I1624">
        <f t="shared" si="26"/>
        <v>1.0742743407320386E-3</v>
      </c>
    </row>
    <row r="1625" spans="1:9" x14ac:dyDescent="0.3">
      <c r="A1625" s="5">
        <v>43997</v>
      </c>
      <c r="B1625">
        <v>59.330002</v>
      </c>
      <c r="C1625">
        <v>60.360000999999997</v>
      </c>
      <c r="D1625">
        <v>58.580002</v>
      </c>
      <c r="E1625">
        <v>60.099997999999999</v>
      </c>
      <c r="F1625">
        <v>54.134582999999999</v>
      </c>
      <c r="G1625">
        <v>29651700</v>
      </c>
      <c r="I1625">
        <f t="shared" si="26"/>
        <v>4.0018504393828747E-4</v>
      </c>
    </row>
    <row r="1626" spans="1:9" x14ac:dyDescent="0.3">
      <c r="A1626" s="5">
        <v>43998</v>
      </c>
      <c r="B1626">
        <v>61.490001999999997</v>
      </c>
      <c r="C1626">
        <v>61.650002000000001</v>
      </c>
      <c r="D1626">
        <v>59.490001999999997</v>
      </c>
      <c r="E1626">
        <v>60.400002000000001</v>
      </c>
      <c r="F1626">
        <v>54.404803999999999</v>
      </c>
      <c r="G1626">
        <v>23226600</v>
      </c>
      <c r="I1626">
        <f t="shared" si="26"/>
        <v>5.552071982273055E-4</v>
      </c>
    </row>
    <row r="1627" spans="1:9" x14ac:dyDescent="0.3">
      <c r="A1627" s="5">
        <v>43999</v>
      </c>
      <c r="B1627">
        <v>60.740001999999997</v>
      </c>
      <c r="C1627">
        <v>61.279998999999997</v>
      </c>
      <c r="D1627">
        <v>60.060001</v>
      </c>
      <c r="E1627">
        <v>60.490001999999997</v>
      </c>
      <c r="F1627">
        <v>54.485878</v>
      </c>
      <c r="G1627">
        <v>20454800</v>
      </c>
      <c r="I1627">
        <f t="shared" si="26"/>
        <v>1.9516330433819905E-4</v>
      </c>
    </row>
    <row r="1628" spans="1:9" x14ac:dyDescent="0.3">
      <c r="A1628" s="5">
        <v>44000</v>
      </c>
      <c r="B1628">
        <v>60.349997999999999</v>
      </c>
      <c r="C1628">
        <v>60.509998000000003</v>
      </c>
      <c r="D1628">
        <v>59.32</v>
      </c>
      <c r="E1628">
        <v>60.080002</v>
      </c>
      <c r="F1628">
        <v>54.116570000000003</v>
      </c>
      <c r="G1628">
        <v>24899700</v>
      </c>
      <c r="I1628">
        <f t="shared" si="26"/>
        <v>2.380304876864393E-4</v>
      </c>
    </row>
    <row r="1629" spans="1:9" x14ac:dyDescent="0.3">
      <c r="A1629" s="5">
        <v>44001</v>
      </c>
      <c r="B1629">
        <v>60.650002000000001</v>
      </c>
      <c r="C1629">
        <v>60.889999000000003</v>
      </c>
      <c r="D1629">
        <v>59.099997999999999</v>
      </c>
      <c r="E1629">
        <v>59.619999</v>
      </c>
      <c r="F1629">
        <v>53.702229000000003</v>
      </c>
      <c r="G1629">
        <v>60336100</v>
      </c>
      <c r="I1629">
        <f t="shared" si="26"/>
        <v>3.1003263514580522E-4</v>
      </c>
    </row>
    <row r="1630" spans="1:9" x14ac:dyDescent="0.3">
      <c r="A1630" s="5">
        <v>44004</v>
      </c>
      <c r="B1630">
        <v>59.73</v>
      </c>
      <c r="C1630">
        <v>60.549999</v>
      </c>
      <c r="D1630">
        <v>58.830002</v>
      </c>
      <c r="E1630">
        <v>60.09</v>
      </c>
      <c r="F1630">
        <v>54.125576000000002</v>
      </c>
      <c r="G1630">
        <v>22846000</v>
      </c>
      <c r="I1630">
        <f t="shared" si="26"/>
        <v>4.2571945977165875E-4</v>
      </c>
    </row>
    <row r="1631" spans="1:9" x14ac:dyDescent="0.3">
      <c r="A1631" s="5">
        <v>44005</v>
      </c>
      <c r="B1631">
        <v>60.189999</v>
      </c>
      <c r="C1631">
        <v>60.470001000000003</v>
      </c>
      <c r="D1631">
        <v>59.860000999999997</v>
      </c>
      <c r="E1631">
        <v>59.919998</v>
      </c>
      <c r="F1631">
        <v>53.972450000000002</v>
      </c>
      <c r="G1631">
        <v>22809600</v>
      </c>
      <c r="I1631">
        <f t="shared" si="26"/>
        <v>4.7914385808875274E-5</v>
      </c>
    </row>
    <row r="1632" spans="1:9" x14ac:dyDescent="0.3">
      <c r="A1632" s="5">
        <v>44006</v>
      </c>
      <c r="B1632">
        <v>59.639999000000003</v>
      </c>
      <c r="C1632">
        <v>59.810001</v>
      </c>
      <c r="D1632">
        <v>58.669998</v>
      </c>
      <c r="E1632">
        <v>59.09</v>
      </c>
      <c r="F1632">
        <v>53.224834000000001</v>
      </c>
      <c r="G1632">
        <v>27764500</v>
      </c>
      <c r="I1632">
        <f t="shared" si="26"/>
        <v>1.5144381920649427E-4</v>
      </c>
    </row>
    <row r="1633" spans="1:9" x14ac:dyDescent="0.3">
      <c r="A1633" s="5">
        <v>44007</v>
      </c>
      <c r="B1633">
        <v>58.98</v>
      </c>
      <c r="C1633">
        <v>59.09</v>
      </c>
      <c r="D1633">
        <v>57.48</v>
      </c>
      <c r="E1633">
        <v>58.509998000000003</v>
      </c>
      <c r="F1633">
        <v>52.702399999999997</v>
      </c>
      <c r="G1633">
        <v>21906900</v>
      </c>
      <c r="I1633">
        <f t="shared" si="26"/>
        <v>4.7591621411273812E-4</v>
      </c>
    </row>
    <row r="1634" spans="1:9" x14ac:dyDescent="0.3">
      <c r="A1634" s="5">
        <v>44008</v>
      </c>
      <c r="B1634">
        <v>58.490001999999997</v>
      </c>
      <c r="C1634">
        <v>58.73</v>
      </c>
      <c r="D1634">
        <v>57.07</v>
      </c>
      <c r="E1634">
        <v>57.5</v>
      </c>
      <c r="F1634">
        <v>51.792659999999998</v>
      </c>
      <c r="G1634">
        <v>38477500</v>
      </c>
      <c r="I1634">
        <f t="shared" si="26"/>
        <v>2.7115591643657553E-4</v>
      </c>
    </row>
    <row r="1635" spans="1:9" x14ac:dyDescent="0.3">
      <c r="A1635" s="5">
        <v>44011</v>
      </c>
      <c r="B1635">
        <v>57.470001000000003</v>
      </c>
      <c r="C1635">
        <v>58.349997999999999</v>
      </c>
      <c r="D1635">
        <v>56.759998000000003</v>
      </c>
      <c r="E1635">
        <v>58.27</v>
      </c>
      <c r="F1635">
        <v>52.486221</v>
      </c>
      <c r="G1635">
        <v>22150300</v>
      </c>
      <c r="I1635">
        <f t="shared" si="26"/>
        <v>3.4723845370582366E-4</v>
      </c>
    </row>
    <row r="1636" spans="1:9" x14ac:dyDescent="0.3">
      <c r="A1636" s="5">
        <v>44012</v>
      </c>
      <c r="B1636">
        <v>58.709999000000003</v>
      </c>
      <c r="C1636">
        <v>59.98</v>
      </c>
      <c r="D1636">
        <v>58.540000999999997</v>
      </c>
      <c r="E1636">
        <v>59.830002</v>
      </c>
      <c r="F1636">
        <v>53.891392000000003</v>
      </c>
      <c r="G1636">
        <v>31542100</v>
      </c>
      <c r="I1636">
        <f t="shared" si="26"/>
        <v>1.1679274675545904E-4</v>
      </c>
    </row>
    <row r="1637" spans="1:9" x14ac:dyDescent="0.3">
      <c r="A1637" s="5">
        <v>44013</v>
      </c>
      <c r="B1637">
        <v>59.91</v>
      </c>
      <c r="C1637">
        <v>60.029998999999997</v>
      </c>
      <c r="D1637">
        <v>58.759998000000003</v>
      </c>
      <c r="E1637">
        <v>58.810001</v>
      </c>
      <c r="F1637">
        <v>52.972630000000002</v>
      </c>
      <c r="G1637">
        <v>14748100</v>
      </c>
      <c r="I1637">
        <f t="shared" si="26"/>
        <v>5.7571794037936133E-5</v>
      </c>
    </row>
    <row r="1638" spans="1:9" x14ac:dyDescent="0.3">
      <c r="A1638" s="5">
        <v>44014</v>
      </c>
      <c r="B1638">
        <v>59.189999</v>
      </c>
      <c r="C1638">
        <v>59.810001</v>
      </c>
      <c r="D1638">
        <v>58.970001000000003</v>
      </c>
      <c r="E1638">
        <v>59.130001</v>
      </c>
      <c r="F1638">
        <v>53.260863999999998</v>
      </c>
      <c r="G1638">
        <v>15578600</v>
      </c>
      <c r="I1638">
        <f t="shared" si="26"/>
        <v>1.2924018754870465E-4</v>
      </c>
    </row>
    <row r="1639" spans="1:9" x14ac:dyDescent="0.3">
      <c r="A1639" s="5">
        <v>44018</v>
      </c>
      <c r="B1639">
        <v>58.720001000000003</v>
      </c>
      <c r="C1639">
        <v>59.619999</v>
      </c>
      <c r="D1639">
        <v>58.599997999999999</v>
      </c>
      <c r="E1639">
        <v>59.540000999999997</v>
      </c>
      <c r="F1639">
        <v>53.630172999999999</v>
      </c>
      <c r="G1639">
        <v>20536700</v>
      </c>
      <c r="I1639">
        <f t="shared" si="26"/>
        <v>5.2978648192205023E-5</v>
      </c>
    </row>
    <row r="1640" spans="1:9" x14ac:dyDescent="0.3">
      <c r="A1640" s="5">
        <v>44019</v>
      </c>
      <c r="B1640">
        <v>59.07</v>
      </c>
      <c r="C1640">
        <v>59.57</v>
      </c>
      <c r="D1640">
        <v>58.139999000000003</v>
      </c>
      <c r="E1640">
        <v>58.310001</v>
      </c>
      <c r="F1640">
        <v>52.522255000000001</v>
      </c>
      <c r="G1640">
        <v>15996500</v>
      </c>
      <c r="I1640">
        <f t="shared" si="26"/>
        <v>2.2653151071514509E-4</v>
      </c>
    </row>
    <row r="1641" spans="1:9" x14ac:dyDescent="0.3">
      <c r="A1641" s="5">
        <v>44020</v>
      </c>
      <c r="B1641">
        <v>58.450001</v>
      </c>
      <c r="C1641">
        <v>58.700001</v>
      </c>
      <c r="D1641">
        <v>57.93</v>
      </c>
      <c r="E1641">
        <v>58.610000999999997</v>
      </c>
      <c r="F1641">
        <v>52.792484000000002</v>
      </c>
      <c r="G1641">
        <v>13277900</v>
      </c>
      <c r="I1641">
        <f t="shared" si="26"/>
        <v>1.1083538090515936E-4</v>
      </c>
    </row>
    <row r="1642" spans="1:9" x14ac:dyDescent="0.3">
      <c r="A1642" s="5">
        <v>44021</v>
      </c>
      <c r="B1642">
        <v>58.200001</v>
      </c>
      <c r="C1642">
        <v>58.75</v>
      </c>
      <c r="D1642">
        <v>57.700001</v>
      </c>
      <c r="E1642">
        <v>58.419998</v>
      </c>
      <c r="F1642">
        <v>52.621338000000002</v>
      </c>
      <c r="G1642">
        <v>20683700</v>
      </c>
      <c r="I1642">
        <f t="shared" si="26"/>
        <v>1.5998042683937016E-4</v>
      </c>
    </row>
    <row r="1643" spans="1:9" x14ac:dyDescent="0.3">
      <c r="A1643" s="5">
        <v>44022</v>
      </c>
      <c r="B1643">
        <v>57.950001</v>
      </c>
      <c r="C1643">
        <v>59.689999</v>
      </c>
      <c r="D1643">
        <v>57.830002</v>
      </c>
      <c r="E1643">
        <v>59.529998999999997</v>
      </c>
      <c r="F1643">
        <v>53.621155000000002</v>
      </c>
      <c r="G1643">
        <v>17742300</v>
      </c>
      <c r="I1643">
        <f t="shared" si="26"/>
        <v>1.3946345048502753E-4</v>
      </c>
    </row>
    <row r="1644" spans="1:9" x14ac:dyDescent="0.3">
      <c r="A1644" s="5">
        <v>44025</v>
      </c>
      <c r="B1644">
        <v>59.84</v>
      </c>
      <c r="C1644">
        <v>60.619999</v>
      </c>
      <c r="D1644">
        <v>58.389999000000003</v>
      </c>
      <c r="E1644">
        <v>58.580002</v>
      </c>
      <c r="F1644">
        <v>52.765469000000003</v>
      </c>
      <c r="G1644">
        <v>19082900</v>
      </c>
      <c r="I1644">
        <f t="shared" si="26"/>
        <v>5.2300641091539233E-4</v>
      </c>
    </row>
    <row r="1645" spans="1:9" x14ac:dyDescent="0.3">
      <c r="A1645" s="5">
        <v>44026</v>
      </c>
      <c r="B1645">
        <v>57.869999</v>
      </c>
      <c r="C1645">
        <v>59.25</v>
      </c>
      <c r="D1645">
        <v>57.349997999999999</v>
      </c>
      <c r="E1645">
        <v>58.98</v>
      </c>
      <c r="F1645">
        <v>53.125748000000002</v>
      </c>
      <c r="G1645">
        <v>24190900</v>
      </c>
      <c r="I1645">
        <f t="shared" si="26"/>
        <v>3.6060504519225446E-4</v>
      </c>
    </row>
    <row r="1646" spans="1:9" x14ac:dyDescent="0.3">
      <c r="A1646" s="5">
        <v>44027</v>
      </c>
      <c r="B1646">
        <v>59.029998999999997</v>
      </c>
      <c r="C1646">
        <v>59.34</v>
      </c>
      <c r="D1646">
        <v>58.419998</v>
      </c>
      <c r="E1646">
        <v>59.029998999999997</v>
      </c>
      <c r="F1646">
        <v>53.170788000000002</v>
      </c>
      <c r="G1646">
        <v>19986300</v>
      </c>
      <c r="I1646">
        <f t="shared" si="26"/>
        <v>1.3533535001163132E-4</v>
      </c>
    </row>
    <row r="1647" spans="1:9" x14ac:dyDescent="0.3">
      <c r="A1647" s="5">
        <v>44028</v>
      </c>
      <c r="B1647">
        <v>58.540000999999997</v>
      </c>
      <c r="C1647">
        <v>59.360000999999997</v>
      </c>
      <c r="D1647">
        <v>58.400002000000001</v>
      </c>
      <c r="E1647">
        <v>59.139999000000003</v>
      </c>
      <c r="F1647">
        <v>53.269866999999998</v>
      </c>
      <c r="G1647">
        <v>12425900</v>
      </c>
      <c r="I1647">
        <f t="shared" si="26"/>
        <v>8.1799591810029063E-5</v>
      </c>
    </row>
    <row r="1648" spans="1:9" x14ac:dyDescent="0.3">
      <c r="A1648" s="5">
        <v>44029</v>
      </c>
      <c r="B1648">
        <v>59.419998</v>
      </c>
      <c r="C1648">
        <v>60.459999000000003</v>
      </c>
      <c r="D1648">
        <v>59.279998999999997</v>
      </c>
      <c r="E1648">
        <v>60</v>
      </c>
      <c r="F1648">
        <v>54.044510000000002</v>
      </c>
      <c r="G1648">
        <v>16322800</v>
      </c>
      <c r="I1648">
        <f t="shared" si="26"/>
        <v>1.6099546988744001E-4</v>
      </c>
    </row>
    <row r="1649" spans="1:9" x14ac:dyDescent="0.3">
      <c r="A1649" s="5">
        <v>44032</v>
      </c>
      <c r="B1649">
        <v>60.080002</v>
      </c>
      <c r="C1649">
        <v>61.380001</v>
      </c>
      <c r="D1649">
        <v>59.34</v>
      </c>
      <c r="E1649">
        <v>61.150002000000001</v>
      </c>
      <c r="F1649">
        <v>55.080368</v>
      </c>
      <c r="G1649">
        <v>16868700</v>
      </c>
      <c r="I1649">
        <f t="shared" si="26"/>
        <v>4.5274196777621864E-4</v>
      </c>
    </row>
    <row r="1650" spans="1:9" x14ac:dyDescent="0.3">
      <c r="A1650" s="5">
        <v>44033</v>
      </c>
      <c r="B1650">
        <v>61.52</v>
      </c>
      <c r="C1650">
        <v>61.93</v>
      </c>
      <c r="D1650">
        <v>60.439999</v>
      </c>
      <c r="E1650">
        <v>60.700001</v>
      </c>
      <c r="F1650">
        <v>54.67503</v>
      </c>
      <c r="G1650">
        <v>19803700</v>
      </c>
      <c r="I1650">
        <f t="shared" si="26"/>
        <v>2.0927998737015296E-4</v>
      </c>
    </row>
    <row r="1651" spans="1:9" x14ac:dyDescent="0.3">
      <c r="A1651" s="5">
        <v>44034</v>
      </c>
      <c r="B1651">
        <v>61.310001</v>
      </c>
      <c r="C1651">
        <v>61.77</v>
      </c>
      <c r="D1651">
        <v>60.619999</v>
      </c>
      <c r="E1651">
        <v>61.049999</v>
      </c>
      <c r="F1651">
        <v>54.990295000000003</v>
      </c>
      <c r="G1651">
        <v>18959900</v>
      </c>
      <c r="I1651">
        <f t="shared" si="26"/>
        <v>1.6763981885829207E-4</v>
      </c>
    </row>
    <row r="1652" spans="1:9" x14ac:dyDescent="0.3">
      <c r="A1652" s="5">
        <v>44035</v>
      </c>
      <c r="B1652">
        <v>61.259998000000003</v>
      </c>
      <c r="C1652">
        <v>61.740001999999997</v>
      </c>
      <c r="D1652">
        <v>59.98</v>
      </c>
      <c r="E1652">
        <v>60.400002000000001</v>
      </c>
      <c r="F1652">
        <v>54.404803999999999</v>
      </c>
      <c r="G1652">
        <v>43518600</v>
      </c>
      <c r="I1652">
        <f t="shared" si="26"/>
        <v>3.186100334778097E-4</v>
      </c>
    </row>
    <row r="1653" spans="1:9" x14ac:dyDescent="0.3">
      <c r="A1653" s="5">
        <v>44036</v>
      </c>
      <c r="B1653">
        <v>52.150002000000001</v>
      </c>
      <c r="C1653">
        <v>52.18</v>
      </c>
      <c r="D1653">
        <v>49.5</v>
      </c>
      <c r="E1653">
        <v>50.59</v>
      </c>
      <c r="F1653">
        <v>45.568531</v>
      </c>
      <c r="G1653">
        <v>182269900</v>
      </c>
      <c r="I1653">
        <f t="shared" si="26"/>
        <v>1.1537218395583544E-3</v>
      </c>
    </row>
    <row r="1654" spans="1:9" x14ac:dyDescent="0.3">
      <c r="A1654" s="5">
        <v>44039</v>
      </c>
      <c r="B1654">
        <v>51.029998999999997</v>
      </c>
      <c r="C1654">
        <v>51.139999000000003</v>
      </c>
      <c r="D1654">
        <v>49.470001000000003</v>
      </c>
      <c r="E1654">
        <v>49.57</v>
      </c>
      <c r="F1654">
        <v>44.649773000000003</v>
      </c>
      <c r="G1654">
        <v>107526500</v>
      </c>
      <c r="I1654">
        <f t="shared" si="26"/>
        <v>1.2983729887161349E-4</v>
      </c>
    </row>
    <row r="1655" spans="1:9" x14ac:dyDescent="0.3">
      <c r="A1655" s="5">
        <v>44040</v>
      </c>
      <c r="B1655">
        <v>49.48</v>
      </c>
      <c r="C1655">
        <v>50.23</v>
      </c>
      <c r="D1655">
        <v>49.139999000000003</v>
      </c>
      <c r="E1655">
        <v>49.240001999999997</v>
      </c>
      <c r="F1655">
        <v>44.352519999999998</v>
      </c>
      <c r="G1655">
        <v>62362600</v>
      </c>
      <c r="I1655">
        <f t="shared" si="26"/>
        <v>3.1348372972850753E-4</v>
      </c>
    </row>
    <row r="1656" spans="1:9" x14ac:dyDescent="0.3">
      <c r="A1656" s="5">
        <v>44041</v>
      </c>
      <c r="B1656">
        <v>49.490001999999997</v>
      </c>
      <c r="C1656">
        <v>49.5</v>
      </c>
      <c r="D1656">
        <v>47.900002000000001</v>
      </c>
      <c r="E1656">
        <v>48.07</v>
      </c>
      <c r="F1656">
        <v>43.298659999999998</v>
      </c>
      <c r="G1656">
        <v>60500800</v>
      </c>
      <c r="I1656">
        <f t="shared" si="26"/>
        <v>1.2160998405449797E-4</v>
      </c>
    </row>
    <row r="1657" spans="1:9" x14ac:dyDescent="0.3">
      <c r="A1657" s="5">
        <v>44042</v>
      </c>
      <c r="B1657">
        <v>47.830002</v>
      </c>
      <c r="C1657">
        <v>48.5</v>
      </c>
      <c r="D1657">
        <v>47.59</v>
      </c>
      <c r="E1657">
        <v>47.990001999999997</v>
      </c>
      <c r="F1657">
        <v>43.226604000000002</v>
      </c>
      <c r="G1657">
        <v>39735200</v>
      </c>
      <c r="I1657">
        <f t="shared" si="26"/>
        <v>1.8915642254091391E-4</v>
      </c>
    </row>
    <row r="1658" spans="1:9" x14ac:dyDescent="0.3">
      <c r="A1658" s="5">
        <v>44043</v>
      </c>
      <c r="B1658">
        <v>48.130001</v>
      </c>
      <c r="C1658">
        <v>48.32</v>
      </c>
      <c r="D1658">
        <v>46.970001000000003</v>
      </c>
      <c r="E1658">
        <v>47.73</v>
      </c>
      <c r="F1658">
        <v>42.992409000000002</v>
      </c>
      <c r="G1658">
        <v>46536000</v>
      </c>
      <c r="I1658">
        <f t="shared" si="26"/>
        <v>4.3999250284632805E-4</v>
      </c>
    </row>
    <row r="1659" spans="1:9" x14ac:dyDescent="0.3">
      <c r="A1659" s="5">
        <v>44046</v>
      </c>
      <c r="B1659">
        <v>48.27</v>
      </c>
      <c r="C1659">
        <v>48.630001</v>
      </c>
      <c r="D1659">
        <v>47.740001999999997</v>
      </c>
      <c r="E1659">
        <v>48.299999</v>
      </c>
      <c r="F1659">
        <v>43.505833000000003</v>
      </c>
      <c r="G1659">
        <v>31767100</v>
      </c>
      <c r="I1659">
        <f t="shared" si="26"/>
        <v>1.7934830974091945E-4</v>
      </c>
    </row>
    <row r="1660" spans="1:9" x14ac:dyDescent="0.3">
      <c r="A1660" s="5">
        <v>44047</v>
      </c>
      <c r="B1660">
        <v>48.599997999999999</v>
      </c>
      <c r="C1660">
        <v>49.139999000000003</v>
      </c>
      <c r="D1660">
        <v>48.5</v>
      </c>
      <c r="E1660">
        <v>49.130001</v>
      </c>
      <c r="F1660">
        <v>44.253452000000003</v>
      </c>
      <c r="G1660">
        <v>29045800</v>
      </c>
      <c r="I1660">
        <f t="shared" si="26"/>
        <v>2.8830950988095618E-5</v>
      </c>
    </row>
    <row r="1661" spans="1:9" x14ac:dyDescent="0.3">
      <c r="A1661" s="5">
        <v>44048</v>
      </c>
      <c r="B1661">
        <v>49.720001000000003</v>
      </c>
      <c r="C1661">
        <v>49.720001000000003</v>
      </c>
      <c r="D1661">
        <v>48.66</v>
      </c>
      <c r="E1661">
        <v>48.919998</v>
      </c>
      <c r="F1661">
        <v>44.064289000000002</v>
      </c>
      <c r="G1661">
        <v>29438600</v>
      </c>
      <c r="I1661">
        <f t="shared" si="26"/>
        <v>1.1483822746496048E-4</v>
      </c>
    </row>
    <row r="1662" spans="1:9" x14ac:dyDescent="0.3">
      <c r="A1662" s="5">
        <v>44049</v>
      </c>
      <c r="B1662">
        <v>48.790000999999997</v>
      </c>
      <c r="C1662">
        <v>48.82</v>
      </c>
      <c r="D1662">
        <v>48.099997999999999</v>
      </c>
      <c r="E1662">
        <v>48.57</v>
      </c>
      <c r="F1662">
        <v>44.046157999999998</v>
      </c>
      <c r="G1662">
        <v>23795500</v>
      </c>
      <c r="I1662">
        <f t="shared" si="26"/>
        <v>1.4165604515989128E-4</v>
      </c>
    </row>
    <row r="1663" spans="1:9" x14ac:dyDescent="0.3">
      <c r="A1663" s="5">
        <v>44050</v>
      </c>
      <c r="B1663">
        <v>48.529998999999997</v>
      </c>
      <c r="C1663">
        <v>48.650002000000001</v>
      </c>
      <c r="D1663">
        <v>47.700001</v>
      </c>
      <c r="E1663">
        <v>48.029998999999997</v>
      </c>
      <c r="F1663">
        <v>43.556446000000001</v>
      </c>
      <c r="G1663">
        <v>36765200</v>
      </c>
      <c r="I1663">
        <f t="shared" si="26"/>
        <v>1.506095738071529E-4</v>
      </c>
    </row>
    <row r="1664" spans="1:9" x14ac:dyDescent="0.3">
      <c r="A1664" s="5">
        <v>44053</v>
      </c>
      <c r="B1664">
        <v>48.200001</v>
      </c>
      <c r="C1664">
        <v>49.389999000000003</v>
      </c>
      <c r="D1664">
        <v>48.060001</v>
      </c>
      <c r="E1664">
        <v>49.220001000000003</v>
      </c>
      <c r="F1664">
        <v>44.635612000000002</v>
      </c>
      <c r="G1664">
        <v>37442600</v>
      </c>
      <c r="I1664">
        <f t="shared" si="26"/>
        <v>1.5346438111033358E-4</v>
      </c>
    </row>
    <row r="1665" spans="1:9" x14ac:dyDescent="0.3">
      <c r="A1665" s="5">
        <v>44054</v>
      </c>
      <c r="B1665">
        <v>49.630001</v>
      </c>
      <c r="C1665">
        <v>49.73</v>
      </c>
      <c r="D1665">
        <v>48.060001</v>
      </c>
      <c r="E1665">
        <v>48.189999</v>
      </c>
      <c r="F1665">
        <v>43.701546</v>
      </c>
      <c r="G1665">
        <v>35348100</v>
      </c>
      <c r="I1665">
        <f t="shared" si="26"/>
        <v>1.5015101688265221E-4</v>
      </c>
    </row>
    <row r="1666" spans="1:9" x14ac:dyDescent="0.3">
      <c r="A1666" s="5">
        <v>44055</v>
      </c>
      <c r="B1666">
        <v>48.669998</v>
      </c>
      <c r="C1666">
        <v>49.259998000000003</v>
      </c>
      <c r="D1666">
        <v>48.240001999999997</v>
      </c>
      <c r="E1666">
        <v>49.189999</v>
      </c>
      <c r="F1666">
        <v>44.608409999999999</v>
      </c>
      <c r="G1666">
        <v>30659800</v>
      </c>
      <c r="I1666">
        <f t="shared" si="26"/>
        <v>1.9019684199047884E-4</v>
      </c>
    </row>
    <row r="1667" spans="1:9" x14ac:dyDescent="0.3">
      <c r="A1667" s="5">
        <v>44056</v>
      </c>
      <c r="B1667">
        <v>49.259998000000003</v>
      </c>
      <c r="C1667">
        <v>49.330002</v>
      </c>
      <c r="D1667">
        <v>48.389999000000003</v>
      </c>
      <c r="E1667">
        <v>48.560001</v>
      </c>
      <c r="F1667">
        <v>44.037086000000002</v>
      </c>
      <c r="G1667">
        <v>24774500</v>
      </c>
      <c r="I1667">
        <f t="shared" si="26"/>
        <v>8.4833515542568467E-5</v>
      </c>
    </row>
    <row r="1668" spans="1:9" x14ac:dyDescent="0.3">
      <c r="A1668" s="5">
        <v>44057</v>
      </c>
      <c r="B1668">
        <v>48.73</v>
      </c>
      <c r="C1668">
        <v>49.209999000000003</v>
      </c>
      <c r="D1668">
        <v>48.650002000000001</v>
      </c>
      <c r="E1668">
        <v>48.889999000000003</v>
      </c>
      <c r="F1668">
        <v>44.336353000000003</v>
      </c>
      <c r="G1668">
        <v>22321200</v>
      </c>
      <c r="I1668">
        <f t="shared" si="26"/>
        <v>7.2033139511977796E-5</v>
      </c>
    </row>
    <row r="1669" spans="1:9" x14ac:dyDescent="0.3">
      <c r="A1669" s="5">
        <v>44060</v>
      </c>
      <c r="B1669">
        <v>49.110000999999997</v>
      </c>
      <c r="C1669">
        <v>49.310001</v>
      </c>
      <c r="D1669">
        <v>48.73</v>
      </c>
      <c r="E1669">
        <v>48.93</v>
      </c>
      <c r="F1669">
        <v>44.372619999999998</v>
      </c>
      <c r="G1669">
        <v>20018300</v>
      </c>
      <c r="I1669">
        <f t="shared" si="26"/>
        <v>6.3257591355520929E-5</v>
      </c>
    </row>
    <row r="1670" spans="1:9" x14ac:dyDescent="0.3">
      <c r="A1670" s="5">
        <v>44061</v>
      </c>
      <c r="B1670">
        <v>49.259998000000003</v>
      </c>
      <c r="C1670">
        <v>49.57</v>
      </c>
      <c r="D1670">
        <v>48.619999</v>
      </c>
      <c r="E1670">
        <v>48.650002000000001</v>
      </c>
      <c r="F1670">
        <v>44.118701999999999</v>
      </c>
      <c r="G1670">
        <v>19251400</v>
      </c>
      <c r="I1670">
        <f t="shared" si="26"/>
        <v>1.2559423094360525E-4</v>
      </c>
    </row>
    <row r="1671" spans="1:9" x14ac:dyDescent="0.3">
      <c r="A1671" s="5">
        <v>44062</v>
      </c>
      <c r="B1671">
        <v>48.790000999999997</v>
      </c>
      <c r="C1671">
        <v>48.98</v>
      </c>
      <c r="D1671">
        <v>48.25</v>
      </c>
      <c r="E1671">
        <v>48.330002</v>
      </c>
      <c r="F1671">
        <v>43.828510000000001</v>
      </c>
      <c r="G1671">
        <v>27775000</v>
      </c>
      <c r="I1671">
        <f t="shared" si="26"/>
        <v>7.0362238063798168E-5</v>
      </c>
    </row>
    <row r="1672" spans="1:9" x14ac:dyDescent="0.3">
      <c r="A1672" s="5">
        <v>44063</v>
      </c>
      <c r="B1672">
        <v>49.810001</v>
      </c>
      <c r="C1672">
        <v>50.200001</v>
      </c>
      <c r="D1672">
        <v>49</v>
      </c>
      <c r="E1672">
        <v>49.169998</v>
      </c>
      <c r="F1672">
        <v>44.590266999999997</v>
      </c>
      <c r="G1672">
        <v>55081300</v>
      </c>
      <c r="I1672">
        <f t="shared" si="26"/>
        <v>2.1847280957447863E-4</v>
      </c>
    </row>
    <row r="1673" spans="1:9" x14ac:dyDescent="0.3">
      <c r="A1673" s="5">
        <v>44064</v>
      </c>
      <c r="B1673">
        <v>49.02</v>
      </c>
      <c r="C1673">
        <v>49.310001</v>
      </c>
      <c r="D1673">
        <v>48.650002000000001</v>
      </c>
      <c r="E1673">
        <v>49.279998999999997</v>
      </c>
      <c r="F1673">
        <v>44.690021999999999</v>
      </c>
      <c r="G1673">
        <v>34621500</v>
      </c>
      <c r="I1673">
        <f t="shared" si="26"/>
        <v>1.0107299738436773E-4</v>
      </c>
    </row>
    <row r="1674" spans="1:9" x14ac:dyDescent="0.3">
      <c r="A1674" s="5">
        <v>44067</v>
      </c>
      <c r="B1674">
        <v>49.259998000000003</v>
      </c>
      <c r="C1674">
        <v>49.400002000000001</v>
      </c>
      <c r="D1674">
        <v>48.82</v>
      </c>
      <c r="E1674">
        <v>49.139999000000003</v>
      </c>
      <c r="F1674">
        <v>44.563065000000002</v>
      </c>
      <c r="G1674">
        <v>36295300</v>
      </c>
      <c r="I1674">
        <f t="shared" si="26"/>
        <v>7.3595534839117441E-5</v>
      </c>
    </row>
    <row r="1675" spans="1:9" x14ac:dyDescent="0.3">
      <c r="A1675" s="5">
        <v>44068</v>
      </c>
      <c r="B1675">
        <v>49.349997999999999</v>
      </c>
      <c r="C1675">
        <v>49.880001</v>
      </c>
      <c r="D1675">
        <v>49.209999000000003</v>
      </c>
      <c r="E1675">
        <v>49.43</v>
      </c>
      <c r="F1675">
        <v>44.826053999999999</v>
      </c>
      <c r="G1675">
        <v>38384300</v>
      </c>
      <c r="I1675">
        <f t="shared" si="26"/>
        <v>1.0948294443875808E-4</v>
      </c>
    </row>
    <row r="1676" spans="1:9" x14ac:dyDescent="0.3">
      <c r="A1676" s="5">
        <v>44069</v>
      </c>
      <c r="B1676">
        <v>49.389999000000003</v>
      </c>
      <c r="C1676">
        <v>49.669998</v>
      </c>
      <c r="D1676">
        <v>49.23</v>
      </c>
      <c r="E1676">
        <v>49.549999</v>
      </c>
      <c r="F1676">
        <v>44.934868000000002</v>
      </c>
      <c r="G1676">
        <v>28616600</v>
      </c>
      <c r="I1676">
        <f t="shared" ref="I1676:I1739" si="27">LN(C1676/B1676)*(LN(C1676/B1676)-LN(E1676/B1676))+LN(D1676/B1676)*(LN(D1676/B1676)-LN(E1676/B1676))</f>
        <v>3.4697030102503196E-5</v>
      </c>
    </row>
    <row r="1677" spans="1:9" x14ac:dyDescent="0.3">
      <c r="A1677" s="5">
        <v>44070</v>
      </c>
      <c r="B1677">
        <v>49.790000999999997</v>
      </c>
      <c r="C1677">
        <v>49.93</v>
      </c>
      <c r="D1677">
        <v>49.169998</v>
      </c>
      <c r="E1677">
        <v>49.400002000000001</v>
      </c>
      <c r="F1677">
        <v>44.798847000000002</v>
      </c>
      <c r="G1677">
        <v>24420600</v>
      </c>
      <c r="I1677">
        <f t="shared" si="27"/>
        <v>8.8441896729827033E-5</v>
      </c>
    </row>
    <row r="1678" spans="1:9" x14ac:dyDescent="0.3">
      <c r="A1678" s="5">
        <v>44071</v>
      </c>
      <c r="B1678">
        <v>49.57</v>
      </c>
      <c r="C1678">
        <v>50.799999</v>
      </c>
      <c r="D1678">
        <v>49.459999000000003</v>
      </c>
      <c r="E1678">
        <v>50.43</v>
      </c>
      <c r="F1678">
        <v>45.732917999999998</v>
      </c>
      <c r="G1678">
        <v>35384700</v>
      </c>
      <c r="I1678">
        <f t="shared" si="27"/>
        <v>2.2232166680631732E-4</v>
      </c>
    </row>
    <row r="1679" spans="1:9" x14ac:dyDescent="0.3">
      <c r="A1679" s="5">
        <v>44074</v>
      </c>
      <c r="B1679">
        <v>51</v>
      </c>
      <c r="C1679">
        <v>51.5</v>
      </c>
      <c r="D1679">
        <v>50.32</v>
      </c>
      <c r="E1679">
        <v>50.950001</v>
      </c>
      <c r="F1679">
        <v>46.204478999999999</v>
      </c>
      <c r="G1679">
        <v>46114100</v>
      </c>
      <c r="I1679">
        <f t="shared" si="27"/>
        <v>2.7176378653219913E-4</v>
      </c>
    </row>
    <row r="1680" spans="1:9" x14ac:dyDescent="0.3">
      <c r="A1680" s="5">
        <v>44075</v>
      </c>
      <c r="B1680">
        <v>50.91</v>
      </c>
      <c r="C1680">
        <v>51</v>
      </c>
      <c r="D1680">
        <v>50.220001000000003</v>
      </c>
      <c r="E1680">
        <v>50.790000999999997</v>
      </c>
      <c r="F1680">
        <v>46.059376</v>
      </c>
      <c r="G1680">
        <v>30472800</v>
      </c>
      <c r="I1680">
        <f t="shared" si="27"/>
        <v>1.6129831215753277E-4</v>
      </c>
    </row>
    <row r="1681" spans="1:9" x14ac:dyDescent="0.3">
      <c r="A1681" s="5">
        <v>44076</v>
      </c>
      <c r="B1681">
        <v>51.209999000000003</v>
      </c>
      <c r="C1681">
        <v>52.68</v>
      </c>
      <c r="D1681">
        <v>51.09</v>
      </c>
      <c r="E1681">
        <v>52.25</v>
      </c>
      <c r="F1681">
        <v>47.383395999999998</v>
      </c>
      <c r="G1681">
        <v>53000700</v>
      </c>
      <c r="I1681">
        <f t="shared" si="27"/>
        <v>2.8462598765704734E-4</v>
      </c>
    </row>
    <row r="1682" spans="1:9" x14ac:dyDescent="0.3">
      <c r="A1682" s="5">
        <v>44077</v>
      </c>
      <c r="B1682">
        <v>52.5</v>
      </c>
      <c r="C1682">
        <v>52.619999</v>
      </c>
      <c r="D1682">
        <v>50.139999000000003</v>
      </c>
      <c r="E1682">
        <v>50.389999000000003</v>
      </c>
      <c r="F1682">
        <v>45.696632000000001</v>
      </c>
      <c r="G1682">
        <v>47394300</v>
      </c>
      <c r="I1682">
        <f t="shared" si="27"/>
        <v>3.2762427785962506E-4</v>
      </c>
    </row>
    <row r="1683" spans="1:9" x14ac:dyDescent="0.3">
      <c r="A1683" s="5">
        <v>44078</v>
      </c>
      <c r="B1683">
        <v>50.529998999999997</v>
      </c>
      <c r="C1683">
        <v>51.23</v>
      </c>
      <c r="D1683">
        <v>49.490001999999997</v>
      </c>
      <c r="E1683">
        <v>50.080002</v>
      </c>
      <c r="F1683">
        <v>45.415512</v>
      </c>
      <c r="G1683">
        <v>43318400</v>
      </c>
      <c r="I1683">
        <f t="shared" si="27"/>
        <v>5.5881912069089706E-4</v>
      </c>
    </row>
    <row r="1684" spans="1:9" x14ac:dyDescent="0.3">
      <c r="A1684" s="5">
        <v>44082</v>
      </c>
      <c r="B1684">
        <v>49.259998000000003</v>
      </c>
      <c r="C1684">
        <v>49.900002000000001</v>
      </c>
      <c r="D1684">
        <v>48.849997999999999</v>
      </c>
      <c r="E1684">
        <v>48.91</v>
      </c>
      <c r="F1684">
        <v>44.354488000000003</v>
      </c>
      <c r="G1684">
        <v>39752700</v>
      </c>
      <c r="I1684">
        <f t="shared" si="27"/>
        <v>2.6893919835274855E-4</v>
      </c>
    </row>
    <row r="1685" spans="1:9" x14ac:dyDescent="0.3">
      <c r="A1685" s="5">
        <v>44083</v>
      </c>
      <c r="B1685">
        <v>49.529998999999997</v>
      </c>
      <c r="C1685">
        <v>49.970001000000003</v>
      </c>
      <c r="D1685">
        <v>49.040000999999997</v>
      </c>
      <c r="E1685">
        <v>49.619999</v>
      </c>
      <c r="F1685">
        <v>44.998356000000001</v>
      </c>
      <c r="G1685">
        <v>33437300</v>
      </c>
      <c r="I1685">
        <f t="shared" si="27"/>
        <v>1.7906275899370557E-4</v>
      </c>
    </row>
    <row r="1686" spans="1:9" x14ac:dyDescent="0.3">
      <c r="A1686" s="5">
        <v>44084</v>
      </c>
      <c r="B1686">
        <v>50</v>
      </c>
      <c r="C1686">
        <v>50.09</v>
      </c>
      <c r="D1686">
        <v>48.709999000000003</v>
      </c>
      <c r="E1686">
        <v>48.959999000000003</v>
      </c>
      <c r="F1686">
        <v>44.399830000000001</v>
      </c>
      <c r="G1686">
        <v>32649100</v>
      </c>
      <c r="I1686">
        <f t="shared" si="27"/>
        <v>1.7484655120544748E-4</v>
      </c>
    </row>
    <row r="1687" spans="1:9" x14ac:dyDescent="0.3">
      <c r="A1687" s="5">
        <v>44085</v>
      </c>
      <c r="B1687">
        <v>49.259998000000003</v>
      </c>
      <c r="C1687">
        <v>50.049999</v>
      </c>
      <c r="D1687">
        <v>48.950001</v>
      </c>
      <c r="E1687">
        <v>49.279998999999997</v>
      </c>
      <c r="F1687">
        <v>44.690021999999999</v>
      </c>
      <c r="G1687">
        <v>29333600</v>
      </c>
      <c r="I1687">
        <f t="shared" si="27"/>
        <v>2.8908991064207289E-4</v>
      </c>
    </row>
    <row r="1688" spans="1:9" x14ac:dyDescent="0.3">
      <c r="A1688" s="5">
        <v>44088</v>
      </c>
      <c r="B1688">
        <v>48.849997999999999</v>
      </c>
      <c r="C1688">
        <v>49.720001000000003</v>
      </c>
      <c r="D1688">
        <v>48.849997999999999</v>
      </c>
      <c r="E1688">
        <v>49.41</v>
      </c>
      <c r="F1688">
        <v>44.807915000000001</v>
      </c>
      <c r="G1688">
        <v>27212500</v>
      </c>
      <c r="I1688">
        <f t="shared" si="27"/>
        <v>1.1040955697608608E-4</v>
      </c>
    </row>
    <row r="1689" spans="1:9" x14ac:dyDescent="0.3">
      <c r="A1689" s="5">
        <v>44089</v>
      </c>
      <c r="B1689">
        <v>49.790000999999997</v>
      </c>
      <c r="C1689">
        <v>50.599997999999999</v>
      </c>
      <c r="D1689">
        <v>49.73</v>
      </c>
      <c r="E1689">
        <v>50</v>
      </c>
      <c r="F1689">
        <v>45.342964000000002</v>
      </c>
      <c r="G1689">
        <v>27598300</v>
      </c>
      <c r="I1689">
        <f t="shared" si="27"/>
        <v>1.990239646256871E-4</v>
      </c>
    </row>
    <row r="1690" spans="1:9" x14ac:dyDescent="0.3">
      <c r="A1690" s="5">
        <v>44090</v>
      </c>
      <c r="B1690">
        <v>50.509998000000003</v>
      </c>
      <c r="C1690">
        <v>51.029998999999997</v>
      </c>
      <c r="D1690">
        <v>50.169998</v>
      </c>
      <c r="E1690">
        <v>50.369999</v>
      </c>
      <c r="F1690">
        <v>45.678500999999997</v>
      </c>
      <c r="G1690">
        <v>26531400</v>
      </c>
      <c r="I1690">
        <f t="shared" si="27"/>
        <v>1.6020608335132235E-4</v>
      </c>
    </row>
    <row r="1691" spans="1:9" x14ac:dyDescent="0.3">
      <c r="A1691" s="5">
        <v>44091</v>
      </c>
      <c r="B1691">
        <v>49.369999</v>
      </c>
      <c r="C1691">
        <v>50.490001999999997</v>
      </c>
      <c r="D1691">
        <v>49.299999</v>
      </c>
      <c r="E1691">
        <v>50.32</v>
      </c>
      <c r="F1691">
        <v>45.633156</v>
      </c>
      <c r="G1691">
        <v>26959900</v>
      </c>
      <c r="I1691">
        <f t="shared" si="27"/>
        <v>1.0471473911673732E-4</v>
      </c>
    </row>
    <row r="1692" spans="1:9" x14ac:dyDescent="0.3">
      <c r="A1692" s="5">
        <v>44092</v>
      </c>
      <c r="B1692">
        <v>50.330002</v>
      </c>
      <c r="C1692">
        <v>50.5</v>
      </c>
      <c r="D1692">
        <v>49.040000999999997</v>
      </c>
      <c r="E1692">
        <v>49.889999000000003</v>
      </c>
      <c r="F1692">
        <v>45.243209999999998</v>
      </c>
      <c r="G1692">
        <v>50123500</v>
      </c>
      <c r="I1692">
        <f t="shared" si="27"/>
        <v>4.8716874066223565E-4</v>
      </c>
    </row>
    <row r="1693" spans="1:9" x14ac:dyDescent="0.3">
      <c r="A1693" s="5">
        <v>44095</v>
      </c>
      <c r="B1693">
        <v>49.389999000000003</v>
      </c>
      <c r="C1693">
        <v>49.75</v>
      </c>
      <c r="D1693">
        <v>48.830002</v>
      </c>
      <c r="E1693">
        <v>49.720001000000003</v>
      </c>
      <c r="F1693">
        <v>45.089046000000003</v>
      </c>
      <c r="G1693">
        <v>27377100</v>
      </c>
      <c r="I1693">
        <f t="shared" si="27"/>
        <v>2.1034639374860204E-4</v>
      </c>
    </row>
    <row r="1694" spans="1:9" x14ac:dyDescent="0.3">
      <c r="A1694" s="5">
        <v>44096</v>
      </c>
      <c r="B1694">
        <v>49.889999000000003</v>
      </c>
      <c r="C1694">
        <v>50.209999000000003</v>
      </c>
      <c r="D1694">
        <v>49.470001000000003</v>
      </c>
      <c r="E1694">
        <v>49.950001</v>
      </c>
      <c r="F1694">
        <v>45.297615</v>
      </c>
      <c r="G1694">
        <v>22290900</v>
      </c>
      <c r="I1694">
        <f t="shared" si="27"/>
        <v>1.148271975531108E-4</v>
      </c>
    </row>
    <row r="1695" spans="1:9" x14ac:dyDescent="0.3">
      <c r="A1695" s="5">
        <v>44097</v>
      </c>
      <c r="B1695">
        <v>49.830002</v>
      </c>
      <c r="C1695">
        <v>50.150002000000001</v>
      </c>
      <c r="D1695">
        <v>48.66</v>
      </c>
      <c r="E1695">
        <v>48.82</v>
      </c>
      <c r="F1695">
        <v>44.272872999999997</v>
      </c>
      <c r="G1695">
        <v>30078800</v>
      </c>
      <c r="I1695">
        <f t="shared" si="27"/>
        <v>2.5005465287345299E-4</v>
      </c>
    </row>
    <row r="1696" spans="1:9" x14ac:dyDescent="0.3">
      <c r="A1696" s="5">
        <v>44098</v>
      </c>
      <c r="B1696">
        <v>48.529998999999997</v>
      </c>
      <c r="C1696">
        <v>49.639999000000003</v>
      </c>
      <c r="D1696">
        <v>48.419998</v>
      </c>
      <c r="E1696">
        <v>49.16</v>
      </c>
      <c r="F1696">
        <v>44.581206999999999</v>
      </c>
      <c r="G1696">
        <v>29343400</v>
      </c>
      <c r="I1696">
        <f t="shared" si="27"/>
        <v>2.541584959550034E-4</v>
      </c>
    </row>
    <row r="1697" spans="1:9" x14ac:dyDescent="0.3">
      <c r="A1697" s="5">
        <v>44099</v>
      </c>
      <c r="B1697">
        <v>48.959999000000003</v>
      </c>
      <c r="C1697">
        <v>50.279998999999997</v>
      </c>
      <c r="D1697">
        <v>48.75</v>
      </c>
      <c r="E1697">
        <v>49.939999</v>
      </c>
      <c r="F1697">
        <v>45.288547999999999</v>
      </c>
      <c r="G1697">
        <v>26633400</v>
      </c>
      <c r="I1697">
        <f t="shared" si="27"/>
        <v>2.8417434377543216E-4</v>
      </c>
    </row>
    <row r="1698" spans="1:9" x14ac:dyDescent="0.3">
      <c r="A1698" s="5">
        <v>44102</v>
      </c>
      <c r="B1698">
        <v>50.509998000000003</v>
      </c>
      <c r="C1698">
        <v>51.459999000000003</v>
      </c>
      <c r="D1698">
        <v>50.16</v>
      </c>
      <c r="E1698">
        <v>51.43</v>
      </c>
      <c r="F1698">
        <v>46.639771000000003</v>
      </c>
      <c r="G1698">
        <v>29652200</v>
      </c>
      <c r="I1698">
        <f t="shared" si="27"/>
        <v>1.8472688609319534E-4</v>
      </c>
    </row>
    <row r="1699" spans="1:9" x14ac:dyDescent="0.3">
      <c r="A1699" s="5">
        <v>44103</v>
      </c>
      <c r="B1699">
        <v>51.310001</v>
      </c>
      <c r="C1699">
        <v>51.740001999999997</v>
      </c>
      <c r="D1699">
        <v>50.950001</v>
      </c>
      <c r="E1699">
        <v>51.189999</v>
      </c>
      <c r="F1699">
        <v>46.422122999999999</v>
      </c>
      <c r="G1699">
        <v>19558200</v>
      </c>
      <c r="I1699">
        <f t="shared" si="27"/>
        <v>1.2227701839701959E-4</v>
      </c>
    </row>
    <row r="1700" spans="1:9" x14ac:dyDescent="0.3">
      <c r="A1700" s="5">
        <v>44104</v>
      </c>
      <c r="B1700">
        <v>51.240001999999997</v>
      </c>
      <c r="C1700">
        <v>52.380001</v>
      </c>
      <c r="D1700">
        <v>51.150002000000001</v>
      </c>
      <c r="E1700">
        <v>51.779998999999997</v>
      </c>
      <c r="F1700">
        <v>46.957169</v>
      </c>
      <c r="G1700">
        <v>27711300</v>
      </c>
      <c r="I1700">
        <f t="shared" si="27"/>
        <v>2.7503012810476399E-4</v>
      </c>
    </row>
    <row r="1701" spans="1:9" x14ac:dyDescent="0.3">
      <c r="A1701" s="5">
        <v>44105</v>
      </c>
      <c r="B1701">
        <v>52.400002000000001</v>
      </c>
      <c r="C1701">
        <v>52.720001000000003</v>
      </c>
      <c r="D1701">
        <v>51.990001999999997</v>
      </c>
      <c r="E1701">
        <v>52.240001999999997</v>
      </c>
      <c r="F1701">
        <v>47.374332000000003</v>
      </c>
      <c r="G1701">
        <v>22127600</v>
      </c>
      <c r="I1701">
        <f t="shared" si="27"/>
        <v>9.3367868922247376E-5</v>
      </c>
    </row>
    <row r="1702" spans="1:9" x14ac:dyDescent="0.3">
      <c r="A1702" s="5">
        <v>44106</v>
      </c>
      <c r="B1702">
        <v>51.5</v>
      </c>
      <c r="C1702">
        <v>51.98</v>
      </c>
      <c r="D1702">
        <v>50.990001999999997</v>
      </c>
      <c r="E1702">
        <v>51.009998000000003</v>
      </c>
      <c r="F1702">
        <v>46.258884000000002</v>
      </c>
      <c r="G1702">
        <v>25811800</v>
      </c>
      <c r="I1702">
        <f t="shared" si="27"/>
        <v>1.7866057106852773E-4</v>
      </c>
    </row>
    <row r="1703" spans="1:9" x14ac:dyDescent="0.3">
      <c r="A1703" s="5">
        <v>44109</v>
      </c>
      <c r="B1703">
        <v>51.299999</v>
      </c>
      <c r="C1703">
        <v>51.810001</v>
      </c>
      <c r="D1703">
        <v>51.27</v>
      </c>
      <c r="E1703">
        <v>51.689999</v>
      </c>
      <c r="F1703">
        <v>46.875552999999996</v>
      </c>
      <c r="G1703">
        <v>20883200</v>
      </c>
      <c r="I1703">
        <f t="shared" si="27"/>
        <v>2.7711756652565381E-5</v>
      </c>
    </row>
    <row r="1704" spans="1:9" x14ac:dyDescent="0.3">
      <c r="A1704" s="5">
        <v>44110</v>
      </c>
      <c r="B1704">
        <v>51.709999000000003</v>
      </c>
      <c r="C1704">
        <v>52.700001</v>
      </c>
      <c r="D1704">
        <v>51.23</v>
      </c>
      <c r="E1704">
        <v>51.369999</v>
      </c>
      <c r="F1704">
        <v>46.585354000000002</v>
      </c>
      <c r="G1704">
        <v>25642800</v>
      </c>
      <c r="I1704">
        <f t="shared" si="27"/>
        <v>5.1020004736057037E-4</v>
      </c>
    </row>
    <row r="1705" spans="1:9" x14ac:dyDescent="0.3">
      <c r="A1705" s="5">
        <v>44111</v>
      </c>
      <c r="B1705">
        <v>51.849997999999999</v>
      </c>
      <c r="C1705">
        <v>52.900002000000001</v>
      </c>
      <c r="D1705">
        <v>51.790000999999997</v>
      </c>
      <c r="E1705">
        <v>52.669998</v>
      </c>
      <c r="F1705">
        <v>47.764274999999998</v>
      </c>
      <c r="G1705">
        <v>21978700</v>
      </c>
      <c r="I1705">
        <f t="shared" si="27"/>
        <v>1.0686646145624751E-4</v>
      </c>
    </row>
    <row r="1706" spans="1:9" x14ac:dyDescent="0.3">
      <c r="A1706" s="5">
        <v>44112</v>
      </c>
      <c r="B1706">
        <v>52.91</v>
      </c>
      <c r="C1706">
        <v>53.580002</v>
      </c>
      <c r="D1706">
        <v>52.669998</v>
      </c>
      <c r="E1706">
        <v>53.369999</v>
      </c>
      <c r="F1706">
        <v>48.399082</v>
      </c>
      <c r="G1706">
        <v>22369500</v>
      </c>
      <c r="I1706">
        <f t="shared" si="27"/>
        <v>1.0944180462305126E-4</v>
      </c>
    </row>
    <row r="1707" spans="1:9" x14ac:dyDescent="0.3">
      <c r="A1707" s="5">
        <v>44113</v>
      </c>
      <c r="B1707">
        <v>53.549999</v>
      </c>
      <c r="C1707">
        <v>53.849997999999999</v>
      </c>
      <c r="D1707">
        <v>52.669998</v>
      </c>
      <c r="E1707">
        <v>52.82</v>
      </c>
      <c r="F1707">
        <v>47.900303000000001</v>
      </c>
      <c r="G1707">
        <v>24343900</v>
      </c>
      <c r="I1707">
        <f t="shared" si="27"/>
        <v>1.5501375270965571E-4</v>
      </c>
    </row>
    <row r="1708" spans="1:9" x14ac:dyDescent="0.3">
      <c r="A1708" s="5">
        <v>44116</v>
      </c>
      <c r="B1708">
        <v>53.549999</v>
      </c>
      <c r="C1708">
        <v>54.200001</v>
      </c>
      <c r="D1708">
        <v>53.209999000000003</v>
      </c>
      <c r="E1708">
        <v>53.880001</v>
      </c>
      <c r="F1708">
        <v>48.861579999999996</v>
      </c>
      <c r="G1708">
        <v>27303500</v>
      </c>
      <c r="I1708">
        <f t="shared" si="27"/>
        <v>1.5114562760821837E-4</v>
      </c>
    </row>
    <row r="1709" spans="1:9" x14ac:dyDescent="0.3">
      <c r="A1709" s="5">
        <v>44117</v>
      </c>
      <c r="B1709">
        <v>54.27</v>
      </c>
      <c r="C1709">
        <v>54.290000999999997</v>
      </c>
      <c r="D1709">
        <v>53.619999</v>
      </c>
      <c r="E1709">
        <v>53.830002</v>
      </c>
      <c r="F1709">
        <v>48.816237999999998</v>
      </c>
      <c r="G1709">
        <v>20005800</v>
      </c>
      <c r="I1709">
        <f t="shared" si="27"/>
        <v>5.023507034979198E-5</v>
      </c>
    </row>
    <row r="1710" spans="1:9" x14ac:dyDescent="0.3">
      <c r="A1710" s="5">
        <v>44118</v>
      </c>
      <c r="B1710">
        <v>54.009998000000003</v>
      </c>
      <c r="C1710">
        <v>54.400002000000001</v>
      </c>
      <c r="D1710">
        <v>53.509998000000003</v>
      </c>
      <c r="E1710">
        <v>53.549999</v>
      </c>
      <c r="F1710">
        <v>48.562313000000003</v>
      </c>
      <c r="G1710">
        <v>21874200</v>
      </c>
      <c r="I1710">
        <f t="shared" si="27"/>
        <v>1.2026007640867998E-4</v>
      </c>
    </row>
    <row r="1711" spans="1:9" x14ac:dyDescent="0.3">
      <c r="A1711" s="5">
        <v>44119</v>
      </c>
      <c r="B1711">
        <v>52.75</v>
      </c>
      <c r="C1711">
        <v>53.98</v>
      </c>
      <c r="D1711">
        <v>52.619999</v>
      </c>
      <c r="E1711">
        <v>53.849997999999999</v>
      </c>
      <c r="F1711">
        <v>48.834366000000003</v>
      </c>
      <c r="G1711">
        <v>18272900</v>
      </c>
      <c r="I1711">
        <f t="shared" si="27"/>
        <v>1.1259340064656375E-4</v>
      </c>
    </row>
    <row r="1712" spans="1:9" x14ac:dyDescent="0.3">
      <c r="A1712" s="5">
        <v>44120</v>
      </c>
      <c r="B1712">
        <v>53.900002000000001</v>
      </c>
      <c r="C1712">
        <v>54.700001</v>
      </c>
      <c r="D1712">
        <v>53.900002000000001</v>
      </c>
      <c r="E1712">
        <v>54.16</v>
      </c>
      <c r="F1712">
        <v>49.115498000000002</v>
      </c>
      <c r="G1712">
        <v>23414400</v>
      </c>
      <c r="I1712">
        <f t="shared" si="27"/>
        <v>1.4616966322696941E-4</v>
      </c>
    </row>
    <row r="1713" spans="1:9" x14ac:dyDescent="0.3">
      <c r="A1713" s="5">
        <v>44123</v>
      </c>
      <c r="B1713">
        <v>54.470001000000003</v>
      </c>
      <c r="C1713">
        <v>56.23</v>
      </c>
      <c r="D1713">
        <v>53.84</v>
      </c>
      <c r="E1713">
        <v>54.580002</v>
      </c>
      <c r="F1713">
        <v>49.496375999999998</v>
      </c>
      <c r="G1713">
        <v>43537200</v>
      </c>
      <c r="I1713">
        <f t="shared" si="27"/>
        <v>1.1059109114086815E-3</v>
      </c>
    </row>
    <row r="1714" spans="1:9" x14ac:dyDescent="0.3">
      <c r="A1714" s="5">
        <v>44124</v>
      </c>
      <c r="B1714">
        <v>54.599997999999999</v>
      </c>
      <c r="C1714">
        <v>54.700001</v>
      </c>
      <c r="D1714">
        <v>53.27</v>
      </c>
      <c r="E1714">
        <v>53.43</v>
      </c>
      <c r="F1714">
        <v>48.453491</v>
      </c>
      <c r="G1714">
        <v>27224900</v>
      </c>
      <c r="I1714">
        <f t="shared" si="27"/>
        <v>1.1694489273245981E-4</v>
      </c>
    </row>
    <row r="1715" spans="1:9" x14ac:dyDescent="0.3">
      <c r="A1715" s="5">
        <v>44125</v>
      </c>
      <c r="B1715">
        <v>53.139999000000003</v>
      </c>
      <c r="C1715">
        <v>54.07</v>
      </c>
      <c r="D1715">
        <v>52.82</v>
      </c>
      <c r="E1715">
        <v>53.5</v>
      </c>
      <c r="F1715">
        <v>48.516967999999999</v>
      </c>
      <c r="G1715">
        <v>21866000</v>
      </c>
      <c r="I1715">
        <f t="shared" si="27"/>
        <v>2.6113059692490641E-4</v>
      </c>
    </row>
    <row r="1716" spans="1:9" x14ac:dyDescent="0.3">
      <c r="A1716" s="5">
        <v>44126</v>
      </c>
      <c r="B1716">
        <v>53.119999</v>
      </c>
      <c r="C1716">
        <v>54.220001000000003</v>
      </c>
      <c r="D1716">
        <v>53.07</v>
      </c>
      <c r="E1716">
        <v>53.900002000000001</v>
      </c>
      <c r="F1716">
        <v>48.879714999999997</v>
      </c>
      <c r="G1716">
        <v>41522700</v>
      </c>
      <c r="I1716">
        <f t="shared" si="27"/>
        <v>1.3593898691964643E-4</v>
      </c>
    </row>
    <row r="1717" spans="1:9" x14ac:dyDescent="0.3">
      <c r="A1717" s="5">
        <v>44127</v>
      </c>
      <c r="B1717">
        <v>48.349997999999999</v>
      </c>
      <c r="C1717">
        <v>48.669998</v>
      </c>
      <c r="D1717">
        <v>47.66</v>
      </c>
      <c r="E1717">
        <v>48.200001</v>
      </c>
      <c r="F1717">
        <v>43.710621000000003</v>
      </c>
      <c r="G1717">
        <v>97322500</v>
      </c>
      <c r="I1717">
        <f t="shared" si="27"/>
        <v>2.2595411804787673E-4</v>
      </c>
    </row>
    <row r="1718" spans="1:9" x14ac:dyDescent="0.3">
      <c r="A1718" s="5">
        <v>44130</v>
      </c>
      <c r="B1718">
        <v>47.849997999999999</v>
      </c>
      <c r="C1718">
        <v>47.860000999999997</v>
      </c>
      <c r="D1718">
        <v>46.25</v>
      </c>
      <c r="E1718">
        <v>46.720001000000003</v>
      </c>
      <c r="F1718">
        <v>42.368462000000001</v>
      </c>
      <c r="G1718">
        <v>54161300</v>
      </c>
      <c r="I1718">
        <f t="shared" si="27"/>
        <v>3.4890682607969939E-4</v>
      </c>
    </row>
    <row r="1719" spans="1:9" x14ac:dyDescent="0.3">
      <c r="A1719" s="5">
        <v>44131</v>
      </c>
      <c r="B1719">
        <v>45.98</v>
      </c>
      <c r="C1719">
        <v>46.41</v>
      </c>
      <c r="D1719">
        <v>45.360000999999997</v>
      </c>
      <c r="E1719">
        <v>45.639999000000003</v>
      </c>
      <c r="F1719">
        <v>41.389049999999997</v>
      </c>
      <c r="G1719">
        <v>50130500</v>
      </c>
      <c r="I1719">
        <f t="shared" si="27"/>
        <v>2.3927757438874111E-4</v>
      </c>
    </row>
    <row r="1720" spans="1:9" x14ac:dyDescent="0.3">
      <c r="A1720" s="5">
        <v>44132</v>
      </c>
      <c r="B1720">
        <v>44.889999000000003</v>
      </c>
      <c r="C1720">
        <v>45.290000999999997</v>
      </c>
      <c r="D1720">
        <v>44.200001</v>
      </c>
      <c r="E1720">
        <v>44.25</v>
      </c>
      <c r="F1720">
        <v>40.128517000000002</v>
      </c>
      <c r="G1720">
        <v>45066000</v>
      </c>
      <c r="I1720">
        <f t="shared" si="27"/>
        <v>2.2359979196673107E-4</v>
      </c>
    </row>
    <row r="1721" spans="1:9" x14ac:dyDescent="0.3">
      <c r="A1721" s="5">
        <v>44133</v>
      </c>
      <c r="B1721">
        <v>44.240001999999997</v>
      </c>
      <c r="C1721">
        <v>44.470001000000003</v>
      </c>
      <c r="D1721">
        <v>43.919998</v>
      </c>
      <c r="E1721">
        <v>44.110000999999997</v>
      </c>
      <c r="F1721">
        <v>40.001572000000003</v>
      </c>
      <c r="G1721">
        <v>36796800</v>
      </c>
      <c r="I1721">
        <f t="shared" si="27"/>
        <v>7.3486988368283234E-5</v>
      </c>
    </row>
    <row r="1722" spans="1:9" x14ac:dyDescent="0.3">
      <c r="A1722" s="5">
        <v>44134</v>
      </c>
      <c r="B1722">
        <v>44.099997999999999</v>
      </c>
      <c r="C1722">
        <v>44.799999</v>
      </c>
      <c r="D1722">
        <v>43.610000999999997</v>
      </c>
      <c r="E1722">
        <v>44.279998999999997</v>
      </c>
      <c r="F1722">
        <v>40.155723999999999</v>
      </c>
      <c r="G1722">
        <v>46781300</v>
      </c>
      <c r="I1722">
        <f t="shared" si="27"/>
        <v>3.5421642358538262E-4</v>
      </c>
    </row>
    <row r="1723" spans="1:9" x14ac:dyDescent="0.3">
      <c r="A1723" s="5">
        <v>44137</v>
      </c>
      <c r="B1723">
        <v>44.959999000000003</v>
      </c>
      <c r="C1723">
        <v>45.060001</v>
      </c>
      <c r="D1723">
        <v>44.240001999999997</v>
      </c>
      <c r="E1723">
        <v>44.459999000000003</v>
      </c>
      <c r="F1723">
        <v>40.318961999999999</v>
      </c>
      <c r="G1723">
        <v>33856700</v>
      </c>
      <c r="I1723">
        <f t="shared" si="27"/>
        <v>1.0986399744475383E-4</v>
      </c>
    </row>
    <row r="1724" spans="1:9" x14ac:dyDescent="0.3">
      <c r="A1724" s="5">
        <v>44138</v>
      </c>
      <c r="B1724">
        <v>44.73</v>
      </c>
      <c r="C1724">
        <v>45.459999000000003</v>
      </c>
      <c r="D1724">
        <v>44.700001</v>
      </c>
      <c r="E1724">
        <v>44.849997999999999</v>
      </c>
      <c r="F1724">
        <v>40.672642000000003</v>
      </c>
      <c r="G1724">
        <v>34349500</v>
      </c>
      <c r="I1724">
        <f t="shared" si="27"/>
        <v>2.2094040592054282E-4</v>
      </c>
    </row>
    <row r="1725" spans="1:9" x14ac:dyDescent="0.3">
      <c r="A1725" s="5">
        <v>44139</v>
      </c>
      <c r="B1725">
        <v>45.110000999999997</v>
      </c>
      <c r="C1725">
        <v>46.150002000000001</v>
      </c>
      <c r="D1725">
        <v>44.779998999999997</v>
      </c>
      <c r="E1725">
        <v>45.700001</v>
      </c>
      <c r="F1725">
        <v>41.443461999999997</v>
      </c>
      <c r="G1725">
        <v>34748200</v>
      </c>
      <c r="I1725">
        <f t="shared" si="27"/>
        <v>3.7266181981151451E-4</v>
      </c>
    </row>
    <row r="1726" spans="1:9" x14ac:dyDescent="0.3">
      <c r="A1726" s="5">
        <v>44140</v>
      </c>
      <c r="B1726">
        <v>46.150002000000001</v>
      </c>
      <c r="C1726">
        <v>46.380001</v>
      </c>
      <c r="D1726">
        <v>45.529998999999997</v>
      </c>
      <c r="E1726">
        <v>45.68</v>
      </c>
      <c r="F1726">
        <v>41.726638999999999</v>
      </c>
      <c r="G1726">
        <v>31103200</v>
      </c>
      <c r="I1726">
        <f t="shared" si="27"/>
        <v>1.2009071191208643E-4</v>
      </c>
    </row>
    <row r="1727" spans="1:9" x14ac:dyDescent="0.3">
      <c r="A1727" s="5">
        <v>44141</v>
      </c>
      <c r="B1727">
        <v>45.540000999999997</v>
      </c>
      <c r="C1727">
        <v>45.799999</v>
      </c>
      <c r="D1727">
        <v>44.900002000000001</v>
      </c>
      <c r="E1727">
        <v>45.389999000000003</v>
      </c>
      <c r="F1727">
        <v>41.461739000000001</v>
      </c>
      <c r="G1727">
        <v>36233700</v>
      </c>
      <c r="I1727">
        <f t="shared" si="27"/>
        <v>2.0481156901388668E-4</v>
      </c>
    </row>
    <row r="1728" spans="1:9" x14ac:dyDescent="0.3">
      <c r="A1728" s="5">
        <v>44144</v>
      </c>
      <c r="B1728">
        <v>46.639999000000003</v>
      </c>
      <c r="C1728">
        <v>47.349997999999999</v>
      </c>
      <c r="D1728">
        <v>45.540000999999997</v>
      </c>
      <c r="E1728">
        <v>45.599997999999999</v>
      </c>
      <c r="F1728">
        <v>41.653556999999999</v>
      </c>
      <c r="G1728">
        <v>48481700</v>
      </c>
      <c r="I1728">
        <f t="shared" si="27"/>
        <v>6.0038705665017389E-4</v>
      </c>
    </row>
    <row r="1729" spans="1:9" x14ac:dyDescent="0.3">
      <c r="A1729" s="5">
        <v>44145</v>
      </c>
      <c r="B1729">
        <v>45.400002000000001</v>
      </c>
      <c r="C1729">
        <v>46.48</v>
      </c>
      <c r="D1729">
        <v>45.25</v>
      </c>
      <c r="E1729">
        <v>45.439999</v>
      </c>
      <c r="F1729">
        <v>41.507407999999998</v>
      </c>
      <c r="G1729">
        <v>39224500</v>
      </c>
      <c r="I1729">
        <f t="shared" si="27"/>
        <v>5.4588241864501159E-4</v>
      </c>
    </row>
    <row r="1730" spans="1:9" x14ac:dyDescent="0.3">
      <c r="A1730" s="5">
        <v>44146</v>
      </c>
      <c r="B1730">
        <v>45.900002000000001</v>
      </c>
      <c r="C1730">
        <v>46.459999000000003</v>
      </c>
      <c r="D1730">
        <v>45.860000999999997</v>
      </c>
      <c r="E1730">
        <v>46.349997999999999</v>
      </c>
      <c r="F1730">
        <v>42.338653999999998</v>
      </c>
      <c r="G1730">
        <v>31496900</v>
      </c>
      <c r="I1730">
        <f t="shared" si="27"/>
        <v>3.8011552462643557E-5</v>
      </c>
    </row>
    <row r="1731" spans="1:9" x14ac:dyDescent="0.3">
      <c r="A1731" s="5">
        <v>44147</v>
      </c>
      <c r="B1731">
        <v>46.130001</v>
      </c>
      <c r="C1731">
        <v>46.189999</v>
      </c>
      <c r="D1731">
        <v>44.549999</v>
      </c>
      <c r="E1731">
        <v>44.950001</v>
      </c>
      <c r="F1731">
        <v>41.059818</v>
      </c>
      <c r="G1731">
        <v>42881300</v>
      </c>
      <c r="I1731">
        <f t="shared" si="27"/>
        <v>3.4689480164717523E-4</v>
      </c>
    </row>
    <row r="1732" spans="1:9" x14ac:dyDescent="0.3">
      <c r="A1732" s="5">
        <v>44148</v>
      </c>
      <c r="B1732">
        <v>44.990001999999997</v>
      </c>
      <c r="C1732">
        <v>45.580002</v>
      </c>
      <c r="D1732">
        <v>44.970001000000003</v>
      </c>
      <c r="E1732">
        <v>45.459999000000003</v>
      </c>
      <c r="F1732">
        <v>41.525672999999998</v>
      </c>
      <c r="G1732">
        <v>30884700</v>
      </c>
      <c r="I1732">
        <f t="shared" si="27"/>
        <v>3.9166303409157855E-5</v>
      </c>
    </row>
    <row r="1733" spans="1:9" x14ac:dyDescent="0.3">
      <c r="A1733" s="5">
        <v>44151</v>
      </c>
      <c r="B1733">
        <v>46.040000999999997</v>
      </c>
      <c r="C1733">
        <v>46.75</v>
      </c>
      <c r="D1733">
        <v>45.790000999999997</v>
      </c>
      <c r="E1733">
        <v>46.189999</v>
      </c>
      <c r="F1733">
        <v>42.192497000000003</v>
      </c>
      <c r="G1733">
        <v>36306300</v>
      </c>
      <c r="I1733">
        <f t="shared" si="27"/>
        <v>2.3178050783285133E-4</v>
      </c>
    </row>
    <row r="1734" spans="1:9" x14ac:dyDescent="0.3">
      <c r="A1734" s="5">
        <v>44152</v>
      </c>
      <c r="B1734">
        <v>45.75</v>
      </c>
      <c r="C1734">
        <v>46.119999</v>
      </c>
      <c r="D1734">
        <v>45.41</v>
      </c>
      <c r="E1734">
        <v>45.529998999999997</v>
      </c>
      <c r="F1734">
        <v>41.589618999999999</v>
      </c>
      <c r="G1734">
        <v>31118000</v>
      </c>
      <c r="I1734">
        <f t="shared" si="27"/>
        <v>1.2339468323019576E-4</v>
      </c>
    </row>
    <row r="1735" spans="1:9" x14ac:dyDescent="0.3">
      <c r="A1735" s="5">
        <v>44153</v>
      </c>
      <c r="B1735">
        <v>45.549999</v>
      </c>
      <c r="C1735">
        <v>45.689999</v>
      </c>
      <c r="D1735">
        <v>45.040000999999997</v>
      </c>
      <c r="E1735">
        <v>45.060001</v>
      </c>
      <c r="F1735">
        <v>41.160297</v>
      </c>
      <c r="G1735">
        <v>32817900</v>
      </c>
      <c r="I1735">
        <f t="shared" si="27"/>
        <v>4.7607835491274248E-5</v>
      </c>
    </row>
    <row r="1736" spans="1:9" x14ac:dyDescent="0.3">
      <c r="A1736" s="5">
        <v>44154</v>
      </c>
      <c r="B1736">
        <v>44.919998</v>
      </c>
      <c r="C1736">
        <v>45.669998</v>
      </c>
      <c r="D1736">
        <v>44.700001</v>
      </c>
      <c r="E1736">
        <v>45.619999</v>
      </c>
      <c r="F1736">
        <v>41.671824999999998</v>
      </c>
      <c r="G1736">
        <v>29469100</v>
      </c>
      <c r="I1736">
        <f t="shared" si="27"/>
        <v>1.1815886581325287E-4</v>
      </c>
    </row>
    <row r="1737" spans="1:9" x14ac:dyDescent="0.3">
      <c r="A1737" s="5">
        <v>44155</v>
      </c>
      <c r="B1737">
        <v>45.66</v>
      </c>
      <c r="C1737">
        <v>45.880001</v>
      </c>
      <c r="D1737">
        <v>45.330002</v>
      </c>
      <c r="E1737">
        <v>45.389999000000003</v>
      </c>
      <c r="F1737">
        <v>41.461739000000001</v>
      </c>
      <c r="G1737">
        <v>24199300</v>
      </c>
      <c r="I1737">
        <f t="shared" si="27"/>
        <v>6.1205885813735291E-5</v>
      </c>
    </row>
    <row r="1738" spans="1:9" x14ac:dyDescent="0.3">
      <c r="A1738" s="5">
        <v>44158</v>
      </c>
      <c r="B1738">
        <v>45.48</v>
      </c>
      <c r="C1738">
        <v>46.209999000000003</v>
      </c>
      <c r="D1738">
        <v>45.450001</v>
      </c>
      <c r="E1738">
        <v>46.060001</v>
      </c>
      <c r="F1738">
        <v>42.073742000000003</v>
      </c>
      <c r="G1738">
        <v>35489600</v>
      </c>
      <c r="I1738">
        <f t="shared" si="27"/>
        <v>6.0568834598407833E-5</v>
      </c>
    </row>
    <row r="1739" spans="1:9" x14ac:dyDescent="0.3">
      <c r="A1739" s="5">
        <v>44159</v>
      </c>
      <c r="B1739">
        <v>46.290000999999997</v>
      </c>
      <c r="C1739">
        <v>47.299999</v>
      </c>
      <c r="D1739">
        <v>46.009998000000003</v>
      </c>
      <c r="E1739">
        <v>47.009998000000003</v>
      </c>
      <c r="F1739">
        <v>42.941527999999998</v>
      </c>
      <c r="G1739">
        <v>33901200</v>
      </c>
      <c r="I1739">
        <f t="shared" si="27"/>
        <v>2.6319842364613404E-4</v>
      </c>
    </row>
    <row r="1740" spans="1:9" x14ac:dyDescent="0.3">
      <c r="A1740" s="5">
        <v>44160</v>
      </c>
      <c r="B1740">
        <v>47.029998999999997</v>
      </c>
      <c r="C1740">
        <v>47.18</v>
      </c>
      <c r="D1740">
        <v>46.57</v>
      </c>
      <c r="E1740">
        <v>47.049999</v>
      </c>
      <c r="F1740">
        <v>42.978076999999999</v>
      </c>
      <c r="G1740">
        <v>28126900</v>
      </c>
      <c r="I1740">
        <f t="shared" ref="I1740:I1803" si="28">LN(C1740/B1740)*(LN(C1740/B1740)-LN(E1740/B1740))+LN(D1740/B1740)*(LN(D1740/B1740)-LN(E1740/B1740))</f>
        <v>1.095770890463575E-4</v>
      </c>
    </row>
    <row r="1741" spans="1:9" x14ac:dyDescent="0.3">
      <c r="A1741" s="5">
        <v>44162</v>
      </c>
      <c r="B1741">
        <v>47.360000999999997</v>
      </c>
      <c r="C1741">
        <v>48.099997999999999</v>
      </c>
      <c r="D1741">
        <v>47.360000999999997</v>
      </c>
      <c r="E1741">
        <v>47.450001</v>
      </c>
      <c r="F1741">
        <v>43.343449</v>
      </c>
      <c r="G1741">
        <v>15921400</v>
      </c>
      <c r="I1741">
        <f t="shared" si="28"/>
        <v>2.109427430024648E-4</v>
      </c>
    </row>
    <row r="1742" spans="1:9" x14ac:dyDescent="0.3">
      <c r="A1742" s="5">
        <v>44165</v>
      </c>
      <c r="B1742">
        <v>47.419998</v>
      </c>
      <c r="C1742">
        <v>48.5</v>
      </c>
      <c r="D1742">
        <v>47.27</v>
      </c>
      <c r="E1742">
        <v>48.349997999999999</v>
      </c>
      <c r="F1742">
        <v>44.165565000000001</v>
      </c>
      <c r="G1742">
        <v>46332700</v>
      </c>
      <c r="I1742">
        <f t="shared" si="28"/>
        <v>1.4132815736323309E-4</v>
      </c>
    </row>
    <row r="1743" spans="1:9" x14ac:dyDescent="0.3">
      <c r="A1743" s="5">
        <v>44166</v>
      </c>
      <c r="B1743">
        <v>48.75</v>
      </c>
      <c r="C1743">
        <v>50.23</v>
      </c>
      <c r="D1743">
        <v>48.709999000000003</v>
      </c>
      <c r="E1743">
        <v>49.560001</v>
      </c>
      <c r="F1743">
        <v>45.270847000000003</v>
      </c>
      <c r="G1743">
        <v>57768000</v>
      </c>
      <c r="I1743">
        <f t="shared" si="28"/>
        <v>4.1580692911508571E-4</v>
      </c>
    </row>
    <row r="1744" spans="1:9" x14ac:dyDescent="0.3">
      <c r="A1744" s="5">
        <v>44167</v>
      </c>
      <c r="B1744">
        <v>49.220001000000003</v>
      </c>
      <c r="C1744">
        <v>50.060001</v>
      </c>
      <c r="D1744">
        <v>49.18</v>
      </c>
      <c r="E1744">
        <v>49.900002000000001</v>
      </c>
      <c r="F1744">
        <v>45.581417000000002</v>
      </c>
      <c r="G1744">
        <v>33753500</v>
      </c>
      <c r="I1744">
        <f t="shared" si="28"/>
        <v>6.5989106451156153E-5</v>
      </c>
    </row>
    <row r="1745" spans="1:9" x14ac:dyDescent="0.3">
      <c r="A1745" s="5">
        <v>44168</v>
      </c>
      <c r="B1745">
        <v>49.919998</v>
      </c>
      <c r="C1745">
        <v>51.110000999999997</v>
      </c>
      <c r="D1745">
        <v>49.779998999999997</v>
      </c>
      <c r="E1745">
        <v>50.990001999999997</v>
      </c>
      <c r="F1745">
        <v>46.577086999999999</v>
      </c>
      <c r="G1745">
        <v>50261200</v>
      </c>
      <c r="I1745">
        <f t="shared" si="28"/>
        <v>1.2282459643217568E-4</v>
      </c>
    </row>
    <row r="1746" spans="1:9" x14ac:dyDescent="0.3">
      <c r="A1746" s="5">
        <v>44169</v>
      </c>
      <c r="B1746">
        <v>51.060001</v>
      </c>
      <c r="C1746">
        <v>52.650002000000001</v>
      </c>
      <c r="D1746">
        <v>51</v>
      </c>
      <c r="E1746">
        <v>51.990001999999997</v>
      </c>
      <c r="F1746">
        <v>47.490543000000002</v>
      </c>
      <c r="G1746">
        <v>39767700</v>
      </c>
      <c r="I1746">
        <f t="shared" si="28"/>
        <v>4.094379582372019E-4</v>
      </c>
    </row>
    <row r="1747" spans="1:9" x14ac:dyDescent="0.3">
      <c r="A1747" s="5">
        <v>44172</v>
      </c>
      <c r="B1747">
        <v>51</v>
      </c>
      <c r="C1747">
        <v>51.290000999999997</v>
      </c>
      <c r="D1747">
        <v>49.560001</v>
      </c>
      <c r="E1747">
        <v>50.200001</v>
      </c>
      <c r="F1747">
        <v>45.855452999999997</v>
      </c>
      <c r="G1747">
        <v>51040300</v>
      </c>
      <c r="I1747">
        <f t="shared" si="28"/>
        <v>4.8929896614954144E-4</v>
      </c>
    </row>
    <row r="1748" spans="1:9" x14ac:dyDescent="0.3">
      <c r="A1748" s="5">
        <v>44173</v>
      </c>
      <c r="B1748">
        <v>49.830002</v>
      </c>
      <c r="C1748">
        <v>50.720001000000003</v>
      </c>
      <c r="D1748">
        <v>49.810001</v>
      </c>
      <c r="E1748">
        <v>50.689999</v>
      </c>
      <c r="F1748">
        <v>46.303043000000002</v>
      </c>
      <c r="G1748">
        <v>28956500</v>
      </c>
      <c r="I1748">
        <f t="shared" si="28"/>
        <v>1.7505658620543329E-5</v>
      </c>
    </row>
    <row r="1749" spans="1:9" x14ac:dyDescent="0.3">
      <c r="A1749" s="5">
        <v>44174</v>
      </c>
      <c r="B1749">
        <v>50.279998999999997</v>
      </c>
      <c r="C1749">
        <v>50.84</v>
      </c>
      <c r="D1749">
        <v>49.73</v>
      </c>
      <c r="E1749">
        <v>50.07</v>
      </c>
      <c r="F1749">
        <v>45.736705999999998</v>
      </c>
      <c r="G1749">
        <v>34068400</v>
      </c>
      <c r="I1749">
        <f t="shared" si="28"/>
        <v>2.4398006209156646E-4</v>
      </c>
    </row>
    <row r="1750" spans="1:9" x14ac:dyDescent="0.3">
      <c r="A1750" s="5">
        <v>44175</v>
      </c>
      <c r="B1750">
        <v>49.66</v>
      </c>
      <c r="C1750">
        <v>50.720001000000003</v>
      </c>
      <c r="D1750">
        <v>49.59</v>
      </c>
      <c r="E1750">
        <v>50.259998000000003</v>
      </c>
      <c r="F1750">
        <v>45.910263</v>
      </c>
      <c r="G1750">
        <v>33706000</v>
      </c>
      <c r="I1750">
        <f t="shared" si="28"/>
        <v>2.1135628688622566E-4</v>
      </c>
    </row>
    <row r="1751" spans="1:9" x14ac:dyDescent="0.3">
      <c r="A1751" s="5">
        <v>44176</v>
      </c>
      <c r="B1751">
        <v>50.139999000000003</v>
      </c>
      <c r="C1751">
        <v>50.139999000000003</v>
      </c>
      <c r="D1751">
        <v>49.119999</v>
      </c>
      <c r="E1751">
        <v>49.73</v>
      </c>
      <c r="F1751">
        <v>45.426127999999999</v>
      </c>
      <c r="G1751">
        <v>29398800</v>
      </c>
      <c r="I1751">
        <f t="shared" si="28"/>
        <v>2.5366501776094357E-4</v>
      </c>
    </row>
    <row r="1752" spans="1:9" x14ac:dyDescent="0.3">
      <c r="A1752" s="5">
        <v>44179</v>
      </c>
      <c r="B1752">
        <v>49.82</v>
      </c>
      <c r="C1752">
        <v>51.34</v>
      </c>
      <c r="D1752">
        <v>49.740001999999997</v>
      </c>
      <c r="E1752">
        <v>50.470001000000003</v>
      </c>
      <c r="F1752">
        <v>46.102088999999999</v>
      </c>
      <c r="G1752">
        <v>33436400</v>
      </c>
      <c r="I1752">
        <f t="shared" si="28"/>
        <v>5.3706272951975899E-4</v>
      </c>
    </row>
    <row r="1753" spans="1:9" x14ac:dyDescent="0.3">
      <c r="A1753" s="5">
        <v>44180</v>
      </c>
      <c r="B1753">
        <v>50.98</v>
      </c>
      <c r="C1753">
        <v>51.009998000000003</v>
      </c>
      <c r="D1753">
        <v>50.209999000000003</v>
      </c>
      <c r="E1753">
        <v>50.669998</v>
      </c>
      <c r="F1753">
        <v>46.284775000000003</v>
      </c>
      <c r="G1753">
        <v>25465600</v>
      </c>
      <c r="I1753">
        <f t="shared" si="28"/>
        <v>1.4273003539930129E-4</v>
      </c>
    </row>
    <row r="1754" spans="1:9" x14ac:dyDescent="0.3">
      <c r="A1754" s="5">
        <v>44181</v>
      </c>
      <c r="B1754">
        <v>50.709999000000003</v>
      </c>
      <c r="C1754">
        <v>51.459999000000003</v>
      </c>
      <c r="D1754">
        <v>50.68</v>
      </c>
      <c r="E1754">
        <v>51.119999</v>
      </c>
      <c r="F1754">
        <v>46.695827000000001</v>
      </c>
      <c r="G1754">
        <v>28351000</v>
      </c>
      <c r="I1754">
        <f t="shared" si="28"/>
        <v>1.0244017823550298E-4</v>
      </c>
    </row>
    <row r="1755" spans="1:9" x14ac:dyDescent="0.3">
      <c r="A1755" s="5">
        <v>44182</v>
      </c>
      <c r="B1755">
        <v>51.150002000000001</v>
      </c>
      <c r="C1755">
        <v>51.32</v>
      </c>
      <c r="D1755">
        <v>50.220001000000003</v>
      </c>
      <c r="E1755">
        <v>50.650002000000001</v>
      </c>
      <c r="F1755">
        <v>46.266517999999998</v>
      </c>
      <c r="G1755">
        <v>26399000</v>
      </c>
      <c r="I1755">
        <f t="shared" si="28"/>
        <v>2.0004586229625825E-4</v>
      </c>
    </row>
    <row r="1756" spans="1:9" x14ac:dyDescent="0.3">
      <c r="A1756" s="5">
        <v>44183</v>
      </c>
      <c r="B1756">
        <v>50.57</v>
      </c>
      <c r="C1756">
        <v>50.68</v>
      </c>
      <c r="D1756">
        <v>47.110000999999997</v>
      </c>
      <c r="E1756">
        <v>47.459999000000003</v>
      </c>
      <c r="F1756">
        <v>43.352581000000001</v>
      </c>
      <c r="G1756">
        <v>119298400</v>
      </c>
      <c r="I1756">
        <f t="shared" si="28"/>
        <v>6.6723168685690567E-4</v>
      </c>
    </row>
    <row r="1757" spans="1:9" x14ac:dyDescent="0.3">
      <c r="A1757" s="5">
        <v>44186</v>
      </c>
      <c r="B1757">
        <v>46.32</v>
      </c>
      <c r="C1757">
        <v>46.450001</v>
      </c>
      <c r="D1757">
        <v>45.240001999999997</v>
      </c>
      <c r="E1757">
        <v>46.360000999999997</v>
      </c>
      <c r="F1757">
        <v>42.347794</v>
      </c>
      <c r="G1757">
        <v>53775700</v>
      </c>
      <c r="I1757">
        <f t="shared" si="28"/>
        <v>5.8238945686000664E-4</v>
      </c>
    </row>
    <row r="1758" spans="1:9" x14ac:dyDescent="0.3">
      <c r="A1758" s="5">
        <v>44187</v>
      </c>
      <c r="B1758">
        <v>46.25</v>
      </c>
      <c r="C1758">
        <v>46.34</v>
      </c>
      <c r="D1758">
        <v>45.77</v>
      </c>
      <c r="E1758">
        <v>46.169998</v>
      </c>
      <c r="F1758">
        <v>42.174228999999997</v>
      </c>
      <c r="G1758">
        <v>32171200</v>
      </c>
      <c r="I1758">
        <f t="shared" si="28"/>
        <v>9.7922700935829021E-5</v>
      </c>
    </row>
    <row r="1759" spans="1:9" x14ac:dyDescent="0.3">
      <c r="A1759" s="5">
        <v>44188</v>
      </c>
      <c r="B1759">
        <v>46.169998</v>
      </c>
      <c r="C1759">
        <v>47.029998999999997</v>
      </c>
      <c r="D1759">
        <v>46.07</v>
      </c>
      <c r="E1759">
        <v>46.57</v>
      </c>
      <c r="F1759">
        <v>42.539616000000002</v>
      </c>
      <c r="G1759">
        <v>22564200</v>
      </c>
      <c r="I1759">
        <f t="shared" si="28"/>
        <v>2.0480605777476048E-4</v>
      </c>
    </row>
    <row r="1760" spans="1:9" x14ac:dyDescent="0.3">
      <c r="A1760" s="5">
        <v>44189</v>
      </c>
      <c r="B1760">
        <v>46.599997999999999</v>
      </c>
      <c r="C1760">
        <v>47.09</v>
      </c>
      <c r="D1760">
        <v>46.34</v>
      </c>
      <c r="E1760">
        <v>47.07</v>
      </c>
      <c r="F1760">
        <v>42.996346000000003</v>
      </c>
      <c r="G1760">
        <v>11865600</v>
      </c>
      <c r="I1760">
        <f t="shared" si="28"/>
        <v>9.1894978263563836E-5</v>
      </c>
    </row>
    <row r="1761" spans="1:9" x14ac:dyDescent="0.3">
      <c r="A1761" s="5">
        <v>44193</v>
      </c>
      <c r="B1761">
        <v>47.189999</v>
      </c>
      <c r="C1761">
        <v>47.639999000000003</v>
      </c>
      <c r="D1761">
        <v>46.860000999999997</v>
      </c>
      <c r="E1761">
        <v>47.07</v>
      </c>
      <c r="F1761">
        <v>42.996346000000003</v>
      </c>
      <c r="G1761">
        <v>21269200</v>
      </c>
      <c r="I1761">
        <f t="shared" si="28"/>
        <v>1.4561696392406806E-4</v>
      </c>
    </row>
    <row r="1762" spans="1:9" x14ac:dyDescent="0.3">
      <c r="A1762" s="5">
        <v>44194</v>
      </c>
      <c r="B1762">
        <v>47.220001000000003</v>
      </c>
      <c r="C1762">
        <v>50.669998</v>
      </c>
      <c r="D1762">
        <v>46.490001999999997</v>
      </c>
      <c r="E1762">
        <v>49.389999000000003</v>
      </c>
      <c r="F1762">
        <v>45.115555000000001</v>
      </c>
      <c r="G1762">
        <v>84531400</v>
      </c>
      <c r="I1762">
        <f t="shared" si="28"/>
        <v>2.7470080312448986E-3</v>
      </c>
    </row>
    <row r="1763" spans="1:9" x14ac:dyDescent="0.3">
      <c r="A1763" s="5">
        <v>44195</v>
      </c>
      <c r="B1763">
        <v>49.110000999999997</v>
      </c>
      <c r="C1763">
        <v>49.189999</v>
      </c>
      <c r="D1763">
        <v>48.560001</v>
      </c>
      <c r="E1763">
        <v>48.75</v>
      </c>
      <c r="F1763">
        <v>44.530945000000003</v>
      </c>
      <c r="G1763">
        <v>37385400</v>
      </c>
      <c r="I1763">
        <f t="shared" si="28"/>
        <v>5.860500329057014E-5</v>
      </c>
    </row>
    <row r="1764" spans="1:9" x14ac:dyDescent="0.3">
      <c r="A1764" s="5">
        <v>44196</v>
      </c>
      <c r="B1764">
        <v>48.75</v>
      </c>
      <c r="C1764">
        <v>50.189999</v>
      </c>
      <c r="D1764">
        <v>48.720001000000003</v>
      </c>
      <c r="E1764">
        <v>49.82</v>
      </c>
      <c r="F1764">
        <v>45.508338999999999</v>
      </c>
      <c r="G1764">
        <v>28576800</v>
      </c>
      <c r="I1764">
        <f t="shared" si="28"/>
        <v>2.2914058248899504E-4</v>
      </c>
    </row>
    <row r="1765" spans="1:9" x14ac:dyDescent="0.3">
      <c r="A1765" s="5">
        <v>44200</v>
      </c>
      <c r="B1765">
        <v>49.889999000000003</v>
      </c>
      <c r="C1765">
        <v>51.389999000000003</v>
      </c>
      <c r="D1765">
        <v>49.400002000000001</v>
      </c>
      <c r="E1765">
        <v>49.669998</v>
      </c>
      <c r="F1765">
        <v>45.371326000000003</v>
      </c>
      <c r="G1765">
        <v>46102500</v>
      </c>
      <c r="I1765">
        <f t="shared" si="28"/>
        <v>1.0622396223122946E-3</v>
      </c>
    </row>
    <row r="1766" spans="1:9" x14ac:dyDescent="0.3">
      <c r="A1766" s="5">
        <v>44201</v>
      </c>
      <c r="B1766">
        <v>49.450001</v>
      </c>
      <c r="C1766">
        <v>50.830002</v>
      </c>
      <c r="D1766">
        <v>49.330002</v>
      </c>
      <c r="E1766">
        <v>50.610000999999997</v>
      </c>
      <c r="F1766">
        <v>46.229965</v>
      </c>
      <c r="G1766">
        <v>24866600</v>
      </c>
      <c r="I1766">
        <f t="shared" si="28"/>
        <v>1.8162919575769878E-4</v>
      </c>
    </row>
    <row r="1767" spans="1:9" x14ac:dyDescent="0.3">
      <c r="A1767" s="5">
        <v>44202</v>
      </c>
      <c r="B1767">
        <v>50.439999</v>
      </c>
      <c r="C1767">
        <v>52.150002000000001</v>
      </c>
      <c r="D1767">
        <v>50.200001</v>
      </c>
      <c r="E1767">
        <v>51.099997999999999</v>
      </c>
      <c r="F1767">
        <v>46.677562999999999</v>
      </c>
      <c r="G1767">
        <v>36809600</v>
      </c>
      <c r="I1767">
        <f t="shared" si="28"/>
        <v>7.6287235871458435E-4</v>
      </c>
    </row>
    <row r="1768" spans="1:9" x14ac:dyDescent="0.3">
      <c r="A1768" s="5">
        <v>44203</v>
      </c>
      <c r="B1768">
        <v>51.490001999999997</v>
      </c>
      <c r="C1768">
        <v>52.689999</v>
      </c>
      <c r="D1768">
        <v>51.299999</v>
      </c>
      <c r="E1768">
        <v>52.189999</v>
      </c>
      <c r="F1768">
        <v>47.673228999999999</v>
      </c>
      <c r="G1768">
        <v>32092300</v>
      </c>
      <c r="I1768">
        <f t="shared" si="28"/>
        <v>2.8324994682440952E-4</v>
      </c>
    </row>
    <row r="1769" spans="1:9" x14ac:dyDescent="0.3">
      <c r="A1769" s="5">
        <v>44204</v>
      </c>
      <c r="B1769">
        <v>52.450001</v>
      </c>
      <c r="C1769">
        <v>52.529998999999997</v>
      </c>
      <c r="D1769">
        <v>51.27</v>
      </c>
      <c r="E1769">
        <v>51.650002000000001</v>
      </c>
      <c r="F1769">
        <v>47.179966</v>
      </c>
      <c r="G1769">
        <v>34625400</v>
      </c>
      <c r="I1769">
        <f t="shared" si="28"/>
        <v>1.9377771680513636E-4</v>
      </c>
    </row>
    <row r="1770" spans="1:9" x14ac:dyDescent="0.3">
      <c r="A1770" s="5">
        <v>44207</v>
      </c>
      <c r="B1770">
        <v>51.290000999999997</v>
      </c>
      <c r="C1770">
        <v>52.240001999999997</v>
      </c>
      <c r="D1770">
        <v>51.25</v>
      </c>
      <c r="E1770">
        <v>51.540000999999997</v>
      </c>
      <c r="F1770">
        <v>47.079483000000003</v>
      </c>
      <c r="G1770">
        <v>32925000</v>
      </c>
      <c r="I1770">
        <f t="shared" si="28"/>
        <v>2.5198581329259661E-4</v>
      </c>
    </row>
    <row r="1771" spans="1:9" x14ac:dyDescent="0.3">
      <c r="A1771" s="5">
        <v>44208</v>
      </c>
      <c r="B1771">
        <v>51.900002000000001</v>
      </c>
      <c r="C1771">
        <v>53.849997999999999</v>
      </c>
      <c r="D1771">
        <v>51.560001</v>
      </c>
      <c r="E1771">
        <v>53.240001999999997</v>
      </c>
      <c r="F1771">
        <v>48.632359000000001</v>
      </c>
      <c r="G1771">
        <v>39883900</v>
      </c>
      <c r="I1771">
        <f t="shared" si="28"/>
        <v>6.3093338633833521E-4</v>
      </c>
    </row>
    <row r="1772" spans="1:9" x14ac:dyDescent="0.3">
      <c r="A1772" s="5">
        <v>44209</v>
      </c>
      <c r="B1772">
        <v>59.5</v>
      </c>
      <c r="C1772">
        <v>60.25</v>
      </c>
      <c r="D1772">
        <v>56.900002000000001</v>
      </c>
      <c r="E1772">
        <v>56.950001</v>
      </c>
      <c r="F1772">
        <v>52.021278000000002</v>
      </c>
      <c r="G1772">
        <v>124070700</v>
      </c>
      <c r="I1772">
        <f t="shared" si="28"/>
        <v>7.4483465635194848E-4</v>
      </c>
    </row>
    <row r="1773" spans="1:9" x14ac:dyDescent="0.3">
      <c r="A1773" s="5">
        <v>44210</v>
      </c>
      <c r="B1773">
        <v>58.450001</v>
      </c>
      <c r="C1773">
        <v>60.139999000000003</v>
      </c>
      <c r="D1773">
        <v>57.84</v>
      </c>
      <c r="E1773">
        <v>59.25</v>
      </c>
      <c r="F1773">
        <v>54.122227000000002</v>
      </c>
      <c r="G1773">
        <v>74680900</v>
      </c>
      <c r="I1773">
        <f t="shared" si="28"/>
        <v>6.7764980053313122E-4</v>
      </c>
    </row>
    <row r="1774" spans="1:9" x14ac:dyDescent="0.3">
      <c r="A1774" s="5">
        <v>44211</v>
      </c>
      <c r="B1774">
        <v>58.849997999999999</v>
      </c>
      <c r="C1774">
        <v>59.650002000000001</v>
      </c>
      <c r="D1774">
        <v>57.5</v>
      </c>
      <c r="E1774">
        <v>57.580002</v>
      </c>
      <c r="F1774">
        <v>52.596764</v>
      </c>
      <c r="G1774">
        <v>50265400</v>
      </c>
      <c r="I1774">
        <f t="shared" si="28"/>
        <v>5.0915494080636917E-4</v>
      </c>
    </row>
    <row r="1775" spans="1:9" x14ac:dyDescent="0.3">
      <c r="A1775" s="5">
        <v>44215</v>
      </c>
      <c r="B1775">
        <v>57.939999</v>
      </c>
      <c r="C1775">
        <v>58.34</v>
      </c>
      <c r="D1775">
        <v>57.099997999999999</v>
      </c>
      <c r="E1775">
        <v>57.990001999999997</v>
      </c>
      <c r="F1775">
        <v>52.971271999999999</v>
      </c>
      <c r="G1775">
        <v>35647100</v>
      </c>
      <c r="I1775">
        <f t="shared" si="28"/>
        <v>2.6727091597709724E-4</v>
      </c>
    </row>
    <row r="1776" spans="1:9" x14ac:dyDescent="0.3">
      <c r="A1776" s="5">
        <v>44216</v>
      </c>
      <c r="B1776">
        <v>58.240001999999997</v>
      </c>
      <c r="C1776">
        <v>59.220001000000003</v>
      </c>
      <c r="D1776">
        <v>58.09</v>
      </c>
      <c r="E1776">
        <v>58.669998</v>
      </c>
      <c r="F1776">
        <v>53.592421999999999</v>
      </c>
      <c r="G1776">
        <v>28701300</v>
      </c>
      <c r="I1776">
        <f t="shared" si="28"/>
        <v>1.813243071892685E-4</v>
      </c>
    </row>
    <row r="1777" spans="1:9" x14ac:dyDescent="0.3">
      <c r="A1777" s="5">
        <v>44217</v>
      </c>
      <c r="B1777">
        <v>59.040000999999997</v>
      </c>
      <c r="C1777">
        <v>63.950001</v>
      </c>
      <c r="D1777">
        <v>58.220001000000003</v>
      </c>
      <c r="E1777">
        <v>62.459999000000003</v>
      </c>
      <c r="F1777">
        <v>57.054417000000001</v>
      </c>
      <c r="G1777">
        <v>86519500</v>
      </c>
      <c r="I1777">
        <f t="shared" si="28"/>
        <v>2.8665333739191614E-3</v>
      </c>
    </row>
    <row r="1778" spans="1:9" x14ac:dyDescent="0.3">
      <c r="A1778" s="5">
        <v>44218</v>
      </c>
      <c r="B1778">
        <v>58.849997999999999</v>
      </c>
      <c r="C1778">
        <v>59.619999</v>
      </c>
      <c r="D1778">
        <v>56.650002000000001</v>
      </c>
      <c r="E1778">
        <v>56.66</v>
      </c>
      <c r="F1778">
        <v>51.756377999999998</v>
      </c>
      <c r="G1778">
        <v>85729300</v>
      </c>
      <c r="I1778">
        <f t="shared" si="28"/>
        <v>6.686799473870869E-4</v>
      </c>
    </row>
    <row r="1779" spans="1:9" x14ac:dyDescent="0.3">
      <c r="A1779" s="5">
        <v>44221</v>
      </c>
      <c r="B1779">
        <v>56.380001</v>
      </c>
      <c r="C1779">
        <v>56.5</v>
      </c>
      <c r="D1779">
        <v>54.060001</v>
      </c>
      <c r="E1779">
        <v>55.439999</v>
      </c>
      <c r="F1779">
        <v>50.641959999999997</v>
      </c>
      <c r="G1779">
        <v>61968500</v>
      </c>
      <c r="I1779">
        <f t="shared" si="28"/>
        <v>1.0994548870752949E-3</v>
      </c>
    </row>
    <row r="1780" spans="1:9" x14ac:dyDescent="0.3">
      <c r="A1780" s="5">
        <v>44222</v>
      </c>
      <c r="B1780">
        <v>55.279998999999997</v>
      </c>
      <c r="C1780">
        <v>56.200001</v>
      </c>
      <c r="D1780">
        <v>54.849997999999999</v>
      </c>
      <c r="E1780">
        <v>55.209999000000003</v>
      </c>
      <c r="F1780">
        <v>50.431865999999999</v>
      </c>
      <c r="G1780">
        <v>31485900</v>
      </c>
      <c r="I1780">
        <f t="shared" si="28"/>
        <v>3.4443524416822235E-4</v>
      </c>
    </row>
    <row r="1781" spans="1:9" x14ac:dyDescent="0.3">
      <c r="A1781" s="5">
        <v>44223</v>
      </c>
      <c r="B1781">
        <v>54.610000999999997</v>
      </c>
      <c r="C1781">
        <v>54.849997999999999</v>
      </c>
      <c r="D1781">
        <v>53.299999</v>
      </c>
      <c r="E1781">
        <v>53.59</v>
      </c>
      <c r="F1781">
        <v>48.952067999999997</v>
      </c>
      <c r="G1781">
        <v>49722900</v>
      </c>
      <c r="I1781">
        <f t="shared" si="28"/>
        <v>2.3365998172931334E-4</v>
      </c>
    </row>
    <row r="1782" spans="1:9" x14ac:dyDescent="0.3">
      <c r="A1782" s="5">
        <v>44224</v>
      </c>
      <c r="B1782">
        <v>54.790000999999997</v>
      </c>
      <c r="C1782">
        <v>57.400002000000001</v>
      </c>
      <c r="D1782">
        <v>54.700001</v>
      </c>
      <c r="E1782">
        <v>56.07</v>
      </c>
      <c r="F1782">
        <v>51.217438000000001</v>
      </c>
      <c r="G1782">
        <v>49202600</v>
      </c>
      <c r="I1782">
        <f t="shared" si="28"/>
        <v>1.1316455881234719E-3</v>
      </c>
    </row>
    <row r="1783" spans="1:9" x14ac:dyDescent="0.3">
      <c r="A1783" s="5">
        <v>44225</v>
      </c>
      <c r="B1783">
        <v>55.98</v>
      </c>
      <c r="C1783">
        <v>57.16</v>
      </c>
      <c r="D1783">
        <v>55.360000999999997</v>
      </c>
      <c r="E1783">
        <v>55.509998000000003</v>
      </c>
      <c r="F1783">
        <v>50.705902000000002</v>
      </c>
      <c r="G1783">
        <v>37256200</v>
      </c>
      <c r="I1783">
        <f t="shared" si="28"/>
        <v>6.4114581382647071E-4</v>
      </c>
    </row>
    <row r="1784" spans="1:9" x14ac:dyDescent="0.3">
      <c r="A1784" s="5">
        <v>44228</v>
      </c>
      <c r="B1784">
        <v>55.950001</v>
      </c>
      <c r="C1784">
        <v>57.389999000000003</v>
      </c>
      <c r="D1784">
        <v>55.709999000000003</v>
      </c>
      <c r="E1784">
        <v>56.689999</v>
      </c>
      <c r="F1784">
        <v>51.783771999999999</v>
      </c>
      <c r="G1784">
        <v>26926600</v>
      </c>
      <c r="I1784">
        <f t="shared" si="28"/>
        <v>3.8682067718173653E-4</v>
      </c>
    </row>
    <row r="1785" spans="1:9" x14ac:dyDescent="0.3">
      <c r="A1785" s="5">
        <v>44229</v>
      </c>
      <c r="B1785">
        <v>57.189999</v>
      </c>
      <c r="C1785">
        <v>58.279998999999997</v>
      </c>
      <c r="D1785">
        <v>56.880001</v>
      </c>
      <c r="E1785">
        <v>58</v>
      </c>
      <c r="F1785">
        <v>52.980404</v>
      </c>
      <c r="G1785">
        <v>23580900</v>
      </c>
      <c r="I1785">
        <f t="shared" si="28"/>
        <v>1.9690765810330695E-4</v>
      </c>
    </row>
    <row r="1786" spans="1:9" x14ac:dyDescent="0.3">
      <c r="A1786" s="5">
        <v>44230</v>
      </c>
      <c r="B1786">
        <v>57.889999000000003</v>
      </c>
      <c r="C1786">
        <v>58.330002</v>
      </c>
      <c r="D1786">
        <v>57.380001</v>
      </c>
      <c r="E1786">
        <v>57.68</v>
      </c>
      <c r="F1786">
        <v>52.688102999999998</v>
      </c>
      <c r="G1786">
        <v>21893200</v>
      </c>
      <c r="I1786">
        <f t="shared" si="28"/>
        <v>1.30995311081319E-4</v>
      </c>
    </row>
    <row r="1787" spans="1:9" x14ac:dyDescent="0.3">
      <c r="A1787" s="5">
        <v>44231</v>
      </c>
      <c r="B1787">
        <v>57.610000999999997</v>
      </c>
      <c r="C1787">
        <v>58.880001</v>
      </c>
      <c r="D1787">
        <v>57.189999</v>
      </c>
      <c r="E1787">
        <v>58.790000999999997</v>
      </c>
      <c r="F1787">
        <v>54.028008</v>
      </c>
      <c r="G1787">
        <v>29853800</v>
      </c>
      <c r="I1787">
        <f t="shared" si="28"/>
        <v>2.3525565187262426E-4</v>
      </c>
    </row>
    <row r="1788" spans="1:9" x14ac:dyDescent="0.3">
      <c r="A1788" s="5">
        <v>44232</v>
      </c>
      <c r="B1788">
        <v>59</v>
      </c>
      <c r="C1788">
        <v>59.080002</v>
      </c>
      <c r="D1788">
        <v>58.119999</v>
      </c>
      <c r="E1788">
        <v>58.18</v>
      </c>
      <c r="F1788">
        <v>53.467410999999998</v>
      </c>
      <c r="G1788">
        <v>23432600</v>
      </c>
      <c r="I1788">
        <f t="shared" si="28"/>
        <v>3.6307092184479481E-5</v>
      </c>
    </row>
    <row r="1789" spans="1:9" x14ac:dyDescent="0.3">
      <c r="A1789" s="5">
        <v>44235</v>
      </c>
      <c r="B1789">
        <v>58.380001</v>
      </c>
      <c r="C1789">
        <v>59.220001000000003</v>
      </c>
      <c r="D1789">
        <v>57.950001</v>
      </c>
      <c r="E1789">
        <v>59.16</v>
      </c>
      <c r="F1789">
        <v>54.368031000000002</v>
      </c>
      <c r="G1789">
        <v>34358300</v>
      </c>
      <c r="I1789">
        <f t="shared" si="28"/>
        <v>1.6725419398160254E-4</v>
      </c>
    </row>
    <row r="1790" spans="1:9" x14ac:dyDescent="0.3">
      <c r="A1790" s="5">
        <v>44236</v>
      </c>
      <c r="B1790">
        <v>58.77</v>
      </c>
      <c r="C1790">
        <v>59.310001</v>
      </c>
      <c r="D1790">
        <v>57.939999</v>
      </c>
      <c r="E1790">
        <v>58.779998999999997</v>
      </c>
      <c r="F1790">
        <v>54.018813999999999</v>
      </c>
      <c r="G1790">
        <v>28754100</v>
      </c>
      <c r="I1790">
        <f t="shared" si="28"/>
        <v>2.8683002205813469E-4</v>
      </c>
    </row>
    <row r="1791" spans="1:9" x14ac:dyDescent="0.3">
      <c r="A1791" s="5">
        <v>44237</v>
      </c>
      <c r="B1791">
        <v>59.299999</v>
      </c>
      <c r="C1791">
        <v>59.419998</v>
      </c>
      <c r="D1791">
        <v>58.119999</v>
      </c>
      <c r="E1791">
        <v>58.860000999999997</v>
      </c>
      <c r="F1791">
        <v>54.092334999999999</v>
      </c>
      <c r="G1791">
        <v>16325100</v>
      </c>
      <c r="I1791">
        <f t="shared" si="28"/>
        <v>2.7343941004894694E-4</v>
      </c>
    </row>
    <row r="1792" spans="1:9" x14ac:dyDescent="0.3">
      <c r="A1792" s="5">
        <v>44238</v>
      </c>
      <c r="B1792">
        <v>59.099997999999999</v>
      </c>
      <c r="C1792">
        <v>60.990001999999997</v>
      </c>
      <c r="D1792">
        <v>58.860000999999997</v>
      </c>
      <c r="E1792">
        <v>60.66</v>
      </c>
      <c r="F1792">
        <v>55.746535999999999</v>
      </c>
      <c r="G1792">
        <v>27539100</v>
      </c>
      <c r="I1792">
        <f t="shared" si="28"/>
        <v>2.9336133706500076E-4</v>
      </c>
    </row>
    <row r="1793" spans="1:9" x14ac:dyDescent="0.3">
      <c r="A1793" s="5">
        <v>44239</v>
      </c>
      <c r="B1793">
        <v>60.599997999999999</v>
      </c>
      <c r="C1793">
        <v>62.509998000000003</v>
      </c>
      <c r="D1793">
        <v>60.43</v>
      </c>
      <c r="E1793">
        <v>61.810001</v>
      </c>
      <c r="F1793">
        <v>56.803387000000001</v>
      </c>
      <c r="G1793">
        <v>26214200</v>
      </c>
      <c r="I1793">
        <f t="shared" si="28"/>
        <v>4.1288786278553997E-4</v>
      </c>
    </row>
    <row r="1794" spans="1:9" x14ac:dyDescent="0.3">
      <c r="A1794" s="5">
        <v>44243</v>
      </c>
      <c r="B1794">
        <v>62</v>
      </c>
      <c r="C1794">
        <v>62.869999</v>
      </c>
      <c r="D1794">
        <v>61.700001</v>
      </c>
      <c r="E1794">
        <v>62.470001000000003</v>
      </c>
      <c r="F1794">
        <v>57.409934999999997</v>
      </c>
      <c r="G1794">
        <v>26326300</v>
      </c>
      <c r="I1794">
        <f t="shared" si="28"/>
        <v>1.4909763600630846E-4</v>
      </c>
    </row>
    <row r="1795" spans="1:9" x14ac:dyDescent="0.3">
      <c r="A1795" s="5">
        <v>44244</v>
      </c>
      <c r="B1795">
        <v>61.490001999999997</v>
      </c>
      <c r="C1795">
        <v>62.189999</v>
      </c>
      <c r="D1795">
        <v>61.209999000000003</v>
      </c>
      <c r="E1795">
        <v>61.849997999999999</v>
      </c>
      <c r="F1795">
        <v>56.840136999999999</v>
      </c>
      <c r="G1795">
        <v>21055400</v>
      </c>
      <c r="I1795">
        <f t="shared" si="28"/>
        <v>1.09528419004745E-4</v>
      </c>
    </row>
    <row r="1796" spans="1:9" x14ac:dyDescent="0.3">
      <c r="A1796" s="5">
        <v>44245</v>
      </c>
      <c r="B1796">
        <v>60.650002000000001</v>
      </c>
      <c r="C1796">
        <v>61.98</v>
      </c>
      <c r="D1796">
        <v>60.639999000000003</v>
      </c>
      <c r="E1796">
        <v>61.610000999999997</v>
      </c>
      <c r="F1796">
        <v>56.619579000000002</v>
      </c>
      <c r="G1796">
        <v>17846100</v>
      </c>
      <c r="I1796">
        <f t="shared" si="28"/>
        <v>1.3249981349283652E-4</v>
      </c>
    </row>
    <row r="1797" spans="1:9" x14ac:dyDescent="0.3">
      <c r="A1797" s="5">
        <v>44246</v>
      </c>
      <c r="B1797">
        <v>61.91</v>
      </c>
      <c r="C1797">
        <v>63.259998000000003</v>
      </c>
      <c r="D1797">
        <v>61.849997999999999</v>
      </c>
      <c r="E1797">
        <v>63.009998000000003</v>
      </c>
      <c r="F1797">
        <v>57.906180999999997</v>
      </c>
      <c r="G1797">
        <v>28290100</v>
      </c>
      <c r="I1797">
        <f t="shared" si="28"/>
        <v>1.0343556306614868E-4</v>
      </c>
    </row>
    <row r="1798" spans="1:9" x14ac:dyDescent="0.3">
      <c r="A1798" s="5">
        <v>44249</v>
      </c>
      <c r="B1798">
        <v>61.880001</v>
      </c>
      <c r="C1798">
        <v>62.700001</v>
      </c>
      <c r="D1798">
        <v>60.66</v>
      </c>
      <c r="E1798">
        <v>60.709999000000003</v>
      </c>
      <c r="F1798">
        <v>55.792484000000002</v>
      </c>
      <c r="G1798">
        <v>32288200</v>
      </c>
      <c r="I1798">
        <f t="shared" si="28"/>
        <v>4.4099891279014784E-4</v>
      </c>
    </row>
    <row r="1799" spans="1:9" x14ac:dyDescent="0.3">
      <c r="A1799" s="5">
        <v>44250</v>
      </c>
      <c r="B1799">
        <v>60.48</v>
      </c>
      <c r="C1799">
        <v>61.5</v>
      </c>
      <c r="D1799">
        <v>59.169998</v>
      </c>
      <c r="E1799">
        <v>61.119999</v>
      </c>
      <c r="F1799">
        <v>56.169269999999997</v>
      </c>
      <c r="G1799">
        <v>27374600</v>
      </c>
      <c r="I1799">
        <f t="shared" si="28"/>
        <v>8.1369422952168498E-4</v>
      </c>
    </row>
    <row r="1800" spans="1:9" x14ac:dyDescent="0.3">
      <c r="A1800" s="5">
        <v>44251</v>
      </c>
      <c r="B1800">
        <v>60.529998999999997</v>
      </c>
      <c r="C1800">
        <v>63.279998999999997</v>
      </c>
      <c r="D1800">
        <v>60.380001</v>
      </c>
      <c r="E1800">
        <v>63.189999</v>
      </c>
      <c r="F1800">
        <v>58.071598000000002</v>
      </c>
      <c r="G1800">
        <v>24669900</v>
      </c>
      <c r="I1800">
        <f t="shared" si="28"/>
        <v>1.7609879176024924E-4</v>
      </c>
    </row>
    <row r="1801" spans="1:9" x14ac:dyDescent="0.3">
      <c r="A1801" s="5">
        <v>44252</v>
      </c>
      <c r="B1801">
        <v>62.41</v>
      </c>
      <c r="C1801">
        <v>63.540000999999997</v>
      </c>
      <c r="D1801">
        <v>60.130001</v>
      </c>
      <c r="E1801">
        <v>60.400002000000001</v>
      </c>
      <c r="F1801">
        <v>55.507590999999998</v>
      </c>
      <c r="G1801">
        <v>36394000</v>
      </c>
      <c r="I1801">
        <f t="shared" si="28"/>
        <v>1.0761566185562405E-3</v>
      </c>
    </row>
    <row r="1802" spans="1:9" x14ac:dyDescent="0.3">
      <c r="A1802" s="5">
        <v>44253</v>
      </c>
      <c r="B1802">
        <v>60.889999000000003</v>
      </c>
      <c r="C1802">
        <v>61.689999</v>
      </c>
      <c r="D1802">
        <v>59.68</v>
      </c>
      <c r="E1802">
        <v>60.779998999999997</v>
      </c>
      <c r="F1802">
        <v>55.856814999999997</v>
      </c>
      <c r="G1802">
        <v>38216800</v>
      </c>
      <c r="I1802">
        <f t="shared" si="28"/>
        <v>5.6057069577982984E-4</v>
      </c>
    </row>
    <row r="1803" spans="1:9" x14ac:dyDescent="0.3">
      <c r="A1803" s="5">
        <v>44256</v>
      </c>
      <c r="B1803">
        <v>61.720001000000003</v>
      </c>
      <c r="C1803">
        <v>63.080002</v>
      </c>
      <c r="D1803">
        <v>61.650002000000001</v>
      </c>
      <c r="E1803">
        <v>62.880001</v>
      </c>
      <c r="F1803">
        <v>57.786715999999998</v>
      </c>
      <c r="G1803">
        <v>28495400</v>
      </c>
      <c r="I1803">
        <f t="shared" si="28"/>
        <v>9.1632733195814005E-5</v>
      </c>
    </row>
    <row r="1804" spans="1:9" x14ac:dyDescent="0.3">
      <c r="A1804" s="5">
        <v>44257</v>
      </c>
      <c r="B1804">
        <v>62.799999</v>
      </c>
      <c r="C1804">
        <v>63.139999000000003</v>
      </c>
      <c r="D1804">
        <v>61.110000999999997</v>
      </c>
      <c r="E1804">
        <v>61.240001999999997</v>
      </c>
      <c r="F1804">
        <v>56.279552000000002</v>
      </c>
      <c r="G1804">
        <v>23320000</v>
      </c>
      <c r="I1804">
        <f t="shared" ref="I1804:I1867" si="29">LN(C1804/B1804)*(LN(C1804/B1804)-LN(E1804/B1804))+LN(D1804/B1804)*(LN(D1804/B1804)-LN(E1804/B1804))</f>
        <v>2.2294367476253407E-4</v>
      </c>
    </row>
    <row r="1805" spans="1:9" x14ac:dyDescent="0.3">
      <c r="A1805" s="5">
        <v>44258</v>
      </c>
      <c r="B1805">
        <v>60.639999000000003</v>
      </c>
      <c r="C1805">
        <v>61.52</v>
      </c>
      <c r="D1805">
        <v>59.700001</v>
      </c>
      <c r="E1805">
        <v>59.900002000000001</v>
      </c>
      <c r="F1805">
        <v>55.048096000000001</v>
      </c>
      <c r="G1805">
        <v>28740400</v>
      </c>
      <c r="I1805">
        <f t="shared" si="29"/>
        <v>4.3672824998216832E-4</v>
      </c>
    </row>
    <row r="1806" spans="1:9" x14ac:dyDescent="0.3">
      <c r="A1806" s="5">
        <v>44259</v>
      </c>
      <c r="B1806">
        <v>59.830002</v>
      </c>
      <c r="C1806">
        <v>60.240001999999997</v>
      </c>
      <c r="D1806">
        <v>57.91</v>
      </c>
      <c r="E1806">
        <v>58.330002</v>
      </c>
      <c r="F1806">
        <v>53.605263000000001</v>
      </c>
      <c r="G1806">
        <v>40210400</v>
      </c>
      <c r="I1806">
        <f t="shared" si="29"/>
        <v>4.5575047672108805E-4</v>
      </c>
    </row>
    <row r="1807" spans="1:9" x14ac:dyDescent="0.3">
      <c r="A1807" s="5">
        <v>44260</v>
      </c>
      <c r="B1807">
        <v>59.259998000000003</v>
      </c>
      <c r="C1807">
        <v>61.18</v>
      </c>
      <c r="D1807">
        <v>58.509998000000003</v>
      </c>
      <c r="E1807">
        <v>60.740001999999997</v>
      </c>
      <c r="F1807">
        <v>55.820056999999998</v>
      </c>
      <c r="G1807">
        <v>39511700</v>
      </c>
      <c r="I1807">
        <f t="shared" si="29"/>
        <v>7.0656742109063877E-4</v>
      </c>
    </row>
    <row r="1808" spans="1:9" x14ac:dyDescent="0.3">
      <c r="A1808" s="5">
        <v>44263</v>
      </c>
      <c r="B1808">
        <v>60.470001000000003</v>
      </c>
      <c r="C1808">
        <v>61.700001</v>
      </c>
      <c r="D1808">
        <v>59.720001000000003</v>
      </c>
      <c r="E1808">
        <v>59.849997999999999</v>
      </c>
      <c r="F1808">
        <v>55.002139999999997</v>
      </c>
      <c r="G1808">
        <v>33112400</v>
      </c>
      <c r="I1808">
        <f t="shared" si="29"/>
        <v>6.4014559159864047E-4</v>
      </c>
    </row>
    <row r="1809" spans="1:9" x14ac:dyDescent="0.3">
      <c r="A1809" s="5">
        <v>44264</v>
      </c>
      <c r="B1809">
        <v>61.18</v>
      </c>
      <c r="C1809">
        <v>63.169998</v>
      </c>
      <c r="D1809">
        <v>60.84</v>
      </c>
      <c r="E1809">
        <v>62.669998</v>
      </c>
      <c r="F1809">
        <v>57.593719</v>
      </c>
      <c r="G1809">
        <v>36387500</v>
      </c>
      <c r="I1809">
        <f t="shared" si="29"/>
        <v>4.1951917409466233E-4</v>
      </c>
    </row>
    <row r="1810" spans="1:9" x14ac:dyDescent="0.3">
      <c r="A1810" s="5">
        <v>44265</v>
      </c>
      <c r="B1810">
        <v>63.220001000000003</v>
      </c>
      <c r="C1810">
        <v>64.120002999999997</v>
      </c>
      <c r="D1810">
        <v>62.130001</v>
      </c>
      <c r="E1810">
        <v>62.25</v>
      </c>
      <c r="F1810">
        <v>57.207745000000003</v>
      </c>
      <c r="G1810">
        <v>27160300</v>
      </c>
      <c r="I1810">
        <f t="shared" si="29"/>
        <v>4.5194307898421007E-4</v>
      </c>
    </row>
    <row r="1811" spans="1:9" x14ac:dyDescent="0.3">
      <c r="A1811" s="5">
        <v>44266</v>
      </c>
      <c r="B1811">
        <v>62.939999</v>
      </c>
      <c r="C1811">
        <v>64.089995999999999</v>
      </c>
      <c r="D1811">
        <v>62.389999000000003</v>
      </c>
      <c r="E1811">
        <v>63.310001</v>
      </c>
      <c r="F1811">
        <v>58.181888999999998</v>
      </c>
      <c r="G1811">
        <v>30701800</v>
      </c>
      <c r="I1811">
        <f t="shared" si="29"/>
        <v>3.5019132777409359E-4</v>
      </c>
    </row>
    <row r="1812" spans="1:9" x14ac:dyDescent="0.3">
      <c r="A1812" s="5">
        <v>44267</v>
      </c>
      <c r="B1812">
        <v>62.650002000000001</v>
      </c>
      <c r="C1812">
        <v>63.299999</v>
      </c>
      <c r="D1812">
        <v>62.240001999999997</v>
      </c>
      <c r="E1812">
        <v>62.900002000000001</v>
      </c>
      <c r="F1812">
        <v>57.805095999999999</v>
      </c>
      <c r="G1812">
        <v>20173000</v>
      </c>
      <c r="I1812">
        <f t="shared" si="29"/>
        <v>1.346877724521095E-4</v>
      </c>
    </row>
    <row r="1813" spans="1:9" x14ac:dyDescent="0.3">
      <c r="A1813" s="5">
        <v>44270</v>
      </c>
      <c r="B1813">
        <v>63.610000999999997</v>
      </c>
      <c r="C1813">
        <v>63.880001</v>
      </c>
      <c r="D1813">
        <v>62.48</v>
      </c>
      <c r="E1813">
        <v>63.790000999999997</v>
      </c>
      <c r="F1813">
        <v>58.622996999999998</v>
      </c>
      <c r="G1813">
        <v>21247400</v>
      </c>
      <c r="I1813">
        <f t="shared" si="29"/>
        <v>3.7789799850649009E-4</v>
      </c>
    </row>
    <row r="1814" spans="1:9" x14ac:dyDescent="0.3">
      <c r="A1814" s="5">
        <v>44271</v>
      </c>
      <c r="B1814">
        <v>64.150002000000001</v>
      </c>
      <c r="C1814">
        <v>65.730002999999996</v>
      </c>
      <c r="D1814">
        <v>64.080001999999993</v>
      </c>
      <c r="E1814">
        <v>64.779999000000004</v>
      </c>
      <c r="F1814">
        <v>59.532822000000003</v>
      </c>
      <c r="G1814">
        <v>30186600</v>
      </c>
      <c r="I1814">
        <f t="shared" si="29"/>
        <v>3.6609217144214731E-4</v>
      </c>
    </row>
    <row r="1815" spans="1:9" x14ac:dyDescent="0.3">
      <c r="A1815" s="5">
        <v>44272</v>
      </c>
      <c r="B1815">
        <v>64.220000999999996</v>
      </c>
      <c r="C1815">
        <v>66.290001000000004</v>
      </c>
      <c r="D1815">
        <v>63.709999000000003</v>
      </c>
      <c r="E1815">
        <v>65.779999000000004</v>
      </c>
      <c r="F1815">
        <v>60.451808999999997</v>
      </c>
      <c r="G1815">
        <v>32394700</v>
      </c>
      <c r="I1815">
        <f t="shared" si="29"/>
        <v>4.9995209603475178E-4</v>
      </c>
    </row>
    <row r="1816" spans="1:9" x14ac:dyDescent="0.3">
      <c r="A1816" s="5">
        <v>44273</v>
      </c>
      <c r="B1816">
        <v>65.629997000000003</v>
      </c>
      <c r="C1816">
        <v>65.699996999999996</v>
      </c>
      <c r="D1816">
        <v>63.650002000000001</v>
      </c>
      <c r="E1816">
        <v>63.73</v>
      </c>
      <c r="F1816">
        <v>58.567863000000003</v>
      </c>
      <c r="G1816">
        <v>30094200</v>
      </c>
      <c r="I1816">
        <f t="shared" si="29"/>
        <v>7.0930563243909927E-5</v>
      </c>
    </row>
    <row r="1817" spans="1:9" x14ac:dyDescent="0.3">
      <c r="A1817" s="5">
        <v>44274</v>
      </c>
      <c r="B1817">
        <v>63.18</v>
      </c>
      <c r="C1817">
        <v>64.989998</v>
      </c>
      <c r="D1817">
        <v>62.919998</v>
      </c>
      <c r="E1817">
        <v>63.759998000000003</v>
      </c>
      <c r="F1817">
        <v>58.595421000000002</v>
      </c>
      <c r="G1817">
        <v>54951700</v>
      </c>
      <c r="I1817">
        <f t="shared" si="29"/>
        <v>5.9438806475273394E-4</v>
      </c>
    </row>
    <row r="1818" spans="1:9" x14ac:dyDescent="0.3">
      <c r="A1818" s="5">
        <v>44277</v>
      </c>
      <c r="B1818">
        <v>64.819999999999993</v>
      </c>
      <c r="C1818">
        <v>66.379997000000003</v>
      </c>
      <c r="D1818">
        <v>64.559997999999993</v>
      </c>
      <c r="E1818">
        <v>65.629997000000003</v>
      </c>
      <c r="F1818">
        <v>60.313965000000003</v>
      </c>
      <c r="G1818">
        <v>34380100</v>
      </c>
      <c r="I1818">
        <f t="shared" si="29"/>
        <v>3.3629465071739989E-4</v>
      </c>
    </row>
    <row r="1819" spans="1:9" x14ac:dyDescent="0.3">
      <c r="A1819" s="5">
        <v>44278</v>
      </c>
      <c r="B1819">
        <v>66</v>
      </c>
      <c r="C1819">
        <v>66.050003000000004</v>
      </c>
      <c r="D1819">
        <v>63.169998</v>
      </c>
      <c r="E1819">
        <v>63.48</v>
      </c>
      <c r="F1819">
        <v>58.338112000000002</v>
      </c>
      <c r="G1819">
        <v>35160000</v>
      </c>
      <c r="I1819">
        <f t="shared" si="29"/>
        <v>2.4459966851304713E-4</v>
      </c>
    </row>
    <row r="1820" spans="1:9" x14ac:dyDescent="0.3">
      <c r="A1820" s="5">
        <v>44279</v>
      </c>
      <c r="B1820">
        <v>66.580001999999993</v>
      </c>
      <c r="C1820">
        <v>67.440002000000007</v>
      </c>
      <c r="D1820">
        <v>61.990001999999997</v>
      </c>
      <c r="E1820">
        <v>62.040000999999997</v>
      </c>
      <c r="F1820">
        <v>57.014755000000001</v>
      </c>
      <c r="G1820">
        <v>74584700</v>
      </c>
      <c r="I1820">
        <f t="shared" si="29"/>
        <v>1.1287101187369816E-3</v>
      </c>
    </row>
    <row r="1821" spans="1:9" x14ac:dyDescent="0.3">
      <c r="A1821" s="5">
        <v>44280</v>
      </c>
      <c r="B1821">
        <v>61.66</v>
      </c>
      <c r="C1821">
        <v>62.439999</v>
      </c>
      <c r="D1821">
        <v>60.98</v>
      </c>
      <c r="E1821">
        <v>62.02</v>
      </c>
      <c r="F1821">
        <v>56.996367999999997</v>
      </c>
      <c r="G1821">
        <v>35401400</v>
      </c>
      <c r="I1821">
        <f t="shared" si="29"/>
        <v>2.7237535369000219E-4</v>
      </c>
    </row>
    <row r="1822" spans="1:9" x14ac:dyDescent="0.3">
      <c r="A1822" s="5">
        <v>44281</v>
      </c>
      <c r="B1822">
        <v>61.799999</v>
      </c>
      <c r="C1822">
        <v>64.970000999999996</v>
      </c>
      <c r="D1822">
        <v>61.77</v>
      </c>
      <c r="E1822">
        <v>64.870002999999997</v>
      </c>
      <c r="F1822">
        <v>59.615524000000001</v>
      </c>
      <c r="G1822">
        <v>34705800</v>
      </c>
      <c r="I1822">
        <f t="shared" si="29"/>
        <v>1.0082628959024978E-4</v>
      </c>
    </row>
    <row r="1823" spans="1:9" x14ac:dyDescent="0.3">
      <c r="A1823" s="5">
        <v>44284</v>
      </c>
      <c r="B1823">
        <v>64.010002</v>
      </c>
      <c r="C1823">
        <v>65.129997000000003</v>
      </c>
      <c r="D1823">
        <v>63.610000999999997</v>
      </c>
      <c r="E1823">
        <v>64.5</v>
      </c>
      <c r="F1823">
        <v>59.275489999999998</v>
      </c>
      <c r="G1823">
        <v>26161600</v>
      </c>
      <c r="I1823">
        <f t="shared" si="29"/>
        <v>2.5570175365962461E-4</v>
      </c>
    </row>
    <row r="1824" spans="1:9" x14ac:dyDescent="0.3">
      <c r="A1824" s="5">
        <v>44285</v>
      </c>
      <c r="B1824">
        <v>63.77</v>
      </c>
      <c r="C1824">
        <v>64</v>
      </c>
      <c r="D1824">
        <v>63.150002000000001</v>
      </c>
      <c r="E1824">
        <v>63.77</v>
      </c>
      <c r="F1824">
        <v>58.604621999999999</v>
      </c>
      <c r="G1824">
        <v>20709500</v>
      </c>
      <c r="I1824">
        <f t="shared" si="29"/>
        <v>1.0841411234956731E-4</v>
      </c>
    </row>
    <row r="1825" spans="1:9" x14ac:dyDescent="0.3">
      <c r="A1825" s="5">
        <v>44286</v>
      </c>
      <c r="B1825">
        <v>64.010002</v>
      </c>
      <c r="C1825">
        <v>64.489998</v>
      </c>
      <c r="D1825">
        <v>63.580002</v>
      </c>
      <c r="E1825">
        <v>64</v>
      </c>
      <c r="F1825">
        <v>58.815994000000003</v>
      </c>
      <c r="G1825">
        <v>33013200</v>
      </c>
      <c r="I1825">
        <f t="shared" si="29"/>
        <v>1.0135936662120498E-4</v>
      </c>
    </row>
    <row r="1826" spans="1:9" x14ac:dyDescent="0.3">
      <c r="A1826" s="5">
        <v>44287</v>
      </c>
      <c r="B1826">
        <v>64.720000999999996</v>
      </c>
      <c r="C1826">
        <v>64.889999000000003</v>
      </c>
      <c r="D1826">
        <v>63.580002</v>
      </c>
      <c r="E1826">
        <v>64.550003000000004</v>
      </c>
      <c r="F1826">
        <v>59.321449000000001</v>
      </c>
      <c r="G1826">
        <v>31416300</v>
      </c>
      <c r="I1826">
        <f t="shared" si="29"/>
        <v>2.8285913262909867E-4</v>
      </c>
    </row>
    <row r="1827" spans="1:9" x14ac:dyDescent="0.3">
      <c r="A1827" s="5">
        <v>44291</v>
      </c>
      <c r="B1827">
        <v>64.949996999999996</v>
      </c>
      <c r="C1827">
        <v>66.739998</v>
      </c>
      <c r="D1827">
        <v>64.699996999999996</v>
      </c>
      <c r="E1827">
        <v>66.540001000000004</v>
      </c>
      <c r="F1827">
        <v>61.150249000000002</v>
      </c>
      <c r="G1827">
        <v>27947500</v>
      </c>
      <c r="I1827">
        <f t="shared" si="29"/>
        <v>1.8973736242409398E-4</v>
      </c>
    </row>
    <row r="1828" spans="1:9" x14ac:dyDescent="0.3">
      <c r="A1828" s="5">
        <v>44292</v>
      </c>
      <c r="B1828">
        <v>66.059997999999993</v>
      </c>
      <c r="C1828">
        <v>66.580001999999993</v>
      </c>
      <c r="D1828">
        <v>65.290001000000004</v>
      </c>
      <c r="E1828">
        <v>65.559997999999993</v>
      </c>
      <c r="F1828">
        <v>60.249634</v>
      </c>
      <c r="G1828">
        <v>28771400</v>
      </c>
      <c r="I1828">
        <f t="shared" si="29"/>
        <v>1.6943650430191714E-4</v>
      </c>
    </row>
    <row r="1829" spans="1:9" x14ac:dyDescent="0.3">
      <c r="A1829" s="5">
        <v>44293</v>
      </c>
      <c r="B1829">
        <v>65.669998000000007</v>
      </c>
      <c r="C1829">
        <v>66.569999999999993</v>
      </c>
      <c r="D1829">
        <v>65.360000999999997</v>
      </c>
      <c r="E1829">
        <v>66.25</v>
      </c>
      <c r="F1829">
        <v>60.883738999999998</v>
      </c>
      <c r="G1829">
        <v>17793300</v>
      </c>
      <c r="I1829">
        <f t="shared" si="29"/>
        <v>1.2958584488589929E-4</v>
      </c>
    </row>
    <row r="1830" spans="1:9" x14ac:dyDescent="0.3">
      <c r="A1830" s="5">
        <v>44294</v>
      </c>
      <c r="B1830">
        <v>66.970000999999996</v>
      </c>
      <c r="C1830">
        <v>67.290001000000004</v>
      </c>
      <c r="D1830">
        <v>66.360000999999997</v>
      </c>
      <c r="E1830">
        <v>67.050003000000004</v>
      </c>
      <c r="F1830">
        <v>61.618949999999998</v>
      </c>
      <c r="G1830">
        <v>22224200</v>
      </c>
      <c r="I1830">
        <f t="shared" si="29"/>
        <v>1.1168426602751097E-4</v>
      </c>
    </row>
    <row r="1831" spans="1:9" x14ac:dyDescent="0.3">
      <c r="A1831" s="5">
        <v>44295</v>
      </c>
      <c r="B1831">
        <v>66.800003000000004</v>
      </c>
      <c r="C1831">
        <v>68.400002000000001</v>
      </c>
      <c r="D1831">
        <v>66.629997000000003</v>
      </c>
      <c r="E1831">
        <v>68.260002</v>
      </c>
      <c r="F1831">
        <v>62.730938000000002</v>
      </c>
      <c r="G1831">
        <v>27177100</v>
      </c>
      <c r="I1831">
        <f t="shared" si="29"/>
        <v>1.1008519832204024E-4</v>
      </c>
    </row>
    <row r="1832" spans="1:9" x14ac:dyDescent="0.3">
      <c r="A1832" s="5">
        <v>44298</v>
      </c>
      <c r="B1832">
        <v>68.199996999999996</v>
      </c>
      <c r="C1832">
        <v>68.489998</v>
      </c>
      <c r="D1832">
        <v>64.709998999999996</v>
      </c>
      <c r="E1832">
        <v>65.410004000000001</v>
      </c>
      <c r="F1832">
        <v>60.111789999999999</v>
      </c>
      <c r="G1832">
        <v>51266900</v>
      </c>
      <c r="I1832">
        <f t="shared" si="29"/>
        <v>7.6042264003646108E-4</v>
      </c>
    </row>
    <row r="1833" spans="1:9" x14ac:dyDescent="0.3">
      <c r="A1833" s="5">
        <v>44299</v>
      </c>
      <c r="B1833">
        <v>65.610000999999997</v>
      </c>
      <c r="C1833">
        <v>65.629997000000003</v>
      </c>
      <c r="D1833">
        <v>64.209998999999996</v>
      </c>
      <c r="E1833">
        <v>65.220000999999996</v>
      </c>
      <c r="F1833">
        <v>59.937171999999997</v>
      </c>
      <c r="G1833">
        <v>26822000</v>
      </c>
      <c r="I1833">
        <f t="shared" si="29"/>
        <v>3.3854515827195478E-4</v>
      </c>
    </row>
    <row r="1834" spans="1:9" x14ac:dyDescent="0.3">
      <c r="A1834" s="5">
        <v>44300</v>
      </c>
      <c r="B1834">
        <v>65.309997999999993</v>
      </c>
      <c r="C1834">
        <v>65.379997000000003</v>
      </c>
      <c r="D1834">
        <v>63.84</v>
      </c>
      <c r="E1834">
        <v>64.190002000000007</v>
      </c>
      <c r="F1834">
        <v>58.990600999999998</v>
      </c>
      <c r="G1834">
        <v>25768400</v>
      </c>
      <c r="I1834">
        <f t="shared" si="29"/>
        <v>1.4414608627249679E-4</v>
      </c>
    </row>
    <row r="1835" spans="1:9" x14ac:dyDescent="0.3">
      <c r="A1835" s="5">
        <v>44301</v>
      </c>
      <c r="B1835">
        <v>63.970001000000003</v>
      </c>
      <c r="C1835">
        <v>65.220000999999996</v>
      </c>
      <c r="D1835">
        <v>63.68</v>
      </c>
      <c r="E1835">
        <v>65.019997000000004</v>
      </c>
      <c r="F1835">
        <v>59.753368000000002</v>
      </c>
      <c r="G1835">
        <v>24927700</v>
      </c>
      <c r="I1835">
        <f t="shared" si="29"/>
        <v>1.5405540640791107E-4</v>
      </c>
    </row>
    <row r="1836" spans="1:9" x14ac:dyDescent="0.3">
      <c r="A1836" s="5">
        <v>44302</v>
      </c>
      <c r="B1836">
        <v>65.330001999999993</v>
      </c>
      <c r="C1836">
        <v>65.519997000000004</v>
      </c>
      <c r="D1836">
        <v>64.569999999999993</v>
      </c>
      <c r="E1836">
        <v>64.75</v>
      </c>
      <c r="F1836">
        <v>59.505245000000002</v>
      </c>
      <c r="G1836">
        <v>24625500</v>
      </c>
      <c r="I1836">
        <f t="shared" si="29"/>
        <v>6.6904855092076311E-5</v>
      </c>
    </row>
    <row r="1837" spans="1:9" x14ac:dyDescent="0.3">
      <c r="A1837" s="5">
        <v>44305</v>
      </c>
      <c r="B1837">
        <v>64.699996999999996</v>
      </c>
      <c r="C1837">
        <v>64.739998</v>
      </c>
      <c r="D1837">
        <v>63.07</v>
      </c>
      <c r="E1837">
        <v>63.630001</v>
      </c>
      <c r="F1837">
        <v>58.475963999999998</v>
      </c>
      <c r="G1837">
        <v>23997700</v>
      </c>
      <c r="I1837">
        <f t="shared" si="29"/>
        <v>2.3624595326208792E-4</v>
      </c>
    </row>
    <row r="1838" spans="1:9" x14ac:dyDescent="0.3">
      <c r="A1838" s="5">
        <v>44306</v>
      </c>
      <c r="B1838">
        <v>63.639999000000003</v>
      </c>
      <c r="C1838">
        <v>63.759998000000003</v>
      </c>
      <c r="D1838">
        <v>62.41</v>
      </c>
      <c r="E1838">
        <v>62.700001</v>
      </c>
      <c r="F1838">
        <v>57.621291999999997</v>
      </c>
      <c r="G1838">
        <v>19872100</v>
      </c>
      <c r="I1838">
        <f t="shared" si="29"/>
        <v>1.2205949323035809E-4</v>
      </c>
    </row>
    <row r="1839" spans="1:9" x14ac:dyDescent="0.3">
      <c r="A1839" s="5">
        <v>44307</v>
      </c>
      <c r="B1839">
        <v>62.790000999999997</v>
      </c>
      <c r="C1839">
        <v>63.779998999999997</v>
      </c>
      <c r="D1839">
        <v>62.299999</v>
      </c>
      <c r="E1839">
        <v>63.700001</v>
      </c>
      <c r="F1839">
        <v>58.540286999999999</v>
      </c>
      <c r="G1839">
        <v>24364200</v>
      </c>
      <c r="I1839">
        <f t="shared" si="29"/>
        <v>1.9373992039776778E-4</v>
      </c>
    </row>
    <row r="1840" spans="1:9" x14ac:dyDescent="0.3">
      <c r="A1840" s="5">
        <v>44308</v>
      </c>
      <c r="B1840">
        <v>63.349997999999999</v>
      </c>
      <c r="C1840">
        <v>63.91</v>
      </c>
      <c r="D1840">
        <v>62.279998999999997</v>
      </c>
      <c r="E1840">
        <v>62.57</v>
      </c>
      <c r="F1840">
        <v>57.501826999999999</v>
      </c>
      <c r="G1840">
        <v>38257600</v>
      </c>
      <c r="I1840">
        <f t="shared" si="29"/>
        <v>2.6562742546764912E-4</v>
      </c>
    </row>
    <row r="1841" spans="1:9" x14ac:dyDescent="0.3">
      <c r="A1841" s="5">
        <v>44309</v>
      </c>
      <c r="B1841">
        <v>59.16</v>
      </c>
      <c r="C1841">
        <v>60</v>
      </c>
      <c r="D1841">
        <v>57.900002000000001</v>
      </c>
      <c r="E1841">
        <v>59.240001999999997</v>
      </c>
      <c r="F1841">
        <v>54.441550999999997</v>
      </c>
      <c r="G1841">
        <v>77479500</v>
      </c>
      <c r="I1841">
        <f t="shared" si="29"/>
        <v>6.7228370926901047E-4</v>
      </c>
    </row>
    <row r="1842" spans="1:9" x14ac:dyDescent="0.3">
      <c r="A1842" s="5">
        <v>44312</v>
      </c>
      <c r="B1842">
        <v>59.099997999999999</v>
      </c>
      <c r="C1842">
        <v>59.52</v>
      </c>
      <c r="D1842">
        <v>58.459999000000003</v>
      </c>
      <c r="E1842">
        <v>58.759998000000003</v>
      </c>
      <c r="F1842">
        <v>54.000439</v>
      </c>
      <c r="G1842">
        <v>39645900</v>
      </c>
      <c r="I1842">
        <f t="shared" si="29"/>
        <v>1.4673667342548322E-4</v>
      </c>
    </row>
    <row r="1843" spans="1:9" x14ac:dyDescent="0.3">
      <c r="A1843" s="5">
        <v>44313</v>
      </c>
      <c r="B1843">
        <v>58.560001</v>
      </c>
      <c r="C1843">
        <v>58.630001</v>
      </c>
      <c r="D1843">
        <v>57.77</v>
      </c>
      <c r="E1843">
        <v>57.970001000000003</v>
      </c>
      <c r="F1843">
        <v>53.274425999999998</v>
      </c>
      <c r="G1843">
        <v>38167700</v>
      </c>
      <c r="I1843">
        <f t="shared" si="29"/>
        <v>6.0465315904220431E-5</v>
      </c>
    </row>
    <row r="1844" spans="1:9" x14ac:dyDescent="0.3">
      <c r="A1844" s="5">
        <v>44314</v>
      </c>
      <c r="B1844">
        <v>57.52</v>
      </c>
      <c r="C1844">
        <v>58.16</v>
      </c>
      <c r="D1844">
        <v>57.150002000000001</v>
      </c>
      <c r="E1844">
        <v>57.619999</v>
      </c>
      <c r="F1844">
        <v>52.952765999999997</v>
      </c>
      <c r="G1844">
        <v>30387400</v>
      </c>
      <c r="I1844">
        <f t="shared" si="29"/>
        <v>1.5607105832542276E-4</v>
      </c>
    </row>
    <row r="1845" spans="1:9" x14ac:dyDescent="0.3">
      <c r="A1845" s="5">
        <v>44315</v>
      </c>
      <c r="B1845">
        <v>57.880001</v>
      </c>
      <c r="C1845">
        <v>58.299999</v>
      </c>
      <c r="D1845">
        <v>57.470001000000003</v>
      </c>
      <c r="E1845">
        <v>58.279998999999997</v>
      </c>
      <c r="F1845">
        <v>53.559311000000001</v>
      </c>
      <c r="G1845">
        <v>23290600</v>
      </c>
      <c r="I1845">
        <f t="shared" si="29"/>
        <v>1.0197503236239407E-4</v>
      </c>
    </row>
    <row r="1846" spans="1:9" x14ac:dyDescent="0.3">
      <c r="A1846" s="5">
        <v>44316</v>
      </c>
      <c r="B1846">
        <v>57.610000999999997</v>
      </c>
      <c r="C1846">
        <v>58.43</v>
      </c>
      <c r="D1846">
        <v>57.07</v>
      </c>
      <c r="E1846">
        <v>57.529998999999997</v>
      </c>
      <c r="F1846">
        <v>52.870060000000002</v>
      </c>
      <c r="G1846">
        <v>30731800</v>
      </c>
      <c r="I1846">
        <f t="shared" si="29"/>
        <v>2.9499373211404513E-4</v>
      </c>
    </row>
    <row r="1847" spans="1:9" x14ac:dyDescent="0.3">
      <c r="A1847" s="5">
        <v>44319</v>
      </c>
      <c r="B1847">
        <v>57.860000999999997</v>
      </c>
      <c r="C1847">
        <v>57.880001</v>
      </c>
      <c r="D1847">
        <v>56.84</v>
      </c>
      <c r="E1847">
        <v>57.259998000000003</v>
      </c>
      <c r="F1847">
        <v>52.621932999999999</v>
      </c>
      <c r="G1847">
        <v>22281700</v>
      </c>
      <c r="I1847">
        <f t="shared" si="29"/>
        <v>1.3466196392246171E-4</v>
      </c>
    </row>
    <row r="1848" spans="1:9" x14ac:dyDescent="0.3">
      <c r="A1848" s="5">
        <v>44320</v>
      </c>
      <c r="B1848">
        <v>56.880001</v>
      </c>
      <c r="C1848">
        <v>56.98</v>
      </c>
      <c r="D1848">
        <v>55.810001</v>
      </c>
      <c r="E1848">
        <v>56.900002000000001</v>
      </c>
      <c r="F1848">
        <v>52.291096000000003</v>
      </c>
      <c r="G1848">
        <v>35323600</v>
      </c>
      <c r="I1848">
        <f t="shared" si="29"/>
        <v>3.6979192422907176E-4</v>
      </c>
    </row>
    <row r="1849" spans="1:9" x14ac:dyDescent="0.3">
      <c r="A1849" s="5">
        <v>44321</v>
      </c>
      <c r="B1849">
        <v>56.959999000000003</v>
      </c>
      <c r="C1849">
        <v>57.299999</v>
      </c>
      <c r="D1849">
        <v>56.459999000000003</v>
      </c>
      <c r="E1849">
        <v>56.849997999999999</v>
      </c>
      <c r="F1849">
        <v>52.245144000000003</v>
      </c>
      <c r="G1849">
        <v>21001900</v>
      </c>
      <c r="I1849">
        <f t="shared" si="29"/>
        <v>1.0761621993078002E-4</v>
      </c>
    </row>
    <row r="1850" spans="1:9" x14ac:dyDescent="0.3">
      <c r="A1850" s="5">
        <v>44322</v>
      </c>
      <c r="B1850">
        <v>56.619999</v>
      </c>
      <c r="C1850">
        <v>57.25</v>
      </c>
      <c r="D1850">
        <v>56.25</v>
      </c>
      <c r="E1850">
        <v>57.189999</v>
      </c>
      <c r="F1850">
        <v>52.881306000000002</v>
      </c>
      <c r="G1850">
        <v>25529300</v>
      </c>
      <c r="I1850">
        <f t="shared" si="29"/>
        <v>1.2025942533452297E-4</v>
      </c>
    </row>
    <row r="1851" spans="1:9" x14ac:dyDescent="0.3">
      <c r="A1851" s="5">
        <v>44323</v>
      </c>
      <c r="B1851">
        <v>57.700001</v>
      </c>
      <c r="C1851">
        <v>58.009998000000003</v>
      </c>
      <c r="D1851">
        <v>57.240001999999997</v>
      </c>
      <c r="E1851">
        <v>57.669998</v>
      </c>
      <c r="F1851">
        <v>53.325142</v>
      </c>
      <c r="G1851">
        <v>19959000</v>
      </c>
      <c r="I1851">
        <f t="shared" si="29"/>
        <v>9.1401133729367371E-5</v>
      </c>
    </row>
    <row r="1852" spans="1:9" x14ac:dyDescent="0.3">
      <c r="A1852" s="5">
        <v>44326</v>
      </c>
      <c r="B1852">
        <v>57.150002000000001</v>
      </c>
      <c r="C1852">
        <v>57.23</v>
      </c>
      <c r="D1852">
        <v>55.880001</v>
      </c>
      <c r="E1852">
        <v>55.970001000000003</v>
      </c>
      <c r="F1852">
        <v>51.753227000000003</v>
      </c>
      <c r="G1852">
        <v>35046500</v>
      </c>
      <c r="I1852">
        <f t="shared" si="29"/>
        <v>6.7306434455782733E-5</v>
      </c>
    </row>
    <row r="1853" spans="1:9" x14ac:dyDescent="0.3">
      <c r="A1853" s="5">
        <v>44327</v>
      </c>
      <c r="B1853">
        <v>55.049999</v>
      </c>
      <c r="C1853">
        <v>55.630001</v>
      </c>
      <c r="D1853">
        <v>54.299999</v>
      </c>
      <c r="E1853">
        <v>55.040000999999997</v>
      </c>
      <c r="F1853">
        <v>50.893295000000002</v>
      </c>
      <c r="G1853">
        <v>35968100</v>
      </c>
      <c r="I1853">
        <f t="shared" si="29"/>
        <v>2.9743274006335677E-4</v>
      </c>
    </row>
    <row r="1854" spans="1:9" x14ac:dyDescent="0.3">
      <c r="A1854" s="5">
        <v>44328</v>
      </c>
      <c r="B1854">
        <v>54.389999000000003</v>
      </c>
      <c r="C1854">
        <v>54.650002000000001</v>
      </c>
      <c r="D1854">
        <v>53.419998</v>
      </c>
      <c r="E1854">
        <v>53.619999</v>
      </c>
      <c r="F1854">
        <v>49.580275999999998</v>
      </c>
      <c r="G1854">
        <v>30232300</v>
      </c>
      <c r="I1854">
        <f t="shared" si="29"/>
        <v>1.5798635483579913E-4</v>
      </c>
    </row>
    <row r="1855" spans="1:9" x14ac:dyDescent="0.3">
      <c r="A1855" s="5">
        <v>44329</v>
      </c>
      <c r="B1855">
        <v>54.040000999999997</v>
      </c>
      <c r="C1855">
        <v>54.389999000000003</v>
      </c>
      <c r="D1855">
        <v>53.459999000000003</v>
      </c>
      <c r="E1855">
        <v>54.009998000000003</v>
      </c>
      <c r="F1855">
        <v>49.940886999999996</v>
      </c>
      <c r="G1855">
        <v>29192500</v>
      </c>
      <c r="I1855">
        <f t="shared" si="29"/>
        <v>1.5571159887382952E-4</v>
      </c>
    </row>
    <row r="1856" spans="1:9" x14ac:dyDescent="0.3">
      <c r="A1856" s="5">
        <v>44330</v>
      </c>
      <c r="B1856">
        <v>54.599997999999999</v>
      </c>
      <c r="C1856">
        <v>55.849997999999999</v>
      </c>
      <c r="D1856">
        <v>54.259998000000003</v>
      </c>
      <c r="E1856">
        <v>55.349997999999999</v>
      </c>
      <c r="F1856">
        <v>51.179932000000001</v>
      </c>
      <c r="G1856">
        <v>28158300</v>
      </c>
      <c r="I1856">
        <f t="shared" si="29"/>
        <v>3.2779967299736079E-4</v>
      </c>
    </row>
    <row r="1857" spans="1:9" x14ac:dyDescent="0.3">
      <c r="A1857" s="5">
        <v>44333</v>
      </c>
      <c r="B1857">
        <v>55.290000999999997</v>
      </c>
      <c r="C1857">
        <v>55.889999000000003</v>
      </c>
      <c r="D1857">
        <v>54.759998000000003</v>
      </c>
      <c r="E1857">
        <v>55.330002</v>
      </c>
      <c r="F1857">
        <v>51.161445999999998</v>
      </c>
      <c r="G1857">
        <v>20010200</v>
      </c>
      <c r="I1857">
        <f t="shared" si="29"/>
        <v>2.0843477458757552E-4</v>
      </c>
    </row>
    <row r="1858" spans="1:9" x14ac:dyDescent="0.3">
      <c r="A1858" s="5">
        <v>44334</v>
      </c>
      <c r="B1858">
        <v>55.950001</v>
      </c>
      <c r="C1858">
        <v>56.139999000000003</v>
      </c>
      <c r="D1858">
        <v>54.799999</v>
      </c>
      <c r="E1858">
        <v>54.84</v>
      </c>
      <c r="F1858">
        <v>50.708359000000002</v>
      </c>
      <c r="G1858">
        <v>18703400</v>
      </c>
      <c r="I1858">
        <f t="shared" si="29"/>
        <v>9.4579817315519588E-5</v>
      </c>
    </row>
    <row r="1859" spans="1:9" x14ac:dyDescent="0.3">
      <c r="A1859" s="5">
        <v>44335</v>
      </c>
      <c r="B1859">
        <v>54.07</v>
      </c>
      <c r="C1859">
        <v>55.43</v>
      </c>
      <c r="D1859">
        <v>53.84</v>
      </c>
      <c r="E1859">
        <v>55.360000999999997</v>
      </c>
      <c r="F1859">
        <v>51.189177999999998</v>
      </c>
      <c r="G1859">
        <v>23769700</v>
      </c>
      <c r="I1859">
        <f t="shared" si="29"/>
        <v>1.5007011510167031E-4</v>
      </c>
    </row>
    <row r="1860" spans="1:9" x14ac:dyDescent="0.3">
      <c r="A1860" s="5">
        <v>44336</v>
      </c>
      <c r="B1860">
        <v>55.57</v>
      </c>
      <c r="C1860">
        <v>56.240001999999997</v>
      </c>
      <c r="D1860">
        <v>55.360000999999997</v>
      </c>
      <c r="E1860">
        <v>55.950001</v>
      </c>
      <c r="F1860">
        <v>51.734726000000002</v>
      </c>
      <c r="G1860">
        <v>23145200</v>
      </c>
      <c r="I1860">
        <f t="shared" si="29"/>
        <v>1.0209688869267986E-4</v>
      </c>
    </row>
    <row r="1861" spans="1:9" x14ac:dyDescent="0.3">
      <c r="A1861" s="5">
        <v>44337</v>
      </c>
      <c r="B1861">
        <v>56.419998</v>
      </c>
      <c r="C1861">
        <v>56.709999000000003</v>
      </c>
      <c r="D1861">
        <v>55.98</v>
      </c>
      <c r="E1861">
        <v>56.080002</v>
      </c>
      <c r="F1861">
        <v>51.854939000000002</v>
      </c>
      <c r="G1861">
        <v>17723100</v>
      </c>
      <c r="I1861">
        <f t="shared" si="29"/>
        <v>7.1247162831270878E-5</v>
      </c>
    </row>
    <row r="1862" spans="1:9" x14ac:dyDescent="0.3">
      <c r="A1862" s="5">
        <v>44340</v>
      </c>
      <c r="B1862">
        <v>56.650002000000001</v>
      </c>
      <c r="C1862">
        <v>57.389999000000003</v>
      </c>
      <c r="D1862">
        <v>56.400002000000001</v>
      </c>
      <c r="E1862">
        <v>56.959999000000003</v>
      </c>
      <c r="F1862">
        <v>52.668644</v>
      </c>
      <c r="G1862">
        <v>19164400</v>
      </c>
      <c r="I1862">
        <f t="shared" si="29"/>
        <v>1.4130304376387768E-4</v>
      </c>
    </row>
    <row r="1863" spans="1:9" x14ac:dyDescent="0.3">
      <c r="A1863" s="5">
        <v>44341</v>
      </c>
      <c r="B1863">
        <v>57.560001</v>
      </c>
      <c r="C1863">
        <v>57.560001</v>
      </c>
      <c r="D1863">
        <v>56.419998</v>
      </c>
      <c r="E1863">
        <v>56.869999</v>
      </c>
      <c r="F1863">
        <v>52.585422999999999</v>
      </c>
      <c r="G1863">
        <v>22309900</v>
      </c>
      <c r="I1863">
        <f t="shared" si="29"/>
        <v>1.5891907063989843E-4</v>
      </c>
    </row>
    <row r="1864" spans="1:9" x14ac:dyDescent="0.3">
      <c r="A1864" s="5">
        <v>44342</v>
      </c>
      <c r="B1864">
        <v>57.049999</v>
      </c>
      <c r="C1864">
        <v>57.23</v>
      </c>
      <c r="D1864">
        <v>56.59</v>
      </c>
      <c r="E1864">
        <v>56.919998</v>
      </c>
      <c r="F1864">
        <v>52.631653</v>
      </c>
      <c r="G1864">
        <v>15173600</v>
      </c>
      <c r="I1864">
        <f t="shared" si="29"/>
        <v>6.418259583430704E-5</v>
      </c>
    </row>
    <row r="1865" spans="1:9" x14ac:dyDescent="0.3">
      <c r="A1865" s="5">
        <v>44343</v>
      </c>
      <c r="B1865">
        <v>57.110000999999997</v>
      </c>
      <c r="C1865">
        <v>57.880001</v>
      </c>
      <c r="D1865">
        <v>57</v>
      </c>
      <c r="E1865">
        <v>57.73</v>
      </c>
      <c r="F1865">
        <v>53.380623</v>
      </c>
      <c r="G1865">
        <v>32387600</v>
      </c>
      <c r="I1865">
        <f t="shared" si="29"/>
        <v>5.9288233015121811E-5</v>
      </c>
    </row>
    <row r="1866" spans="1:9" x14ac:dyDescent="0.3">
      <c r="A1866" s="5">
        <v>44344</v>
      </c>
      <c r="B1866">
        <v>57.549999</v>
      </c>
      <c r="C1866">
        <v>57.650002000000001</v>
      </c>
      <c r="D1866">
        <v>56.939999</v>
      </c>
      <c r="E1866">
        <v>57.119999</v>
      </c>
      <c r="F1866">
        <v>52.816581999999997</v>
      </c>
      <c r="G1866">
        <v>20303900</v>
      </c>
      <c r="I1866">
        <f t="shared" si="29"/>
        <v>4.9668196172934328E-5</v>
      </c>
    </row>
    <row r="1867" spans="1:9" x14ac:dyDescent="0.3">
      <c r="A1867" s="5">
        <v>44348</v>
      </c>
      <c r="B1867">
        <v>57.610000999999997</v>
      </c>
      <c r="C1867">
        <v>57.82</v>
      </c>
      <c r="D1867">
        <v>56.59</v>
      </c>
      <c r="E1867">
        <v>56.889999000000003</v>
      </c>
      <c r="F1867">
        <v>52.603915999999998</v>
      </c>
      <c r="G1867">
        <v>20326400</v>
      </c>
      <c r="I1867">
        <f t="shared" si="29"/>
        <v>1.534510253646741E-4</v>
      </c>
    </row>
    <row r="1868" spans="1:9" x14ac:dyDescent="0.3">
      <c r="A1868" s="5">
        <v>44349</v>
      </c>
      <c r="B1868">
        <v>56.91</v>
      </c>
      <c r="C1868">
        <v>57.689999</v>
      </c>
      <c r="D1868">
        <v>56.759998000000003</v>
      </c>
      <c r="E1868">
        <v>57.48</v>
      </c>
      <c r="F1868">
        <v>53.149467000000001</v>
      </c>
      <c r="G1868">
        <v>18483600</v>
      </c>
      <c r="I1868">
        <f t="shared" ref="I1868:I1931" si="30">LN(C1868/B1868)*(LN(C1868/B1868)-LN(E1868/B1868))+LN(D1868/B1868)*(LN(D1868/B1868)-LN(E1868/B1868))</f>
        <v>8.291105561207871E-5</v>
      </c>
    </row>
    <row r="1869" spans="1:9" x14ac:dyDescent="0.3">
      <c r="A1869" s="5">
        <v>44350</v>
      </c>
      <c r="B1869">
        <v>56.98</v>
      </c>
      <c r="C1869">
        <v>57.099997999999999</v>
      </c>
      <c r="D1869">
        <v>56.09</v>
      </c>
      <c r="E1869">
        <v>56.240001999999997</v>
      </c>
      <c r="F1869">
        <v>52.002887999999999</v>
      </c>
      <c r="G1869">
        <v>21831300</v>
      </c>
      <c r="I1869">
        <f t="shared" si="30"/>
        <v>7.3971005085115313E-5</v>
      </c>
    </row>
    <row r="1870" spans="1:9" x14ac:dyDescent="0.3">
      <c r="A1870" s="5">
        <v>44351</v>
      </c>
      <c r="B1870">
        <v>56.549999</v>
      </c>
      <c r="C1870">
        <v>57.75</v>
      </c>
      <c r="D1870">
        <v>56.540000999999997</v>
      </c>
      <c r="E1870">
        <v>57.369999</v>
      </c>
      <c r="F1870">
        <v>53.047749000000003</v>
      </c>
      <c r="G1870">
        <v>21493800</v>
      </c>
      <c r="I1870">
        <f t="shared" si="30"/>
        <v>1.4120344218590292E-4</v>
      </c>
    </row>
    <row r="1871" spans="1:9" x14ac:dyDescent="0.3">
      <c r="A1871" s="5">
        <v>44354</v>
      </c>
      <c r="B1871">
        <v>57.41</v>
      </c>
      <c r="C1871">
        <v>57.439999</v>
      </c>
      <c r="D1871">
        <v>56.779998999999997</v>
      </c>
      <c r="E1871">
        <v>57.09</v>
      </c>
      <c r="F1871">
        <v>52.788845000000002</v>
      </c>
      <c r="G1871">
        <v>17364400</v>
      </c>
      <c r="I1871">
        <f t="shared" si="30"/>
        <v>6.3273240404147316E-5</v>
      </c>
    </row>
    <row r="1872" spans="1:9" x14ac:dyDescent="0.3">
      <c r="A1872" s="5">
        <v>44355</v>
      </c>
      <c r="B1872">
        <v>57.450001</v>
      </c>
      <c r="C1872">
        <v>57.639999000000003</v>
      </c>
      <c r="D1872">
        <v>56.599997999999999</v>
      </c>
      <c r="E1872">
        <v>57</v>
      </c>
      <c r="F1872">
        <v>52.705624</v>
      </c>
      <c r="G1872">
        <v>33254500</v>
      </c>
      <c r="I1872">
        <f t="shared" si="30"/>
        <v>1.4183874051619676E-4</v>
      </c>
    </row>
    <row r="1873" spans="1:9" x14ac:dyDescent="0.3">
      <c r="A1873" s="5">
        <v>44356</v>
      </c>
      <c r="B1873">
        <v>57.360000999999997</v>
      </c>
      <c r="C1873">
        <v>57.48</v>
      </c>
      <c r="D1873">
        <v>56.970001000000003</v>
      </c>
      <c r="E1873">
        <v>57</v>
      </c>
      <c r="F1873">
        <v>52.705624</v>
      </c>
      <c r="G1873">
        <v>13904800</v>
      </c>
      <c r="I1873">
        <f t="shared" si="30"/>
        <v>2.111658243531707E-5</v>
      </c>
    </row>
    <row r="1874" spans="1:9" x14ac:dyDescent="0.3">
      <c r="A1874" s="5">
        <v>44357</v>
      </c>
      <c r="B1874">
        <v>57.150002000000001</v>
      </c>
      <c r="C1874">
        <v>58.029998999999997</v>
      </c>
      <c r="D1874">
        <v>56.93</v>
      </c>
      <c r="E1874">
        <v>57.380001</v>
      </c>
      <c r="F1874">
        <v>53.056995000000001</v>
      </c>
      <c r="G1874">
        <v>26738100</v>
      </c>
      <c r="I1874">
        <f t="shared" si="30"/>
        <v>2.0249320936825601E-4</v>
      </c>
    </row>
    <row r="1875" spans="1:9" x14ac:dyDescent="0.3">
      <c r="A1875" s="5">
        <v>44358</v>
      </c>
      <c r="B1875">
        <v>57.470001000000003</v>
      </c>
      <c r="C1875">
        <v>57.939999</v>
      </c>
      <c r="D1875">
        <v>56.950001</v>
      </c>
      <c r="E1875">
        <v>57.849997999999999</v>
      </c>
      <c r="F1875">
        <v>53.491585000000001</v>
      </c>
      <c r="G1875">
        <v>18119700</v>
      </c>
      <c r="I1875">
        <f t="shared" si="30"/>
        <v>1.5518057606618037E-4</v>
      </c>
    </row>
    <row r="1876" spans="1:9" x14ac:dyDescent="0.3">
      <c r="A1876" s="5">
        <v>44361</v>
      </c>
      <c r="B1876">
        <v>58.02</v>
      </c>
      <c r="C1876">
        <v>58.200001</v>
      </c>
      <c r="D1876">
        <v>57.23</v>
      </c>
      <c r="E1876">
        <v>58.189999</v>
      </c>
      <c r="F1876">
        <v>53.805973000000002</v>
      </c>
      <c r="G1876">
        <v>21784500</v>
      </c>
      <c r="I1876">
        <f t="shared" si="30"/>
        <v>2.2859425428259784E-4</v>
      </c>
    </row>
    <row r="1877" spans="1:9" x14ac:dyDescent="0.3">
      <c r="A1877" s="5">
        <v>44362</v>
      </c>
      <c r="B1877">
        <v>58.209999000000003</v>
      </c>
      <c r="C1877">
        <v>58.419998</v>
      </c>
      <c r="D1877">
        <v>57.799999</v>
      </c>
      <c r="E1877">
        <v>57.990001999999997</v>
      </c>
      <c r="F1877">
        <v>53.621037000000001</v>
      </c>
      <c r="G1877">
        <v>20806500</v>
      </c>
      <c r="I1877">
        <f t="shared" si="30"/>
        <v>4.9801229066801287E-5</v>
      </c>
    </row>
    <row r="1878" spans="1:9" x14ac:dyDescent="0.3">
      <c r="A1878" s="5">
        <v>44363</v>
      </c>
      <c r="B1878">
        <v>58.150002000000001</v>
      </c>
      <c r="C1878">
        <v>58.369999</v>
      </c>
      <c r="D1878">
        <v>56.77</v>
      </c>
      <c r="E1878">
        <v>57.220001000000003</v>
      </c>
      <c r="F1878">
        <v>52.909045999999996</v>
      </c>
      <c r="G1878">
        <v>21879700</v>
      </c>
      <c r="I1878">
        <f t="shared" si="30"/>
        <v>2.6477244611581376E-4</v>
      </c>
    </row>
    <row r="1879" spans="1:9" x14ac:dyDescent="0.3">
      <c r="A1879" s="5">
        <v>44364</v>
      </c>
      <c r="B1879">
        <v>57.049999</v>
      </c>
      <c r="C1879">
        <v>57.900002000000001</v>
      </c>
      <c r="D1879">
        <v>56.700001</v>
      </c>
      <c r="E1879">
        <v>57.18</v>
      </c>
      <c r="F1879">
        <v>52.872059</v>
      </c>
      <c r="G1879">
        <v>21498800</v>
      </c>
      <c r="I1879">
        <f t="shared" si="30"/>
        <v>2.3693923555743801E-4</v>
      </c>
    </row>
    <row r="1880" spans="1:9" x14ac:dyDescent="0.3">
      <c r="A1880" s="5">
        <v>44365</v>
      </c>
      <c r="B1880">
        <v>56.68</v>
      </c>
      <c r="C1880">
        <v>56.75</v>
      </c>
      <c r="D1880">
        <v>55.099997999999999</v>
      </c>
      <c r="E1880">
        <v>55.669998</v>
      </c>
      <c r="F1880">
        <v>51.475830000000002</v>
      </c>
      <c r="G1880">
        <v>55118300</v>
      </c>
      <c r="I1880">
        <f t="shared" si="30"/>
        <v>3.1467890541150715E-4</v>
      </c>
    </row>
    <row r="1881" spans="1:9" x14ac:dyDescent="0.3">
      <c r="A1881" s="5">
        <v>44368</v>
      </c>
      <c r="B1881">
        <v>55.75</v>
      </c>
      <c r="C1881">
        <v>56.040000999999997</v>
      </c>
      <c r="D1881">
        <v>55.369999</v>
      </c>
      <c r="E1881">
        <v>55.869999</v>
      </c>
      <c r="F1881">
        <v>51.660758999999999</v>
      </c>
      <c r="G1881">
        <v>19254600</v>
      </c>
      <c r="I1881">
        <f t="shared" si="30"/>
        <v>7.7247720248027331E-5</v>
      </c>
    </row>
    <row r="1882" spans="1:9" x14ac:dyDescent="0.3">
      <c r="A1882" s="5">
        <v>44369</v>
      </c>
      <c r="B1882">
        <v>55.939999</v>
      </c>
      <c r="C1882">
        <v>56.279998999999997</v>
      </c>
      <c r="D1882">
        <v>55.5</v>
      </c>
      <c r="E1882">
        <v>55.869999</v>
      </c>
      <c r="F1882">
        <v>51.660758999999999</v>
      </c>
      <c r="G1882">
        <v>18682800</v>
      </c>
      <c r="I1882">
        <f t="shared" si="30"/>
        <v>9.6774864929356834E-5</v>
      </c>
    </row>
    <row r="1883" spans="1:9" x14ac:dyDescent="0.3">
      <c r="A1883" s="5">
        <v>44370</v>
      </c>
      <c r="B1883">
        <v>55.869999</v>
      </c>
      <c r="C1883">
        <v>55.970001000000003</v>
      </c>
      <c r="D1883">
        <v>55.23</v>
      </c>
      <c r="E1883">
        <v>55.259998000000003</v>
      </c>
      <c r="F1883">
        <v>51.096713999999999</v>
      </c>
      <c r="G1883">
        <v>20287900</v>
      </c>
      <c r="I1883">
        <f t="shared" si="30"/>
        <v>2.9086557006186484E-5</v>
      </c>
    </row>
    <row r="1884" spans="1:9" x14ac:dyDescent="0.3">
      <c r="A1884" s="5">
        <v>44371</v>
      </c>
      <c r="B1884">
        <v>55.490001999999997</v>
      </c>
      <c r="C1884">
        <v>56.099997999999999</v>
      </c>
      <c r="D1884">
        <v>55.34</v>
      </c>
      <c r="E1884">
        <v>56.07</v>
      </c>
      <c r="F1884">
        <v>51.845688000000003</v>
      </c>
      <c r="G1884">
        <v>21209700</v>
      </c>
      <c r="I1884">
        <f t="shared" si="30"/>
        <v>4.1321220900197609E-5</v>
      </c>
    </row>
    <row r="1885" spans="1:9" x14ac:dyDescent="0.3">
      <c r="A1885" s="5">
        <v>44372</v>
      </c>
      <c r="B1885">
        <v>56.02</v>
      </c>
      <c r="C1885">
        <v>56.41</v>
      </c>
      <c r="D1885">
        <v>55.75</v>
      </c>
      <c r="E1885">
        <v>55.91</v>
      </c>
      <c r="F1885">
        <v>51.697746000000002</v>
      </c>
      <c r="G1885">
        <v>21101200</v>
      </c>
      <c r="I1885">
        <f t="shared" si="30"/>
        <v>7.5613409489179838E-5</v>
      </c>
    </row>
    <row r="1886" spans="1:9" x14ac:dyDescent="0.3">
      <c r="A1886" s="5">
        <v>44375</v>
      </c>
      <c r="B1886">
        <v>56.360000999999997</v>
      </c>
      <c r="C1886">
        <v>57.73</v>
      </c>
      <c r="D1886">
        <v>56.34</v>
      </c>
      <c r="E1886">
        <v>57.48</v>
      </c>
      <c r="F1886">
        <v>53.149467000000001</v>
      </c>
      <c r="G1886">
        <v>22480900</v>
      </c>
      <c r="I1886">
        <f t="shared" si="30"/>
        <v>1.1134302486117674E-4</v>
      </c>
    </row>
    <row r="1887" spans="1:9" x14ac:dyDescent="0.3">
      <c r="A1887" s="5">
        <v>44376</v>
      </c>
      <c r="B1887">
        <v>57.549999</v>
      </c>
      <c r="C1887">
        <v>57.830002</v>
      </c>
      <c r="D1887">
        <v>55.880001</v>
      </c>
      <c r="E1887">
        <v>56.75</v>
      </c>
      <c r="F1887">
        <v>52.474460999999998</v>
      </c>
      <c r="G1887">
        <v>26360000</v>
      </c>
      <c r="I1887">
        <f t="shared" si="30"/>
        <v>5.464386080542234E-4</v>
      </c>
    </row>
    <row r="1888" spans="1:9" x14ac:dyDescent="0.3">
      <c r="A1888" s="5">
        <v>44377</v>
      </c>
      <c r="B1888">
        <v>56.34</v>
      </c>
      <c r="C1888">
        <v>56.380001</v>
      </c>
      <c r="D1888">
        <v>55.389999000000003</v>
      </c>
      <c r="E1888">
        <v>56.139999000000003</v>
      </c>
      <c r="F1888">
        <v>51.910415999999998</v>
      </c>
      <c r="G1888">
        <v>29891600</v>
      </c>
      <c r="I1888">
        <f t="shared" si="30"/>
        <v>2.3174598082052416E-4</v>
      </c>
    </row>
    <row r="1889" spans="1:9" x14ac:dyDescent="0.3">
      <c r="A1889" s="5">
        <v>44378</v>
      </c>
      <c r="B1889">
        <v>56.130001</v>
      </c>
      <c r="C1889">
        <v>56.639999000000003</v>
      </c>
      <c r="D1889">
        <v>55.869999</v>
      </c>
      <c r="E1889">
        <v>56.009998000000003</v>
      </c>
      <c r="F1889">
        <v>51.790215000000003</v>
      </c>
      <c r="G1889">
        <v>24871600</v>
      </c>
      <c r="I1889">
        <f t="shared" si="30"/>
        <v>1.1278978373143451E-4</v>
      </c>
    </row>
    <row r="1890" spans="1:9" x14ac:dyDescent="0.3">
      <c r="A1890" s="5">
        <v>44379</v>
      </c>
      <c r="B1890">
        <v>56.549999</v>
      </c>
      <c r="C1890">
        <v>56.990001999999997</v>
      </c>
      <c r="D1890">
        <v>56.32</v>
      </c>
      <c r="E1890">
        <v>56.759998000000003</v>
      </c>
      <c r="F1890">
        <v>52.483707000000003</v>
      </c>
      <c r="G1890">
        <v>17219400</v>
      </c>
      <c r="I1890">
        <f t="shared" si="30"/>
        <v>6.3059692472145211E-5</v>
      </c>
    </row>
    <row r="1891" spans="1:9" x14ac:dyDescent="0.3">
      <c r="A1891" s="5">
        <v>44383</v>
      </c>
      <c r="B1891">
        <v>56.919998</v>
      </c>
      <c r="C1891">
        <v>57.009998000000003</v>
      </c>
      <c r="D1891">
        <v>55.700001</v>
      </c>
      <c r="E1891">
        <v>56.09</v>
      </c>
      <c r="F1891">
        <v>51.864189000000003</v>
      </c>
      <c r="G1891">
        <v>26186600</v>
      </c>
      <c r="I1891">
        <f t="shared" si="30"/>
        <v>1.7687974649187367E-4</v>
      </c>
    </row>
    <row r="1892" spans="1:9" x14ac:dyDescent="0.3">
      <c r="A1892" s="5">
        <v>44384</v>
      </c>
      <c r="B1892">
        <v>56.369999</v>
      </c>
      <c r="C1892">
        <v>56.450001</v>
      </c>
      <c r="D1892">
        <v>55.709999000000003</v>
      </c>
      <c r="E1892">
        <v>55.959999000000003</v>
      </c>
      <c r="F1892">
        <v>51.743980000000001</v>
      </c>
      <c r="G1892">
        <v>14857400</v>
      </c>
      <c r="I1892">
        <f t="shared" si="30"/>
        <v>6.5097639752542626E-5</v>
      </c>
    </row>
    <row r="1893" spans="1:9" x14ac:dyDescent="0.3">
      <c r="A1893" s="5">
        <v>44385</v>
      </c>
      <c r="B1893">
        <v>55.310001</v>
      </c>
      <c r="C1893">
        <v>55.720001000000003</v>
      </c>
      <c r="D1893">
        <v>54.790000999999997</v>
      </c>
      <c r="E1893">
        <v>55.389999000000003</v>
      </c>
      <c r="F1893">
        <v>51.216923000000001</v>
      </c>
      <c r="G1893">
        <v>19162000</v>
      </c>
      <c r="I1893">
        <f t="shared" si="30"/>
        <v>1.4675016420517327E-4</v>
      </c>
    </row>
    <row r="1894" spans="1:9" x14ac:dyDescent="0.3">
      <c r="A1894" s="5">
        <v>44386</v>
      </c>
      <c r="B1894">
        <v>55.509998000000003</v>
      </c>
      <c r="C1894">
        <v>56.110000999999997</v>
      </c>
      <c r="D1894">
        <v>55.310001</v>
      </c>
      <c r="E1894">
        <v>55.990001999999997</v>
      </c>
      <c r="F1894">
        <v>51.771717000000002</v>
      </c>
      <c r="G1894">
        <v>18708000</v>
      </c>
      <c r="I1894">
        <f t="shared" si="30"/>
        <v>6.7121720729992651E-5</v>
      </c>
    </row>
    <row r="1895" spans="1:9" x14ac:dyDescent="0.3">
      <c r="A1895" s="5">
        <v>44389</v>
      </c>
      <c r="B1895">
        <v>56.259998000000003</v>
      </c>
      <c r="C1895">
        <v>56.759998000000003</v>
      </c>
      <c r="D1895">
        <v>56.110000999999997</v>
      </c>
      <c r="E1895">
        <v>56.73</v>
      </c>
      <c r="F1895">
        <v>52.455967000000001</v>
      </c>
      <c r="G1895">
        <v>15392800</v>
      </c>
      <c r="I1895">
        <f t="shared" si="30"/>
        <v>3.4015092990825271E-5</v>
      </c>
    </row>
    <row r="1896" spans="1:9" x14ac:dyDescent="0.3">
      <c r="A1896" s="5">
        <v>44390</v>
      </c>
      <c r="B1896">
        <v>56.619999</v>
      </c>
      <c r="C1896">
        <v>57.299999</v>
      </c>
      <c r="D1896">
        <v>56.34</v>
      </c>
      <c r="E1896">
        <v>56.869999</v>
      </c>
      <c r="F1896">
        <v>52.585422999999999</v>
      </c>
      <c r="G1896">
        <v>15716000</v>
      </c>
      <c r="I1896">
        <f t="shared" si="30"/>
        <v>1.3634548566166985E-4</v>
      </c>
    </row>
    <row r="1897" spans="1:9" x14ac:dyDescent="0.3">
      <c r="A1897" s="5">
        <v>44391</v>
      </c>
      <c r="B1897">
        <v>57.169998</v>
      </c>
      <c r="C1897">
        <v>57.459999000000003</v>
      </c>
      <c r="D1897">
        <v>56.330002</v>
      </c>
      <c r="E1897">
        <v>56.52</v>
      </c>
      <c r="F1897">
        <v>52.261783999999999</v>
      </c>
      <c r="G1897">
        <v>16263600</v>
      </c>
      <c r="I1897">
        <f t="shared" si="30"/>
        <v>1.333007215207373E-4</v>
      </c>
    </row>
    <row r="1898" spans="1:9" x14ac:dyDescent="0.3">
      <c r="A1898" s="5">
        <v>44392</v>
      </c>
      <c r="B1898">
        <v>56.400002000000001</v>
      </c>
      <c r="C1898">
        <v>56.400002000000001</v>
      </c>
      <c r="D1898">
        <v>55.57</v>
      </c>
      <c r="E1898">
        <v>55.810001</v>
      </c>
      <c r="F1898">
        <v>51.605282000000003</v>
      </c>
      <c r="G1898">
        <v>18917000</v>
      </c>
      <c r="I1898">
        <f t="shared" si="30"/>
        <v>6.3892797672577599E-5</v>
      </c>
    </row>
    <row r="1899" spans="1:9" x14ac:dyDescent="0.3">
      <c r="A1899" s="5">
        <v>44393</v>
      </c>
      <c r="B1899">
        <v>56.049999</v>
      </c>
      <c r="C1899">
        <v>56.93</v>
      </c>
      <c r="D1899">
        <v>54.900002000000001</v>
      </c>
      <c r="E1899">
        <v>54.970001000000003</v>
      </c>
      <c r="F1899">
        <v>50.828560000000003</v>
      </c>
      <c r="G1899">
        <v>25263800</v>
      </c>
      <c r="I1899">
        <f t="shared" si="30"/>
        <v>5.7219911944557042E-4</v>
      </c>
    </row>
    <row r="1900" spans="1:9" x14ac:dyDescent="0.3">
      <c r="A1900" s="5">
        <v>44396</v>
      </c>
      <c r="B1900">
        <v>54.41</v>
      </c>
      <c r="C1900">
        <v>54.810001</v>
      </c>
      <c r="D1900">
        <v>53.970001000000003</v>
      </c>
      <c r="E1900">
        <v>54.639999000000003</v>
      </c>
      <c r="F1900">
        <v>50.523429999999998</v>
      </c>
      <c r="G1900">
        <v>27007700</v>
      </c>
      <c r="I1900">
        <f t="shared" si="30"/>
        <v>1.2293249492232401E-4</v>
      </c>
    </row>
    <row r="1901" spans="1:9" x14ac:dyDescent="0.3">
      <c r="A1901" s="5">
        <v>44397</v>
      </c>
      <c r="B1901">
        <v>54.919998</v>
      </c>
      <c r="C1901">
        <v>55.560001</v>
      </c>
      <c r="D1901">
        <v>54.27</v>
      </c>
      <c r="E1901">
        <v>55.240001999999997</v>
      </c>
      <c r="F1901">
        <v>51.078228000000003</v>
      </c>
      <c r="G1901">
        <v>19867000</v>
      </c>
      <c r="I1901">
        <f t="shared" si="30"/>
        <v>2.778459339194693E-4</v>
      </c>
    </row>
    <row r="1902" spans="1:9" x14ac:dyDescent="0.3">
      <c r="A1902" s="5">
        <v>44398</v>
      </c>
      <c r="B1902">
        <v>55.18</v>
      </c>
      <c r="C1902">
        <v>56.279998999999997</v>
      </c>
      <c r="D1902">
        <v>55.009998000000003</v>
      </c>
      <c r="E1902">
        <v>56.23</v>
      </c>
      <c r="F1902">
        <v>51.993645000000001</v>
      </c>
      <c r="G1902">
        <v>18497200</v>
      </c>
      <c r="I1902">
        <f t="shared" si="30"/>
        <v>8.5228046029639401E-5</v>
      </c>
    </row>
    <row r="1903" spans="1:9" x14ac:dyDescent="0.3">
      <c r="A1903" s="5">
        <v>44399</v>
      </c>
      <c r="B1903">
        <v>56.060001</v>
      </c>
      <c r="C1903">
        <v>56.540000999999997</v>
      </c>
      <c r="D1903">
        <v>55.68</v>
      </c>
      <c r="E1903">
        <v>55.959999000000003</v>
      </c>
      <c r="F1903">
        <v>51.743980000000001</v>
      </c>
      <c r="G1903">
        <v>36691000</v>
      </c>
      <c r="I1903">
        <f t="shared" si="30"/>
        <v>1.2202896972011229E-4</v>
      </c>
    </row>
    <row r="1904" spans="1:9" x14ac:dyDescent="0.3">
      <c r="A1904" s="5">
        <v>44400</v>
      </c>
      <c r="B1904">
        <v>54.580002</v>
      </c>
      <c r="C1904">
        <v>54.709999000000003</v>
      </c>
      <c r="D1904">
        <v>52.32</v>
      </c>
      <c r="E1904">
        <v>53</v>
      </c>
      <c r="F1904">
        <v>49.006991999999997</v>
      </c>
      <c r="G1904">
        <v>67742300</v>
      </c>
      <c r="I1904">
        <f t="shared" si="30"/>
        <v>6.216267452273113E-4</v>
      </c>
    </row>
    <row r="1905" spans="1:9" x14ac:dyDescent="0.3">
      <c r="A1905" s="5">
        <v>44403</v>
      </c>
      <c r="B1905">
        <v>52.810001</v>
      </c>
      <c r="C1905">
        <v>54.540000999999997</v>
      </c>
      <c r="D1905">
        <v>52.759998000000003</v>
      </c>
      <c r="E1905">
        <v>54.310001</v>
      </c>
      <c r="F1905">
        <v>50.218291999999998</v>
      </c>
      <c r="G1905">
        <v>32881200</v>
      </c>
      <c r="I1905">
        <f t="shared" si="30"/>
        <v>1.6364929468018699E-4</v>
      </c>
    </row>
    <row r="1906" spans="1:9" x14ac:dyDescent="0.3">
      <c r="A1906" s="5">
        <v>44404</v>
      </c>
      <c r="B1906">
        <v>53.119999</v>
      </c>
      <c r="C1906">
        <v>53.200001</v>
      </c>
      <c r="D1906">
        <v>52.310001</v>
      </c>
      <c r="E1906">
        <v>53.18</v>
      </c>
      <c r="F1906">
        <v>49.173423999999997</v>
      </c>
      <c r="G1906">
        <v>39878000</v>
      </c>
      <c r="I1906">
        <f t="shared" si="30"/>
        <v>2.540236501979412E-4</v>
      </c>
    </row>
    <row r="1907" spans="1:9" x14ac:dyDescent="0.3">
      <c r="A1907" s="5">
        <v>44405</v>
      </c>
      <c r="B1907">
        <v>53.029998999999997</v>
      </c>
      <c r="C1907">
        <v>53.919998</v>
      </c>
      <c r="D1907">
        <v>52.939999</v>
      </c>
      <c r="E1907">
        <v>53.07</v>
      </c>
      <c r="F1907">
        <v>49.071708999999998</v>
      </c>
      <c r="G1907">
        <v>28478800</v>
      </c>
      <c r="I1907">
        <f t="shared" si="30"/>
        <v>2.6862760428946343E-4</v>
      </c>
    </row>
    <row r="1908" spans="1:9" x14ac:dyDescent="0.3">
      <c r="A1908" s="5">
        <v>44406</v>
      </c>
      <c r="B1908">
        <v>53.48</v>
      </c>
      <c r="C1908">
        <v>54.099997999999999</v>
      </c>
      <c r="D1908">
        <v>53.32</v>
      </c>
      <c r="E1908">
        <v>53.700001</v>
      </c>
      <c r="F1908">
        <v>49.654243000000001</v>
      </c>
      <c r="G1908">
        <v>16886600</v>
      </c>
      <c r="I1908">
        <f t="shared" si="30"/>
        <v>1.0681686645653463E-4</v>
      </c>
    </row>
    <row r="1909" spans="1:9" x14ac:dyDescent="0.3">
      <c r="A1909" s="5">
        <v>44407</v>
      </c>
      <c r="B1909">
        <v>53.650002000000001</v>
      </c>
      <c r="C1909">
        <v>53.900002000000001</v>
      </c>
      <c r="D1909">
        <v>53.25</v>
      </c>
      <c r="E1909">
        <v>53.720001000000003</v>
      </c>
      <c r="F1909">
        <v>49.672744999999999</v>
      </c>
      <c r="G1909">
        <v>16465700</v>
      </c>
      <c r="I1909">
        <f t="shared" si="30"/>
        <v>8.1315184427153714E-5</v>
      </c>
    </row>
    <row r="1910" spans="1:9" x14ac:dyDescent="0.3">
      <c r="A1910" s="5">
        <v>44410</v>
      </c>
      <c r="B1910">
        <v>53.990001999999997</v>
      </c>
      <c r="C1910">
        <v>54.470001000000003</v>
      </c>
      <c r="D1910">
        <v>53.540000999999997</v>
      </c>
      <c r="E1910">
        <v>53.68</v>
      </c>
      <c r="F1910">
        <v>49.635753999999999</v>
      </c>
      <c r="G1910">
        <v>18098100</v>
      </c>
      <c r="I1910">
        <f t="shared" si="30"/>
        <v>1.5117031901349913E-4</v>
      </c>
    </row>
    <row r="1911" spans="1:9" x14ac:dyDescent="0.3">
      <c r="A1911" s="5">
        <v>44411</v>
      </c>
      <c r="B1911">
        <v>53.889999000000003</v>
      </c>
      <c r="C1911">
        <v>54.16</v>
      </c>
      <c r="D1911">
        <v>53.259998000000003</v>
      </c>
      <c r="E1911">
        <v>54.060001</v>
      </c>
      <c r="F1911">
        <v>49.987124999999999</v>
      </c>
      <c r="G1911">
        <v>16375900</v>
      </c>
      <c r="I1911">
        <f t="shared" si="30"/>
        <v>1.8455677362331593E-4</v>
      </c>
    </row>
    <row r="1912" spans="1:9" x14ac:dyDescent="0.3">
      <c r="A1912" s="5">
        <v>44412</v>
      </c>
      <c r="B1912">
        <v>54.25</v>
      </c>
      <c r="C1912">
        <v>54.439999</v>
      </c>
      <c r="D1912">
        <v>53.700001</v>
      </c>
      <c r="E1912">
        <v>53.900002000000001</v>
      </c>
      <c r="F1912">
        <v>49.839176000000002</v>
      </c>
      <c r="G1912">
        <v>17612700</v>
      </c>
      <c r="I1912">
        <f t="shared" si="30"/>
        <v>7.2733215334853243E-5</v>
      </c>
    </row>
    <row r="1913" spans="1:9" x14ac:dyDescent="0.3">
      <c r="A1913" s="5">
        <v>44413</v>
      </c>
      <c r="B1913">
        <v>53.990001999999997</v>
      </c>
      <c r="C1913">
        <v>54.02</v>
      </c>
      <c r="D1913">
        <v>53.580002</v>
      </c>
      <c r="E1913">
        <v>53.889999000000003</v>
      </c>
      <c r="F1913">
        <v>50.153744000000003</v>
      </c>
      <c r="G1913">
        <v>15310000</v>
      </c>
      <c r="I1913">
        <f t="shared" si="30"/>
        <v>4.53154235345572E-5</v>
      </c>
    </row>
    <row r="1914" spans="1:9" x14ac:dyDescent="0.3">
      <c r="A1914" s="5">
        <v>44414</v>
      </c>
      <c r="B1914">
        <v>53.860000999999997</v>
      </c>
      <c r="C1914">
        <v>54.130001</v>
      </c>
      <c r="D1914">
        <v>53.73</v>
      </c>
      <c r="E1914">
        <v>53.919998</v>
      </c>
      <c r="F1914">
        <v>50.181655999999997</v>
      </c>
      <c r="G1914">
        <v>19256000</v>
      </c>
      <c r="I1914">
        <f t="shared" si="30"/>
        <v>2.7968009241325957E-5</v>
      </c>
    </row>
    <row r="1915" spans="1:9" x14ac:dyDescent="0.3">
      <c r="A1915" s="5">
        <v>44417</v>
      </c>
      <c r="B1915">
        <v>54.080002</v>
      </c>
      <c r="C1915">
        <v>54.41</v>
      </c>
      <c r="D1915">
        <v>53.830002</v>
      </c>
      <c r="E1915">
        <v>54.049999</v>
      </c>
      <c r="F1915">
        <v>50.302658000000001</v>
      </c>
      <c r="G1915">
        <v>14670100</v>
      </c>
      <c r="I1915">
        <f t="shared" si="30"/>
        <v>5.9282848681480194E-5</v>
      </c>
    </row>
    <row r="1916" spans="1:9" x14ac:dyDescent="0.3">
      <c r="A1916" s="5">
        <v>44418</v>
      </c>
      <c r="B1916">
        <v>54.240001999999997</v>
      </c>
      <c r="C1916">
        <v>54.389999000000003</v>
      </c>
      <c r="D1916">
        <v>53.509998000000003</v>
      </c>
      <c r="E1916">
        <v>53.939999</v>
      </c>
      <c r="F1916">
        <v>50.200279000000002</v>
      </c>
      <c r="G1916">
        <v>16215700</v>
      </c>
      <c r="I1916">
        <f t="shared" si="30"/>
        <v>1.3139608359066693E-4</v>
      </c>
    </row>
    <row r="1917" spans="1:9" x14ac:dyDescent="0.3">
      <c r="A1917" s="5">
        <v>44419</v>
      </c>
      <c r="B1917">
        <v>54.259998000000003</v>
      </c>
      <c r="C1917">
        <v>54.360000999999997</v>
      </c>
      <c r="D1917">
        <v>53.84</v>
      </c>
      <c r="E1917">
        <v>54.139999000000003</v>
      </c>
      <c r="F1917">
        <v>50.386409999999998</v>
      </c>
      <c r="G1917">
        <v>18590800</v>
      </c>
      <c r="I1917">
        <f t="shared" si="30"/>
        <v>5.0645132789932059E-5</v>
      </c>
    </row>
    <row r="1918" spans="1:9" x14ac:dyDescent="0.3">
      <c r="A1918" s="5">
        <v>44420</v>
      </c>
      <c r="B1918">
        <v>54.169998</v>
      </c>
      <c r="C1918">
        <v>54.18</v>
      </c>
      <c r="D1918">
        <v>53.259998000000003</v>
      </c>
      <c r="E1918">
        <v>53.540000999999997</v>
      </c>
      <c r="F1918">
        <v>49.828010999999996</v>
      </c>
      <c r="G1918">
        <v>15070100</v>
      </c>
      <c r="I1918">
        <f t="shared" si="30"/>
        <v>9.1027727552214961E-5</v>
      </c>
    </row>
    <row r="1919" spans="1:9" x14ac:dyDescent="0.3">
      <c r="A1919" s="5">
        <v>44421</v>
      </c>
      <c r="B1919">
        <v>53.5</v>
      </c>
      <c r="C1919">
        <v>53.560001</v>
      </c>
      <c r="D1919">
        <v>53.060001</v>
      </c>
      <c r="E1919">
        <v>53.490001999999997</v>
      </c>
      <c r="F1919">
        <v>49.781475</v>
      </c>
      <c r="G1919">
        <v>15281100</v>
      </c>
      <c r="I1919">
        <f t="shared" si="30"/>
        <v>6.8121726450979768E-5</v>
      </c>
    </row>
    <row r="1920" spans="1:9" x14ac:dyDescent="0.3">
      <c r="A1920" s="5">
        <v>44424</v>
      </c>
      <c r="B1920">
        <v>53.23</v>
      </c>
      <c r="C1920">
        <v>53.490001999999997</v>
      </c>
      <c r="D1920">
        <v>53</v>
      </c>
      <c r="E1920">
        <v>53.470001000000003</v>
      </c>
      <c r="F1920">
        <v>49.762858999999999</v>
      </c>
      <c r="G1920">
        <v>17690300</v>
      </c>
      <c r="I1920">
        <f t="shared" si="30"/>
        <v>4.0053310018979622E-5</v>
      </c>
    </row>
    <row r="1921" spans="1:9" x14ac:dyDescent="0.3">
      <c r="A1921" s="5">
        <v>44425</v>
      </c>
      <c r="B1921">
        <v>53.169998</v>
      </c>
      <c r="C1921">
        <v>53.18</v>
      </c>
      <c r="D1921">
        <v>52.220001000000003</v>
      </c>
      <c r="E1921">
        <v>52.689999</v>
      </c>
      <c r="F1921">
        <v>49.036942000000003</v>
      </c>
      <c r="G1921">
        <v>22014900</v>
      </c>
      <c r="I1921">
        <f t="shared" si="30"/>
        <v>1.6327986350383428E-4</v>
      </c>
    </row>
    <row r="1922" spans="1:9" x14ac:dyDescent="0.3">
      <c r="A1922" s="5">
        <v>44426</v>
      </c>
      <c r="B1922">
        <v>52.599997999999999</v>
      </c>
      <c r="C1922">
        <v>53.029998999999997</v>
      </c>
      <c r="D1922">
        <v>52.110000999999997</v>
      </c>
      <c r="E1922">
        <v>52.189999</v>
      </c>
      <c r="F1922">
        <v>48.571601999999999</v>
      </c>
      <c r="G1922">
        <v>15061700</v>
      </c>
      <c r="I1922">
        <f t="shared" si="30"/>
        <v>1.4435443140823094E-4</v>
      </c>
    </row>
    <row r="1923" spans="1:9" x14ac:dyDescent="0.3">
      <c r="A1923" s="5">
        <v>44427</v>
      </c>
      <c r="B1923">
        <v>52.049999</v>
      </c>
      <c r="C1923">
        <v>52.669998</v>
      </c>
      <c r="D1923">
        <v>51.580002</v>
      </c>
      <c r="E1923">
        <v>52.439999</v>
      </c>
      <c r="F1923">
        <v>48.804271999999997</v>
      </c>
      <c r="G1923">
        <v>22999400</v>
      </c>
      <c r="I1923">
        <f t="shared" si="30"/>
        <v>2.0181146707254192E-4</v>
      </c>
    </row>
    <row r="1924" spans="1:9" x14ac:dyDescent="0.3">
      <c r="A1924" s="5">
        <v>44428</v>
      </c>
      <c r="B1924">
        <v>52.16</v>
      </c>
      <c r="C1924">
        <v>52.380001</v>
      </c>
      <c r="D1924">
        <v>51.419998</v>
      </c>
      <c r="E1924">
        <v>52.009998000000003</v>
      </c>
      <c r="F1924">
        <v>48.404083</v>
      </c>
      <c r="G1924">
        <v>25728300</v>
      </c>
      <c r="I1924">
        <f t="shared" si="30"/>
        <v>1.9285434734130961E-4</v>
      </c>
    </row>
    <row r="1925" spans="1:9" x14ac:dyDescent="0.3">
      <c r="A1925" s="5">
        <v>44431</v>
      </c>
      <c r="B1925">
        <v>52.59</v>
      </c>
      <c r="C1925">
        <v>53.540000999999997</v>
      </c>
      <c r="D1925">
        <v>52.48</v>
      </c>
      <c r="E1925">
        <v>53.23</v>
      </c>
      <c r="F1925">
        <v>49.539504999999998</v>
      </c>
      <c r="G1925">
        <v>23976300</v>
      </c>
      <c r="I1925">
        <f t="shared" si="30"/>
        <v>1.3367314097503116E-4</v>
      </c>
    </row>
    <row r="1926" spans="1:9" x14ac:dyDescent="0.3">
      <c r="A1926" s="5">
        <v>44432</v>
      </c>
      <c r="B1926">
        <v>53.560001</v>
      </c>
      <c r="C1926">
        <v>53.970001000000003</v>
      </c>
      <c r="D1926">
        <v>53.310001</v>
      </c>
      <c r="E1926">
        <v>53.810001</v>
      </c>
      <c r="F1926">
        <v>50.079295999999999</v>
      </c>
      <c r="G1926">
        <v>20348800</v>
      </c>
      <c r="I1926">
        <f t="shared" si="30"/>
        <v>6.6317619446727049E-5</v>
      </c>
    </row>
    <row r="1927" spans="1:9" x14ac:dyDescent="0.3">
      <c r="A1927" s="5">
        <v>44433</v>
      </c>
      <c r="B1927">
        <v>54.080002</v>
      </c>
      <c r="C1927">
        <v>54.23</v>
      </c>
      <c r="D1927">
        <v>53.73</v>
      </c>
      <c r="E1927">
        <v>53.810001</v>
      </c>
      <c r="F1927">
        <v>50.079295999999999</v>
      </c>
      <c r="G1927">
        <v>15048400</v>
      </c>
      <c r="I1927">
        <f t="shared" si="30"/>
        <v>3.1195383141361108E-5</v>
      </c>
    </row>
    <row r="1928" spans="1:9" x14ac:dyDescent="0.3">
      <c r="A1928" s="5">
        <v>44434</v>
      </c>
      <c r="B1928">
        <v>53.75</v>
      </c>
      <c r="C1928">
        <v>53.75</v>
      </c>
      <c r="D1928">
        <v>52.970001000000003</v>
      </c>
      <c r="E1928">
        <v>53.130001</v>
      </c>
      <c r="F1928">
        <v>49.446438000000001</v>
      </c>
      <c r="G1928">
        <v>19570000</v>
      </c>
      <c r="I1928">
        <f t="shared" si="30"/>
        <v>4.4088047888592406E-5</v>
      </c>
    </row>
    <row r="1929" spans="1:9" x14ac:dyDescent="0.3">
      <c r="A1929" s="5">
        <v>44435</v>
      </c>
      <c r="B1929">
        <v>53.360000999999997</v>
      </c>
      <c r="C1929">
        <v>53.939999</v>
      </c>
      <c r="D1929">
        <v>52.919998</v>
      </c>
      <c r="E1929">
        <v>53.889999000000003</v>
      </c>
      <c r="F1929">
        <v>50.153744000000003</v>
      </c>
      <c r="G1929">
        <v>16525000</v>
      </c>
      <c r="I1929">
        <f t="shared" si="30"/>
        <v>1.6042272169832482E-4</v>
      </c>
    </row>
    <row r="1930" spans="1:9" x14ac:dyDescent="0.3">
      <c r="A1930" s="5">
        <v>44438</v>
      </c>
      <c r="B1930">
        <v>54.259998000000003</v>
      </c>
      <c r="C1930">
        <v>54.869999</v>
      </c>
      <c r="D1930">
        <v>53.759998000000003</v>
      </c>
      <c r="E1930">
        <v>53.939999</v>
      </c>
      <c r="F1930">
        <v>50.200279000000002</v>
      </c>
      <c r="G1930">
        <v>14581300</v>
      </c>
      <c r="I1930">
        <f t="shared" si="30"/>
        <v>2.2205144329342358E-4</v>
      </c>
    </row>
    <row r="1931" spans="1:9" x14ac:dyDescent="0.3">
      <c r="A1931" s="5">
        <v>44439</v>
      </c>
      <c r="B1931">
        <v>54.439999</v>
      </c>
      <c r="C1931">
        <v>54.5</v>
      </c>
      <c r="D1931">
        <v>53.66</v>
      </c>
      <c r="E1931">
        <v>54.060001</v>
      </c>
      <c r="F1931">
        <v>50.311957999999997</v>
      </c>
      <c r="G1931">
        <v>22350100</v>
      </c>
      <c r="I1931">
        <f t="shared" si="30"/>
        <v>1.1610650814414063E-4</v>
      </c>
    </row>
    <row r="1932" spans="1:9" x14ac:dyDescent="0.3">
      <c r="A1932" s="5">
        <v>44440</v>
      </c>
      <c r="B1932">
        <v>54.110000999999997</v>
      </c>
      <c r="C1932">
        <v>54.16</v>
      </c>
      <c r="D1932">
        <v>53.529998999999997</v>
      </c>
      <c r="E1932">
        <v>53.669998</v>
      </c>
      <c r="F1932">
        <v>49.948993999999999</v>
      </c>
      <c r="G1932">
        <v>18615000</v>
      </c>
      <c r="I1932">
        <f t="shared" ref="I1932:I1995" si="31">LN(C1932/B1932)*(LN(C1932/B1932)-LN(E1932/B1932))+LN(D1932/B1932)*(LN(D1932/B1932)-LN(E1932/B1932))</f>
        <v>3.6542291375142835E-5</v>
      </c>
    </row>
    <row r="1933" spans="1:9" x14ac:dyDescent="0.3">
      <c r="A1933" s="5">
        <v>44441</v>
      </c>
      <c r="B1933">
        <v>53.799999</v>
      </c>
      <c r="C1933">
        <v>53.889999000000003</v>
      </c>
      <c r="D1933">
        <v>53.349997999999999</v>
      </c>
      <c r="E1933">
        <v>53.73</v>
      </c>
      <c r="F1933">
        <v>50.004840999999999</v>
      </c>
      <c r="G1933">
        <v>15869500</v>
      </c>
      <c r="I1933">
        <f t="shared" si="31"/>
        <v>6.4585999836058272E-5</v>
      </c>
    </row>
    <row r="1934" spans="1:9" x14ac:dyDescent="0.3">
      <c r="A1934" s="5">
        <v>44442</v>
      </c>
      <c r="B1934">
        <v>53.439999</v>
      </c>
      <c r="C1934">
        <v>54.080002</v>
      </c>
      <c r="D1934">
        <v>53.32</v>
      </c>
      <c r="E1934">
        <v>53.509998000000003</v>
      </c>
      <c r="F1934">
        <v>49.800091000000002</v>
      </c>
      <c r="G1934">
        <v>13456200</v>
      </c>
      <c r="I1934">
        <f t="shared" si="31"/>
        <v>1.3414062096076513E-4</v>
      </c>
    </row>
    <row r="1935" spans="1:9" x14ac:dyDescent="0.3">
      <c r="A1935" s="5">
        <v>44446</v>
      </c>
      <c r="B1935">
        <v>53.57</v>
      </c>
      <c r="C1935">
        <v>53.950001</v>
      </c>
      <c r="D1935">
        <v>53.439999</v>
      </c>
      <c r="E1935">
        <v>53.650002000000001</v>
      </c>
      <c r="F1935">
        <v>49.930385999999999</v>
      </c>
      <c r="G1935">
        <v>13915000</v>
      </c>
      <c r="I1935">
        <f t="shared" si="31"/>
        <v>4.8944669940162242E-5</v>
      </c>
    </row>
    <row r="1936" spans="1:9" x14ac:dyDescent="0.3">
      <c r="A1936" s="5">
        <v>44447</v>
      </c>
      <c r="B1936">
        <v>53.73</v>
      </c>
      <c r="C1936">
        <v>53.919998</v>
      </c>
      <c r="D1936">
        <v>52.990001999999997</v>
      </c>
      <c r="E1936">
        <v>53.57</v>
      </c>
      <c r="F1936">
        <v>49.855922999999997</v>
      </c>
      <c r="G1936">
        <v>18235100</v>
      </c>
      <c r="I1936">
        <f t="shared" si="31"/>
        <v>1.7395680509484494E-4</v>
      </c>
    </row>
    <row r="1937" spans="1:9" x14ac:dyDescent="0.3">
      <c r="A1937" s="5">
        <v>44448</v>
      </c>
      <c r="B1937">
        <v>53.66</v>
      </c>
      <c r="C1937">
        <v>53.889999000000003</v>
      </c>
      <c r="D1937">
        <v>53.34</v>
      </c>
      <c r="E1937">
        <v>53.400002000000001</v>
      </c>
      <c r="F1937">
        <v>49.697716</v>
      </c>
      <c r="G1937">
        <v>13495800</v>
      </c>
      <c r="I1937">
        <f t="shared" si="31"/>
        <v>4.579189232678427E-5</v>
      </c>
    </row>
    <row r="1938" spans="1:9" x14ac:dyDescent="0.3">
      <c r="A1938" s="5">
        <v>44449</v>
      </c>
      <c r="B1938">
        <v>53.849997999999999</v>
      </c>
      <c r="C1938">
        <v>54.98</v>
      </c>
      <c r="D1938">
        <v>53.810001</v>
      </c>
      <c r="E1938">
        <v>53.84</v>
      </c>
      <c r="F1938">
        <v>50.107211999999997</v>
      </c>
      <c r="G1938">
        <v>20324700</v>
      </c>
      <c r="I1938">
        <f t="shared" si="31"/>
        <v>4.3554329952539612E-4</v>
      </c>
    </row>
    <row r="1939" spans="1:9" x14ac:dyDescent="0.3">
      <c r="A1939" s="5">
        <v>44452</v>
      </c>
      <c r="B1939">
        <v>54.610000999999997</v>
      </c>
      <c r="C1939">
        <v>55.490001999999997</v>
      </c>
      <c r="D1939">
        <v>54.41</v>
      </c>
      <c r="E1939">
        <v>54.990001999999997</v>
      </c>
      <c r="F1939">
        <v>51.177483000000002</v>
      </c>
      <c r="G1939">
        <v>22639200</v>
      </c>
      <c r="I1939">
        <f t="shared" si="31"/>
        <v>1.8360003524912907E-4</v>
      </c>
    </row>
    <row r="1940" spans="1:9" x14ac:dyDescent="0.3">
      <c r="A1940" s="5">
        <v>44453</v>
      </c>
      <c r="B1940">
        <v>55.369999</v>
      </c>
      <c r="C1940">
        <v>55.439999</v>
      </c>
      <c r="D1940">
        <v>54.27</v>
      </c>
      <c r="E1940">
        <v>54.52</v>
      </c>
      <c r="F1940">
        <v>50.740067000000003</v>
      </c>
      <c r="G1940">
        <v>22072700</v>
      </c>
      <c r="I1940">
        <f t="shared" si="31"/>
        <v>1.1336700189760382E-4</v>
      </c>
    </row>
    <row r="1941" spans="1:9" x14ac:dyDescent="0.3">
      <c r="A1941" s="5">
        <v>44454</v>
      </c>
      <c r="B1941">
        <v>54.669998</v>
      </c>
      <c r="C1941">
        <v>55.150002000000001</v>
      </c>
      <c r="D1941">
        <v>54.419998</v>
      </c>
      <c r="E1941">
        <v>55.119999</v>
      </c>
      <c r="F1941">
        <v>51.298465999999998</v>
      </c>
      <c r="G1941">
        <v>18796200</v>
      </c>
      <c r="I1941">
        <f t="shared" si="31"/>
        <v>6.3336776365065543E-5</v>
      </c>
    </row>
    <row r="1942" spans="1:9" x14ac:dyDescent="0.3">
      <c r="A1942" s="5">
        <v>44455</v>
      </c>
      <c r="B1942">
        <v>54.860000999999997</v>
      </c>
      <c r="C1942">
        <v>54.950001</v>
      </c>
      <c r="D1942">
        <v>54.240001999999997</v>
      </c>
      <c r="E1942">
        <v>54.830002</v>
      </c>
      <c r="F1942">
        <v>51.028576000000001</v>
      </c>
      <c r="G1942">
        <v>19863100</v>
      </c>
      <c r="I1942">
        <f t="shared" si="31"/>
        <v>1.2654864903184851E-4</v>
      </c>
    </row>
    <row r="1943" spans="1:9" x14ac:dyDescent="0.3">
      <c r="A1943" s="5">
        <v>44456</v>
      </c>
      <c r="B1943">
        <v>54.59</v>
      </c>
      <c r="C1943">
        <v>54.59</v>
      </c>
      <c r="D1943">
        <v>53.669998</v>
      </c>
      <c r="E1943">
        <v>54.259998000000003</v>
      </c>
      <c r="F1943">
        <v>50.498085000000003</v>
      </c>
      <c r="G1943">
        <v>35359200</v>
      </c>
      <c r="I1943">
        <f t="shared" si="31"/>
        <v>1.8582552977267647E-4</v>
      </c>
    </row>
    <row r="1944" spans="1:9" x14ac:dyDescent="0.3">
      <c r="A1944" s="5">
        <v>44459</v>
      </c>
      <c r="B1944">
        <v>53.209999000000003</v>
      </c>
      <c r="C1944">
        <v>53.5</v>
      </c>
      <c r="D1944">
        <v>52.32</v>
      </c>
      <c r="E1944">
        <v>52.98</v>
      </c>
      <c r="F1944">
        <v>49.306835</v>
      </c>
      <c r="G1944">
        <v>35051900</v>
      </c>
      <c r="I1944">
        <f t="shared" si="31"/>
        <v>2.6453648579426381E-4</v>
      </c>
    </row>
    <row r="1945" spans="1:9" x14ac:dyDescent="0.3">
      <c r="A1945" s="5">
        <v>44460</v>
      </c>
      <c r="B1945">
        <v>53.200001</v>
      </c>
      <c r="C1945">
        <v>53.450001</v>
      </c>
      <c r="D1945">
        <v>52.830002</v>
      </c>
      <c r="E1945">
        <v>52.869999</v>
      </c>
      <c r="F1945">
        <v>49.204456</v>
      </c>
      <c r="G1945">
        <v>17968900</v>
      </c>
      <c r="I1945">
        <f t="shared" si="31"/>
        <v>5.6433394328377568E-5</v>
      </c>
    </row>
    <row r="1946" spans="1:9" x14ac:dyDescent="0.3">
      <c r="A1946" s="5">
        <v>44461</v>
      </c>
      <c r="B1946">
        <v>53.400002000000001</v>
      </c>
      <c r="C1946">
        <v>53.869999</v>
      </c>
      <c r="D1946">
        <v>53</v>
      </c>
      <c r="E1946">
        <v>53.5</v>
      </c>
      <c r="F1946">
        <v>49.790787000000002</v>
      </c>
      <c r="G1946">
        <v>18594100</v>
      </c>
      <c r="I1946">
        <f t="shared" si="31"/>
        <v>1.3099494461738773E-4</v>
      </c>
    </row>
    <row r="1947" spans="1:9" x14ac:dyDescent="0.3">
      <c r="A1947" s="5">
        <v>44462</v>
      </c>
      <c r="B1947">
        <v>53.75</v>
      </c>
      <c r="C1947">
        <v>54.299999</v>
      </c>
      <c r="D1947">
        <v>53.599997999999999</v>
      </c>
      <c r="E1947">
        <v>54.029998999999997</v>
      </c>
      <c r="F1947">
        <v>50.284035000000003</v>
      </c>
      <c r="G1947">
        <v>16474300</v>
      </c>
      <c r="I1947">
        <f t="shared" si="31"/>
        <v>7.3078008839964751E-5</v>
      </c>
    </row>
    <row r="1948" spans="1:9" x14ac:dyDescent="0.3">
      <c r="A1948" s="5">
        <v>44463</v>
      </c>
      <c r="B1948">
        <v>53.779998999999997</v>
      </c>
      <c r="C1948">
        <v>54.419998</v>
      </c>
      <c r="D1948">
        <v>53.73</v>
      </c>
      <c r="E1948">
        <v>54.220001000000003</v>
      </c>
      <c r="F1948">
        <v>50.460861000000001</v>
      </c>
      <c r="G1948">
        <v>12976200</v>
      </c>
      <c r="I1948">
        <f t="shared" si="31"/>
        <v>5.2000364509819765E-5</v>
      </c>
    </row>
    <row r="1949" spans="1:9" x14ac:dyDescent="0.3">
      <c r="A1949" s="5">
        <v>44466</v>
      </c>
      <c r="B1949">
        <v>53.939999</v>
      </c>
      <c r="C1949">
        <v>54.869999</v>
      </c>
      <c r="D1949">
        <v>53.82</v>
      </c>
      <c r="E1949">
        <v>54.66</v>
      </c>
      <c r="F1949">
        <v>50.870365</v>
      </c>
      <c r="G1949">
        <v>13899900</v>
      </c>
      <c r="I1949">
        <f t="shared" si="31"/>
        <v>1.0004151118798407E-4</v>
      </c>
    </row>
    <row r="1950" spans="1:9" x14ac:dyDescent="0.3">
      <c r="A1950" s="5">
        <v>44467</v>
      </c>
      <c r="B1950">
        <v>54.18</v>
      </c>
      <c r="C1950">
        <v>54.59</v>
      </c>
      <c r="D1950">
        <v>53.959999000000003</v>
      </c>
      <c r="E1950">
        <v>54</v>
      </c>
      <c r="F1950">
        <v>50.256118999999998</v>
      </c>
      <c r="G1950">
        <v>24691300</v>
      </c>
      <c r="I1950">
        <f t="shared" si="31"/>
        <v>8.4937641762799373E-5</v>
      </c>
    </row>
    <row r="1951" spans="1:9" x14ac:dyDescent="0.3">
      <c r="A1951" s="5">
        <v>44468</v>
      </c>
      <c r="B1951">
        <v>54</v>
      </c>
      <c r="C1951">
        <v>54.049999</v>
      </c>
      <c r="D1951">
        <v>53.18</v>
      </c>
      <c r="E1951">
        <v>53.490001999999997</v>
      </c>
      <c r="F1951">
        <v>49.781475</v>
      </c>
      <c r="G1951">
        <v>20514300</v>
      </c>
      <c r="I1951">
        <f t="shared" si="31"/>
        <v>9.8577595259891063E-5</v>
      </c>
    </row>
    <row r="1952" spans="1:9" x14ac:dyDescent="0.3">
      <c r="A1952" s="5">
        <v>44469</v>
      </c>
      <c r="B1952">
        <v>53.759998000000003</v>
      </c>
      <c r="C1952">
        <v>53.98</v>
      </c>
      <c r="D1952">
        <v>53.259998000000003</v>
      </c>
      <c r="E1952">
        <v>53.279998999999997</v>
      </c>
      <c r="F1952">
        <v>49.586029000000003</v>
      </c>
      <c r="G1952">
        <v>20534100</v>
      </c>
      <c r="I1952">
        <f t="shared" si="31"/>
        <v>5.6814532833487661E-5</v>
      </c>
    </row>
    <row r="1953" spans="1:9" x14ac:dyDescent="0.3">
      <c r="A1953" s="5">
        <v>44470</v>
      </c>
      <c r="B1953">
        <v>53.650002000000001</v>
      </c>
      <c r="C1953">
        <v>54.110000999999997</v>
      </c>
      <c r="D1953">
        <v>53.049999</v>
      </c>
      <c r="E1953">
        <v>53.860000999999997</v>
      </c>
      <c r="F1953">
        <v>50.125827999999998</v>
      </c>
      <c r="G1953">
        <v>19895100</v>
      </c>
      <c r="I1953">
        <f t="shared" si="31"/>
        <v>2.0996018775237208E-4</v>
      </c>
    </row>
    <row r="1954" spans="1:9" x14ac:dyDescent="0.3">
      <c r="A1954" s="5">
        <v>44473</v>
      </c>
      <c r="B1954">
        <v>53.93</v>
      </c>
      <c r="C1954">
        <v>54.330002</v>
      </c>
      <c r="D1954">
        <v>53.080002</v>
      </c>
      <c r="E1954">
        <v>53.470001000000003</v>
      </c>
      <c r="F1954">
        <v>49.762858999999999</v>
      </c>
      <c r="G1954">
        <v>27353300</v>
      </c>
      <c r="I1954">
        <f t="shared" si="31"/>
        <v>2.3420724044964286E-4</v>
      </c>
    </row>
    <row r="1955" spans="1:9" x14ac:dyDescent="0.3">
      <c r="A1955" s="5">
        <v>44474</v>
      </c>
      <c r="B1955">
        <v>53.549999</v>
      </c>
      <c r="C1955">
        <v>54.34</v>
      </c>
      <c r="D1955">
        <v>53.48</v>
      </c>
      <c r="E1955">
        <v>53.950001</v>
      </c>
      <c r="F1955">
        <v>50.209591000000003</v>
      </c>
      <c r="G1955">
        <v>18129400</v>
      </c>
      <c r="I1955">
        <f t="shared" si="31"/>
        <v>1.1693029664036331E-4</v>
      </c>
    </row>
    <row r="1956" spans="1:9" x14ac:dyDescent="0.3">
      <c r="A1956" s="5">
        <v>44475</v>
      </c>
      <c r="B1956">
        <v>53.48</v>
      </c>
      <c r="C1956">
        <v>54.07</v>
      </c>
      <c r="D1956">
        <v>53.07</v>
      </c>
      <c r="E1956">
        <v>53.98</v>
      </c>
      <c r="F1956">
        <v>50.237499</v>
      </c>
      <c r="G1956">
        <v>20059600</v>
      </c>
      <c r="I1956">
        <f t="shared" si="31"/>
        <v>1.4912297136947481E-4</v>
      </c>
    </row>
    <row r="1957" spans="1:9" x14ac:dyDescent="0.3">
      <c r="A1957" s="5">
        <v>44476</v>
      </c>
      <c r="B1957">
        <v>54.32</v>
      </c>
      <c r="C1957">
        <v>54.990001999999997</v>
      </c>
      <c r="D1957">
        <v>54.119999</v>
      </c>
      <c r="E1957">
        <v>54.18</v>
      </c>
      <c r="F1957">
        <v>50.423641000000003</v>
      </c>
      <c r="G1957">
        <v>20704400</v>
      </c>
      <c r="I1957">
        <f t="shared" si="31"/>
        <v>1.8600388540780321E-4</v>
      </c>
    </row>
    <row r="1958" spans="1:9" x14ac:dyDescent="0.3">
      <c r="A1958" s="5">
        <v>44477</v>
      </c>
      <c r="B1958">
        <v>54.549999</v>
      </c>
      <c r="C1958">
        <v>54.580002</v>
      </c>
      <c r="D1958">
        <v>53.700001</v>
      </c>
      <c r="E1958">
        <v>53.810001</v>
      </c>
      <c r="F1958">
        <v>50.079295999999999</v>
      </c>
      <c r="G1958">
        <v>16068000</v>
      </c>
      <c r="I1958">
        <f t="shared" si="31"/>
        <v>3.994931622119452E-5</v>
      </c>
    </row>
    <row r="1959" spans="1:9" x14ac:dyDescent="0.3">
      <c r="A1959" s="5">
        <v>44480</v>
      </c>
      <c r="B1959">
        <v>53.810001</v>
      </c>
      <c r="C1959">
        <v>54.41</v>
      </c>
      <c r="D1959">
        <v>53.419998</v>
      </c>
      <c r="E1959">
        <v>53.439999</v>
      </c>
      <c r="F1959">
        <v>49.734943000000001</v>
      </c>
      <c r="G1959">
        <v>14398800</v>
      </c>
      <c r="I1959">
        <f t="shared" si="31"/>
        <v>2.021900731593193E-4</v>
      </c>
    </row>
    <row r="1960" spans="1:9" x14ac:dyDescent="0.3">
      <c r="A1960" s="5">
        <v>44481</v>
      </c>
      <c r="B1960">
        <v>53.57</v>
      </c>
      <c r="C1960">
        <v>53.720001000000003</v>
      </c>
      <c r="D1960">
        <v>52.009998000000003</v>
      </c>
      <c r="E1960">
        <v>52.169998</v>
      </c>
      <c r="F1960">
        <v>48.552998000000002</v>
      </c>
      <c r="G1960">
        <v>32784300</v>
      </c>
      <c r="I1960">
        <f t="shared" si="31"/>
        <v>1.72642052748278E-4</v>
      </c>
    </row>
    <row r="1961" spans="1:9" x14ac:dyDescent="0.3">
      <c r="A1961" s="5">
        <v>44482</v>
      </c>
      <c r="B1961">
        <v>52.380001</v>
      </c>
      <c r="C1961">
        <v>52.580002</v>
      </c>
      <c r="D1961">
        <v>51.869999</v>
      </c>
      <c r="E1961">
        <v>52.259998000000003</v>
      </c>
      <c r="F1961">
        <v>48.636752999999999</v>
      </c>
      <c r="G1961">
        <v>18534000</v>
      </c>
      <c r="I1961">
        <f t="shared" si="31"/>
        <v>9.655547271076738E-5</v>
      </c>
    </row>
    <row r="1962" spans="1:9" x14ac:dyDescent="0.3">
      <c r="A1962" s="5">
        <v>44483</v>
      </c>
      <c r="B1962">
        <v>52.900002000000001</v>
      </c>
      <c r="C1962">
        <v>54</v>
      </c>
      <c r="D1962">
        <v>52.73</v>
      </c>
      <c r="E1962">
        <v>53.900002000000001</v>
      </c>
      <c r="F1962">
        <v>50.163048000000003</v>
      </c>
      <c r="G1962">
        <v>26586700</v>
      </c>
      <c r="I1962">
        <f t="shared" si="31"/>
        <v>1.0878708923006741E-4</v>
      </c>
    </row>
    <row r="1963" spans="1:9" x14ac:dyDescent="0.3">
      <c r="A1963" s="5">
        <v>44484</v>
      </c>
      <c r="B1963">
        <v>54.200001</v>
      </c>
      <c r="C1963">
        <v>54.490001999999997</v>
      </c>
      <c r="D1963">
        <v>53.810001</v>
      </c>
      <c r="E1963">
        <v>54.459999000000003</v>
      </c>
      <c r="F1963">
        <v>50.684218999999999</v>
      </c>
      <c r="G1963">
        <v>25231100</v>
      </c>
      <c r="I1963">
        <f t="shared" si="31"/>
        <v>8.9649543955905772E-5</v>
      </c>
    </row>
    <row r="1964" spans="1:9" x14ac:dyDescent="0.3">
      <c r="A1964" s="5">
        <v>44487</v>
      </c>
      <c r="B1964">
        <v>54.189999</v>
      </c>
      <c r="C1964">
        <v>54.560001</v>
      </c>
      <c r="D1964">
        <v>53.720001000000003</v>
      </c>
      <c r="E1964">
        <v>54.470001000000003</v>
      </c>
      <c r="F1964">
        <v>50.693534999999997</v>
      </c>
      <c r="G1964">
        <v>22407600</v>
      </c>
      <c r="I1964">
        <f t="shared" si="31"/>
        <v>1.3200927083911488E-4</v>
      </c>
    </row>
    <row r="1965" spans="1:9" x14ac:dyDescent="0.3">
      <c r="A1965" s="5">
        <v>44488</v>
      </c>
      <c r="B1965">
        <v>54.630001</v>
      </c>
      <c r="C1965">
        <v>55.220001000000003</v>
      </c>
      <c r="D1965">
        <v>54.369999</v>
      </c>
      <c r="E1965">
        <v>55.209999000000003</v>
      </c>
      <c r="F1965">
        <v>51.382229000000002</v>
      </c>
      <c r="G1965">
        <v>18392900</v>
      </c>
      <c r="I1965">
        <f t="shared" si="31"/>
        <v>7.5087993611782012E-5</v>
      </c>
    </row>
    <row r="1966" spans="1:9" x14ac:dyDescent="0.3">
      <c r="A1966" s="5">
        <v>44489</v>
      </c>
      <c r="B1966">
        <v>55.25</v>
      </c>
      <c r="C1966">
        <v>55.490001999999997</v>
      </c>
      <c r="D1966">
        <v>55.080002</v>
      </c>
      <c r="E1966">
        <v>55.369999</v>
      </c>
      <c r="F1966">
        <v>51.531131999999999</v>
      </c>
      <c r="G1966">
        <v>16850300</v>
      </c>
      <c r="I1966">
        <f t="shared" si="31"/>
        <v>2.5566273326497387E-5</v>
      </c>
    </row>
    <row r="1967" spans="1:9" x14ac:dyDescent="0.3">
      <c r="A1967" s="5">
        <v>44490</v>
      </c>
      <c r="B1967">
        <v>54.93</v>
      </c>
      <c r="C1967">
        <v>56.07</v>
      </c>
      <c r="D1967">
        <v>54.830002</v>
      </c>
      <c r="E1967">
        <v>56</v>
      </c>
      <c r="F1967">
        <v>52.117455</v>
      </c>
      <c r="G1967">
        <v>38390900</v>
      </c>
      <c r="I1967">
        <f t="shared" si="31"/>
        <v>6.4133116891783895E-5</v>
      </c>
    </row>
    <row r="1968" spans="1:9" x14ac:dyDescent="0.3">
      <c r="A1968" s="5">
        <v>44491</v>
      </c>
      <c r="B1968">
        <v>50.389999000000003</v>
      </c>
      <c r="C1968">
        <v>50.549999</v>
      </c>
      <c r="D1968">
        <v>49.139999000000003</v>
      </c>
      <c r="E1968">
        <v>49.459999000000003</v>
      </c>
      <c r="F1968">
        <v>46.030875999999999</v>
      </c>
      <c r="G1968">
        <v>109971900</v>
      </c>
      <c r="I1968">
        <f t="shared" si="31"/>
        <v>2.3215348532173478E-4</v>
      </c>
    </row>
    <row r="1969" spans="1:9" x14ac:dyDescent="0.3">
      <c r="A1969" s="5">
        <v>44494</v>
      </c>
      <c r="B1969">
        <v>49.830002</v>
      </c>
      <c r="C1969">
        <v>50.07</v>
      </c>
      <c r="D1969">
        <v>49.310001</v>
      </c>
      <c r="E1969">
        <v>49.41</v>
      </c>
      <c r="F1969">
        <v>45.984352000000001</v>
      </c>
      <c r="G1969">
        <v>43178800</v>
      </c>
      <c r="I1969">
        <f t="shared" si="31"/>
        <v>8.5007967580668698E-5</v>
      </c>
    </row>
    <row r="1970" spans="1:9" x14ac:dyDescent="0.3">
      <c r="A1970" s="5">
        <v>44495</v>
      </c>
      <c r="B1970">
        <v>49.400002000000001</v>
      </c>
      <c r="C1970">
        <v>49.439999</v>
      </c>
      <c r="D1970">
        <v>47.93</v>
      </c>
      <c r="E1970">
        <v>48.279998999999997</v>
      </c>
      <c r="F1970">
        <v>44.932693</v>
      </c>
      <c r="G1970">
        <v>68405400</v>
      </c>
      <c r="I1970">
        <f t="shared" si="31"/>
        <v>2.3900783326566947E-4</v>
      </c>
    </row>
    <row r="1971" spans="1:9" x14ac:dyDescent="0.3">
      <c r="A1971" s="5">
        <v>44496</v>
      </c>
      <c r="B1971">
        <v>48.52</v>
      </c>
      <c r="C1971">
        <v>48.82</v>
      </c>
      <c r="D1971">
        <v>47.869999</v>
      </c>
      <c r="E1971">
        <v>47.889999000000003</v>
      </c>
      <c r="F1971">
        <v>44.569732999999999</v>
      </c>
      <c r="G1971">
        <v>41081500</v>
      </c>
      <c r="I1971">
        <f t="shared" si="31"/>
        <v>1.2418784442880417E-4</v>
      </c>
    </row>
    <row r="1972" spans="1:9" x14ac:dyDescent="0.3">
      <c r="A1972" s="5">
        <v>44497</v>
      </c>
      <c r="B1972">
        <v>48.139999000000003</v>
      </c>
      <c r="C1972">
        <v>48.360000999999997</v>
      </c>
      <c r="D1972">
        <v>47.880001</v>
      </c>
      <c r="E1972">
        <v>48.080002</v>
      </c>
      <c r="F1972">
        <v>44.746555000000001</v>
      </c>
      <c r="G1972">
        <v>31317200</v>
      </c>
      <c r="I1972">
        <f t="shared" si="31"/>
        <v>4.9050673940231461E-5</v>
      </c>
    </row>
    <row r="1973" spans="1:9" x14ac:dyDescent="0.3">
      <c r="A1973" s="5">
        <v>44498</v>
      </c>
      <c r="B1973">
        <v>48.099997999999999</v>
      </c>
      <c r="C1973">
        <v>49.279998999999997</v>
      </c>
      <c r="D1973">
        <v>47.919998</v>
      </c>
      <c r="E1973">
        <v>49</v>
      </c>
      <c r="F1973">
        <v>45.602772000000002</v>
      </c>
      <c r="G1973">
        <v>42301000</v>
      </c>
      <c r="I1973">
        <f t="shared" si="31"/>
        <v>2.216580696113493E-4</v>
      </c>
    </row>
    <row r="1974" spans="1:9" x14ac:dyDescent="0.3">
      <c r="A1974" s="5">
        <v>44501</v>
      </c>
      <c r="B1974">
        <v>49.400002000000001</v>
      </c>
      <c r="C1974">
        <v>49.599997999999999</v>
      </c>
      <c r="D1974">
        <v>49</v>
      </c>
      <c r="E1974">
        <v>49.549999</v>
      </c>
      <c r="F1974">
        <v>46.114643000000001</v>
      </c>
      <c r="G1974">
        <v>28013700</v>
      </c>
      <c r="I1974">
        <f t="shared" si="31"/>
        <v>9.482333653571177E-5</v>
      </c>
    </row>
    <row r="1975" spans="1:9" x14ac:dyDescent="0.3">
      <c r="A1975" s="5">
        <v>44502</v>
      </c>
      <c r="B1975">
        <v>49.610000999999997</v>
      </c>
      <c r="C1975">
        <v>49.900002000000001</v>
      </c>
      <c r="D1975">
        <v>49.23</v>
      </c>
      <c r="E1975">
        <v>49.860000999999997</v>
      </c>
      <c r="F1975">
        <v>46.403148999999999</v>
      </c>
      <c r="G1975">
        <v>27193300</v>
      </c>
      <c r="I1975">
        <f t="shared" si="31"/>
        <v>1.0245001398311313E-4</v>
      </c>
    </row>
    <row r="1976" spans="1:9" x14ac:dyDescent="0.3">
      <c r="A1976" s="5">
        <v>44503</v>
      </c>
      <c r="B1976">
        <v>49.93</v>
      </c>
      <c r="C1976">
        <v>50.450001</v>
      </c>
      <c r="D1976">
        <v>49.709999000000003</v>
      </c>
      <c r="E1976">
        <v>50.389999000000003</v>
      </c>
      <c r="F1976">
        <v>46.8964</v>
      </c>
      <c r="G1976">
        <v>23962100</v>
      </c>
      <c r="I1976">
        <f t="shared" si="31"/>
        <v>7.2327237695169171E-5</v>
      </c>
    </row>
    <row r="1977" spans="1:9" x14ac:dyDescent="0.3">
      <c r="A1977" s="5">
        <v>44504</v>
      </c>
      <c r="B1977">
        <v>50.240001999999997</v>
      </c>
      <c r="C1977">
        <v>50.349997999999999</v>
      </c>
      <c r="D1977">
        <v>49.73</v>
      </c>
      <c r="E1977">
        <v>50.310001</v>
      </c>
      <c r="F1977">
        <v>47.147556000000002</v>
      </c>
      <c r="G1977">
        <v>24806000</v>
      </c>
      <c r="I1977">
        <f t="shared" si="31"/>
        <v>1.2004921174764098E-4</v>
      </c>
    </row>
    <row r="1978" spans="1:9" x14ac:dyDescent="0.3">
      <c r="A1978" s="5">
        <v>44505</v>
      </c>
      <c r="B1978">
        <v>50.549999</v>
      </c>
      <c r="C1978">
        <v>51.580002</v>
      </c>
      <c r="D1978">
        <v>50.540000999999997</v>
      </c>
      <c r="E1978">
        <v>50.919998</v>
      </c>
      <c r="F1978">
        <v>47.719211999999999</v>
      </c>
      <c r="G1978">
        <v>36816200</v>
      </c>
      <c r="I1978">
        <f t="shared" si="31"/>
        <v>2.6125142137704989E-4</v>
      </c>
    </row>
    <row r="1979" spans="1:9" x14ac:dyDescent="0.3">
      <c r="A1979" s="5">
        <v>44508</v>
      </c>
      <c r="B1979">
        <v>51.459999000000003</v>
      </c>
      <c r="C1979">
        <v>51.990001999999997</v>
      </c>
      <c r="D1979">
        <v>51.060001</v>
      </c>
      <c r="E1979">
        <v>51.549999</v>
      </c>
      <c r="F1979">
        <v>48.309604999999998</v>
      </c>
      <c r="G1979">
        <v>31647800</v>
      </c>
      <c r="I1979">
        <f t="shared" si="31"/>
        <v>1.6161665773836635E-4</v>
      </c>
    </row>
    <row r="1980" spans="1:9" x14ac:dyDescent="0.3">
      <c r="A1980" s="5">
        <v>44509</v>
      </c>
      <c r="B1980">
        <v>51.540000999999997</v>
      </c>
      <c r="C1980">
        <v>51.77</v>
      </c>
      <c r="D1980">
        <v>50.77</v>
      </c>
      <c r="E1980">
        <v>51.200001</v>
      </c>
      <c r="F1980">
        <v>47.981613000000003</v>
      </c>
      <c r="G1980">
        <v>22508400</v>
      </c>
      <c r="I1980">
        <f t="shared" si="31"/>
        <v>1.7624847503288276E-4</v>
      </c>
    </row>
    <row r="1981" spans="1:9" x14ac:dyDescent="0.3">
      <c r="A1981" s="5">
        <v>44510</v>
      </c>
      <c r="B1981">
        <v>50.98</v>
      </c>
      <c r="C1981">
        <v>51.389999000000003</v>
      </c>
      <c r="D1981">
        <v>50.709999000000003</v>
      </c>
      <c r="E1981">
        <v>50.759998000000003</v>
      </c>
      <c r="F1981">
        <v>47.569271000000001</v>
      </c>
      <c r="G1981">
        <v>25040700</v>
      </c>
      <c r="I1981">
        <f t="shared" si="31"/>
        <v>1.0403868131502581E-4</v>
      </c>
    </row>
    <row r="1982" spans="1:9" x14ac:dyDescent="0.3">
      <c r="A1982" s="5">
        <v>44511</v>
      </c>
      <c r="B1982">
        <v>51.009998000000003</v>
      </c>
      <c r="C1982">
        <v>51.07</v>
      </c>
      <c r="D1982">
        <v>50.41</v>
      </c>
      <c r="E1982">
        <v>50.529998999999997</v>
      </c>
      <c r="F1982">
        <v>47.353729000000001</v>
      </c>
      <c r="G1982">
        <v>25420000</v>
      </c>
      <c r="I1982">
        <f t="shared" si="31"/>
        <v>4.0628884270123885E-5</v>
      </c>
    </row>
    <row r="1983" spans="1:9" x14ac:dyDescent="0.3">
      <c r="A1983" s="5">
        <v>44512</v>
      </c>
      <c r="B1983">
        <v>50.599997999999999</v>
      </c>
      <c r="C1983">
        <v>50.900002000000001</v>
      </c>
      <c r="D1983">
        <v>50.18</v>
      </c>
      <c r="E1983">
        <v>50.310001</v>
      </c>
      <c r="F1983">
        <v>47.147556000000002</v>
      </c>
      <c r="G1983">
        <v>23884800</v>
      </c>
      <c r="I1983">
        <f t="shared" si="31"/>
        <v>9.0487277344993857E-5</v>
      </c>
    </row>
    <row r="1984" spans="1:9" x14ac:dyDescent="0.3">
      <c r="A1984" s="5">
        <v>44515</v>
      </c>
      <c r="B1984">
        <v>50.41</v>
      </c>
      <c r="C1984">
        <v>50.630001</v>
      </c>
      <c r="D1984">
        <v>50.119999</v>
      </c>
      <c r="E1984">
        <v>50.32</v>
      </c>
      <c r="F1984">
        <v>47.156925000000001</v>
      </c>
      <c r="G1984">
        <v>24695800</v>
      </c>
      <c r="I1984">
        <f t="shared" si="31"/>
        <v>4.9722343079020206E-5</v>
      </c>
    </row>
    <row r="1985" spans="1:9" x14ac:dyDescent="0.3">
      <c r="A1985" s="5">
        <v>44516</v>
      </c>
      <c r="B1985">
        <v>50.369999</v>
      </c>
      <c r="C1985">
        <v>51.150002000000001</v>
      </c>
      <c r="D1985">
        <v>50.34</v>
      </c>
      <c r="E1985">
        <v>50.610000999999997</v>
      </c>
      <c r="F1985">
        <v>47.428699000000002</v>
      </c>
      <c r="G1985">
        <v>30927800</v>
      </c>
      <c r="I1985">
        <f t="shared" si="31"/>
        <v>1.6627957270587694E-4</v>
      </c>
    </row>
    <row r="1986" spans="1:9" x14ac:dyDescent="0.3">
      <c r="A1986" s="5">
        <v>44517</v>
      </c>
      <c r="B1986">
        <v>50.599997999999999</v>
      </c>
      <c r="C1986">
        <v>50.939999</v>
      </c>
      <c r="D1986">
        <v>49.98</v>
      </c>
      <c r="E1986">
        <v>50.23</v>
      </c>
      <c r="F1986">
        <v>47.072586000000001</v>
      </c>
      <c r="G1986">
        <v>23546900</v>
      </c>
      <c r="I1986">
        <f t="shared" si="31"/>
        <v>1.5551182577548664E-4</v>
      </c>
    </row>
    <row r="1987" spans="1:9" x14ac:dyDescent="0.3">
      <c r="A1987" s="5">
        <v>44518</v>
      </c>
      <c r="B1987">
        <v>50.240001999999997</v>
      </c>
      <c r="C1987">
        <v>50.240001999999997</v>
      </c>
      <c r="D1987">
        <v>48.970001000000003</v>
      </c>
      <c r="E1987">
        <v>49.68</v>
      </c>
      <c r="F1987">
        <v>46.557155999999999</v>
      </c>
      <c r="G1987">
        <v>30658200</v>
      </c>
      <c r="I1987">
        <f t="shared" si="31"/>
        <v>3.6855343013381581E-4</v>
      </c>
    </row>
    <row r="1988" spans="1:9" x14ac:dyDescent="0.3">
      <c r="A1988" s="5">
        <v>44519</v>
      </c>
      <c r="B1988">
        <v>49.599997999999999</v>
      </c>
      <c r="C1988">
        <v>49.73</v>
      </c>
      <c r="D1988">
        <v>49.240001999999997</v>
      </c>
      <c r="E1988">
        <v>49.52</v>
      </c>
      <c r="F1988">
        <v>46.407218999999998</v>
      </c>
      <c r="G1988">
        <v>27607600</v>
      </c>
      <c r="I1988">
        <f t="shared" si="31"/>
        <v>5.238185293122028E-5</v>
      </c>
    </row>
    <row r="1989" spans="1:9" x14ac:dyDescent="0.3">
      <c r="A1989" s="5">
        <v>44522</v>
      </c>
      <c r="B1989">
        <v>49.549999</v>
      </c>
      <c r="C1989">
        <v>50.849997999999999</v>
      </c>
      <c r="D1989">
        <v>49.41</v>
      </c>
      <c r="E1989">
        <v>49.830002</v>
      </c>
      <c r="F1989">
        <v>46.697730999999997</v>
      </c>
      <c r="G1989">
        <v>33389600</v>
      </c>
      <c r="I1989">
        <f t="shared" si="31"/>
        <v>5.4871289455733351E-4</v>
      </c>
    </row>
    <row r="1990" spans="1:9" x14ac:dyDescent="0.3">
      <c r="A1990" s="5">
        <v>44523</v>
      </c>
      <c r="B1990">
        <v>50.16</v>
      </c>
      <c r="C1990">
        <v>50.450001</v>
      </c>
      <c r="D1990">
        <v>48.639999000000003</v>
      </c>
      <c r="E1990">
        <v>49.099997999999999</v>
      </c>
      <c r="F1990">
        <v>46.013615000000001</v>
      </c>
      <c r="G1990">
        <v>44713300</v>
      </c>
      <c r="I1990">
        <f t="shared" si="31"/>
        <v>4.4601198422939867E-4</v>
      </c>
    </row>
    <row r="1991" spans="1:9" x14ac:dyDescent="0.3">
      <c r="A1991" s="5">
        <v>44524</v>
      </c>
      <c r="B1991">
        <v>48.860000999999997</v>
      </c>
      <c r="C1991">
        <v>49.779998999999997</v>
      </c>
      <c r="D1991">
        <v>48.630001</v>
      </c>
      <c r="E1991">
        <v>49.759998000000003</v>
      </c>
      <c r="F1991">
        <v>46.632126</v>
      </c>
      <c r="G1991">
        <v>26035800</v>
      </c>
      <c r="I1991">
        <f t="shared" si="31"/>
        <v>1.1588273213199157E-4</v>
      </c>
    </row>
    <row r="1992" spans="1:9" x14ac:dyDescent="0.3">
      <c r="A1992" s="5">
        <v>44526</v>
      </c>
      <c r="B1992">
        <v>48.900002000000001</v>
      </c>
      <c r="C1992">
        <v>49.18</v>
      </c>
      <c r="D1992">
        <v>48.119999</v>
      </c>
      <c r="E1992">
        <v>48.779998999999997</v>
      </c>
      <c r="F1992">
        <v>45.713729999999998</v>
      </c>
      <c r="G1992">
        <v>25269000</v>
      </c>
      <c r="I1992">
        <f t="shared" si="31"/>
        <v>2.6567231656211501E-4</v>
      </c>
    </row>
    <row r="1993" spans="1:9" x14ac:dyDescent="0.3">
      <c r="A1993" s="5">
        <v>44529</v>
      </c>
      <c r="B1993">
        <v>49.299999</v>
      </c>
      <c r="C1993">
        <v>50.130001</v>
      </c>
      <c r="D1993">
        <v>48.720001000000003</v>
      </c>
      <c r="E1993">
        <v>50</v>
      </c>
      <c r="F1993">
        <v>46.857039999999998</v>
      </c>
      <c r="G1993">
        <v>31478900</v>
      </c>
      <c r="I1993">
        <f t="shared" si="31"/>
        <v>3.5025874476977417E-4</v>
      </c>
    </row>
    <row r="1994" spans="1:9" x14ac:dyDescent="0.3">
      <c r="A1994" s="5">
        <v>44530</v>
      </c>
      <c r="B1994">
        <v>49.5</v>
      </c>
      <c r="C1994">
        <v>50.400002000000001</v>
      </c>
      <c r="D1994">
        <v>48.68</v>
      </c>
      <c r="E1994">
        <v>49.200001</v>
      </c>
      <c r="F1994">
        <v>46.107334000000002</v>
      </c>
      <c r="G1994">
        <v>49460800</v>
      </c>
      <c r="I1994">
        <f t="shared" si="31"/>
        <v>6.1169371214695953E-4</v>
      </c>
    </row>
    <row r="1995" spans="1:9" x14ac:dyDescent="0.3">
      <c r="A1995" s="5">
        <v>44531</v>
      </c>
      <c r="B1995">
        <v>49.84</v>
      </c>
      <c r="C1995">
        <v>50.310001</v>
      </c>
      <c r="D1995">
        <v>48.52</v>
      </c>
      <c r="E1995">
        <v>48.599997999999999</v>
      </c>
      <c r="F1995">
        <v>45.54504</v>
      </c>
      <c r="G1995">
        <v>35093500</v>
      </c>
      <c r="I1995">
        <f t="shared" si="31"/>
        <v>3.6879124425830058E-4</v>
      </c>
    </row>
    <row r="1996" spans="1:9" x14ac:dyDescent="0.3">
      <c r="A1996" s="5">
        <v>44532</v>
      </c>
      <c r="B1996">
        <v>48.610000999999997</v>
      </c>
      <c r="C1996">
        <v>49.790000999999997</v>
      </c>
      <c r="D1996">
        <v>48.330002</v>
      </c>
      <c r="E1996">
        <v>49.5</v>
      </c>
      <c r="F1996">
        <v>46.388474000000002</v>
      </c>
      <c r="G1996">
        <v>37240800</v>
      </c>
      <c r="I1996">
        <f t="shared" ref="I1996:I2059" si="32">LN(C1996/B1996)*(LN(C1996/B1996)-LN(E1996/B1996))+LN(D1996/B1996)*(LN(D1996/B1996)-LN(E1996/B1996))</f>
        <v>2.7828902394373949E-4</v>
      </c>
    </row>
    <row r="1997" spans="1:9" x14ac:dyDescent="0.3">
      <c r="A1997" s="5">
        <v>44533</v>
      </c>
      <c r="B1997">
        <v>49.68</v>
      </c>
      <c r="C1997">
        <v>50.060001</v>
      </c>
      <c r="D1997">
        <v>48.759998000000003</v>
      </c>
      <c r="E1997">
        <v>49.25</v>
      </c>
      <c r="F1997">
        <v>46.154193999999997</v>
      </c>
      <c r="G1997">
        <v>32224900</v>
      </c>
      <c r="I1997">
        <f t="shared" si="32"/>
        <v>3.1120743531093387E-4</v>
      </c>
    </row>
    <row r="1998" spans="1:9" x14ac:dyDescent="0.3">
      <c r="A1998" s="5">
        <v>44536</v>
      </c>
      <c r="B1998">
        <v>49.48</v>
      </c>
      <c r="C1998">
        <v>51.209999000000003</v>
      </c>
      <c r="D1998">
        <v>49.18</v>
      </c>
      <c r="E1998">
        <v>50.990001999999997</v>
      </c>
      <c r="F1998">
        <v>47.784816999999997</v>
      </c>
      <c r="G1998">
        <v>40336000</v>
      </c>
      <c r="I1998">
        <f t="shared" si="32"/>
        <v>3.6775593353563415E-4</v>
      </c>
    </row>
    <row r="1999" spans="1:9" x14ac:dyDescent="0.3">
      <c r="A1999" s="5">
        <v>44537</v>
      </c>
      <c r="B1999">
        <v>54.66</v>
      </c>
      <c r="C1999">
        <v>55</v>
      </c>
      <c r="D1999">
        <v>52.209999000000003</v>
      </c>
      <c r="E1999">
        <v>52.57</v>
      </c>
      <c r="F1999">
        <v>49.265495000000001</v>
      </c>
      <c r="G1999">
        <v>91731500</v>
      </c>
      <c r="I1999">
        <f t="shared" si="32"/>
        <v>5.9532660055199504E-4</v>
      </c>
    </row>
    <row r="2000" spans="1:9" x14ac:dyDescent="0.3">
      <c r="A2000" s="5">
        <v>44538</v>
      </c>
      <c r="B2000">
        <v>52.57</v>
      </c>
      <c r="C2000">
        <v>52.880001</v>
      </c>
      <c r="D2000">
        <v>51.380001</v>
      </c>
      <c r="E2000">
        <v>51.75</v>
      </c>
      <c r="F2000">
        <v>48.497044000000002</v>
      </c>
      <c r="G2000">
        <v>37143400</v>
      </c>
      <c r="I2000">
        <f t="shared" si="32"/>
        <v>2.9129672245855676E-4</v>
      </c>
    </row>
    <row r="2001" spans="1:9" x14ac:dyDescent="0.3">
      <c r="A2001" s="5">
        <v>44539</v>
      </c>
      <c r="B2001">
        <v>51.299999</v>
      </c>
      <c r="C2001">
        <v>51.59</v>
      </c>
      <c r="D2001">
        <v>50.43</v>
      </c>
      <c r="E2001">
        <v>50.48</v>
      </c>
      <c r="F2001">
        <v>47.306870000000004</v>
      </c>
      <c r="G2001">
        <v>31694200</v>
      </c>
      <c r="I2001">
        <f t="shared" si="32"/>
        <v>1.3956125765634519E-4</v>
      </c>
    </row>
    <row r="2002" spans="1:9" x14ac:dyDescent="0.3">
      <c r="A2002" s="5">
        <v>44540</v>
      </c>
      <c r="B2002">
        <v>50.84</v>
      </c>
      <c r="C2002">
        <v>51.07</v>
      </c>
      <c r="D2002">
        <v>50.049999</v>
      </c>
      <c r="E2002">
        <v>50.59</v>
      </c>
      <c r="F2002">
        <v>47.409953999999999</v>
      </c>
      <c r="G2002">
        <v>23783600</v>
      </c>
      <c r="I2002">
        <f t="shared" si="32"/>
        <v>2.1068986773072691E-4</v>
      </c>
    </row>
    <row r="2003" spans="1:9" x14ac:dyDescent="0.3">
      <c r="A2003" s="5">
        <v>44543</v>
      </c>
      <c r="B2003">
        <v>50.849997999999999</v>
      </c>
      <c r="C2003">
        <v>51.02</v>
      </c>
      <c r="D2003">
        <v>49.950001</v>
      </c>
      <c r="E2003">
        <v>50</v>
      </c>
      <c r="F2003">
        <v>46.857039999999998</v>
      </c>
      <c r="G2003">
        <v>35726900</v>
      </c>
      <c r="I2003">
        <f t="shared" si="32"/>
        <v>8.5268587075086581E-5</v>
      </c>
    </row>
    <row r="2004" spans="1:9" x14ac:dyDescent="0.3">
      <c r="A2004" s="5">
        <v>44544</v>
      </c>
      <c r="B2004">
        <v>49.82</v>
      </c>
      <c r="C2004">
        <v>50.27</v>
      </c>
      <c r="D2004">
        <v>49.32</v>
      </c>
      <c r="E2004">
        <v>49.700001</v>
      </c>
      <c r="F2004">
        <v>46.575901000000002</v>
      </c>
      <c r="G2004">
        <v>34120400</v>
      </c>
      <c r="I2004">
        <f t="shared" si="32"/>
        <v>1.7995933094192262E-4</v>
      </c>
    </row>
    <row r="2005" spans="1:9" x14ac:dyDescent="0.3">
      <c r="A2005" s="5">
        <v>44545</v>
      </c>
      <c r="B2005">
        <v>49.869999</v>
      </c>
      <c r="C2005">
        <v>50.779998999999997</v>
      </c>
      <c r="D2005">
        <v>49.330002</v>
      </c>
      <c r="E2005">
        <v>50.669998</v>
      </c>
      <c r="F2005">
        <v>47.484923999999999</v>
      </c>
      <c r="G2005">
        <v>32590300</v>
      </c>
      <c r="I2005">
        <f t="shared" si="32"/>
        <v>3.3100632308319432E-4</v>
      </c>
    </row>
    <row r="2006" spans="1:9" x14ac:dyDescent="0.3">
      <c r="A2006" s="5">
        <v>44546</v>
      </c>
      <c r="B2006">
        <v>50.740001999999997</v>
      </c>
      <c r="C2006">
        <v>51.400002000000001</v>
      </c>
      <c r="D2006">
        <v>50.580002</v>
      </c>
      <c r="E2006">
        <v>50.830002</v>
      </c>
      <c r="F2006">
        <v>47.634872000000001</v>
      </c>
      <c r="G2006">
        <v>33132300</v>
      </c>
      <c r="I2006">
        <f t="shared" si="32"/>
        <v>1.5968898538520535E-4</v>
      </c>
    </row>
    <row r="2007" spans="1:9" x14ac:dyDescent="0.3">
      <c r="A2007" s="5">
        <v>44547</v>
      </c>
      <c r="B2007">
        <v>50.59</v>
      </c>
      <c r="C2007">
        <v>51.02</v>
      </c>
      <c r="D2007">
        <v>50.009998000000003</v>
      </c>
      <c r="E2007">
        <v>50.619999</v>
      </c>
      <c r="F2007">
        <v>47.438068000000001</v>
      </c>
      <c r="G2007">
        <v>50102300</v>
      </c>
      <c r="I2007">
        <f t="shared" si="32"/>
        <v>2.0641746926247767E-4</v>
      </c>
    </row>
    <row r="2008" spans="1:9" x14ac:dyDescent="0.3">
      <c r="A2008" s="5">
        <v>44550</v>
      </c>
      <c r="B2008">
        <v>49.91</v>
      </c>
      <c r="C2008">
        <v>50.130001</v>
      </c>
      <c r="D2008">
        <v>48.959999000000003</v>
      </c>
      <c r="E2008">
        <v>49.599997999999999</v>
      </c>
      <c r="F2008">
        <v>46.482188999999998</v>
      </c>
      <c r="G2008">
        <v>30140300</v>
      </c>
      <c r="I2008">
        <f t="shared" si="32"/>
        <v>2.9633306083721767E-4</v>
      </c>
    </row>
    <row r="2009" spans="1:9" x14ac:dyDescent="0.3">
      <c r="A2009" s="5">
        <v>44551</v>
      </c>
      <c r="B2009">
        <v>49.939999</v>
      </c>
      <c r="C2009">
        <v>50.84</v>
      </c>
      <c r="D2009">
        <v>49.939999</v>
      </c>
      <c r="E2009">
        <v>50.77</v>
      </c>
      <c r="F2009">
        <v>47.57864</v>
      </c>
      <c r="G2009">
        <v>31956300</v>
      </c>
      <c r="I2009">
        <f t="shared" si="32"/>
        <v>2.4609445966905536E-5</v>
      </c>
    </row>
    <row r="2010" spans="1:9" x14ac:dyDescent="0.3">
      <c r="A2010" s="5">
        <v>44552</v>
      </c>
      <c r="B2010">
        <v>50.639999000000003</v>
      </c>
      <c r="C2010">
        <v>51.02</v>
      </c>
      <c r="D2010">
        <v>50.209999000000003</v>
      </c>
      <c r="E2010">
        <v>50.970001000000003</v>
      </c>
      <c r="F2010">
        <v>47.766078999999998</v>
      </c>
      <c r="G2010">
        <v>23307900</v>
      </c>
      <c r="I2010">
        <f t="shared" si="32"/>
        <v>1.354400524016579E-4</v>
      </c>
    </row>
    <row r="2011" spans="1:9" x14ac:dyDescent="0.3">
      <c r="A2011" s="5">
        <v>44553</v>
      </c>
      <c r="B2011">
        <v>51.080002</v>
      </c>
      <c r="C2011">
        <v>51.73</v>
      </c>
      <c r="D2011">
        <v>51.049999</v>
      </c>
      <c r="E2011">
        <v>51.310001</v>
      </c>
      <c r="F2011">
        <v>48.084702</v>
      </c>
      <c r="G2011">
        <v>25198200</v>
      </c>
      <c r="I2011">
        <f t="shared" si="32"/>
        <v>1.0606786858315625E-4</v>
      </c>
    </row>
    <row r="2012" spans="1:9" x14ac:dyDescent="0.3">
      <c r="A2012" s="5">
        <v>44557</v>
      </c>
      <c r="B2012">
        <v>51.349997999999999</v>
      </c>
      <c r="C2012">
        <v>52.060001</v>
      </c>
      <c r="D2012">
        <v>51.299999</v>
      </c>
      <c r="E2012">
        <v>51.939999</v>
      </c>
      <c r="F2012">
        <v>48.675094999999999</v>
      </c>
      <c r="G2012">
        <v>20985400</v>
      </c>
      <c r="I2012">
        <f t="shared" si="32"/>
        <v>4.3767959294731856E-5</v>
      </c>
    </row>
    <row r="2013" spans="1:9" x14ac:dyDescent="0.3">
      <c r="A2013" s="5">
        <v>44558</v>
      </c>
      <c r="B2013">
        <v>51.93</v>
      </c>
      <c r="C2013">
        <v>52.119999</v>
      </c>
      <c r="D2013">
        <v>51.630001</v>
      </c>
      <c r="E2013">
        <v>51.759998000000003</v>
      </c>
      <c r="F2013">
        <v>48.506405000000001</v>
      </c>
      <c r="G2013">
        <v>19290400</v>
      </c>
      <c r="I2013">
        <f t="shared" si="32"/>
        <v>3.988245519983145E-5</v>
      </c>
    </row>
    <row r="2014" spans="1:9" x14ac:dyDescent="0.3">
      <c r="A2014" s="5">
        <v>44559</v>
      </c>
      <c r="B2014">
        <v>51.810001</v>
      </c>
      <c r="C2014">
        <v>52.139999000000003</v>
      </c>
      <c r="D2014">
        <v>51.66</v>
      </c>
      <c r="E2014">
        <v>51.830002</v>
      </c>
      <c r="F2014">
        <v>48.572014000000003</v>
      </c>
      <c r="G2014">
        <v>14174800</v>
      </c>
      <c r="I2014">
        <f t="shared" si="32"/>
        <v>4.7387283480940232E-5</v>
      </c>
    </row>
    <row r="2015" spans="1:9" x14ac:dyDescent="0.3">
      <c r="A2015" s="5">
        <v>44560</v>
      </c>
      <c r="B2015">
        <v>51.919998</v>
      </c>
      <c r="C2015">
        <v>52.139999000000003</v>
      </c>
      <c r="D2015">
        <v>51.650002000000001</v>
      </c>
      <c r="E2015">
        <v>51.740001999999997</v>
      </c>
      <c r="F2015">
        <v>48.487675000000003</v>
      </c>
      <c r="G2015">
        <v>18359400</v>
      </c>
      <c r="I2015">
        <f t="shared" si="32"/>
        <v>4.1640427368075886E-5</v>
      </c>
    </row>
    <row r="2016" spans="1:9" x14ac:dyDescent="0.3">
      <c r="A2016" s="5">
        <v>44561</v>
      </c>
      <c r="B2016">
        <v>51.889999000000003</v>
      </c>
      <c r="C2016">
        <v>52.16</v>
      </c>
      <c r="D2016">
        <v>51.459999000000003</v>
      </c>
      <c r="E2016">
        <v>51.5</v>
      </c>
      <c r="F2016">
        <v>48.262752999999996</v>
      </c>
      <c r="G2016">
        <v>16319000</v>
      </c>
      <c r="I2016">
        <f t="shared" si="32"/>
        <v>7.2553846127337677E-5</v>
      </c>
    </row>
    <row r="2017" spans="1:9" x14ac:dyDescent="0.3">
      <c r="A2017" s="5">
        <v>44564</v>
      </c>
      <c r="B2017">
        <v>51.650002000000001</v>
      </c>
      <c r="C2017">
        <v>53.23</v>
      </c>
      <c r="D2017">
        <v>51.599997999999999</v>
      </c>
      <c r="E2017">
        <v>53.209999000000003</v>
      </c>
      <c r="F2017">
        <v>49.865260999999997</v>
      </c>
      <c r="G2017">
        <v>33857600</v>
      </c>
      <c r="I2017">
        <f t="shared" si="32"/>
        <v>4.1084054088734829E-5</v>
      </c>
    </row>
    <row r="2018" spans="1:9" x14ac:dyDescent="0.3">
      <c r="A2018" s="5">
        <v>44565</v>
      </c>
      <c r="B2018">
        <v>53.57</v>
      </c>
      <c r="C2018">
        <v>53.939999</v>
      </c>
      <c r="D2018">
        <v>52.650002000000001</v>
      </c>
      <c r="E2018">
        <v>53.139999000000003</v>
      </c>
      <c r="F2018">
        <v>49.799664</v>
      </c>
      <c r="G2018">
        <v>45681400</v>
      </c>
      <c r="I2018">
        <f t="shared" si="32"/>
        <v>2.6332322324663969E-4</v>
      </c>
    </row>
    <row r="2019" spans="1:9" x14ac:dyDescent="0.3">
      <c r="A2019" s="5">
        <v>44566</v>
      </c>
      <c r="B2019">
        <v>54.189999</v>
      </c>
      <c r="C2019">
        <v>56.169998</v>
      </c>
      <c r="D2019">
        <v>53.830002</v>
      </c>
      <c r="E2019">
        <v>53.869999</v>
      </c>
      <c r="F2019">
        <v>50.483775999999999</v>
      </c>
      <c r="G2019">
        <v>59109300</v>
      </c>
      <c r="I2019">
        <f t="shared" si="32"/>
        <v>1.5053271011723308E-3</v>
      </c>
    </row>
    <row r="2020" spans="1:9" x14ac:dyDescent="0.3">
      <c r="A2020" s="5">
        <v>44567</v>
      </c>
      <c r="B2020">
        <v>54.610000999999997</v>
      </c>
      <c r="C2020">
        <v>54.669998</v>
      </c>
      <c r="D2020">
        <v>53.419998</v>
      </c>
      <c r="E2020">
        <v>54.009998000000003</v>
      </c>
      <c r="F2020">
        <v>50.614978999999998</v>
      </c>
      <c r="G2020">
        <v>35757900</v>
      </c>
      <c r="I2020">
        <f t="shared" si="32"/>
        <v>2.5533486338167195E-4</v>
      </c>
    </row>
    <row r="2021" spans="1:9" x14ac:dyDescent="0.3">
      <c r="A2021" s="5">
        <v>44568</v>
      </c>
      <c r="B2021">
        <v>54.189999</v>
      </c>
      <c r="C2021">
        <v>54.389999000000003</v>
      </c>
      <c r="D2021">
        <v>53.150002000000001</v>
      </c>
      <c r="E2021">
        <v>53.439999</v>
      </c>
      <c r="F2021">
        <v>50.080807</v>
      </c>
      <c r="G2021">
        <v>30717200</v>
      </c>
      <c r="I2021">
        <f t="shared" si="32"/>
        <v>1.7035770520689591E-4</v>
      </c>
    </row>
    <row r="2022" spans="1:9" x14ac:dyDescent="0.3">
      <c r="A2022" s="5">
        <v>44571</v>
      </c>
      <c r="B2022">
        <v>53.970001000000003</v>
      </c>
      <c r="C2022">
        <v>55.310001</v>
      </c>
      <c r="D2022">
        <v>53.310001</v>
      </c>
      <c r="E2022">
        <v>55.209999000000003</v>
      </c>
      <c r="F2022">
        <v>51.739547999999999</v>
      </c>
      <c r="G2022">
        <v>49260800</v>
      </c>
      <c r="I2022">
        <f t="shared" si="32"/>
        <v>4.752845726012504E-4</v>
      </c>
    </row>
    <row r="2023" spans="1:9" x14ac:dyDescent="0.3">
      <c r="A2023" s="5">
        <v>44572</v>
      </c>
      <c r="B2023">
        <v>55.5</v>
      </c>
      <c r="C2023">
        <v>56.080002</v>
      </c>
      <c r="D2023">
        <v>54.73</v>
      </c>
      <c r="E2023">
        <v>55.91</v>
      </c>
      <c r="F2023">
        <v>52.395546000000003</v>
      </c>
      <c r="G2023">
        <v>39795200</v>
      </c>
      <c r="I2023">
        <f t="shared" si="32"/>
        <v>3.2958250575677866E-4</v>
      </c>
    </row>
    <row r="2024" spans="1:9" x14ac:dyDescent="0.3">
      <c r="A2024" s="5">
        <v>44573</v>
      </c>
      <c r="B2024">
        <v>56.139999000000003</v>
      </c>
      <c r="C2024">
        <v>56.279998999999997</v>
      </c>
      <c r="D2024">
        <v>54.810001</v>
      </c>
      <c r="E2024">
        <v>55.740001999999997</v>
      </c>
      <c r="F2024">
        <v>52.236232999999999</v>
      </c>
      <c r="G2024">
        <v>29136800</v>
      </c>
      <c r="I2024">
        <f t="shared" si="32"/>
        <v>4.2741609265971325E-4</v>
      </c>
    </row>
    <row r="2025" spans="1:9" x14ac:dyDescent="0.3">
      <c r="A2025" s="5">
        <v>44574</v>
      </c>
      <c r="B2025">
        <v>56</v>
      </c>
      <c r="C2025">
        <v>56.209999000000003</v>
      </c>
      <c r="D2025">
        <v>54.77</v>
      </c>
      <c r="E2025">
        <v>54.939999</v>
      </c>
      <c r="F2025">
        <v>51.486519000000001</v>
      </c>
      <c r="G2025">
        <v>29605400</v>
      </c>
      <c r="I2025">
        <f t="shared" si="32"/>
        <v>1.5436543670073447E-4</v>
      </c>
    </row>
    <row r="2026" spans="1:9" x14ac:dyDescent="0.3">
      <c r="A2026" s="5">
        <v>44575</v>
      </c>
      <c r="B2026">
        <v>54.849997999999999</v>
      </c>
      <c r="C2026">
        <v>55.77</v>
      </c>
      <c r="D2026">
        <v>54.529998999999997</v>
      </c>
      <c r="E2026">
        <v>55.700001</v>
      </c>
      <c r="F2026">
        <v>52.198737999999999</v>
      </c>
      <c r="G2026">
        <v>30151500</v>
      </c>
      <c r="I2026">
        <f t="shared" si="32"/>
        <v>1.4510627801600092E-4</v>
      </c>
    </row>
    <row r="2027" spans="1:9" x14ac:dyDescent="0.3">
      <c r="A2027" s="5">
        <v>44579</v>
      </c>
      <c r="B2027">
        <v>55.310001</v>
      </c>
      <c r="C2027">
        <v>55.650002000000001</v>
      </c>
      <c r="D2027">
        <v>54.68</v>
      </c>
      <c r="E2027">
        <v>54.759998000000003</v>
      </c>
      <c r="F2027">
        <v>51.317829000000003</v>
      </c>
      <c r="G2027">
        <v>35313800</v>
      </c>
      <c r="I2027">
        <f t="shared" si="32"/>
        <v>1.1555025251759181E-4</v>
      </c>
    </row>
    <row r="2028" spans="1:9" x14ac:dyDescent="0.3">
      <c r="A2028" s="5">
        <v>44580</v>
      </c>
      <c r="B2028">
        <v>54.630001</v>
      </c>
      <c r="C2028">
        <v>54.849997999999999</v>
      </c>
      <c r="D2028">
        <v>53.560001</v>
      </c>
      <c r="E2028">
        <v>53.619999</v>
      </c>
      <c r="F2028">
        <v>50.249496000000001</v>
      </c>
      <c r="G2028">
        <v>30595100</v>
      </c>
      <c r="I2028">
        <f t="shared" si="32"/>
        <v>1.13295847924542E-4</v>
      </c>
    </row>
    <row r="2029" spans="1:9" x14ac:dyDescent="0.3">
      <c r="A2029" s="5">
        <v>44581</v>
      </c>
      <c r="B2029">
        <v>53.860000999999997</v>
      </c>
      <c r="C2029">
        <v>54.09</v>
      </c>
      <c r="D2029">
        <v>51.939999</v>
      </c>
      <c r="E2029">
        <v>52.040000999999997</v>
      </c>
      <c r="F2029">
        <v>48.768813999999999</v>
      </c>
      <c r="G2029">
        <v>28582600</v>
      </c>
      <c r="I2029">
        <f t="shared" si="32"/>
        <v>2.3445973406205676E-4</v>
      </c>
    </row>
    <row r="2030" spans="1:9" x14ac:dyDescent="0.3">
      <c r="A2030" s="5">
        <v>44582</v>
      </c>
      <c r="B2030">
        <v>52.080002</v>
      </c>
      <c r="C2030">
        <v>53.130001</v>
      </c>
      <c r="D2030">
        <v>51.950001</v>
      </c>
      <c r="E2030">
        <v>52.040000999999997</v>
      </c>
      <c r="F2030">
        <v>48.768813999999999</v>
      </c>
      <c r="G2030">
        <v>46372400</v>
      </c>
      <c r="I2030">
        <f t="shared" si="32"/>
        <v>4.1809367944042273E-4</v>
      </c>
    </row>
    <row r="2031" spans="1:9" x14ac:dyDescent="0.3">
      <c r="A2031" s="5">
        <v>44585</v>
      </c>
      <c r="B2031">
        <v>51.48</v>
      </c>
      <c r="C2031">
        <v>52.130001</v>
      </c>
      <c r="D2031">
        <v>49.880001</v>
      </c>
      <c r="E2031">
        <v>51.939999</v>
      </c>
      <c r="F2031">
        <v>48.675094999999999</v>
      </c>
      <c r="G2031">
        <v>64198400</v>
      </c>
      <c r="I2031">
        <f t="shared" si="32"/>
        <v>1.3235543448308546E-3</v>
      </c>
    </row>
    <row r="2032" spans="1:9" x14ac:dyDescent="0.3">
      <c r="A2032" s="5">
        <v>44586</v>
      </c>
      <c r="B2032">
        <v>51.009998000000003</v>
      </c>
      <c r="C2032">
        <v>51.619999</v>
      </c>
      <c r="D2032">
        <v>50.25</v>
      </c>
      <c r="E2032">
        <v>51</v>
      </c>
      <c r="F2032">
        <v>47.794186000000003</v>
      </c>
      <c r="G2032">
        <v>44095400</v>
      </c>
      <c r="I2032">
        <f t="shared" si="32"/>
        <v>3.6603419595218341E-4</v>
      </c>
    </row>
    <row r="2033" spans="1:9" x14ac:dyDescent="0.3">
      <c r="A2033" s="5">
        <v>44587</v>
      </c>
      <c r="B2033">
        <v>51.130001</v>
      </c>
      <c r="C2033">
        <v>52.720001000000003</v>
      </c>
      <c r="D2033">
        <v>50.75</v>
      </c>
      <c r="E2033">
        <v>51.689999</v>
      </c>
      <c r="F2033">
        <v>48.440807</v>
      </c>
      <c r="G2033">
        <v>54895400</v>
      </c>
      <c r="I2033">
        <f t="shared" si="32"/>
        <v>7.4112699976439068E-4</v>
      </c>
    </row>
    <row r="2034" spans="1:9" x14ac:dyDescent="0.3">
      <c r="A2034" s="5">
        <v>44588</v>
      </c>
      <c r="B2034">
        <v>49.98</v>
      </c>
      <c r="C2034">
        <v>50.060001</v>
      </c>
      <c r="D2034">
        <v>47.779998999999997</v>
      </c>
      <c r="E2034">
        <v>48.049999</v>
      </c>
      <c r="F2034">
        <v>45.029620999999999</v>
      </c>
      <c r="G2034">
        <v>89642800</v>
      </c>
      <c r="I2034">
        <f t="shared" si="32"/>
        <v>3.1920669349762656E-4</v>
      </c>
    </row>
    <row r="2035" spans="1:9" x14ac:dyDescent="0.3">
      <c r="A2035" s="5">
        <v>44589</v>
      </c>
      <c r="B2035">
        <v>47.709999000000003</v>
      </c>
      <c r="C2035">
        <v>48.200001</v>
      </c>
      <c r="D2035">
        <v>46.299999</v>
      </c>
      <c r="E2035">
        <v>47.73</v>
      </c>
      <c r="F2035">
        <v>44.729733000000003</v>
      </c>
      <c r="G2035">
        <v>61945400</v>
      </c>
      <c r="I2035">
        <f t="shared" si="32"/>
        <v>1.0126428185208438E-3</v>
      </c>
    </row>
    <row r="2036" spans="1:9" x14ac:dyDescent="0.3">
      <c r="A2036" s="5">
        <v>44592</v>
      </c>
      <c r="B2036">
        <v>47.68</v>
      </c>
      <c r="C2036">
        <v>48.869999</v>
      </c>
      <c r="D2036">
        <v>47.310001</v>
      </c>
      <c r="E2036">
        <v>48.82</v>
      </c>
      <c r="F2036">
        <v>45.751216999999997</v>
      </c>
      <c r="G2036">
        <v>51828400</v>
      </c>
      <c r="I2036">
        <f t="shared" si="32"/>
        <v>2.6999286568995292E-4</v>
      </c>
    </row>
    <row r="2037" spans="1:9" x14ac:dyDescent="0.3">
      <c r="A2037" s="5">
        <v>44593</v>
      </c>
      <c r="B2037">
        <v>48.779998999999997</v>
      </c>
      <c r="C2037">
        <v>49.029998999999997</v>
      </c>
      <c r="D2037">
        <v>48.360000999999997</v>
      </c>
      <c r="E2037">
        <v>48.950001</v>
      </c>
      <c r="F2037">
        <v>45.873043000000003</v>
      </c>
      <c r="G2037">
        <v>35386100</v>
      </c>
      <c r="I2037">
        <f t="shared" si="32"/>
        <v>1.1320799807166633E-4</v>
      </c>
    </row>
    <row r="2038" spans="1:9" x14ac:dyDescent="0.3">
      <c r="A2038" s="5">
        <v>44594</v>
      </c>
      <c r="B2038">
        <v>48.25</v>
      </c>
      <c r="C2038">
        <v>49.580002</v>
      </c>
      <c r="D2038">
        <v>48.09</v>
      </c>
      <c r="E2038">
        <v>49.509998000000003</v>
      </c>
      <c r="F2038">
        <v>46.397841999999997</v>
      </c>
      <c r="G2038">
        <v>37962700</v>
      </c>
      <c r="I2038">
        <f t="shared" si="32"/>
        <v>1.3507924153652036E-4</v>
      </c>
    </row>
    <row r="2039" spans="1:9" x14ac:dyDescent="0.3">
      <c r="A2039" s="5">
        <v>44595</v>
      </c>
      <c r="B2039">
        <v>49.25</v>
      </c>
      <c r="C2039">
        <v>49.689999</v>
      </c>
      <c r="D2039">
        <v>48.25</v>
      </c>
      <c r="E2039">
        <v>48.279998999999997</v>
      </c>
      <c r="F2039">
        <v>45.245162999999998</v>
      </c>
      <c r="G2039">
        <v>42145800</v>
      </c>
      <c r="I2039">
        <f t="shared" si="32"/>
        <v>2.6878473539501419E-4</v>
      </c>
    </row>
    <row r="2040" spans="1:9" x14ac:dyDescent="0.3">
      <c r="A2040" s="5">
        <v>44596</v>
      </c>
      <c r="B2040">
        <v>47.860000999999997</v>
      </c>
      <c r="C2040">
        <v>48.240001999999997</v>
      </c>
      <c r="D2040">
        <v>47.130001</v>
      </c>
      <c r="E2040">
        <v>48.009998000000003</v>
      </c>
      <c r="F2040">
        <v>45.334865999999998</v>
      </c>
      <c r="G2040">
        <v>32431500</v>
      </c>
      <c r="I2040">
        <f t="shared" si="32"/>
        <v>3.221410667470105E-4</v>
      </c>
    </row>
    <row r="2041" spans="1:9" x14ac:dyDescent="0.3">
      <c r="A2041" s="5">
        <v>44599</v>
      </c>
      <c r="B2041">
        <v>48.130001</v>
      </c>
      <c r="C2041">
        <v>48.66</v>
      </c>
      <c r="D2041">
        <v>47.959999000000003</v>
      </c>
      <c r="E2041">
        <v>48.18</v>
      </c>
      <c r="F2041">
        <v>45.495392000000002</v>
      </c>
      <c r="G2041">
        <v>27558500</v>
      </c>
      <c r="I2041">
        <f t="shared" si="32"/>
        <v>1.247613944549111E-4</v>
      </c>
    </row>
    <row r="2042" spans="1:9" x14ac:dyDescent="0.3">
      <c r="A2042" s="5">
        <v>44600</v>
      </c>
      <c r="B2042">
        <v>47.98</v>
      </c>
      <c r="C2042">
        <v>48.939999</v>
      </c>
      <c r="D2042">
        <v>47.900002000000001</v>
      </c>
      <c r="E2042">
        <v>48.810001</v>
      </c>
      <c r="F2042">
        <v>46.090294</v>
      </c>
      <c r="G2042">
        <v>28051200</v>
      </c>
      <c r="I2042">
        <f t="shared" si="32"/>
        <v>8.4097474231896934E-5</v>
      </c>
    </row>
    <row r="2043" spans="1:9" x14ac:dyDescent="0.3">
      <c r="A2043" s="5">
        <v>44601</v>
      </c>
      <c r="B2043">
        <v>49.330002</v>
      </c>
      <c r="C2043">
        <v>49.970001000000003</v>
      </c>
      <c r="D2043">
        <v>48.830002</v>
      </c>
      <c r="E2043">
        <v>49.91</v>
      </c>
      <c r="F2043">
        <v>47.129004999999999</v>
      </c>
      <c r="G2043">
        <v>35217300</v>
      </c>
      <c r="I2043">
        <f t="shared" si="32"/>
        <v>2.3835459747406851E-4</v>
      </c>
    </row>
    <row r="2044" spans="1:9" x14ac:dyDescent="0.3">
      <c r="A2044" s="5">
        <v>44602</v>
      </c>
      <c r="B2044">
        <v>49.18</v>
      </c>
      <c r="C2044">
        <v>49.93</v>
      </c>
      <c r="D2044">
        <v>48.759998000000003</v>
      </c>
      <c r="E2044">
        <v>48.860000999999997</v>
      </c>
      <c r="F2044">
        <v>46.137512000000001</v>
      </c>
      <c r="G2044">
        <v>32762700</v>
      </c>
      <c r="I2044">
        <f t="shared" si="32"/>
        <v>3.4544059159173906E-4</v>
      </c>
    </row>
    <row r="2045" spans="1:9" x14ac:dyDescent="0.3">
      <c r="A2045" s="5">
        <v>44603</v>
      </c>
      <c r="B2045">
        <v>48.950001</v>
      </c>
      <c r="C2045">
        <v>49.110000999999997</v>
      </c>
      <c r="D2045">
        <v>47.5</v>
      </c>
      <c r="E2045">
        <v>47.630001</v>
      </c>
      <c r="F2045">
        <v>44.976039999999998</v>
      </c>
      <c r="G2045">
        <v>37208200</v>
      </c>
      <c r="I2045">
        <f t="shared" si="32"/>
        <v>1.8204105769858384E-4</v>
      </c>
    </row>
    <row r="2046" spans="1:9" x14ac:dyDescent="0.3">
      <c r="A2046" s="5">
        <v>44606</v>
      </c>
      <c r="B2046">
        <v>47.919998</v>
      </c>
      <c r="C2046">
        <v>48.18</v>
      </c>
      <c r="D2046">
        <v>47.110000999999997</v>
      </c>
      <c r="E2046">
        <v>47.580002</v>
      </c>
      <c r="F2046">
        <v>44.928825000000003</v>
      </c>
      <c r="G2046">
        <v>28456900</v>
      </c>
      <c r="I2046">
        <f t="shared" si="32"/>
        <v>2.3704422231852281E-4</v>
      </c>
    </row>
    <row r="2047" spans="1:9" x14ac:dyDescent="0.3">
      <c r="A2047" s="5">
        <v>44607</v>
      </c>
      <c r="B2047">
        <v>47.700001</v>
      </c>
      <c r="C2047">
        <v>48.459999000000003</v>
      </c>
      <c r="D2047">
        <v>47.189999</v>
      </c>
      <c r="E2047">
        <v>48.439999</v>
      </c>
      <c r="F2047">
        <v>45.740906000000003</v>
      </c>
      <c r="G2047">
        <v>35837900</v>
      </c>
      <c r="I2047">
        <f t="shared" si="32"/>
        <v>2.8755747225259003E-4</v>
      </c>
    </row>
    <row r="2048" spans="1:9" x14ac:dyDescent="0.3">
      <c r="A2048" s="5">
        <v>44608</v>
      </c>
      <c r="B2048">
        <v>48.060001</v>
      </c>
      <c r="C2048">
        <v>48.490001999999997</v>
      </c>
      <c r="D2048">
        <v>47.599997999999999</v>
      </c>
      <c r="E2048">
        <v>48.23</v>
      </c>
      <c r="F2048">
        <v>45.542614</v>
      </c>
      <c r="G2048">
        <v>26022900</v>
      </c>
      <c r="I2048">
        <f t="shared" si="32"/>
        <v>1.7434589027670775E-4</v>
      </c>
    </row>
    <row r="2049" spans="1:9" x14ac:dyDescent="0.3">
      <c r="A2049" s="5">
        <v>44609</v>
      </c>
      <c r="B2049">
        <v>47.860000999999997</v>
      </c>
      <c r="C2049">
        <v>48.259998000000003</v>
      </c>
      <c r="D2049">
        <v>47.380001</v>
      </c>
      <c r="E2049">
        <v>47.57</v>
      </c>
      <c r="F2049">
        <v>44.919384000000001</v>
      </c>
      <c r="G2049">
        <v>32030600</v>
      </c>
      <c r="I2049">
        <f t="shared" si="32"/>
        <v>1.6019648391598187E-4</v>
      </c>
    </row>
    <row r="2050" spans="1:9" x14ac:dyDescent="0.3">
      <c r="A2050" s="5">
        <v>44610</v>
      </c>
      <c r="B2050">
        <v>46.189999</v>
      </c>
      <c r="C2050">
        <v>46.209999000000003</v>
      </c>
      <c r="D2050">
        <v>44.509998000000003</v>
      </c>
      <c r="E2050">
        <v>45.040000999999997</v>
      </c>
      <c r="F2050">
        <v>42.530365000000003</v>
      </c>
      <c r="G2050">
        <v>76520100</v>
      </c>
      <c r="I2050">
        <f t="shared" si="32"/>
        <v>4.4966255310883329E-4</v>
      </c>
    </row>
    <row r="2051" spans="1:9" x14ac:dyDescent="0.3">
      <c r="A2051" s="5">
        <v>44614</v>
      </c>
      <c r="B2051">
        <v>44.689999</v>
      </c>
      <c r="C2051">
        <v>45.41</v>
      </c>
      <c r="D2051">
        <v>43.849997999999999</v>
      </c>
      <c r="E2051">
        <v>44.689999</v>
      </c>
      <c r="F2051">
        <v>42.199860000000001</v>
      </c>
      <c r="G2051">
        <v>57093300</v>
      </c>
      <c r="I2051">
        <f t="shared" si="32"/>
        <v>6.1549682925798475E-4</v>
      </c>
    </row>
    <row r="2052" spans="1:9" x14ac:dyDescent="0.3">
      <c r="A2052" s="5">
        <v>44615</v>
      </c>
      <c r="B2052">
        <v>45.169998</v>
      </c>
      <c r="C2052">
        <v>45.709999000000003</v>
      </c>
      <c r="D2052">
        <v>44.549999</v>
      </c>
      <c r="E2052">
        <v>44.650002000000001</v>
      </c>
      <c r="F2052">
        <v>42.162094000000003</v>
      </c>
      <c r="G2052">
        <v>38176700</v>
      </c>
      <c r="I2052">
        <f t="shared" si="32"/>
        <v>3.0981979856267348E-4</v>
      </c>
    </row>
    <row r="2053" spans="1:9" x14ac:dyDescent="0.3">
      <c r="A2053" s="5">
        <v>44616</v>
      </c>
      <c r="B2053">
        <v>43.900002000000001</v>
      </c>
      <c r="C2053">
        <v>46.790000999999997</v>
      </c>
      <c r="D2053">
        <v>43.630001</v>
      </c>
      <c r="E2053">
        <v>46.720001000000003</v>
      </c>
      <c r="F2053">
        <v>44.116753000000003</v>
      </c>
      <c r="G2053">
        <v>72740100</v>
      </c>
      <c r="I2053">
        <f t="shared" si="32"/>
        <v>5.1760473257216543E-4</v>
      </c>
    </row>
    <row r="2054" spans="1:9" x14ac:dyDescent="0.3">
      <c r="A2054" s="5">
        <v>44617</v>
      </c>
      <c r="B2054">
        <v>46.93</v>
      </c>
      <c r="C2054">
        <v>47.790000999999997</v>
      </c>
      <c r="D2054">
        <v>46.25</v>
      </c>
      <c r="E2054">
        <v>47.709999000000003</v>
      </c>
      <c r="F2054">
        <v>45.051582000000003</v>
      </c>
      <c r="G2054">
        <v>39266300</v>
      </c>
      <c r="I2054">
        <f t="shared" si="32"/>
        <v>4.8405123391467495E-4</v>
      </c>
    </row>
    <row r="2055" spans="1:9" x14ac:dyDescent="0.3">
      <c r="A2055" s="5">
        <v>44620</v>
      </c>
      <c r="B2055">
        <v>47</v>
      </c>
      <c r="C2055">
        <v>47.82</v>
      </c>
      <c r="D2055">
        <v>46.849997999999999</v>
      </c>
      <c r="E2055">
        <v>47.700001</v>
      </c>
      <c r="F2055">
        <v>45.042144999999998</v>
      </c>
      <c r="G2055">
        <v>41946100</v>
      </c>
      <c r="I2055">
        <f t="shared" si="32"/>
        <v>1.0093480981149104E-4</v>
      </c>
    </row>
    <row r="2056" spans="1:9" x14ac:dyDescent="0.3">
      <c r="A2056" s="5">
        <v>44621</v>
      </c>
      <c r="B2056">
        <v>47.540000999999997</v>
      </c>
      <c r="C2056">
        <v>47.900002000000001</v>
      </c>
      <c r="D2056">
        <v>46.220001000000003</v>
      </c>
      <c r="E2056">
        <v>46.82</v>
      </c>
      <c r="F2056">
        <v>44.211177999999997</v>
      </c>
      <c r="G2056">
        <v>53853000</v>
      </c>
      <c r="I2056">
        <f t="shared" si="32"/>
        <v>5.3523129696129426E-4</v>
      </c>
    </row>
    <row r="2057" spans="1:9" x14ac:dyDescent="0.3">
      <c r="A2057" s="5">
        <v>44622</v>
      </c>
      <c r="B2057">
        <v>47.52</v>
      </c>
      <c r="C2057">
        <v>48.990001999999997</v>
      </c>
      <c r="D2057">
        <v>47.48</v>
      </c>
      <c r="E2057">
        <v>48.869999</v>
      </c>
      <c r="F2057">
        <v>46.146949999999997</v>
      </c>
      <c r="G2057">
        <v>46936500</v>
      </c>
      <c r="I2057">
        <f t="shared" si="32"/>
        <v>9.9017231070626816E-5</v>
      </c>
    </row>
    <row r="2058" spans="1:9" x14ac:dyDescent="0.3">
      <c r="A2058" s="5">
        <v>44623</v>
      </c>
      <c r="B2058">
        <v>48.18</v>
      </c>
      <c r="C2058">
        <v>48.549999</v>
      </c>
      <c r="D2058">
        <v>47.619999</v>
      </c>
      <c r="E2058">
        <v>47.93</v>
      </c>
      <c r="F2058">
        <v>45.259326999999999</v>
      </c>
      <c r="G2058">
        <v>36389900</v>
      </c>
      <c r="I2058">
        <f t="shared" si="32"/>
        <v>1.7418599533309029E-4</v>
      </c>
    </row>
    <row r="2059" spans="1:9" x14ac:dyDescent="0.3">
      <c r="A2059" s="5">
        <v>44624</v>
      </c>
      <c r="B2059">
        <v>47.369999</v>
      </c>
      <c r="C2059">
        <v>48.27</v>
      </c>
      <c r="D2059">
        <v>47.369999</v>
      </c>
      <c r="E2059">
        <v>48.07</v>
      </c>
      <c r="F2059">
        <v>45.391517999999998</v>
      </c>
      <c r="G2059">
        <v>38310700</v>
      </c>
      <c r="I2059">
        <f t="shared" si="32"/>
        <v>7.8144824102308112E-5</v>
      </c>
    </row>
    <row r="2060" spans="1:9" x14ac:dyDescent="0.3">
      <c r="A2060" s="5">
        <v>44627</v>
      </c>
      <c r="B2060">
        <v>48.009998000000003</v>
      </c>
      <c r="C2060">
        <v>48.540000999999997</v>
      </c>
      <c r="D2060">
        <v>47.599997999999999</v>
      </c>
      <c r="E2060">
        <v>47.68</v>
      </c>
      <c r="F2060">
        <v>45.023254000000001</v>
      </c>
      <c r="G2060">
        <v>43813700</v>
      </c>
      <c r="I2060">
        <f t="shared" ref="I2060:I2123" si="33">LN(C2060/B2060)*(LN(C2060/B2060)-LN(E2060/B2060))+LN(D2060/B2060)*(LN(D2060/B2060)-LN(E2060/B2060))</f>
        <v>2.1066435744440524E-4</v>
      </c>
    </row>
    <row r="2061" spans="1:9" x14ac:dyDescent="0.3">
      <c r="A2061" s="5">
        <v>44628</v>
      </c>
      <c r="B2061">
        <v>47.689999</v>
      </c>
      <c r="C2061">
        <v>48.720001000000003</v>
      </c>
      <c r="D2061">
        <v>46.889999000000003</v>
      </c>
      <c r="E2061">
        <v>47.5</v>
      </c>
      <c r="F2061">
        <v>44.853287000000002</v>
      </c>
      <c r="G2061">
        <v>44813900</v>
      </c>
      <c r="I2061">
        <f t="shared" si="33"/>
        <v>7.6055049595853761E-4</v>
      </c>
    </row>
    <row r="2062" spans="1:9" x14ac:dyDescent="0.3">
      <c r="A2062" s="5">
        <v>44629</v>
      </c>
      <c r="B2062">
        <v>48.41</v>
      </c>
      <c r="C2062">
        <v>48.459999000000003</v>
      </c>
      <c r="D2062">
        <v>46.889999000000003</v>
      </c>
      <c r="E2062">
        <v>47.630001</v>
      </c>
      <c r="F2062">
        <v>44.976039999999998</v>
      </c>
      <c r="G2062">
        <v>36076500</v>
      </c>
      <c r="I2062">
        <f t="shared" si="33"/>
        <v>5.1736863126907481E-4</v>
      </c>
    </row>
    <row r="2063" spans="1:9" x14ac:dyDescent="0.3">
      <c r="A2063" s="5">
        <v>44630</v>
      </c>
      <c r="B2063">
        <v>47.290000999999997</v>
      </c>
      <c r="C2063">
        <v>47.310001</v>
      </c>
      <c r="D2063">
        <v>46.16</v>
      </c>
      <c r="E2063">
        <v>46.66</v>
      </c>
      <c r="F2063">
        <v>44.060093000000002</v>
      </c>
      <c r="G2063">
        <v>36456000</v>
      </c>
      <c r="I2063">
        <f t="shared" si="33"/>
        <v>2.6641300266019093E-4</v>
      </c>
    </row>
    <row r="2064" spans="1:9" x14ac:dyDescent="0.3">
      <c r="A2064" s="5">
        <v>44631</v>
      </c>
      <c r="B2064">
        <v>47.150002000000001</v>
      </c>
      <c r="C2064">
        <v>47.279998999999997</v>
      </c>
      <c r="D2064">
        <v>45.77</v>
      </c>
      <c r="E2064">
        <v>45.830002</v>
      </c>
      <c r="F2064">
        <v>43.276336999999998</v>
      </c>
      <c r="G2064">
        <v>27082100</v>
      </c>
      <c r="I2064">
        <f t="shared" si="33"/>
        <v>1.2467733758780332E-4</v>
      </c>
    </row>
    <row r="2065" spans="1:9" x14ac:dyDescent="0.3">
      <c r="A2065" s="5">
        <v>44634</v>
      </c>
      <c r="B2065">
        <v>45.900002000000001</v>
      </c>
      <c r="C2065">
        <v>45.98</v>
      </c>
      <c r="D2065">
        <v>44.299999</v>
      </c>
      <c r="E2065">
        <v>44.400002000000001</v>
      </c>
      <c r="F2065">
        <v>41.926025000000003</v>
      </c>
      <c r="G2065">
        <v>35993900</v>
      </c>
      <c r="I2065">
        <f t="shared" si="33"/>
        <v>1.4089367227505266E-4</v>
      </c>
    </row>
    <row r="2066" spans="1:9" x14ac:dyDescent="0.3">
      <c r="A2066" s="5">
        <v>44635</v>
      </c>
      <c r="B2066">
        <v>44.5</v>
      </c>
      <c r="C2066">
        <v>44.900002000000001</v>
      </c>
      <c r="D2066">
        <v>44.07</v>
      </c>
      <c r="E2066">
        <v>44.810001</v>
      </c>
      <c r="F2066">
        <v>42.313167999999997</v>
      </c>
      <c r="G2066">
        <v>34448900</v>
      </c>
      <c r="I2066">
        <f t="shared" si="33"/>
        <v>1.7964548893030101E-4</v>
      </c>
    </row>
    <row r="2067" spans="1:9" x14ac:dyDescent="0.3">
      <c r="A2067" s="5">
        <v>44636</v>
      </c>
      <c r="B2067">
        <v>45.299999</v>
      </c>
      <c r="C2067">
        <v>46.630001</v>
      </c>
      <c r="D2067">
        <v>45.27</v>
      </c>
      <c r="E2067">
        <v>46.630001</v>
      </c>
      <c r="F2067">
        <v>44.031765</v>
      </c>
      <c r="G2067">
        <v>38885500</v>
      </c>
      <c r="I2067">
        <f t="shared" si="33"/>
        <v>1.9608205084224674E-5</v>
      </c>
    </row>
    <row r="2068" spans="1:9" x14ac:dyDescent="0.3">
      <c r="A2068" s="5">
        <v>44637</v>
      </c>
      <c r="B2068">
        <v>46.32</v>
      </c>
      <c r="C2068">
        <v>47.290000999999997</v>
      </c>
      <c r="D2068">
        <v>45.73</v>
      </c>
      <c r="E2068">
        <v>47.139999000000003</v>
      </c>
      <c r="F2068">
        <v>44.513343999999996</v>
      </c>
      <c r="G2068">
        <v>28555000</v>
      </c>
      <c r="I2068">
        <f t="shared" si="33"/>
        <v>4.5513138798955742E-4</v>
      </c>
    </row>
    <row r="2069" spans="1:9" x14ac:dyDescent="0.3">
      <c r="A2069" s="5">
        <v>44638</v>
      </c>
      <c r="B2069">
        <v>46.82</v>
      </c>
      <c r="C2069">
        <v>47.599997999999999</v>
      </c>
      <c r="D2069">
        <v>46.349997999999999</v>
      </c>
      <c r="E2069">
        <v>47.450001</v>
      </c>
      <c r="F2069">
        <v>44.806072</v>
      </c>
      <c r="G2069">
        <v>46237100</v>
      </c>
      <c r="I2069">
        <f t="shared" si="33"/>
        <v>2.8879259825898078E-4</v>
      </c>
    </row>
    <row r="2070" spans="1:9" x14ac:dyDescent="0.3">
      <c r="A2070" s="5">
        <v>44641</v>
      </c>
      <c r="B2070">
        <v>47.459999000000003</v>
      </c>
      <c r="C2070">
        <v>47.889999000000003</v>
      </c>
      <c r="D2070">
        <v>47.07</v>
      </c>
      <c r="E2070">
        <v>47.389999000000003</v>
      </c>
      <c r="F2070">
        <v>44.749412999999997</v>
      </c>
      <c r="G2070">
        <v>32910900</v>
      </c>
      <c r="I2070">
        <f t="shared" si="33"/>
        <v>1.5056961496572331E-4</v>
      </c>
    </row>
    <row r="2071" spans="1:9" x14ac:dyDescent="0.3">
      <c r="A2071" s="5">
        <v>44642</v>
      </c>
      <c r="B2071">
        <v>47.5</v>
      </c>
      <c r="C2071">
        <v>48.470001000000003</v>
      </c>
      <c r="D2071">
        <v>47.400002000000001</v>
      </c>
      <c r="E2071">
        <v>48.389999000000003</v>
      </c>
      <c r="F2071">
        <v>45.693691000000001</v>
      </c>
      <c r="G2071">
        <v>27923300</v>
      </c>
      <c r="I2071">
        <f t="shared" si="33"/>
        <v>7.6956623313777342E-5</v>
      </c>
    </row>
    <row r="2072" spans="1:9" x14ac:dyDescent="0.3">
      <c r="A2072" s="5">
        <v>44643</v>
      </c>
      <c r="B2072">
        <v>48.459999000000003</v>
      </c>
      <c r="C2072">
        <v>49.580002</v>
      </c>
      <c r="D2072">
        <v>48.060001</v>
      </c>
      <c r="E2072">
        <v>48.27</v>
      </c>
      <c r="F2072">
        <v>45.580382999999998</v>
      </c>
      <c r="G2072">
        <v>37126400</v>
      </c>
      <c r="I2072">
        <f t="shared" si="33"/>
        <v>6.4796910235139708E-4</v>
      </c>
    </row>
    <row r="2073" spans="1:9" x14ac:dyDescent="0.3">
      <c r="A2073" s="5">
        <v>44644</v>
      </c>
      <c r="B2073">
        <v>48.66</v>
      </c>
      <c r="C2073">
        <v>51.650002000000001</v>
      </c>
      <c r="D2073">
        <v>48.59</v>
      </c>
      <c r="E2073">
        <v>51.619999</v>
      </c>
      <c r="F2073">
        <v>48.743716999999997</v>
      </c>
      <c r="G2073">
        <v>51677900</v>
      </c>
      <c r="I2073">
        <f t="shared" si="33"/>
        <v>1.2173304191135534E-4</v>
      </c>
    </row>
    <row r="2074" spans="1:9" x14ac:dyDescent="0.3">
      <c r="A2074" s="5">
        <v>44645</v>
      </c>
      <c r="B2074">
        <v>50.689999</v>
      </c>
      <c r="C2074">
        <v>51.98</v>
      </c>
      <c r="D2074">
        <v>50.450001</v>
      </c>
      <c r="E2074">
        <v>51.830002</v>
      </c>
      <c r="F2074">
        <v>48.942019999999999</v>
      </c>
      <c r="G2074">
        <v>33239800</v>
      </c>
      <c r="I2074">
        <f t="shared" si="33"/>
        <v>2.0069714955446637E-4</v>
      </c>
    </row>
    <row r="2075" spans="1:9" x14ac:dyDescent="0.3">
      <c r="A2075" s="5">
        <v>44648</v>
      </c>
      <c r="B2075">
        <v>51.360000999999997</v>
      </c>
      <c r="C2075">
        <v>51.57</v>
      </c>
      <c r="D2075">
        <v>50.560001</v>
      </c>
      <c r="E2075">
        <v>51.509998000000003</v>
      </c>
      <c r="F2075">
        <v>48.639847000000003</v>
      </c>
      <c r="G2075">
        <v>22932400</v>
      </c>
      <c r="I2075">
        <f t="shared" si="33"/>
        <v>2.9698799842506736E-4</v>
      </c>
    </row>
    <row r="2076" spans="1:9" x14ac:dyDescent="0.3">
      <c r="A2076" s="5">
        <v>44649</v>
      </c>
      <c r="B2076">
        <v>52</v>
      </c>
      <c r="C2076">
        <v>52.290000999999997</v>
      </c>
      <c r="D2076">
        <v>51.279998999999997</v>
      </c>
      <c r="E2076">
        <v>52.25</v>
      </c>
      <c r="F2076">
        <v>49.338611999999998</v>
      </c>
      <c r="G2076">
        <v>27303700</v>
      </c>
      <c r="I2076">
        <f t="shared" si="33"/>
        <v>2.6553388897965154E-4</v>
      </c>
    </row>
    <row r="2077" spans="1:9" x14ac:dyDescent="0.3">
      <c r="A2077" s="5">
        <v>44650</v>
      </c>
      <c r="B2077">
        <v>52.25</v>
      </c>
      <c r="C2077">
        <v>52.509998000000003</v>
      </c>
      <c r="D2077">
        <v>51.220001000000003</v>
      </c>
      <c r="E2077">
        <v>51.43</v>
      </c>
      <c r="F2077">
        <v>48.564307999999997</v>
      </c>
      <c r="G2077">
        <v>24623300</v>
      </c>
      <c r="I2077">
        <f t="shared" si="33"/>
        <v>1.8461733066261904E-4</v>
      </c>
    </row>
    <row r="2078" spans="1:9" x14ac:dyDescent="0.3">
      <c r="A2078" s="5">
        <v>44651</v>
      </c>
      <c r="B2078">
        <v>51.200001</v>
      </c>
      <c r="C2078">
        <v>51.259998000000003</v>
      </c>
      <c r="D2078">
        <v>49.509998000000003</v>
      </c>
      <c r="E2078">
        <v>49.560001</v>
      </c>
      <c r="F2078">
        <v>46.798499999999997</v>
      </c>
      <c r="G2078">
        <v>43698300</v>
      </c>
      <c r="I2078">
        <f t="shared" si="33"/>
        <v>7.3380293120868918E-5</v>
      </c>
    </row>
    <row r="2079" spans="1:9" x14ac:dyDescent="0.3">
      <c r="A2079" s="5">
        <v>44652</v>
      </c>
      <c r="B2079">
        <v>49.830002</v>
      </c>
      <c r="C2079">
        <v>49.900002000000001</v>
      </c>
      <c r="D2079">
        <v>47.330002</v>
      </c>
      <c r="E2079">
        <v>48.110000999999997</v>
      </c>
      <c r="F2079">
        <v>45.429298000000003</v>
      </c>
      <c r="G2079">
        <v>46598600</v>
      </c>
      <c r="I2079">
        <f t="shared" si="33"/>
        <v>8.9264135195163082E-4</v>
      </c>
    </row>
    <row r="2080" spans="1:9" x14ac:dyDescent="0.3">
      <c r="A2080" s="5">
        <v>44655</v>
      </c>
      <c r="B2080">
        <v>48.169998</v>
      </c>
      <c r="C2080">
        <v>49.23</v>
      </c>
      <c r="D2080">
        <v>47.919998</v>
      </c>
      <c r="E2080">
        <v>49.200001</v>
      </c>
      <c r="F2080">
        <v>46.458565</v>
      </c>
      <c r="G2080">
        <v>23784900</v>
      </c>
      <c r="I2080">
        <f t="shared" si="33"/>
        <v>1.5043515983578356E-4</v>
      </c>
    </row>
    <row r="2081" spans="1:9" x14ac:dyDescent="0.3">
      <c r="A2081" s="5">
        <v>44656</v>
      </c>
      <c r="B2081">
        <v>48.830002</v>
      </c>
      <c r="C2081">
        <v>48.98</v>
      </c>
      <c r="D2081">
        <v>48.02</v>
      </c>
      <c r="E2081">
        <v>48.130001</v>
      </c>
      <c r="F2081">
        <v>45.448180999999998</v>
      </c>
      <c r="G2081">
        <v>25779200</v>
      </c>
      <c r="I2081">
        <f t="shared" si="33"/>
        <v>9.1968309224892922E-5</v>
      </c>
    </row>
    <row r="2082" spans="1:9" x14ac:dyDescent="0.3">
      <c r="A2082" s="5">
        <v>44657</v>
      </c>
      <c r="B2082">
        <v>47.439999</v>
      </c>
      <c r="C2082">
        <v>48.169998</v>
      </c>
      <c r="D2082">
        <v>47.240001999999997</v>
      </c>
      <c r="E2082">
        <v>47.540000999999997</v>
      </c>
      <c r="F2082">
        <v>44.891055999999999</v>
      </c>
      <c r="G2082">
        <v>31518700</v>
      </c>
      <c r="I2082">
        <f t="shared" si="33"/>
        <v>2.2778071120445288E-4</v>
      </c>
    </row>
    <row r="2083" spans="1:9" x14ac:dyDescent="0.3">
      <c r="A2083" s="5">
        <v>44658</v>
      </c>
      <c r="B2083">
        <v>47.43</v>
      </c>
      <c r="C2083">
        <v>47.91</v>
      </c>
      <c r="D2083">
        <v>46.77</v>
      </c>
      <c r="E2083">
        <v>47.560001</v>
      </c>
      <c r="F2083">
        <v>44.909945999999998</v>
      </c>
      <c r="G2083">
        <v>24117000</v>
      </c>
      <c r="I2083">
        <f t="shared" si="33"/>
        <v>3.0854869337424627E-4</v>
      </c>
    </row>
    <row r="2084" spans="1:9" x14ac:dyDescent="0.3">
      <c r="A2084" s="5">
        <v>44659</v>
      </c>
      <c r="B2084">
        <v>47.279998999999997</v>
      </c>
      <c r="C2084">
        <v>47.580002</v>
      </c>
      <c r="D2084">
        <v>46.849997999999999</v>
      </c>
      <c r="E2084">
        <v>47.02</v>
      </c>
      <c r="F2084">
        <v>44.400024000000002</v>
      </c>
      <c r="G2084">
        <v>22167300</v>
      </c>
      <c r="I2084">
        <f t="shared" si="33"/>
        <v>1.0797986426103391E-4</v>
      </c>
    </row>
    <row r="2085" spans="1:9" x14ac:dyDescent="0.3">
      <c r="A2085" s="5">
        <v>44662</v>
      </c>
      <c r="B2085">
        <v>46.900002000000001</v>
      </c>
      <c r="C2085">
        <v>47.299999</v>
      </c>
      <c r="D2085">
        <v>46.529998999999997</v>
      </c>
      <c r="E2085">
        <v>46.57</v>
      </c>
      <c r="F2085">
        <v>43.975104999999999</v>
      </c>
      <c r="G2085">
        <v>30352500</v>
      </c>
      <c r="I2085">
        <f t="shared" si="33"/>
        <v>1.388969828564971E-4</v>
      </c>
    </row>
    <row r="2086" spans="1:9" x14ac:dyDescent="0.3">
      <c r="A2086" s="5">
        <v>44663</v>
      </c>
      <c r="B2086">
        <v>47.32</v>
      </c>
      <c r="C2086">
        <v>47.91</v>
      </c>
      <c r="D2086">
        <v>46.41</v>
      </c>
      <c r="E2086">
        <v>46.5</v>
      </c>
      <c r="F2086">
        <v>43.909004000000003</v>
      </c>
      <c r="G2086">
        <v>29861400</v>
      </c>
      <c r="I2086">
        <f t="shared" si="33"/>
        <v>4.0776932392500042E-4</v>
      </c>
    </row>
    <row r="2087" spans="1:9" x14ac:dyDescent="0.3">
      <c r="A2087" s="5">
        <v>44664</v>
      </c>
      <c r="B2087">
        <v>46.75</v>
      </c>
      <c r="C2087">
        <v>47.27</v>
      </c>
      <c r="D2087">
        <v>46.549999</v>
      </c>
      <c r="E2087">
        <v>47.009998000000003</v>
      </c>
      <c r="F2087">
        <v>44.390586999999996</v>
      </c>
      <c r="G2087">
        <v>22171300</v>
      </c>
      <c r="I2087">
        <f t="shared" si="33"/>
        <v>1.0316879583935039E-4</v>
      </c>
    </row>
    <row r="2088" spans="1:9" x14ac:dyDescent="0.3">
      <c r="A2088" s="5">
        <v>44665</v>
      </c>
      <c r="B2088">
        <v>46.75</v>
      </c>
      <c r="C2088">
        <v>46.75</v>
      </c>
      <c r="D2088">
        <v>45.619999</v>
      </c>
      <c r="E2088">
        <v>45.669998</v>
      </c>
      <c r="F2088">
        <v>43.125252000000003</v>
      </c>
      <c r="G2088">
        <v>36181800</v>
      </c>
      <c r="I2088">
        <f t="shared" si="33"/>
        <v>2.6802031644225745E-5</v>
      </c>
    </row>
    <row r="2089" spans="1:9" x14ac:dyDescent="0.3">
      <c r="A2089" s="5">
        <v>44669</v>
      </c>
      <c r="B2089">
        <v>45.529998999999997</v>
      </c>
      <c r="C2089">
        <v>46.889999000000003</v>
      </c>
      <c r="D2089">
        <v>45.52</v>
      </c>
      <c r="E2089">
        <v>46.639999000000003</v>
      </c>
      <c r="F2089">
        <v>44.041206000000003</v>
      </c>
      <c r="G2089">
        <v>25593100</v>
      </c>
      <c r="I2089">
        <f t="shared" si="33"/>
        <v>1.6268420263637886E-4</v>
      </c>
    </row>
    <row r="2090" spans="1:9" x14ac:dyDescent="0.3">
      <c r="A2090" s="5">
        <v>44670</v>
      </c>
      <c r="B2090">
        <v>46.599997999999999</v>
      </c>
      <c r="C2090">
        <v>48</v>
      </c>
      <c r="D2090">
        <v>46.34</v>
      </c>
      <c r="E2090">
        <v>47.93</v>
      </c>
      <c r="F2090">
        <v>45.259326999999999</v>
      </c>
      <c r="G2090">
        <v>31483100</v>
      </c>
      <c r="I2090">
        <f t="shared" si="33"/>
        <v>2.3195166667760311E-4</v>
      </c>
    </row>
    <row r="2091" spans="1:9" x14ac:dyDescent="0.3">
      <c r="A2091" s="5">
        <v>44671</v>
      </c>
      <c r="B2091">
        <v>48.360000999999997</v>
      </c>
      <c r="C2091">
        <v>48.75</v>
      </c>
      <c r="D2091">
        <v>47.98</v>
      </c>
      <c r="E2091">
        <v>48.110000999999997</v>
      </c>
      <c r="F2091">
        <v>45.429298000000003</v>
      </c>
      <c r="G2091">
        <v>22787100</v>
      </c>
      <c r="I2091">
        <f t="shared" si="33"/>
        <v>1.274914830529903E-4</v>
      </c>
    </row>
    <row r="2092" spans="1:9" x14ac:dyDescent="0.3">
      <c r="A2092" s="5">
        <v>44672</v>
      </c>
      <c r="B2092">
        <v>48.619999</v>
      </c>
      <c r="C2092">
        <v>48.900002000000001</v>
      </c>
      <c r="D2092">
        <v>47.400002000000001</v>
      </c>
      <c r="E2092">
        <v>47.5</v>
      </c>
      <c r="F2092">
        <v>44.853287000000002</v>
      </c>
      <c r="G2092">
        <v>27316900</v>
      </c>
      <c r="I2092">
        <f t="shared" si="33"/>
        <v>2.2036194734430627E-4</v>
      </c>
    </row>
    <row r="2093" spans="1:9" x14ac:dyDescent="0.3">
      <c r="A2093" s="5">
        <v>44673</v>
      </c>
      <c r="B2093">
        <v>47.450001</v>
      </c>
      <c r="C2093">
        <v>47.650002000000001</v>
      </c>
      <c r="D2093">
        <v>46.5</v>
      </c>
      <c r="E2093">
        <v>46.540000999999997</v>
      </c>
      <c r="F2093">
        <v>43.946776999999997</v>
      </c>
      <c r="G2093">
        <v>28219900</v>
      </c>
      <c r="I2093">
        <f t="shared" si="33"/>
        <v>1.1653060718695306E-4</v>
      </c>
    </row>
    <row r="2094" spans="1:9" x14ac:dyDescent="0.3">
      <c r="A2094" s="5">
        <v>44676</v>
      </c>
      <c r="B2094">
        <v>46.209999000000003</v>
      </c>
      <c r="C2094">
        <v>47.139999000000003</v>
      </c>
      <c r="D2094">
        <v>46.18</v>
      </c>
      <c r="E2094">
        <v>47.060001</v>
      </c>
      <c r="F2094">
        <v>44.437809000000001</v>
      </c>
      <c r="G2094">
        <v>35999300</v>
      </c>
      <c r="I2094">
        <f t="shared" si="33"/>
        <v>4.6101644220867222E-5</v>
      </c>
    </row>
    <row r="2095" spans="1:9" x14ac:dyDescent="0.3">
      <c r="A2095" s="5">
        <v>44677</v>
      </c>
      <c r="B2095">
        <v>46.689999</v>
      </c>
      <c r="C2095">
        <v>46.84</v>
      </c>
      <c r="D2095">
        <v>45.509998000000003</v>
      </c>
      <c r="E2095">
        <v>45.52</v>
      </c>
      <c r="F2095">
        <v>42.983607999999997</v>
      </c>
      <c r="G2095">
        <v>35356600</v>
      </c>
      <c r="I2095">
        <f t="shared" si="33"/>
        <v>9.7315446044579133E-5</v>
      </c>
    </row>
    <row r="2096" spans="1:9" x14ac:dyDescent="0.3">
      <c r="A2096" s="5">
        <v>44678</v>
      </c>
      <c r="B2096">
        <v>45.48</v>
      </c>
      <c r="C2096">
        <v>46.060001</v>
      </c>
      <c r="D2096">
        <v>45.009998000000003</v>
      </c>
      <c r="E2096">
        <v>45.220001000000003</v>
      </c>
      <c r="F2096">
        <v>42.700333000000001</v>
      </c>
      <c r="G2096">
        <v>28320900</v>
      </c>
      <c r="I2096">
        <f t="shared" si="33"/>
        <v>2.8159278522222464E-4</v>
      </c>
    </row>
    <row r="2097" spans="1:9" x14ac:dyDescent="0.3">
      <c r="A2097" s="5">
        <v>44679</v>
      </c>
      <c r="B2097">
        <v>45.790000999999997</v>
      </c>
      <c r="C2097">
        <v>47.27</v>
      </c>
      <c r="D2097">
        <v>45.540000999999997</v>
      </c>
      <c r="E2097">
        <v>46.84</v>
      </c>
      <c r="F2097">
        <v>44.230060999999999</v>
      </c>
      <c r="G2097">
        <v>41097000</v>
      </c>
      <c r="I2097">
        <f t="shared" si="33"/>
        <v>4.4478284024991165E-4</v>
      </c>
    </row>
    <row r="2098" spans="1:9" x14ac:dyDescent="0.3">
      <c r="A2098" s="5">
        <v>44680</v>
      </c>
      <c r="B2098">
        <v>44.990001999999997</v>
      </c>
      <c r="C2098">
        <v>45.360000999999997</v>
      </c>
      <c r="D2098">
        <v>43.5</v>
      </c>
      <c r="E2098">
        <v>43.59</v>
      </c>
      <c r="F2098">
        <v>41.161152000000001</v>
      </c>
      <c r="G2098">
        <v>70765900</v>
      </c>
      <c r="I2098">
        <f t="shared" si="33"/>
        <v>3.9561099146401453E-4</v>
      </c>
    </row>
    <row r="2099" spans="1:9" x14ac:dyDescent="0.3">
      <c r="A2099" s="5">
        <v>44683</v>
      </c>
      <c r="B2099">
        <v>43.720001000000003</v>
      </c>
      <c r="C2099">
        <v>44.990001999999997</v>
      </c>
      <c r="D2099">
        <v>43.509998000000003</v>
      </c>
      <c r="E2099">
        <v>44.959999000000003</v>
      </c>
      <c r="F2099">
        <v>42.454810999999999</v>
      </c>
      <c r="G2099">
        <v>45446500</v>
      </c>
      <c r="I2099">
        <f t="shared" si="33"/>
        <v>1.7694755152472899E-4</v>
      </c>
    </row>
    <row r="2100" spans="1:9" x14ac:dyDescent="0.3">
      <c r="A2100" s="5">
        <v>44684</v>
      </c>
      <c r="B2100">
        <v>44.790000999999997</v>
      </c>
      <c r="C2100">
        <v>45.490001999999997</v>
      </c>
      <c r="D2100">
        <v>44.23</v>
      </c>
      <c r="E2100">
        <v>45.060001</v>
      </c>
      <c r="F2100">
        <v>42.549239999999998</v>
      </c>
      <c r="G2100">
        <v>40158400</v>
      </c>
      <c r="I2100">
        <f t="shared" si="33"/>
        <v>3.8119898614496177E-4</v>
      </c>
    </row>
    <row r="2101" spans="1:9" x14ac:dyDescent="0.3">
      <c r="A2101" s="5">
        <v>44685</v>
      </c>
      <c r="B2101">
        <v>45.060001</v>
      </c>
      <c r="C2101">
        <v>46.639999000000003</v>
      </c>
      <c r="D2101">
        <v>44.41</v>
      </c>
      <c r="E2101">
        <v>46.540000999999997</v>
      </c>
      <c r="F2101">
        <v>43.946776999999997</v>
      </c>
      <c r="G2101">
        <v>44625600</v>
      </c>
      <c r="I2101">
        <f t="shared" si="33"/>
        <v>7.5467837561142266E-4</v>
      </c>
    </row>
    <row r="2102" spans="1:9" x14ac:dyDescent="0.3">
      <c r="A2102" s="5">
        <v>44686</v>
      </c>
      <c r="B2102">
        <v>45.599997999999999</v>
      </c>
      <c r="C2102">
        <v>45.91</v>
      </c>
      <c r="D2102">
        <v>44.130001</v>
      </c>
      <c r="E2102">
        <v>44.599997999999999</v>
      </c>
      <c r="F2102">
        <v>42.447780999999999</v>
      </c>
      <c r="G2102">
        <v>52996700</v>
      </c>
      <c r="I2102">
        <f t="shared" si="33"/>
        <v>5.4328003461085318E-4</v>
      </c>
    </row>
    <row r="2103" spans="1:9" x14ac:dyDescent="0.3">
      <c r="A2103" s="5">
        <v>44687</v>
      </c>
      <c r="B2103">
        <v>44.490001999999997</v>
      </c>
      <c r="C2103">
        <v>45.150002000000001</v>
      </c>
      <c r="D2103">
        <v>43.84</v>
      </c>
      <c r="E2103">
        <v>44.299999</v>
      </c>
      <c r="F2103">
        <v>42.162253999999997</v>
      </c>
      <c r="G2103">
        <v>40916600</v>
      </c>
      <c r="I2103">
        <f t="shared" si="33"/>
        <v>4.334994067636345E-4</v>
      </c>
    </row>
    <row r="2104" spans="1:9" x14ac:dyDescent="0.3">
      <c r="A2104" s="5">
        <v>44690</v>
      </c>
      <c r="B2104">
        <v>43.810001</v>
      </c>
      <c r="C2104">
        <v>44.200001</v>
      </c>
      <c r="D2104">
        <v>42.869999</v>
      </c>
      <c r="E2104">
        <v>43.07</v>
      </c>
      <c r="F2104">
        <v>40.991610999999999</v>
      </c>
      <c r="G2104">
        <v>44925800</v>
      </c>
      <c r="I2104">
        <f t="shared" si="33"/>
        <v>3.3048109263338055E-4</v>
      </c>
    </row>
    <row r="2105" spans="1:9" x14ac:dyDescent="0.3">
      <c r="A2105" s="5">
        <v>44691</v>
      </c>
      <c r="B2105">
        <v>44.349997999999999</v>
      </c>
      <c r="C2105">
        <v>44.740001999999997</v>
      </c>
      <c r="D2105">
        <v>43.5</v>
      </c>
      <c r="E2105">
        <v>44.009998000000003</v>
      </c>
      <c r="F2105">
        <v>41.886249999999997</v>
      </c>
      <c r="G2105">
        <v>42770000</v>
      </c>
      <c r="I2105">
        <f t="shared" si="33"/>
        <v>3.6959722418106541E-4</v>
      </c>
    </row>
    <row r="2106" spans="1:9" x14ac:dyDescent="0.3">
      <c r="A2106" s="5">
        <v>44692</v>
      </c>
      <c r="B2106">
        <v>44.02</v>
      </c>
      <c r="C2106">
        <v>44.290000999999997</v>
      </c>
      <c r="D2106">
        <v>42.779998999999997</v>
      </c>
      <c r="E2106">
        <v>42.830002</v>
      </c>
      <c r="F2106">
        <v>40.763187000000002</v>
      </c>
      <c r="G2106">
        <v>40351700</v>
      </c>
      <c r="I2106">
        <f t="shared" si="33"/>
        <v>2.3834912226752689E-4</v>
      </c>
    </row>
    <row r="2107" spans="1:9" x14ac:dyDescent="0.3">
      <c r="A2107" s="5">
        <v>44693</v>
      </c>
      <c r="B2107">
        <v>42.73</v>
      </c>
      <c r="C2107">
        <v>42.91</v>
      </c>
      <c r="D2107">
        <v>42.009998000000003</v>
      </c>
      <c r="E2107">
        <v>42.84</v>
      </c>
      <c r="F2107">
        <v>40.772713000000003</v>
      </c>
      <c r="G2107">
        <v>42329600</v>
      </c>
      <c r="I2107">
        <f t="shared" si="33"/>
        <v>3.3933646149684202E-4</v>
      </c>
    </row>
    <row r="2108" spans="1:9" x14ac:dyDescent="0.3">
      <c r="A2108" s="5">
        <v>44694</v>
      </c>
      <c r="B2108">
        <v>43.419998</v>
      </c>
      <c r="C2108">
        <v>43.84</v>
      </c>
      <c r="D2108">
        <v>42.970001000000003</v>
      </c>
      <c r="E2108">
        <v>43.599997999999999</v>
      </c>
      <c r="F2108">
        <v>41.496032999999997</v>
      </c>
      <c r="G2108">
        <v>32034100</v>
      </c>
      <c r="I2108">
        <f t="shared" si="33"/>
        <v>2.0447645334912803E-4</v>
      </c>
    </row>
    <row r="2109" spans="1:9" x14ac:dyDescent="0.3">
      <c r="A2109" s="5">
        <v>44697</v>
      </c>
      <c r="B2109">
        <v>43.419998</v>
      </c>
      <c r="C2109">
        <v>43.610000999999997</v>
      </c>
      <c r="D2109">
        <v>42.790000999999997</v>
      </c>
      <c r="E2109">
        <v>43.080002</v>
      </c>
      <c r="F2109">
        <v>41.001137</v>
      </c>
      <c r="G2109">
        <v>25071900</v>
      </c>
      <c r="I2109">
        <f t="shared" si="33"/>
        <v>1.5211115418104192E-4</v>
      </c>
    </row>
    <row r="2110" spans="1:9" x14ac:dyDescent="0.3">
      <c r="A2110" s="5">
        <v>44698</v>
      </c>
      <c r="B2110">
        <v>43.82</v>
      </c>
      <c r="C2110">
        <v>44.419998</v>
      </c>
      <c r="D2110">
        <v>43.650002000000001</v>
      </c>
      <c r="E2110">
        <v>44.400002000000001</v>
      </c>
      <c r="F2110">
        <v>42.257435000000001</v>
      </c>
      <c r="G2110">
        <v>28596600</v>
      </c>
      <c r="I2110">
        <f t="shared" si="33"/>
        <v>7.2343029099798019E-5</v>
      </c>
    </row>
    <row r="2111" spans="1:9" x14ac:dyDescent="0.3">
      <c r="A2111" s="5">
        <v>44699</v>
      </c>
      <c r="B2111">
        <v>43.98</v>
      </c>
      <c r="C2111">
        <v>43.98</v>
      </c>
      <c r="D2111">
        <v>42.220001000000003</v>
      </c>
      <c r="E2111">
        <v>42.349997999999999</v>
      </c>
      <c r="F2111">
        <v>40.306358000000003</v>
      </c>
      <c r="G2111">
        <v>35218400</v>
      </c>
      <c r="I2111">
        <f t="shared" si="33"/>
        <v>1.2555755455472616E-4</v>
      </c>
    </row>
    <row r="2112" spans="1:9" x14ac:dyDescent="0.3">
      <c r="A2112" s="5">
        <v>44700</v>
      </c>
      <c r="B2112">
        <v>42.32</v>
      </c>
      <c r="C2112">
        <v>42.700001</v>
      </c>
      <c r="D2112">
        <v>41.720001000000003</v>
      </c>
      <c r="E2112">
        <v>42.009998000000003</v>
      </c>
      <c r="F2112">
        <v>39.982761000000004</v>
      </c>
      <c r="G2112">
        <v>29181000</v>
      </c>
      <c r="I2112">
        <f t="shared" si="33"/>
        <v>2.4454184957009621E-4</v>
      </c>
    </row>
    <row r="2113" spans="1:9" x14ac:dyDescent="0.3">
      <c r="A2113" s="5">
        <v>44701</v>
      </c>
      <c r="B2113">
        <v>42.25</v>
      </c>
      <c r="C2113">
        <v>42.290000999999997</v>
      </c>
      <c r="D2113">
        <v>40.310001</v>
      </c>
      <c r="E2113">
        <v>41.650002000000001</v>
      </c>
      <c r="F2113">
        <v>39.640137000000003</v>
      </c>
      <c r="G2113">
        <v>44802300</v>
      </c>
      <c r="I2113">
        <f t="shared" si="33"/>
        <v>1.5515713838751767E-3</v>
      </c>
    </row>
    <row r="2114" spans="1:9" x14ac:dyDescent="0.3">
      <c r="A2114" s="5">
        <v>44704</v>
      </c>
      <c r="B2114">
        <v>41.689999</v>
      </c>
      <c r="C2114">
        <v>42.25</v>
      </c>
      <c r="D2114">
        <v>41.330002</v>
      </c>
      <c r="E2114">
        <v>42</v>
      </c>
      <c r="F2114">
        <v>39.973244000000001</v>
      </c>
      <c r="G2114">
        <v>27199500</v>
      </c>
      <c r="I2114">
        <f t="shared" si="33"/>
        <v>2.186511130663857E-4</v>
      </c>
    </row>
    <row r="2115" spans="1:9" x14ac:dyDescent="0.3">
      <c r="A2115" s="5">
        <v>44705</v>
      </c>
      <c r="B2115">
        <v>41.700001</v>
      </c>
      <c r="C2115">
        <v>41.889999000000003</v>
      </c>
      <c r="D2115">
        <v>41.099997999999999</v>
      </c>
      <c r="E2115">
        <v>41.669998</v>
      </c>
      <c r="F2115">
        <v>39.659168000000001</v>
      </c>
      <c r="G2115">
        <v>29837500</v>
      </c>
      <c r="I2115">
        <f t="shared" si="33"/>
        <v>2.2355560918077712E-4</v>
      </c>
    </row>
    <row r="2116" spans="1:9" x14ac:dyDescent="0.3">
      <c r="A2116" s="5">
        <v>44706</v>
      </c>
      <c r="B2116">
        <v>41.439999</v>
      </c>
      <c r="C2116">
        <v>42.52</v>
      </c>
      <c r="D2116">
        <v>41.389999000000003</v>
      </c>
      <c r="E2116">
        <v>42.200001</v>
      </c>
      <c r="F2116">
        <v>40.163601</v>
      </c>
      <c r="G2116">
        <v>26283100</v>
      </c>
      <c r="I2116">
        <f t="shared" si="33"/>
        <v>2.1775558744314922E-4</v>
      </c>
    </row>
    <row r="2117" spans="1:9" x14ac:dyDescent="0.3">
      <c r="A2117" s="5">
        <v>44707</v>
      </c>
      <c r="B2117">
        <v>42.169998</v>
      </c>
      <c r="C2117">
        <v>43.68</v>
      </c>
      <c r="D2117">
        <v>42.080002</v>
      </c>
      <c r="E2117">
        <v>43.48</v>
      </c>
      <c r="F2117">
        <v>41.381827999999999</v>
      </c>
      <c r="G2117">
        <v>28826700</v>
      </c>
      <c r="I2117">
        <f t="shared" si="33"/>
        <v>2.3137770269530077E-4</v>
      </c>
    </row>
    <row r="2118" spans="1:9" x14ac:dyDescent="0.3">
      <c r="A2118" s="5">
        <v>44708</v>
      </c>
      <c r="B2118">
        <v>43.59</v>
      </c>
      <c r="C2118">
        <v>44.549999</v>
      </c>
      <c r="D2118">
        <v>43.549999</v>
      </c>
      <c r="E2118">
        <v>44.549999</v>
      </c>
      <c r="F2118">
        <v>42.400191999999997</v>
      </c>
      <c r="G2118">
        <v>30553300</v>
      </c>
      <c r="I2118">
        <f t="shared" si="33"/>
        <v>2.0842800596933649E-5</v>
      </c>
    </row>
    <row r="2119" spans="1:9" x14ac:dyDescent="0.3">
      <c r="A2119" s="5">
        <v>44712</v>
      </c>
      <c r="B2119">
        <v>44.25</v>
      </c>
      <c r="C2119">
        <v>44.75</v>
      </c>
      <c r="D2119">
        <v>43.650002000000001</v>
      </c>
      <c r="E2119">
        <v>44.419998</v>
      </c>
      <c r="F2119">
        <v>42.276463</v>
      </c>
      <c r="G2119">
        <v>41111500</v>
      </c>
      <c r="I2119">
        <f t="shared" si="33"/>
        <v>3.2189143055709495E-4</v>
      </c>
    </row>
    <row r="2120" spans="1:9" x14ac:dyDescent="0.3">
      <c r="A2120" s="5">
        <v>44713</v>
      </c>
      <c r="B2120">
        <v>44.77</v>
      </c>
      <c r="C2120">
        <v>44.93</v>
      </c>
      <c r="D2120">
        <v>43.529998999999997</v>
      </c>
      <c r="E2120">
        <v>44.110000999999997</v>
      </c>
      <c r="F2120">
        <v>41.981430000000003</v>
      </c>
      <c r="G2120">
        <v>29885500</v>
      </c>
      <c r="I2120">
        <f t="shared" si="33"/>
        <v>4.3748724621936539E-4</v>
      </c>
    </row>
    <row r="2121" spans="1:9" x14ac:dyDescent="0.3">
      <c r="A2121" s="5">
        <v>44714</v>
      </c>
      <c r="B2121">
        <v>44.189999</v>
      </c>
      <c r="C2121">
        <v>44.880001</v>
      </c>
      <c r="D2121">
        <v>43.939999</v>
      </c>
      <c r="E2121">
        <v>44.84</v>
      </c>
      <c r="F2121">
        <v>42.676197000000002</v>
      </c>
      <c r="G2121">
        <v>28727600</v>
      </c>
      <c r="I2121">
        <f t="shared" si="33"/>
        <v>1.2884797078284056E-4</v>
      </c>
    </row>
    <row r="2122" spans="1:9" x14ac:dyDescent="0.3">
      <c r="A2122" s="5">
        <v>44715</v>
      </c>
      <c r="B2122">
        <v>44.110000999999997</v>
      </c>
      <c r="C2122">
        <v>44.25</v>
      </c>
      <c r="D2122">
        <v>43.34</v>
      </c>
      <c r="E2122">
        <v>43.389999000000003</v>
      </c>
      <c r="F2122">
        <v>41.296173000000003</v>
      </c>
      <c r="G2122">
        <v>33174700</v>
      </c>
      <c r="I2122">
        <f t="shared" si="33"/>
        <v>8.2497412605282372E-5</v>
      </c>
    </row>
    <row r="2123" spans="1:9" x14ac:dyDescent="0.3">
      <c r="A2123" s="5">
        <v>44718</v>
      </c>
      <c r="B2123">
        <v>43.810001</v>
      </c>
      <c r="C2123">
        <v>44.040000999999997</v>
      </c>
      <c r="D2123">
        <v>43.080002</v>
      </c>
      <c r="E2123">
        <v>43.34</v>
      </c>
      <c r="F2123">
        <v>41.248584999999999</v>
      </c>
      <c r="G2123">
        <v>25437100</v>
      </c>
      <c r="I2123">
        <f t="shared" si="33"/>
        <v>1.8500297439634814E-4</v>
      </c>
    </row>
    <row r="2124" spans="1:9" x14ac:dyDescent="0.3">
      <c r="A2124" s="5">
        <v>44719</v>
      </c>
      <c r="B2124">
        <v>43.060001</v>
      </c>
      <c r="C2124">
        <v>43.59</v>
      </c>
      <c r="D2124">
        <v>42.66</v>
      </c>
      <c r="E2124">
        <v>43.529998999999997</v>
      </c>
      <c r="F2124">
        <v>41.429412999999997</v>
      </c>
      <c r="G2124">
        <v>25168700</v>
      </c>
      <c r="I2124">
        <f t="shared" ref="I2124:I2187" si="34">LN(C2124/B2124)*(LN(C2124/B2124)-LN(E2124/B2124))+LN(D2124/B2124)*(LN(D2124/B2124)-LN(E2124/B2124))</f>
        <v>2.052668830567005E-4</v>
      </c>
    </row>
    <row r="2125" spans="1:9" x14ac:dyDescent="0.3">
      <c r="A2125" s="5">
        <v>44720</v>
      </c>
      <c r="B2125">
        <v>42.25</v>
      </c>
      <c r="C2125">
        <v>42.259998000000003</v>
      </c>
      <c r="D2125">
        <v>41.029998999999997</v>
      </c>
      <c r="E2125">
        <v>41.23</v>
      </c>
      <c r="F2125">
        <v>39.240397999999999</v>
      </c>
      <c r="G2125">
        <v>59649900</v>
      </c>
      <c r="I2125">
        <f t="shared" si="34"/>
        <v>1.4831864759987443E-4</v>
      </c>
    </row>
    <row r="2126" spans="1:9" x14ac:dyDescent="0.3">
      <c r="A2126" s="5">
        <v>44721</v>
      </c>
      <c r="B2126">
        <v>41.009998000000003</v>
      </c>
      <c r="C2126">
        <v>41.349997999999999</v>
      </c>
      <c r="D2126">
        <v>40.009998000000003</v>
      </c>
      <c r="E2126">
        <v>40.009998000000003</v>
      </c>
      <c r="F2126">
        <v>38.079268999999996</v>
      </c>
      <c r="G2126">
        <v>39047200</v>
      </c>
      <c r="I2126">
        <f t="shared" si="34"/>
        <v>2.7199330372181245E-4</v>
      </c>
    </row>
    <row r="2127" spans="1:9" x14ac:dyDescent="0.3">
      <c r="A2127" s="5">
        <v>44722</v>
      </c>
      <c r="B2127">
        <v>39.849997999999999</v>
      </c>
      <c r="C2127">
        <v>40.080002</v>
      </c>
      <c r="D2127">
        <v>39.18</v>
      </c>
      <c r="E2127">
        <v>39.18</v>
      </c>
      <c r="F2127">
        <v>37.289326000000003</v>
      </c>
      <c r="G2127">
        <v>43066200</v>
      </c>
      <c r="I2127">
        <f t="shared" si="34"/>
        <v>1.3070579054892347E-4</v>
      </c>
    </row>
    <row r="2128" spans="1:9" x14ac:dyDescent="0.3">
      <c r="A2128" s="5">
        <v>44725</v>
      </c>
      <c r="B2128">
        <v>38.549999</v>
      </c>
      <c r="C2128">
        <v>38.810001</v>
      </c>
      <c r="D2128">
        <v>37.669998</v>
      </c>
      <c r="E2128">
        <v>37.770000000000003</v>
      </c>
      <c r="F2128">
        <v>35.947372000000001</v>
      </c>
      <c r="G2128">
        <v>50335900</v>
      </c>
      <c r="I2128">
        <f t="shared" si="34"/>
        <v>2.4380683100116391E-4</v>
      </c>
    </row>
    <row r="2129" spans="1:9" x14ac:dyDescent="0.3">
      <c r="A2129" s="5">
        <v>44726</v>
      </c>
      <c r="B2129">
        <v>38.009998000000003</v>
      </c>
      <c r="C2129">
        <v>38.200001</v>
      </c>
      <c r="D2129">
        <v>37.540000999999997</v>
      </c>
      <c r="E2129">
        <v>37.93</v>
      </c>
      <c r="F2129">
        <v>36.099651000000001</v>
      </c>
      <c r="G2129">
        <v>31351700</v>
      </c>
      <c r="I2129">
        <f t="shared" si="34"/>
        <v>1.6396239497207683E-4</v>
      </c>
    </row>
    <row r="2130" spans="1:9" x14ac:dyDescent="0.3">
      <c r="A2130" s="5">
        <v>44727</v>
      </c>
      <c r="B2130">
        <v>38.560001</v>
      </c>
      <c r="C2130">
        <v>39.169998</v>
      </c>
      <c r="D2130">
        <v>37.919998</v>
      </c>
      <c r="E2130">
        <v>38.650002000000001</v>
      </c>
      <c r="F2130">
        <v>36.784908000000001</v>
      </c>
      <c r="G2130">
        <v>37652300</v>
      </c>
      <c r="I2130">
        <f t="shared" si="34"/>
        <v>5.2890228622050253E-4</v>
      </c>
    </row>
    <row r="2131" spans="1:9" x14ac:dyDescent="0.3">
      <c r="A2131" s="5">
        <v>44728</v>
      </c>
      <c r="B2131">
        <v>37.700001</v>
      </c>
      <c r="C2131">
        <v>37.790000999999997</v>
      </c>
      <c r="D2131">
        <v>36.93</v>
      </c>
      <c r="E2131">
        <v>37.340000000000003</v>
      </c>
      <c r="F2131">
        <v>35.538119999999999</v>
      </c>
      <c r="G2131">
        <v>45576500</v>
      </c>
      <c r="I2131">
        <f t="shared" si="34"/>
        <v>2.5640298074785655E-4</v>
      </c>
    </row>
    <row r="2132" spans="1:9" x14ac:dyDescent="0.3">
      <c r="A2132" s="5">
        <v>44729</v>
      </c>
      <c r="B2132">
        <v>37.479999999999997</v>
      </c>
      <c r="C2132">
        <v>38.119999</v>
      </c>
      <c r="D2132">
        <v>36.599997999999999</v>
      </c>
      <c r="E2132">
        <v>36.970001000000003</v>
      </c>
      <c r="F2132">
        <v>35.185969999999998</v>
      </c>
      <c r="G2132">
        <v>71393200</v>
      </c>
      <c r="I2132">
        <f t="shared" si="34"/>
        <v>7.5763824741515893E-4</v>
      </c>
    </row>
    <row r="2133" spans="1:9" x14ac:dyDescent="0.3">
      <c r="A2133" s="5">
        <v>44733</v>
      </c>
      <c r="B2133">
        <v>37.360000999999997</v>
      </c>
      <c r="C2133">
        <v>38.029998999999997</v>
      </c>
      <c r="D2133">
        <v>37.330002</v>
      </c>
      <c r="E2133">
        <v>37.729999999999997</v>
      </c>
      <c r="F2133">
        <v>35.909301999999997</v>
      </c>
      <c r="G2133">
        <v>34004900</v>
      </c>
      <c r="I2133">
        <f t="shared" si="34"/>
        <v>1.4933268949545884E-4</v>
      </c>
    </row>
    <row r="2134" spans="1:9" x14ac:dyDescent="0.3">
      <c r="A2134" s="5">
        <v>44734</v>
      </c>
      <c r="B2134">
        <v>37.330002</v>
      </c>
      <c r="C2134">
        <v>37.770000000000003</v>
      </c>
      <c r="D2134">
        <v>37.220001000000003</v>
      </c>
      <c r="E2134">
        <v>37.380001</v>
      </c>
      <c r="F2134">
        <v>35.576191000000001</v>
      </c>
      <c r="G2134">
        <v>32571000</v>
      </c>
      <c r="I2134">
        <f t="shared" si="34"/>
        <v>1.3428131074918426E-4</v>
      </c>
    </row>
    <row r="2135" spans="1:9" x14ac:dyDescent="0.3">
      <c r="A2135" s="5">
        <v>44735</v>
      </c>
      <c r="B2135">
        <v>37.610000999999997</v>
      </c>
      <c r="C2135">
        <v>37.619999</v>
      </c>
      <c r="D2135">
        <v>36.909999999999997</v>
      </c>
      <c r="E2135">
        <v>37.409999999999997</v>
      </c>
      <c r="F2135">
        <v>35.604736000000003</v>
      </c>
      <c r="G2135">
        <v>30163000</v>
      </c>
      <c r="I2135">
        <f t="shared" si="34"/>
        <v>2.5428342453443533E-4</v>
      </c>
    </row>
    <row r="2136" spans="1:9" x14ac:dyDescent="0.3">
      <c r="A2136" s="5">
        <v>44736</v>
      </c>
      <c r="B2136">
        <v>37.849997999999999</v>
      </c>
      <c r="C2136">
        <v>38.639999000000003</v>
      </c>
      <c r="D2136">
        <v>37.740001999999997</v>
      </c>
      <c r="E2136">
        <v>38.610000999999997</v>
      </c>
      <c r="F2136">
        <v>36.746837999999997</v>
      </c>
      <c r="G2136">
        <v>38159900</v>
      </c>
      <c r="I2136">
        <f t="shared" si="34"/>
        <v>8.2371924271450758E-5</v>
      </c>
    </row>
    <row r="2137" spans="1:9" x14ac:dyDescent="0.3">
      <c r="A2137" s="5">
        <v>44739</v>
      </c>
      <c r="B2137">
        <v>38.869999</v>
      </c>
      <c r="C2137">
        <v>39.060001</v>
      </c>
      <c r="D2137">
        <v>38.470001000000003</v>
      </c>
      <c r="E2137">
        <v>38.630001</v>
      </c>
      <c r="F2137">
        <v>36.765869000000002</v>
      </c>
      <c r="G2137">
        <v>29585300</v>
      </c>
      <c r="I2137">
        <f t="shared" si="34"/>
        <v>9.6910919029257175E-5</v>
      </c>
    </row>
    <row r="2138" spans="1:9" x14ac:dyDescent="0.3">
      <c r="A2138" s="5">
        <v>44740</v>
      </c>
      <c r="B2138">
        <v>38.580002</v>
      </c>
      <c r="C2138">
        <v>39.020000000000003</v>
      </c>
      <c r="D2138">
        <v>37.740001999999997</v>
      </c>
      <c r="E2138">
        <v>37.779998999999997</v>
      </c>
      <c r="F2138">
        <v>35.956882</v>
      </c>
      <c r="G2138">
        <v>37824200</v>
      </c>
      <c r="I2138">
        <f t="shared" si="34"/>
        <v>3.8954613757164749E-4</v>
      </c>
    </row>
    <row r="2139" spans="1:9" x14ac:dyDescent="0.3">
      <c r="A2139" s="5">
        <v>44741</v>
      </c>
      <c r="B2139">
        <v>37.540000999999997</v>
      </c>
      <c r="C2139">
        <v>37.599997999999999</v>
      </c>
      <c r="D2139">
        <v>37.020000000000003</v>
      </c>
      <c r="E2139">
        <v>37.290000999999997</v>
      </c>
      <c r="F2139">
        <v>35.490532000000002</v>
      </c>
      <c r="G2139">
        <v>25437200</v>
      </c>
      <c r="I2139">
        <f t="shared" si="34"/>
        <v>1.1458507342483002E-4</v>
      </c>
    </row>
    <row r="2140" spans="1:9" x14ac:dyDescent="0.3">
      <c r="A2140" s="5">
        <v>44742</v>
      </c>
      <c r="B2140">
        <v>37.209999000000003</v>
      </c>
      <c r="C2140">
        <v>38</v>
      </c>
      <c r="D2140">
        <v>36.729999999999997</v>
      </c>
      <c r="E2140">
        <v>37.409999999999997</v>
      </c>
      <c r="F2140">
        <v>35.604736000000003</v>
      </c>
      <c r="G2140">
        <v>35141000</v>
      </c>
      <c r="I2140">
        <f t="shared" si="34"/>
        <v>5.6692023183749554E-4</v>
      </c>
    </row>
    <row r="2141" spans="1:9" x14ac:dyDescent="0.3">
      <c r="A2141" s="5">
        <v>44743</v>
      </c>
      <c r="B2141">
        <v>37.090000000000003</v>
      </c>
      <c r="C2141">
        <v>37.200001</v>
      </c>
      <c r="D2141">
        <v>35.880001</v>
      </c>
      <c r="E2141">
        <v>36.340000000000003</v>
      </c>
      <c r="F2141">
        <v>34.586376000000001</v>
      </c>
      <c r="G2141">
        <v>40596300</v>
      </c>
      <c r="I2141">
        <f t="shared" si="34"/>
        <v>4.9178475614291498E-4</v>
      </c>
    </row>
    <row r="2142" spans="1:9" x14ac:dyDescent="0.3">
      <c r="A2142" s="5">
        <v>44747</v>
      </c>
      <c r="B2142">
        <v>35.93</v>
      </c>
      <c r="C2142">
        <v>36.740001999999997</v>
      </c>
      <c r="D2142">
        <v>35.540000999999997</v>
      </c>
      <c r="E2142">
        <v>36.689999</v>
      </c>
      <c r="F2142">
        <v>34.919483</v>
      </c>
      <c r="G2142">
        <v>33215000</v>
      </c>
      <c r="I2142">
        <f t="shared" si="34"/>
        <v>3.7791438670662953E-4</v>
      </c>
    </row>
    <row r="2143" spans="1:9" x14ac:dyDescent="0.3">
      <c r="A2143" s="5">
        <v>44748</v>
      </c>
      <c r="B2143">
        <v>36.82</v>
      </c>
      <c r="C2143">
        <v>37.419998</v>
      </c>
      <c r="D2143">
        <v>36.459999000000003</v>
      </c>
      <c r="E2143">
        <v>36.990001999999997</v>
      </c>
      <c r="F2143">
        <v>35.205013000000001</v>
      </c>
      <c r="G2143">
        <v>26258300</v>
      </c>
      <c r="I2143">
        <f t="shared" si="34"/>
        <v>3.286180844214963E-4</v>
      </c>
    </row>
    <row r="2144" spans="1:9" x14ac:dyDescent="0.3">
      <c r="A2144" s="5">
        <v>44749</v>
      </c>
      <c r="B2144">
        <v>37.889999000000003</v>
      </c>
      <c r="C2144">
        <v>38.330002</v>
      </c>
      <c r="D2144">
        <v>37.729999999999997</v>
      </c>
      <c r="E2144">
        <v>38.139999000000003</v>
      </c>
      <c r="F2144">
        <v>36.299518999999997</v>
      </c>
      <c r="G2144">
        <v>33165400</v>
      </c>
      <c r="I2144">
        <f t="shared" si="34"/>
        <v>1.0311087673870629E-4</v>
      </c>
    </row>
    <row r="2145" spans="1:9" x14ac:dyDescent="0.3">
      <c r="A2145" s="5">
        <v>44750</v>
      </c>
      <c r="B2145">
        <v>37.659999999999997</v>
      </c>
      <c r="C2145">
        <v>38.139999000000003</v>
      </c>
      <c r="D2145">
        <v>37.389999000000003</v>
      </c>
      <c r="E2145">
        <v>37.990001999999997</v>
      </c>
      <c r="F2145">
        <v>36.156756999999999</v>
      </c>
      <c r="G2145">
        <v>22566300</v>
      </c>
      <c r="I2145">
        <f t="shared" si="34"/>
        <v>1.6445412841945505E-4</v>
      </c>
    </row>
    <row r="2146" spans="1:9" x14ac:dyDescent="0.3">
      <c r="A2146" s="5">
        <v>44753</v>
      </c>
      <c r="B2146">
        <v>37.659999999999997</v>
      </c>
      <c r="C2146">
        <v>37.669998</v>
      </c>
      <c r="D2146">
        <v>37.029998999999997</v>
      </c>
      <c r="E2146">
        <v>37.200001</v>
      </c>
      <c r="F2146">
        <v>35.404881000000003</v>
      </c>
      <c r="G2146">
        <v>25904300</v>
      </c>
      <c r="I2146">
        <f t="shared" si="34"/>
        <v>8.0605115509265989E-5</v>
      </c>
    </row>
    <row r="2147" spans="1:9" x14ac:dyDescent="0.3">
      <c r="A2147" s="5">
        <v>44754</v>
      </c>
      <c r="B2147">
        <v>37.650002000000001</v>
      </c>
      <c r="C2147">
        <v>37.700001</v>
      </c>
      <c r="D2147">
        <v>36.990001999999997</v>
      </c>
      <c r="E2147">
        <v>37.209999000000003</v>
      </c>
      <c r="F2147">
        <v>35.414391000000002</v>
      </c>
      <c r="G2147">
        <v>30546300</v>
      </c>
      <c r="I2147">
        <f t="shared" si="34"/>
        <v>1.2223365996205204E-4</v>
      </c>
    </row>
    <row r="2148" spans="1:9" x14ac:dyDescent="0.3">
      <c r="A2148" s="5">
        <v>44755</v>
      </c>
      <c r="B2148">
        <v>36.68</v>
      </c>
      <c r="C2148">
        <v>37.43</v>
      </c>
      <c r="D2148">
        <v>36.619999</v>
      </c>
      <c r="E2148">
        <v>37.209999000000003</v>
      </c>
      <c r="F2148">
        <v>35.414391000000002</v>
      </c>
      <c r="G2148">
        <v>27059200</v>
      </c>
      <c r="I2148">
        <f t="shared" si="34"/>
        <v>1.4548642722979869E-4</v>
      </c>
    </row>
    <row r="2149" spans="1:9" x14ac:dyDescent="0.3">
      <c r="A2149" s="5">
        <v>44756</v>
      </c>
      <c r="B2149">
        <v>36.990001999999997</v>
      </c>
      <c r="C2149">
        <v>38.159999999999997</v>
      </c>
      <c r="D2149">
        <v>36.290000999999997</v>
      </c>
      <c r="E2149">
        <v>37.709999000000003</v>
      </c>
      <c r="F2149">
        <v>35.890262999999997</v>
      </c>
      <c r="G2149">
        <v>36690700</v>
      </c>
      <c r="I2149">
        <f t="shared" si="34"/>
        <v>1.1027260724089717E-3</v>
      </c>
    </row>
    <row r="2150" spans="1:9" x14ac:dyDescent="0.3">
      <c r="A2150" s="5">
        <v>44757</v>
      </c>
      <c r="B2150">
        <v>38.270000000000003</v>
      </c>
      <c r="C2150">
        <v>38.669998</v>
      </c>
      <c r="D2150">
        <v>37.729999999999997</v>
      </c>
      <c r="E2150">
        <v>38.619999</v>
      </c>
      <c r="F2150">
        <v>36.756343999999999</v>
      </c>
      <c r="G2150">
        <v>32892300</v>
      </c>
      <c r="I2150">
        <f t="shared" si="34"/>
        <v>3.4477262070322718E-4</v>
      </c>
    </row>
    <row r="2151" spans="1:9" x14ac:dyDescent="0.3">
      <c r="A2151" s="5">
        <v>44760</v>
      </c>
      <c r="B2151">
        <v>39.099997999999999</v>
      </c>
      <c r="C2151">
        <v>39.340000000000003</v>
      </c>
      <c r="D2151">
        <v>38.529998999999997</v>
      </c>
      <c r="E2151">
        <v>38.709999000000003</v>
      </c>
      <c r="F2151">
        <v>36.842007000000002</v>
      </c>
      <c r="G2151">
        <v>30814400</v>
      </c>
      <c r="I2151">
        <f t="shared" si="34"/>
        <v>1.6723603422624307E-4</v>
      </c>
    </row>
    <row r="2152" spans="1:9" x14ac:dyDescent="0.3">
      <c r="A2152" s="5">
        <v>44761</v>
      </c>
      <c r="B2152">
        <v>39.32</v>
      </c>
      <c r="C2152">
        <v>40.729999999999997</v>
      </c>
      <c r="D2152">
        <v>39.240001999999997</v>
      </c>
      <c r="E2152">
        <v>40.220001000000003</v>
      </c>
      <c r="F2152">
        <v>38.279144000000002</v>
      </c>
      <c r="G2152">
        <v>53095300</v>
      </c>
      <c r="I2152">
        <f t="shared" si="34"/>
        <v>4.9417506984918537E-4</v>
      </c>
    </row>
    <row r="2153" spans="1:9" x14ac:dyDescent="0.3">
      <c r="A2153" s="5">
        <v>44762</v>
      </c>
      <c r="B2153">
        <v>40.209999000000003</v>
      </c>
      <c r="C2153">
        <v>40.669998</v>
      </c>
      <c r="D2153">
        <v>39.560001</v>
      </c>
      <c r="E2153">
        <v>40.560001</v>
      </c>
      <c r="F2153">
        <v>38.602733999999998</v>
      </c>
      <c r="G2153">
        <v>36387900</v>
      </c>
      <c r="I2153">
        <f t="shared" si="34"/>
        <v>4.3764668264620538E-4</v>
      </c>
    </row>
    <row r="2154" spans="1:9" x14ac:dyDescent="0.3">
      <c r="A2154" s="5">
        <v>44763</v>
      </c>
      <c r="B2154">
        <v>40.509998000000003</v>
      </c>
      <c r="C2154">
        <v>40.650002000000001</v>
      </c>
      <c r="D2154">
        <v>39.82</v>
      </c>
      <c r="E2154">
        <v>40.610000999999997</v>
      </c>
      <c r="F2154">
        <v>38.650322000000003</v>
      </c>
      <c r="G2154">
        <v>29661200</v>
      </c>
      <c r="I2154">
        <f t="shared" si="34"/>
        <v>3.4088928747460546E-4</v>
      </c>
    </row>
    <row r="2155" spans="1:9" x14ac:dyDescent="0.3">
      <c r="A2155" s="5">
        <v>44764</v>
      </c>
      <c r="B2155">
        <v>40.369999</v>
      </c>
      <c r="C2155">
        <v>40.509998000000003</v>
      </c>
      <c r="D2155">
        <v>38.939999</v>
      </c>
      <c r="E2155">
        <v>39.200001</v>
      </c>
      <c r="F2155">
        <v>37.308365000000002</v>
      </c>
      <c r="G2155">
        <v>41350000</v>
      </c>
      <c r="I2155">
        <f t="shared" si="34"/>
        <v>3.53804490257198E-4</v>
      </c>
    </row>
    <row r="2156" spans="1:9" x14ac:dyDescent="0.3">
      <c r="A2156" s="5">
        <v>44767</v>
      </c>
      <c r="B2156">
        <v>39.279998999999997</v>
      </c>
      <c r="C2156">
        <v>39.409999999999997</v>
      </c>
      <c r="D2156">
        <v>38.549999</v>
      </c>
      <c r="E2156">
        <v>39.159999999999997</v>
      </c>
      <c r="F2156">
        <v>37.270287000000003</v>
      </c>
      <c r="G2156">
        <v>32263400</v>
      </c>
      <c r="I2156">
        <f t="shared" si="34"/>
        <v>3.1554427343666867E-4</v>
      </c>
    </row>
    <row r="2157" spans="1:9" x14ac:dyDescent="0.3">
      <c r="A2157" s="5">
        <v>44768</v>
      </c>
      <c r="B2157">
        <v>39.099997999999999</v>
      </c>
      <c r="C2157">
        <v>39.57</v>
      </c>
      <c r="D2157">
        <v>38.880001</v>
      </c>
      <c r="E2157">
        <v>38.959999000000003</v>
      </c>
      <c r="F2157">
        <v>37.079945000000002</v>
      </c>
      <c r="G2157">
        <v>35925500</v>
      </c>
      <c r="I2157">
        <f t="shared" si="34"/>
        <v>1.9723248923119067E-4</v>
      </c>
    </row>
    <row r="2158" spans="1:9" x14ac:dyDescent="0.3">
      <c r="A2158" s="5">
        <v>44769</v>
      </c>
      <c r="B2158">
        <v>39.270000000000003</v>
      </c>
      <c r="C2158">
        <v>40.419998</v>
      </c>
      <c r="D2158">
        <v>39.229999999999997</v>
      </c>
      <c r="E2158">
        <v>40.18</v>
      </c>
      <c r="F2158">
        <v>38.241070000000001</v>
      </c>
      <c r="G2158">
        <v>42571600</v>
      </c>
      <c r="I2158">
        <f t="shared" si="34"/>
        <v>1.9627745810483149E-4</v>
      </c>
    </row>
    <row r="2159" spans="1:9" x14ac:dyDescent="0.3">
      <c r="A2159" s="5">
        <v>44770</v>
      </c>
      <c r="B2159">
        <v>40.090000000000003</v>
      </c>
      <c r="C2159">
        <v>40.119999</v>
      </c>
      <c r="D2159">
        <v>39.040000999999997</v>
      </c>
      <c r="E2159">
        <v>39.709999000000003</v>
      </c>
      <c r="F2159">
        <v>37.793751</v>
      </c>
      <c r="G2159">
        <v>56662300</v>
      </c>
      <c r="I2159">
        <f t="shared" si="34"/>
        <v>4.5929670530381415E-4</v>
      </c>
    </row>
    <row r="2160" spans="1:9" x14ac:dyDescent="0.3">
      <c r="A2160" s="5">
        <v>44771</v>
      </c>
      <c r="B2160">
        <v>35.599997999999999</v>
      </c>
      <c r="C2160">
        <v>36.619999</v>
      </c>
      <c r="D2160">
        <v>35.240001999999997</v>
      </c>
      <c r="E2160">
        <v>36.310001</v>
      </c>
      <c r="F2160">
        <v>34.557822999999999</v>
      </c>
      <c r="G2160">
        <v>125292400</v>
      </c>
      <c r="I2160">
        <f t="shared" si="34"/>
        <v>5.4416335565637877E-4</v>
      </c>
    </row>
    <row r="2161" spans="1:9" x14ac:dyDescent="0.3">
      <c r="A2161" s="5">
        <v>44774</v>
      </c>
      <c r="B2161">
        <v>36.049999</v>
      </c>
      <c r="C2161">
        <v>37.689999</v>
      </c>
      <c r="D2161">
        <v>36.049999</v>
      </c>
      <c r="E2161">
        <v>36.959999000000003</v>
      </c>
      <c r="F2161">
        <v>35.176459999999999</v>
      </c>
      <c r="G2161">
        <v>52513400</v>
      </c>
      <c r="I2161">
        <f t="shared" si="34"/>
        <v>8.7012018257414542E-4</v>
      </c>
    </row>
    <row r="2162" spans="1:9" x14ac:dyDescent="0.3">
      <c r="A2162" s="5">
        <v>44775</v>
      </c>
      <c r="B2162">
        <v>36.590000000000003</v>
      </c>
      <c r="C2162">
        <v>36.659999999999997</v>
      </c>
      <c r="D2162">
        <v>36</v>
      </c>
      <c r="E2162">
        <v>36.009998000000003</v>
      </c>
      <c r="F2162">
        <v>34.272300999999999</v>
      </c>
      <c r="G2162">
        <v>53929400</v>
      </c>
      <c r="I2162">
        <f t="shared" si="34"/>
        <v>3.870581306989682E-5</v>
      </c>
    </row>
    <row r="2163" spans="1:9" x14ac:dyDescent="0.3">
      <c r="A2163" s="5">
        <v>44776</v>
      </c>
      <c r="B2163">
        <v>36.090000000000003</v>
      </c>
      <c r="C2163">
        <v>36.590000000000003</v>
      </c>
      <c r="D2163">
        <v>35.259998000000003</v>
      </c>
      <c r="E2163">
        <v>36.520000000000003</v>
      </c>
      <c r="F2163">
        <v>34.757689999999997</v>
      </c>
      <c r="G2163">
        <v>59513900</v>
      </c>
      <c r="I2163">
        <f t="shared" si="34"/>
        <v>8.4326328340141054E-4</v>
      </c>
    </row>
    <row r="2164" spans="1:9" x14ac:dyDescent="0.3">
      <c r="A2164" s="5">
        <v>44777</v>
      </c>
      <c r="B2164">
        <v>36.009998000000003</v>
      </c>
      <c r="C2164">
        <v>36.099997999999999</v>
      </c>
      <c r="D2164">
        <v>35.360000999999997</v>
      </c>
      <c r="E2164">
        <v>35.659999999999997</v>
      </c>
      <c r="F2164">
        <v>34.281818000000001</v>
      </c>
      <c r="G2164">
        <v>54046300</v>
      </c>
      <c r="I2164">
        <f t="shared" si="34"/>
        <v>1.8450088180777059E-4</v>
      </c>
    </row>
    <row r="2165" spans="1:9" x14ac:dyDescent="0.3">
      <c r="A2165" s="5">
        <v>44778</v>
      </c>
      <c r="B2165">
        <v>35.349997999999999</v>
      </c>
      <c r="C2165">
        <v>35.689999</v>
      </c>
      <c r="D2165">
        <v>35.18</v>
      </c>
      <c r="E2165">
        <v>35.389999000000003</v>
      </c>
      <c r="F2165">
        <v>34.022255000000001</v>
      </c>
      <c r="G2165">
        <v>40205100</v>
      </c>
      <c r="I2165">
        <f t="shared" si="34"/>
        <v>1.0949095700527828E-4</v>
      </c>
    </row>
    <row r="2166" spans="1:9" x14ac:dyDescent="0.3">
      <c r="A2166" s="5">
        <v>44781</v>
      </c>
      <c r="B2166">
        <v>35.360000999999997</v>
      </c>
      <c r="C2166">
        <v>35.959999000000003</v>
      </c>
      <c r="D2166">
        <v>35.200001</v>
      </c>
      <c r="E2166">
        <v>35.380001</v>
      </c>
      <c r="F2166">
        <v>34.012642</v>
      </c>
      <c r="G2166">
        <v>41534600</v>
      </c>
      <c r="I2166">
        <f t="shared" si="34"/>
        <v>2.9672924958596379E-4</v>
      </c>
    </row>
    <row r="2167" spans="1:9" x14ac:dyDescent="0.3">
      <c r="A2167" s="5">
        <v>44782</v>
      </c>
      <c r="B2167">
        <v>35.220001000000003</v>
      </c>
      <c r="C2167">
        <v>35.299999</v>
      </c>
      <c r="D2167">
        <v>34.400002000000001</v>
      </c>
      <c r="E2167">
        <v>34.520000000000003</v>
      </c>
      <c r="F2167">
        <v>33.185875000000003</v>
      </c>
      <c r="G2167">
        <v>48202300</v>
      </c>
      <c r="I2167">
        <f t="shared" si="34"/>
        <v>1.327273043789624E-4</v>
      </c>
    </row>
    <row r="2168" spans="1:9" x14ac:dyDescent="0.3">
      <c r="A2168" s="5">
        <v>44783</v>
      </c>
      <c r="B2168">
        <v>34.990001999999997</v>
      </c>
      <c r="C2168">
        <v>35.400002000000001</v>
      </c>
      <c r="D2168">
        <v>34.590000000000003</v>
      </c>
      <c r="E2168">
        <v>35.369999</v>
      </c>
      <c r="F2168">
        <v>34.003028999999998</v>
      </c>
      <c r="G2168">
        <v>42243300</v>
      </c>
      <c r="I2168">
        <f t="shared" si="34"/>
        <v>2.6626980643341654E-4</v>
      </c>
    </row>
    <row r="2169" spans="1:9" x14ac:dyDescent="0.3">
      <c r="A2169" s="5">
        <v>44784</v>
      </c>
      <c r="B2169">
        <v>35.639999000000003</v>
      </c>
      <c r="C2169">
        <v>36.290000999999997</v>
      </c>
      <c r="D2169">
        <v>35.490001999999997</v>
      </c>
      <c r="E2169">
        <v>35.590000000000003</v>
      </c>
      <c r="F2169">
        <v>34.214523</v>
      </c>
      <c r="G2169">
        <v>35569700</v>
      </c>
      <c r="I2169">
        <f t="shared" si="34"/>
        <v>3.6389770590162309E-4</v>
      </c>
    </row>
    <row r="2170" spans="1:9" x14ac:dyDescent="0.3">
      <c r="A2170" s="5">
        <v>44785</v>
      </c>
      <c r="B2170">
        <v>35.799999</v>
      </c>
      <c r="C2170">
        <v>36.139999000000003</v>
      </c>
      <c r="D2170">
        <v>35.669998</v>
      </c>
      <c r="E2170">
        <v>36.110000999999997</v>
      </c>
      <c r="F2170">
        <v>34.714432000000002</v>
      </c>
      <c r="G2170">
        <v>37675200</v>
      </c>
      <c r="I2170">
        <f t="shared" si="34"/>
        <v>5.2449848093579534E-5</v>
      </c>
    </row>
    <row r="2171" spans="1:9" x14ac:dyDescent="0.3">
      <c r="A2171" s="5">
        <v>44788</v>
      </c>
      <c r="B2171">
        <v>36.099997999999999</v>
      </c>
      <c r="C2171">
        <v>36.43</v>
      </c>
      <c r="D2171">
        <v>35.709999000000003</v>
      </c>
      <c r="E2171">
        <v>36.340000000000003</v>
      </c>
      <c r="F2171">
        <v>34.935535000000002</v>
      </c>
      <c r="G2171">
        <v>25400600</v>
      </c>
      <c r="I2171">
        <f t="shared" si="34"/>
        <v>2.1246836376739736E-4</v>
      </c>
    </row>
    <row r="2172" spans="1:9" x14ac:dyDescent="0.3">
      <c r="A2172" s="5">
        <v>44789</v>
      </c>
      <c r="B2172">
        <v>36.159999999999997</v>
      </c>
      <c r="C2172">
        <v>36.580002</v>
      </c>
      <c r="D2172">
        <v>35.700001</v>
      </c>
      <c r="E2172">
        <v>36.189999</v>
      </c>
      <c r="F2172">
        <v>34.791336000000001</v>
      </c>
      <c r="G2172">
        <v>25000200</v>
      </c>
      <c r="I2172">
        <f t="shared" si="34"/>
        <v>2.983126701943293E-4</v>
      </c>
    </row>
    <row r="2173" spans="1:9" x14ac:dyDescent="0.3">
      <c r="A2173" s="5">
        <v>44790</v>
      </c>
      <c r="B2173">
        <v>35.810001</v>
      </c>
      <c r="C2173">
        <v>36.080002</v>
      </c>
      <c r="D2173">
        <v>35.270000000000003</v>
      </c>
      <c r="E2173">
        <v>35.779998999999997</v>
      </c>
      <c r="F2173">
        <v>34.397182000000001</v>
      </c>
      <c r="G2173">
        <v>29176100</v>
      </c>
      <c r="I2173">
        <f t="shared" si="34"/>
        <v>2.8085552419481743E-4</v>
      </c>
    </row>
    <row r="2174" spans="1:9" x14ac:dyDescent="0.3">
      <c r="A2174" s="5">
        <v>44791</v>
      </c>
      <c r="B2174">
        <v>35.68</v>
      </c>
      <c r="C2174">
        <v>36.330002</v>
      </c>
      <c r="D2174">
        <v>35.57</v>
      </c>
      <c r="E2174">
        <v>36.200001</v>
      </c>
      <c r="F2174">
        <v>34.800949000000003</v>
      </c>
      <c r="G2174">
        <v>24598200</v>
      </c>
      <c r="I2174">
        <f t="shared" si="34"/>
        <v>1.1892748044375421E-4</v>
      </c>
    </row>
    <row r="2175" spans="1:9" x14ac:dyDescent="0.3">
      <c r="A2175" s="5">
        <v>44792</v>
      </c>
      <c r="B2175">
        <v>35.799999</v>
      </c>
      <c r="C2175">
        <v>36.029998999999997</v>
      </c>
      <c r="D2175">
        <v>35.189999</v>
      </c>
      <c r="E2175">
        <v>35.380001</v>
      </c>
      <c r="F2175">
        <v>34.012642</v>
      </c>
      <c r="G2175">
        <v>31425500</v>
      </c>
      <c r="I2175">
        <f t="shared" si="34"/>
        <v>2.091293085579799E-4</v>
      </c>
    </row>
    <row r="2176" spans="1:9" x14ac:dyDescent="0.3">
      <c r="A2176" s="5">
        <v>44795</v>
      </c>
      <c r="B2176">
        <v>35</v>
      </c>
      <c r="C2176">
        <v>35.060001</v>
      </c>
      <c r="D2176">
        <v>33.729999999999997</v>
      </c>
      <c r="E2176">
        <v>33.840000000000003</v>
      </c>
      <c r="F2176">
        <v>32.532162</v>
      </c>
      <c r="G2176">
        <v>51006100</v>
      </c>
      <c r="I2176">
        <f t="shared" si="34"/>
        <v>1.8100340172337169E-4</v>
      </c>
    </row>
    <row r="2177" spans="1:9" x14ac:dyDescent="0.3">
      <c r="A2177" s="5">
        <v>44796</v>
      </c>
      <c r="B2177">
        <v>33.979999999999997</v>
      </c>
      <c r="C2177">
        <v>34.389999000000003</v>
      </c>
      <c r="D2177">
        <v>33.909999999999997</v>
      </c>
      <c r="E2177">
        <v>33.950001</v>
      </c>
      <c r="F2177">
        <v>32.637909000000001</v>
      </c>
      <c r="G2177">
        <v>30687100</v>
      </c>
      <c r="I2177">
        <f t="shared" si="34"/>
        <v>1.5687268637908666E-4</v>
      </c>
    </row>
    <row r="2178" spans="1:9" x14ac:dyDescent="0.3">
      <c r="A2178" s="5">
        <v>44797</v>
      </c>
      <c r="B2178">
        <v>33.970001000000003</v>
      </c>
      <c r="C2178">
        <v>33.990001999999997</v>
      </c>
      <c r="D2178">
        <v>33.599997999999999</v>
      </c>
      <c r="E2178">
        <v>33.860000999999997</v>
      </c>
      <c r="F2178">
        <v>32.551388000000003</v>
      </c>
      <c r="G2178">
        <v>25105700</v>
      </c>
      <c r="I2178">
        <f t="shared" si="34"/>
        <v>8.6676440723275239E-5</v>
      </c>
    </row>
    <row r="2179" spans="1:9" x14ac:dyDescent="0.3">
      <c r="A2179" s="5">
        <v>44798</v>
      </c>
      <c r="B2179">
        <v>33.869999</v>
      </c>
      <c r="C2179">
        <v>34.93</v>
      </c>
      <c r="D2179">
        <v>33.82</v>
      </c>
      <c r="E2179">
        <v>34.889999000000003</v>
      </c>
      <c r="F2179">
        <v>33.541575999999999</v>
      </c>
      <c r="G2179">
        <v>29799100</v>
      </c>
      <c r="I2179">
        <f t="shared" si="34"/>
        <v>8.1325026187856298E-5</v>
      </c>
    </row>
    <row r="2180" spans="1:9" x14ac:dyDescent="0.3">
      <c r="A2180" s="5">
        <v>44799</v>
      </c>
      <c r="B2180">
        <v>34.950001</v>
      </c>
      <c r="C2180">
        <v>35.029998999999997</v>
      </c>
      <c r="D2180">
        <v>33.349997999999999</v>
      </c>
      <c r="E2180">
        <v>33.360000999999997</v>
      </c>
      <c r="F2180">
        <v>32.070712999999998</v>
      </c>
      <c r="G2180">
        <v>44851500</v>
      </c>
      <c r="I2180">
        <f t="shared" si="34"/>
        <v>1.2573323010198076E-4</v>
      </c>
    </row>
    <row r="2181" spans="1:9" x14ac:dyDescent="0.3">
      <c r="A2181" s="5">
        <v>44802</v>
      </c>
      <c r="B2181">
        <v>33.229999999999997</v>
      </c>
      <c r="C2181">
        <v>33.409999999999997</v>
      </c>
      <c r="D2181">
        <v>32.810001</v>
      </c>
      <c r="E2181">
        <v>32.939999</v>
      </c>
      <c r="F2181">
        <v>31.666937000000001</v>
      </c>
      <c r="G2181">
        <v>32976800</v>
      </c>
      <c r="I2181">
        <f t="shared" si="34"/>
        <v>1.2683337960217773E-4</v>
      </c>
    </row>
    <row r="2182" spans="1:9" x14ac:dyDescent="0.3">
      <c r="A2182" s="5">
        <v>44803</v>
      </c>
      <c r="B2182">
        <v>33.040000999999997</v>
      </c>
      <c r="C2182">
        <v>33.07</v>
      </c>
      <c r="D2182">
        <v>32.150002000000001</v>
      </c>
      <c r="E2182">
        <v>32.259998000000003</v>
      </c>
      <c r="F2182">
        <v>31.013221999999999</v>
      </c>
      <c r="G2182">
        <v>40182500</v>
      </c>
      <c r="I2182">
        <f t="shared" si="34"/>
        <v>1.1577102059452213E-4</v>
      </c>
    </row>
    <row r="2183" spans="1:9" x14ac:dyDescent="0.3">
      <c r="A2183" s="5">
        <v>44804</v>
      </c>
      <c r="B2183">
        <v>32.389999000000003</v>
      </c>
      <c r="C2183">
        <v>32.389999000000003</v>
      </c>
      <c r="D2183">
        <v>31.77</v>
      </c>
      <c r="E2183">
        <v>31.92</v>
      </c>
      <c r="F2183">
        <v>30.686358999999999</v>
      </c>
      <c r="G2183">
        <v>44074500</v>
      </c>
      <c r="I2183">
        <f t="shared" si="34"/>
        <v>9.1037634304310075E-5</v>
      </c>
    </row>
    <row r="2184" spans="1:9" x14ac:dyDescent="0.3">
      <c r="A2184" s="5">
        <v>44805</v>
      </c>
      <c r="B2184">
        <v>31.57</v>
      </c>
      <c r="C2184">
        <v>31.83</v>
      </c>
      <c r="D2184">
        <v>31.129999000000002</v>
      </c>
      <c r="E2184">
        <v>31.76</v>
      </c>
      <c r="F2184">
        <v>30.532547000000001</v>
      </c>
      <c r="G2184">
        <v>36440700</v>
      </c>
      <c r="I2184">
        <f t="shared" si="34"/>
        <v>2.9926527152530018E-4</v>
      </c>
    </row>
    <row r="2185" spans="1:9" x14ac:dyDescent="0.3">
      <c r="A2185" s="5">
        <v>44806</v>
      </c>
      <c r="B2185">
        <v>32.209999000000003</v>
      </c>
      <c r="C2185">
        <v>32.380001</v>
      </c>
      <c r="D2185">
        <v>31.059999000000001</v>
      </c>
      <c r="E2185">
        <v>31.219999000000001</v>
      </c>
      <c r="F2185">
        <v>30.013415999999999</v>
      </c>
      <c r="G2185">
        <v>34893300</v>
      </c>
      <c r="I2185">
        <f t="shared" si="34"/>
        <v>3.7884489041034309E-4</v>
      </c>
    </row>
    <row r="2186" spans="1:9" x14ac:dyDescent="0.3">
      <c r="A2186" s="5">
        <v>44810</v>
      </c>
      <c r="B2186">
        <v>31.389999</v>
      </c>
      <c r="C2186">
        <v>31.389999</v>
      </c>
      <c r="D2186">
        <v>30.33</v>
      </c>
      <c r="E2186">
        <v>30.360001</v>
      </c>
      <c r="F2186">
        <v>29.186651000000001</v>
      </c>
      <c r="G2186">
        <v>46989600</v>
      </c>
      <c r="I2186">
        <f t="shared" si="34"/>
        <v>3.3962594755830941E-5</v>
      </c>
    </row>
    <row r="2187" spans="1:9" x14ac:dyDescent="0.3">
      <c r="A2187" s="5">
        <v>44811</v>
      </c>
      <c r="B2187">
        <v>30.42</v>
      </c>
      <c r="C2187">
        <v>30.790001</v>
      </c>
      <c r="D2187">
        <v>30.049999</v>
      </c>
      <c r="E2187">
        <v>30.65</v>
      </c>
      <c r="F2187">
        <v>29.465444999999999</v>
      </c>
      <c r="G2187">
        <v>37329500</v>
      </c>
      <c r="I2187">
        <f t="shared" si="34"/>
        <v>2.9703575697514469E-4</v>
      </c>
    </row>
    <row r="2188" spans="1:9" x14ac:dyDescent="0.3">
      <c r="A2188" s="5">
        <v>44812</v>
      </c>
      <c r="B2188">
        <v>30.370000999999998</v>
      </c>
      <c r="C2188">
        <v>30.85</v>
      </c>
      <c r="D2188">
        <v>29.91</v>
      </c>
      <c r="E2188">
        <v>30.75</v>
      </c>
      <c r="F2188">
        <v>29.561578999999998</v>
      </c>
      <c r="G2188">
        <v>37359500</v>
      </c>
      <c r="I2188">
        <f t="shared" ref="I2188:I2251" si="35">LN(C2188/B2188)*(LN(C2188/B2188)-LN(E2188/B2188))+LN(D2188/B2188)*(LN(D2188/B2188)-LN(E2188/B2188))</f>
        <v>4.7363944421492356E-4</v>
      </c>
    </row>
    <row r="2189" spans="1:9" x14ac:dyDescent="0.3">
      <c r="A2189" s="5">
        <v>44813</v>
      </c>
      <c r="B2189">
        <v>31.190000999999999</v>
      </c>
      <c r="C2189">
        <v>31.5</v>
      </c>
      <c r="D2189">
        <v>31.08</v>
      </c>
      <c r="E2189">
        <v>31.459999</v>
      </c>
      <c r="F2189">
        <v>30.244139000000001</v>
      </c>
      <c r="G2189">
        <v>34069500</v>
      </c>
      <c r="I2189">
        <f t="shared" si="35"/>
        <v>5.5501673951836568E-5</v>
      </c>
    </row>
    <row r="2190" spans="1:9" x14ac:dyDescent="0.3">
      <c r="A2190" s="5">
        <v>44816</v>
      </c>
      <c r="B2190">
        <v>31.74</v>
      </c>
      <c r="C2190">
        <v>31.860001</v>
      </c>
      <c r="D2190">
        <v>31.1</v>
      </c>
      <c r="E2190">
        <v>31.559999000000001</v>
      </c>
      <c r="F2190">
        <v>30.340274999999998</v>
      </c>
      <c r="G2190">
        <v>38305500</v>
      </c>
      <c r="I2190">
        <f t="shared" si="35"/>
        <v>3.3478569404945342E-4</v>
      </c>
    </row>
    <row r="2191" spans="1:9" x14ac:dyDescent="0.3">
      <c r="A2191" s="5">
        <v>44817</v>
      </c>
      <c r="B2191">
        <v>30.83</v>
      </c>
      <c r="C2191">
        <v>30.93</v>
      </c>
      <c r="D2191">
        <v>29.25</v>
      </c>
      <c r="E2191">
        <v>29.290001</v>
      </c>
      <c r="F2191">
        <v>28.158007000000001</v>
      </c>
      <c r="G2191">
        <v>71417900</v>
      </c>
      <c r="I2191">
        <f t="shared" si="35"/>
        <v>2.4832241987511388E-4</v>
      </c>
    </row>
    <row r="2192" spans="1:9" x14ac:dyDescent="0.3">
      <c r="A2192" s="5">
        <v>44818</v>
      </c>
      <c r="B2192">
        <v>29.549999</v>
      </c>
      <c r="C2192">
        <v>29.77</v>
      </c>
      <c r="D2192">
        <v>29.01</v>
      </c>
      <c r="E2192">
        <v>29.18</v>
      </c>
      <c r="F2192">
        <v>28.052258999999999</v>
      </c>
      <c r="G2192">
        <v>40767200</v>
      </c>
      <c r="I2192">
        <f t="shared" si="35"/>
        <v>2.5624217219491035E-4</v>
      </c>
    </row>
    <row r="2193" spans="1:9" x14ac:dyDescent="0.3">
      <c r="A2193" s="5">
        <v>44819</v>
      </c>
      <c r="B2193">
        <v>29.15</v>
      </c>
      <c r="C2193">
        <v>29.41</v>
      </c>
      <c r="D2193">
        <v>28.709999</v>
      </c>
      <c r="E2193">
        <v>28.84</v>
      </c>
      <c r="F2193">
        <v>27.725397000000001</v>
      </c>
      <c r="G2193">
        <v>39919100</v>
      </c>
      <c r="I2193">
        <f t="shared" si="35"/>
        <v>2.425053294266168E-4</v>
      </c>
    </row>
    <row r="2194" spans="1:9" x14ac:dyDescent="0.3">
      <c r="A2194" s="5">
        <v>44820</v>
      </c>
      <c r="B2194">
        <v>28.700001</v>
      </c>
      <c r="C2194">
        <v>29.32</v>
      </c>
      <c r="D2194">
        <v>28.42</v>
      </c>
      <c r="E2194">
        <v>29.24</v>
      </c>
      <c r="F2194">
        <v>28.109940000000002</v>
      </c>
      <c r="G2194">
        <v>72748000</v>
      </c>
      <c r="I2194">
        <f t="shared" si="35"/>
        <v>3.3726643612952249E-4</v>
      </c>
    </row>
    <row r="2195" spans="1:9" x14ac:dyDescent="0.3">
      <c r="A2195" s="5">
        <v>44823</v>
      </c>
      <c r="B2195">
        <v>29.02</v>
      </c>
      <c r="C2195">
        <v>29.5</v>
      </c>
      <c r="D2195">
        <v>28.9</v>
      </c>
      <c r="E2195">
        <v>29.440000999999999</v>
      </c>
      <c r="F2195">
        <v>28.302208</v>
      </c>
      <c r="G2195">
        <v>33151900</v>
      </c>
      <c r="I2195">
        <f t="shared" si="35"/>
        <v>1.1010988268732211E-4</v>
      </c>
    </row>
    <row r="2196" spans="1:9" x14ac:dyDescent="0.3">
      <c r="A2196" s="5">
        <v>44824</v>
      </c>
      <c r="B2196">
        <v>29.07</v>
      </c>
      <c r="C2196">
        <v>29.17</v>
      </c>
      <c r="D2196">
        <v>28.709999</v>
      </c>
      <c r="E2196">
        <v>28.959999</v>
      </c>
      <c r="F2196">
        <v>27.840761000000001</v>
      </c>
      <c r="G2196">
        <v>31129000</v>
      </c>
      <c r="I2196">
        <f t="shared" si="35"/>
        <v>1.3285201373025937E-4</v>
      </c>
    </row>
    <row r="2197" spans="1:9" x14ac:dyDescent="0.3">
      <c r="A2197" s="5">
        <v>44825</v>
      </c>
      <c r="B2197">
        <v>29.15</v>
      </c>
      <c r="C2197">
        <v>29.59</v>
      </c>
      <c r="D2197">
        <v>28.459999</v>
      </c>
      <c r="E2197">
        <v>28.469999000000001</v>
      </c>
      <c r="F2197">
        <v>27.369698</v>
      </c>
      <c r="G2197">
        <v>39977300</v>
      </c>
      <c r="I2197">
        <f t="shared" si="35"/>
        <v>5.8648796218437103E-4</v>
      </c>
    </row>
    <row r="2198" spans="1:9" x14ac:dyDescent="0.3">
      <c r="A2198" s="5">
        <v>44826</v>
      </c>
      <c r="B2198">
        <v>28.4</v>
      </c>
      <c r="C2198">
        <v>28.5</v>
      </c>
      <c r="D2198">
        <v>28.040001</v>
      </c>
      <c r="E2198">
        <v>28.07</v>
      </c>
      <c r="F2198">
        <v>26.985157000000001</v>
      </c>
      <c r="G2198">
        <v>36092700</v>
      </c>
      <c r="I2198">
        <f t="shared" si="35"/>
        <v>6.7077615085580716E-5</v>
      </c>
    </row>
    <row r="2199" spans="1:9" x14ac:dyDescent="0.3">
      <c r="A2199" s="5">
        <v>44827</v>
      </c>
      <c r="B2199">
        <v>27.9</v>
      </c>
      <c r="C2199">
        <v>27.9</v>
      </c>
      <c r="D2199">
        <v>27.190000999999999</v>
      </c>
      <c r="E2199">
        <v>27.52</v>
      </c>
      <c r="F2199">
        <v>26.456413000000001</v>
      </c>
      <c r="G2199">
        <v>43491100</v>
      </c>
      <c r="I2199">
        <f t="shared" si="35"/>
        <v>3.109711955950638E-4</v>
      </c>
    </row>
    <row r="2200" spans="1:9" x14ac:dyDescent="0.3">
      <c r="A2200" s="5">
        <v>44830</v>
      </c>
      <c r="B2200">
        <v>27.559999000000001</v>
      </c>
      <c r="C2200">
        <v>27.700001</v>
      </c>
      <c r="D2200">
        <v>26.860001</v>
      </c>
      <c r="E2200">
        <v>26.969999000000001</v>
      </c>
      <c r="F2200">
        <v>25.927669999999999</v>
      </c>
      <c r="G2200">
        <v>44786400</v>
      </c>
      <c r="I2200">
        <f t="shared" si="35"/>
        <v>2.4047088304424369E-4</v>
      </c>
    </row>
    <row r="2201" spans="1:9" x14ac:dyDescent="0.3">
      <c r="A2201" s="5">
        <v>44831</v>
      </c>
      <c r="B2201">
        <v>27.4</v>
      </c>
      <c r="C2201">
        <v>27.6</v>
      </c>
      <c r="D2201">
        <v>26.620000999999998</v>
      </c>
      <c r="E2201">
        <v>26.889999</v>
      </c>
      <c r="F2201">
        <v>25.850760000000001</v>
      </c>
      <c r="G2201">
        <v>44121400</v>
      </c>
      <c r="I2201">
        <f t="shared" si="35"/>
        <v>4.8098439877622618E-4</v>
      </c>
    </row>
    <row r="2202" spans="1:9" x14ac:dyDescent="0.3">
      <c r="A2202" s="5">
        <v>44832</v>
      </c>
      <c r="B2202">
        <v>26.860001</v>
      </c>
      <c r="C2202">
        <v>27.280000999999999</v>
      </c>
      <c r="D2202">
        <v>26.6</v>
      </c>
      <c r="E2202">
        <v>27.129999000000002</v>
      </c>
      <c r="F2202">
        <v>26.081484</v>
      </c>
      <c r="G2202">
        <v>40433400</v>
      </c>
      <c r="I2202">
        <f t="shared" si="35"/>
        <v>2.7745283492529657E-4</v>
      </c>
    </row>
    <row r="2203" spans="1:9" x14ac:dyDescent="0.3">
      <c r="A2203" s="5">
        <v>44833</v>
      </c>
      <c r="B2203">
        <v>26.780000999999999</v>
      </c>
      <c r="C2203">
        <v>26.780000999999999</v>
      </c>
      <c r="D2203">
        <v>26.190000999999999</v>
      </c>
      <c r="E2203">
        <v>26.379999000000002</v>
      </c>
      <c r="F2203">
        <v>25.360472000000001</v>
      </c>
      <c r="G2203">
        <v>41831300</v>
      </c>
      <c r="I2203">
        <f t="shared" si="35"/>
        <v>1.6103227110393436E-4</v>
      </c>
    </row>
    <row r="2204" spans="1:9" x14ac:dyDescent="0.3">
      <c r="A2204" s="5">
        <v>44834</v>
      </c>
      <c r="B2204">
        <v>26.299999</v>
      </c>
      <c r="C2204">
        <v>26.57</v>
      </c>
      <c r="D2204">
        <v>25.74</v>
      </c>
      <c r="E2204">
        <v>25.77</v>
      </c>
      <c r="F2204">
        <v>24.774045999999998</v>
      </c>
      <c r="G2204">
        <v>43821000</v>
      </c>
      <c r="I2204">
        <f t="shared" si="35"/>
        <v>3.3732550384275254E-4</v>
      </c>
    </row>
    <row r="2205" spans="1:9" x14ac:dyDescent="0.3">
      <c r="A2205" s="5">
        <v>44837</v>
      </c>
      <c r="B2205">
        <v>26.33</v>
      </c>
      <c r="C2205">
        <v>27.25</v>
      </c>
      <c r="D2205">
        <v>26.07</v>
      </c>
      <c r="E2205">
        <v>26.969999000000001</v>
      </c>
      <c r="F2205">
        <v>25.927669999999999</v>
      </c>
      <c r="G2205">
        <v>44096200</v>
      </c>
      <c r="I2205">
        <f t="shared" si="35"/>
        <v>6.9153560334171487E-4</v>
      </c>
    </row>
    <row r="2206" spans="1:9" x14ac:dyDescent="0.3">
      <c r="A2206" s="5">
        <v>44838</v>
      </c>
      <c r="B2206">
        <v>27.43</v>
      </c>
      <c r="C2206">
        <v>27.799999</v>
      </c>
      <c r="D2206">
        <v>27.09</v>
      </c>
      <c r="E2206">
        <v>27.700001</v>
      </c>
      <c r="F2206">
        <v>26.629456999999999</v>
      </c>
      <c r="G2206">
        <v>42427500</v>
      </c>
      <c r="I2206">
        <f t="shared" si="35"/>
        <v>3.2602098257190117E-4</v>
      </c>
    </row>
    <row r="2207" spans="1:9" x14ac:dyDescent="0.3">
      <c r="A2207" s="5">
        <v>44839</v>
      </c>
      <c r="B2207">
        <v>27.370000999999998</v>
      </c>
      <c r="C2207">
        <v>27.84</v>
      </c>
      <c r="D2207">
        <v>26.889999</v>
      </c>
      <c r="E2207">
        <v>27.639999</v>
      </c>
      <c r="F2207">
        <v>26.571774000000001</v>
      </c>
      <c r="G2207">
        <v>30120000</v>
      </c>
      <c r="I2207">
        <f t="shared" si="35"/>
        <v>6.0948686998650277E-4</v>
      </c>
    </row>
    <row r="2208" spans="1:9" x14ac:dyDescent="0.3">
      <c r="A2208" s="5">
        <v>44840</v>
      </c>
      <c r="B2208">
        <v>27.440000999999999</v>
      </c>
      <c r="C2208">
        <v>27.76</v>
      </c>
      <c r="D2208">
        <v>27</v>
      </c>
      <c r="E2208">
        <v>27.18</v>
      </c>
      <c r="F2208">
        <v>26.129550999999999</v>
      </c>
      <c r="G2208">
        <v>33985100</v>
      </c>
      <c r="I2208">
        <f t="shared" si="35"/>
        <v>3.5221925656541005E-4</v>
      </c>
    </row>
    <row r="2209" spans="1:9" x14ac:dyDescent="0.3">
      <c r="A2209" s="5">
        <v>44841</v>
      </c>
      <c r="B2209">
        <v>26.17</v>
      </c>
      <c r="C2209">
        <v>26.280000999999999</v>
      </c>
      <c r="D2209">
        <v>25.65</v>
      </c>
      <c r="E2209">
        <v>25.719999000000001</v>
      </c>
      <c r="F2209">
        <v>24.725977</v>
      </c>
      <c r="G2209">
        <v>57215500</v>
      </c>
      <c r="I2209">
        <f t="shared" si="35"/>
        <v>1.4504416084918425E-4</v>
      </c>
    </row>
    <row r="2210" spans="1:9" x14ac:dyDescent="0.3">
      <c r="A2210" s="5">
        <v>44844</v>
      </c>
      <c r="B2210">
        <v>25.940000999999999</v>
      </c>
      <c r="C2210">
        <v>25.99</v>
      </c>
      <c r="D2210">
        <v>25.09</v>
      </c>
      <c r="E2210">
        <v>25.200001</v>
      </c>
      <c r="F2210">
        <v>24.226078000000001</v>
      </c>
      <c r="G2210">
        <v>43409300</v>
      </c>
      <c r="I2210">
        <f t="shared" si="35"/>
        <v>2.0519040943806381E-4</v>
      </c>
    </row>
    <row r="2211" spans="1:9" x14ac:dyDescent="0.3">
      <c r="A2211" s="5">
        <v>44845</v>
      </c>
      <c r="B2211">
        <v>25.01</v>
      </c>
      <c r="C2211">
        <v>25.48</v>
      </c>
      <c r="D2211">
        <v>24.690000999999999</v>
      </c>
      <c r="E2211">
        <v>25.040001</v>
      </c>
      <c r="F2211">
        <v>24.072258000000001</v>
      </c>
      <c r="G2211">
        <v>48134900</v>
      </c>
      <c r="I2211">
        <f t="shared" si="35"/>
        <v>5.0557840680056591E-4</v>
      </c>
    </row>
    <row r="2212" spans="1:9" x14ac:dyDescent="0.3">
      <c r="A2212" s="5">
        <v>44846</v>
      </c>
      <c r="B2212">
        <v>25.049999</v>
      </c>
      <c r="C2212">
        <v>25.52</v>
      </c>
      <c r="D2212">
        <v>24.66</v>
      </c>
      <c r="E2212">
        <v>25.33</v>
      </c>
      <c r="F2212">
        <v>24.351049</v>
      </c>
      <c r="G2212">
        <v>39634100</v>
      </c>
      <c r="I2212">
        <f t="shared" si="35"/>
        <v>5.5954891297012495E-4</v>
      </c>
    </row>
    <row r="2213" spans="1:9" x14ac:dyDescent="0.3">
      <c r="A2213" s="5">
        <v>44847</v>
      </c>
      <c r="B2213">
        <v>24.73</v>
      </c>
      <c r="C2213">
        <v>26.84</v>
      </c>
      <c r="D2213">
        <v>24.59</v>
      </c>
      <c r="E2213">
        <v>26.42</v>
      </c>
      <c r="F2213">
        <v>25.398928000000002</v>
      </c>
      <c r="G2213">
        <v>62447000</v>
      </c>
      <c r="I2213">
        <f t="shared" si="35"/>
        <v>1.6988723975898464E-3</v>
      </c>
    </row>
    <row r="2214" spans="1:9" x14ac:dyDescent="0.3">
      <c r="A2214" s="5">
        <v>44848</v>
      </c>
      <c r="B2214">
        <v>26.459999</v>
      </c>
      <c r="C2214">
        <v>26.629999000000002</v>
      </c>
      <c r="D2214">
        <v>25.76</v>
      </c>
      <c r="E2214">
        <v>25.91</v>
      </c>
      <c r="F2214">
        <v>24.908633999999999</v>
      </c>
      <c r="G2214">
        <v>48185400</v>
      </c>
      <c r="I2214">
        <f t="shared" si="35"/>
        <v>3.3120465066818576E-4</v>
      </c>
    </row>
    <row r="2215" spans="1:9" x14ac:dyDescent="0.3">
      <c r="A2215" s="5">
        <v>44851</v>
      </c>
      <c r="B2215">
        <v>26.309999000000001</v>
      </c>
      <c r="C2215">
        <v>26.75</v>
      </c>
      <c r="D2215">
        <v>26.17</v>
      </c>
      <c r="E2215">
        <v>26.42</v>
      </c>
      <c r="F2215">
        <v>25.398928000000002</v>
      </c>
      <c r="G2215">
        <v>39416500</v>
      </c>
      <c r="I2215">
        <f t="shared" si="35"/>
        <v>2.5660385274657897E-4</v>
      </c>
    </row>
    <row r="2216" spans="1:9" x14ac:dyDescent="0.3">
      <c r="A2216" s="5">
        <v>44852</v>
      </c>
      <c r="B2216">
        <v>26.74</v>
      </c>
      <c r="C2216">
        <v>26.959999</v>
      </c>
      <c r="D2216">
        <v>25.540001</v>
      </c>
      <c r="E2216">
        <v>25.870000999999998</v>
      </c>
      <c r="F2216">
        <v>24.870182</v>
      </c>
      <c r="G2216">
        <v>51126900</v>
      </c>
      <c r="I2216">
        <f t="shared" si="35"/>
        <v>9.276141639128889E-4</v>
      </c>
    </row>
    <row r="2217" spans="1:9" x14ac:dyDescent="0.3">
      <c r="A2217" s="5">
        <v>44853</v>
      </c>
      <c r="B2217">
        <v>25.74</v>
      </c>
      <c r="C2217">
        <v>26.25</v>
      </c>
      <c r="D2217">
        <v>25.690000999999999</v>
      </c>
      <c r="E2217">
        <v>26</v>
      </c>
      <c r="F2217">
        <v>24.995155</v>
      </c>
      <c r="G2217">
        <v>33882300</v>
      </c>
      <c r="I2217">
        <f t="shared" si="35"/>
        <v>2.1107248639395604E-4</v>
      </c>
    </row>
    <row r="2218" spans="1:9" x14ac:dyDescent="0.3">
      <c r="A2218" s="5">
        <v>44854</v>
      </c>
      <c r="B2218">
        <v>26.15</v>
      </c>
      <c r="C2218">
        <v>26.950001</v>
      </c>
      <c r="D2218">
        <v>25.950001</v>
      </c>
      <c r="E2218">
        <v>26.08</v>
      </c>
      <c r="F2218">
        <v>25.072063</v>
      </c>
      <c r="G2218">
        <v>33247700</v>
      </c>
      <c r="I2218">
        <f t="shared" si="35"/>
        <v>1.0272051635837444E-3</v>
      </c>
    </row>
    <row r="2219" spans="1:9" x14ac:dyDescent="0.3">
      <c r="A2219" s="5">
        <v>44855</v>
      </c>
      <c r="B2219">
        <v>25.85</v>
      </c>
      <c r="C2219">
        <v>27.049999</v>
      </c>
      <c r="D2219">
        <v>25.790001</v>
      </c>
      <c r="E2219">
        <v>26.969999000000001</v>
      </c>
      <c r="F2219">
        <v>25.927669999999999</v>
      </c>
      <c r="G2219">
        <v>53058700</v>
      </c>
      <c r="I2219">
        <f t="shared" si="35"/>
        <v>2.3835896521109541E-4</v>
      </c>
    </row>
    <row r="2220" spans="1:9" x14ac:dyDescent="0.3">
      <c r="A2220" s="5">
        <v>44858</v>
      </c>
      <c r="B2220">
        <v>26.75</v>
      </c>
      <c r="C2220">
        <v>27.48</v>
      </c>
      <c r="D2220">
        <v>26.52</v>
      </c>
      <c r="E2220">
        <v>27.18</v>
      </c>
      <c r="F2220">
        <v>26.129550999999999</v>
      </c>
      <c r="G2220">
        <v>43831600</v>
      </c>
      <c r="I2220">
        <f t="shared" si="35"/>
        <v>5.0782150459066048E-4</v>
      </c>
    </row>
    <row r="2221" spans="1:9" x14ac:dyDescent="0.3">
      <c r="A2221" s="5">
        <v>44859</v>
      </c>
      <c r="B2221">
        <v>27.18</v>
      </c>
      <c r="C2221">
        <v>27.559999000000001</v>
      </c>
      <c r="D2221">
        <v>27</v>
      </c>
      <c r="E2221">
        <v>27.41</v>
      </c>
      <c r="F2221">
        <v>26.350663999999998</v>
      </c>
      <c r="G2221">
        <v>32205300</v>
      </c>
      <c r="I2221">
        <f t="shared" si="35"/>
        <v>1.7591212764647281E-4</v>
      </c>
    </row>
    <row r="2222" spans="1:9" x14ac:dyDescent="0.3">
      <c r="A2222" s="5">
        <v>44860</v>
      </c>
      <c r="B2222">
        <v>27.190000999999999</v>
      </c>
      <c r="C2222">
        <v>27.799999</v>
      </c>
      <c r="D2222">
        <v>26.99</v>
      </c>
      <c r="E2222">
        <v>27.209999</v>
      </c>
      <c r="F2222">
        <v>26.158391999999999</v>
      </c>
      <c r="G2222">
        <v>37111100</v>
      </c>
      <c r="I2222">
        <f t="shared" si="35"/>
        <v>5.3587185351319495E-4</v>
      </c>
    </row>
    <row r="2223" spans="1:9" x14ac:dyDescent="0.3">
      <c r="A2223" s="5">
        <v>44861</v>
      </c>
      <c r="B2223">
        <v>27.450001</v>
      </c>
      <c r="C2223">
        <v>27.59</v>
      </c>
      <c r="D2223">
        <v>26.129999000000002</v>
      </c>
      <c r="E2223">
        <v>26.27</v>
      </c>
      <c r="F2223">
        <v>25.254725000000001</v>
      </c>
      <c r="G2223">
        <v>56305100</v>
      </c>
      <c r="I2223">
        <f t="shared" si="35"/>
        <v>5.127454945844153E-4</v>
      </c>
    </row>
    <row r="2224" spans="1:9" x14ac:dyDescent="0.3">
      <c r="A2224" s="5">
        <v>44862</v>
      </c>
      <c r="B2224">
        <v>28.18</v>
      </c>
      <c r="C2224">
        <v>29.219999000000001</v>
      </c>
      <c r="D2224">
        <v>27.860001</v>
      </c>
      <c r="E2224">
        <v>29.07</v>
      </c>
      <c r="F2224">
        <v>27.946508000000001</v>
      </c>
      <c r="G2224">
        <v>91695700</v>
      </c>
      <c r="I2224">
        <f t="shared" si="35"/>
        <v>6.7205866780435121E-4</v>
      </c>
    </row>
    <row r="2225" spans="1:9" x14ac:dyDescent="0.3">
      <c r="A2225" s="5">
        <v>44865</v>
      </c>
      <c r="B2225">
        <v>29.08</v>
      </c>
      <c r="C2225">
        <v>29.18</v>
      </c>
      <c r="D2225">
        <v>28.049999</v>
      </c>
      <c r="E2225">
        <v>28.43</v>
      </c>
      <c r="F2225">
        <v>27.331242</v>
      </c>
      <c r="G2225">
        <v>59507700</v>
      </c>
      <c r="I2225">
        <f t="shared" si="35"/>
        <v>5.7465062763430619E-4</v>
      </c>
    </row>
    <row r="2226" spans="1:9" x14ac:dyDescent="0.3">
      <c r="A2226" s="5">
        <v>44866</v>
      </c>
      <c r="B2226">
        <v>28.799999</v>
      </c>
      <c r="C2226">
        <v>28.85</v>
      </c>
      <c r="D2226">
        <v>27.889999</v>
      </c>
      <c r="E2226">
        <v>28.299999</v>
      </c>
      <c r="F2226">
        <v>27.206268000000001</v>
      </c>
      <c r="G2226">
        <v>44418700</v>
      </c>
      <c r="I2226">
        <f t="shared" si="35"/>
        <v>5.0194830113984526E-4</v>
      </c>
    </row>
    <row r="2227" spans="1:9" x14ac:dyDescent="0.3">
      <c r="A2227" s="5">
        <v>44867</v>
      </c>
      <c r="B2227">
        <v>28.27</v>
      </c>
      <c r="C2227">
        <v>28.85</v>
      </c>
      <c r="D2227">
        <v>27.41</v>
      </c>
      <c r="E2227">
        <v>27.42</v>
      </c>
      <c r="F2227">
        <v>26.360278999999998</v>
      </c>
      <c r="G2227">
        <v>51956100</v>
      </c>
      <c r="I2227">
        <f t="shared" si="35"/>
        <v>1.0437147646936665E-3</v>
      </c>
    </row>
    <row r="2228" spans="1:9" x14ac:dyDescent="0.3">
      <c r="A2228" s="5">
        <v>44868</v>
      </c>
      <c r="B2228">
        <v>27.450001</v>
      </c>
      <c r="C2228">
        <v>27.879999000000002</v>
      </c>
      <c r="D2228">
        <v>27.17</v>
      </c>
      <c r="E2228">
        <v>27.389999</v>
      </c>
      <c r="F2228">
        <v>26.331436</v>
      </c>
      <c r="G2228">
        <v>39678200</v>
      </c>
      <c r="I2228">
        <f t="shared" si="35"/>
        <v>3.5829222930217736E-4</v>
      </c>
    </row>
    <row r="2229" spans="1:9" x14ac:dyDescent="0.3">
      <c r="A2229" s="5">
        <v>44869</v>
      </c>
      <c r="B2229">
        <v>27.57</v>
      </c>
      <c r="C2229">
        <v>28.24</v>
      </c>
      <c r="D2229">
        <v>27.41</v>
      </c>
      <c r="E2229">
        <v>28.200001</v>
      </c>
      <c r="F2229">
        <v>27.476282000000001</v>
      </c>
      <c r="G2229">
        <v>43051900</v>
      </c>
      <c r="I2229">
        <f t="shared" si="35"/>
        <v>1.9941246106112441E-4</v>
      </c>
    </row>
    <row r="2230" spans="1:9" x14ac:dyDescent="0.3">
      <c r="A2230" s="5">
        <v>44872</v>
      </c>
      <c r="B2230">
        <v>28.360001</v>
      </c>
      <c r="C2230">
        <v>28.469999000000001</v>
      </c>
      <c r="D2230">
        <v>27.889999</v>
      </c>
      <c r="E2230">
        <v>28.41</v>
      </c>
      <c r="F2230">
        <v>27.680893000000001</v>
      </c>
      <c r="G2230">
        <v>34389800</v>
      </c>
      <c r="I2230">
        <f t="shared" si="35"/>
        <v>3.1688016277795145E-4</v>
      </c>
    </row>
    <row r="2231" spans="1:9" x14ac:dyDescent="0.3">
      <c r="A2231" s="5">
        <v>44873</v>
      </c>
      <c r="B2231">
        <v>28.76</v>
      </c>
      <c r="C2231">
        <v>28.950001</v>
      </c>
      <c r="D2231">
        <v>27.93</v>
      </c>
      <c r="E2231">
        <v>28.48</v>
      </c>
      <c r="F2231">
        <v>27.749098</v>
      </c>
      <c r="G2231">
        <v>36258000</v>
      </c>
      <c r="I2231">
        <f t="shared" si="35"/>
        <v>6.7884113728703776E-4</v>
      </c>
    </row>
    <row r="2232" spans="1:9" x14ac:dyDescent="0.3">
      <c r="A2232" s="5">
        <v>44874</v>
      </c>
      <c r="B2232">
        <v>28.219999000000001</v>
      </c>
      <c r="C2232">
        <v>28.299999</v>
      </c>
      <c r="D2232">
        <v>27.52</v>
      </c>
      <c r="E2232">
        <v>27.52</v>
      </c>
      <c r="F2232">
        <v>26.813734</v>
      </c>
      <c r="G2232">
        <v>30544800</v>
      </c>
      <c r="I2232">
        <f t="shared" si="35"/>
        <v>7.9118969290568447E-5</v>
      </c>
    </row>
    <row r="2233" spans="1:9" x14ac:dyDescent="0.3">
      <c r="A2233" s="5">
        <v>44875</v>
      </c>
      <c r="B2233">
        <v>28.879999000000002</v>
      </c>
      <c r="C2233">
        <v>29.83</v>
      </c>
      <c r="D2233">
        <v>28.65</v>
      </c>
      <c r="E2233">
        <v>29.76</v>
      </c>
      <c r="F2233">
        <v>28.996245999999999</v>
      </c>
      <c r="G2233">
        <v>62943900</v>
      </c>
      <c r="I2233">
        <f t="shared" si="35"/>
        <v>3.7997457303419046E-4</v>
      </c>
    </row>
    <row r="2234" spans="1:9" x14ac:dyDescent="0.3">
      <c r="A2234" s="5">
        <v>44876</v>
      </c>
      <c r="B2234">
        <v>28.93</v>
      </c>
      <c r="C2234">
        <v>30.629999000000002</v>
      </c>
      <c r="D2234">
        <v>28.870000999999998</v>
      </c>
      <c r="E2234">
        <v>30.43</v>
      </c>
      <c r="F2234">
        <v>29.649054</v>
      </c>
      <c r="G2234">
        <v>49826500</v>
      </c>
      <c r="I2234">
        <f t="shared" si="35"/>
        <v>4.8331903004114764E-4</v>
      </c>
    </row>
    <row r="2235" spans="1:9" x14ac:dyDescent="0.3">
      <c r="A2235" s="5">
        <v>44879</v>
      </c>
      <c r="B2235">
        <v>30.34</v>
      </c>
      <c r="C2235">
        <v>30.99</v>
      </c>
      <c r="D2235">
        <v>30.18</v>
      </c>
      <c r="E2235">
        <v>30.35</v>
      </c>
      <c r="F2235">
        <v>29.571103999999998</v>
      </c>
      <c r="G2235">
        <v>39395300</v>
      </c>
      <c r="I2235">
        <f t="shared" si="35"/>
        <v>4.7205296582987418E-4</v>
      </c>
    </row>
    <row r="2236" spans="1:9" x14ac:dyDescent="0.3">
      <c r="A2236" s="5">
        <v>44880</v>
      </c>
      <c r="B2236">
        <v>31.1</v>
      </c>
      <c r="C2236">
        <v>31.34</v>
      </c>
      <c r="D2236">
        <v>30.17</v>
      </c>
      <c r="E2236">
        <v>30.709999</v>
      </c>
      <c r="F2236">
        <v>29.921863999999999</v>
      </c>
      <c r="G2236">
        <v>40933200</v>
      </c>
      <c r="I2236">
        <f t="shared" si="35"/>
        <v>6.9469769285461145E-4</v>
      </c>
    </row>
    <row r="2237" spans="1:9" x14ac:dyDescent="0.3">
      <c r="A2237" s="5">
        <v>44881</v>
      </c>
      <c r="B2237">
        <v>30.110001</v>
      </c>
      <c r="C2237">
        <v>30.23</v>
      </c>
      <c r="D2237">
        <v>29.440000999999999</v>
      </c>
      <c r="E2237">
        <v>29.530000999999999</v>
      </c>
      <c r="F2237">
        <v>28.77215</v>
      </c>
      <c r="G2237">
        <v>35582800</v>
      </c>
      <c r="I2237">
        <f t="shared" si="35"/>
        <v>1.6187196090007561E-4</v>
      </c>
    </row>
    <row r="2238" spans="1:9" x14ac:dyDescent="0.3">
      <c r="A2238" s="5">
        <v>44882</v>
      </c>
      <c r="B2238">
        <v>29.07</v>
      </c>
      <c r="C2238">
        <v>29.950001</v>
      </c>
      <c r="D2238">
        <v>29</v>
      </c>
      <c r="E2238">
        <v>29.889999</v>
      </c>
      <c r="F2238">
        <v>29.122910999999998</v>
      </c>
      <c r="G2238">
        <v>31983300</v>
      </c>
      <c r="I2238">
        <f t="shared" si="35"/>
        <v>1.3268327096254001E-4</v>
      </c>
    </row>
    <row r="2239" spans="1:9" x14ac:dyDescent="0.3">
      <c r="A2239" s="5">
        <v>44883</v>
      </c>
      <c r="B2239">
        <v>30.26</v>
      </c>
      <c r="C2239">
        <v>30.26</v>
      </c>
      <c r="D2239">
        <v>29.610001</v>
      </c>
      <c r="E2239">
        <v>29.870000999999998</v>
      </c>
      <c r="F2239">
        <v>29.103424</v>
      </c>
      <c r="G2239">
        <v>27122200</v>
      </c>
      <c r="I2239">
        <f t="shared" si="35"/>
        <v>1.898390791149031E-4</v>
      </c>
    </row>
    <row r="2240" spans="1:9" x14ac:dyDescent="0.3">
      <c r="A2240" s="5">
        <v>44886</v>
      </c>
      <c r="B2240">
        <v>29.66</v>
      </c>
      <c r="C2240">
        <v>29.719999000000001</v>
      </c>
      <c r="D2240">
        <v>28.91</v>
      </c>
      <c r="E2240">
        <v>28.940000999999999</v>
      </c>
      <c r="F2240">
        <v>28.197289999999999</v>
      </c>
      <c r="G2240">
        <v>36086800</v>
      </c>
      <c r="I2240">
        <f t="shared" si="35"/>
        <v>8.0309894104633979E-5</v>
      </c>
    </row>
    <row r="2241" spans="1:9" x14ac:dyDescent="0.3">
      <c r="A2241" s="5">
        <v>44887</v>
      </c>
      <c r="B2241">
        <v>29.139999</v>
      </c>
      <c r="C2241">
        <v>29.860001</v>
      </c>
      <c r="D2241">
        <v>29.059999000000001</v>
      </c>
      <c r="E2241">
        <v>29.82</v>
      </c>
      <c r="F2241">
        <v>29.054707000000001</v>
      </c>
      <c r="G2241">
        <v>25584100</v>
      </c>
      <c r="I2241">
        <f t="shared" si="35"/>
        <v>1.0369315353855402E-4</v>
      </c>
    </row>
    <row r="2242" spans="1:9" x14ac:dyDescent="0.3">
      <c r="A2242" s="5">
        <v>44888</v>
      </c>
      <c r="B2242">
        <v>29.73</v>
      </c>
      <c r="C2242">
        <v>30.08</v>
      </c>
      <c r="D2242">
        <v>29.49</v>
      </c>
      <c r="E2242">
        <v>29.67</v>
      </c>
      <c r="F2242">
        <v>28.908557999999999</v>
      </c>
      <c r="G2242">
        <v>23143900</v>
      </c>
      <c r="I2242">
        <f t="shared" si="35"/>
        <v>2.0994772063385406E-4</v>
      </c>
    </row>
    <row r="2243" spans="1:9" x14ac:dyDescent="0.3">
      <c r="A2243" s="5">
        <v>44890</v>
      </c>
      <c r="B2243">
        <v>29.68</v>
      </c>
      <c r="C2243">
        <v>29.68</v>
      </c>
      <c r="D2243">
        <v>29.34</v>
      </c>
      <c r="E2243">
        <v>29.34</v>
      </c>
      <c r="F2243">
        <v>28.587025000000001</v>
      </c>
      <c r="G2243">
        <v>11314900</v>
      </c>
      <c r="I2243">
        <f t="shared" si="35"/>
        <v>0</v>
      </c>
    </row>
    <row r="2244" spans="1:9" x14ac:dyDescent="0.3">
      <c r="A2244" s="5">
        <v>44893</v>
      </c>
      <c r="B2244">
        <v>29.1</v>
      </c>
      <c r="C2244">
        <v>29.190000999999999</v>
      </c>
      <c r="D2244">
        <v>28.540001</v>
      </c>
      <c r="E2244">
        <v>28.73</v>
      </c>
      <c r="F2244">
        <v>27.99268</v>
      </c>
      <c r="G2244">
        <v>28267900</v>
      </c>
      <c r="I2244">
        <f t="shared" si="35"/>
        <v>1.7798414671357492E-4</v>
      </c>
    </row>
    <row r="2245" spans="1:9" x14ac:dyDescent="0.3">
      <c r="A2245" s="5">
        <v>44894</v>
      </c>
      <c r="B2245">
        <v>28.85</v>
      </c>
      <c r="C2245">
        <v>29.18</v>
      </c>
      <c r="D2245">
        <v>28.74</v>
      </c>
      <c r="E2245">
        <v>28.9</v>
      </c>
      <c r="F2245">
        <v>28.158315999999999</v>
      </c>
      <c r="G2245">
        <v>24361500</v>
      </c>
      <c r="I2245">
        <f t="shared" si="35"/>
        <v>1.3087135150165251E-4</v>
      </c>
    </row>
    <row r="2246" spans="1:9" x14ac:dyDescent="0.3">
      <c r="A2246" s="5">
        <v>44895</v>
      </c>
      <c r="B2246">
        <v>28.77</v>
      </c>
      <c r="C2246">
        <v>30.08</v>
      </c>
      <c r="D2246">
        <v>28.219999000000001</v>
      </c>
      <c r="E2246">
        <v>30.07</v>
      </c>
      <c r="F2246">
        <v>29.298290000000001</v>
      </c>
      <c r="G2246">
        <v>72072500</v>
      </c>
      <c r="I2246">
        <f t="shared" si="35"/>
        <v>1.2404431079851301E-3</v>
      </c>
    </row>
    <row r="2247" spans="1:9" x14ac:dyDescent="0.3">
      <c r="A2247" s="5">
        <v>44896</v>
      </c>
      <c r="B2247">
        <v>30.24</v>
      </c>
      <c r="C2247">
        <v>30.48</v>
      </c>
      <c r="D2247">
        <v>29.52</v>
      </c>
      <c r="E2247">
        <v>29.83</v>
      </c>
      <c r="F2247">
        <v>29.064450999999998</v>
      </c>
      <c r="G2247">
        <v>38896300</v>
      </c>
      <c r="I2247">
        <f t="shared" si="35"/>
        <v>4.2214254851911806E-4</v>
      </c>
    </row>
    <row r="2248" spans="1:9" x14ac:dyDescent="0.3">
      <c r="A2248" s="5">
        <v>44897</v>
      </c>
      <c r="B2248">
        <v>29.17</v>
      </c>
      <c r="C2248">
        <v>29.43</v>
      </c>
      <c r="D2248">
        <v>28.709999</v>
      </c>
      <c r="E2248">
        <v>29.41</v>
      </c>
      <c r="F2248">
        <v>28.65523</v>
      </c>
      <c r="G2248">
        <v>31546000</v>
      </c>
      <c r="I2248">
        <f t="shared" si="35"/>
        <v>3.8893961570593669E-4</v>
      </c>
    </row>
    <row r="2249" spans="1:9" x14ac:dyDescent="0.3">
      <c r="A2249" s="5">
        <v>44900</v>
      </c>
      <c r="B2249">
        <v>29.42</v>
      </c>
      <c r="C2249">
        <v>29.75</v>
      </c>
      <c r="D2249">
        <v>28.889999</v>
      </c>
      <c r="E2249">
        <v>29.17</v>
      </c>
      <c r="F2249">
        <v>28.421391</v>
      </c>
      <c r="G2249">
        <v>34040400</v>
      </c>
      <c r="I2249">
        <f t="shared" si="35"/>
        <v>3.9495629263335788E-4</v>
      </c>
    </row>
    <row r="2250" spans="1:9" x14ac:dyDescent="0.3">
      <c r="A2250" s="5">
        <v>44901</v>
      </c>
      <c r="B2250">
        <v>29.190000999999999</v>
      </c>
      <c r="C2250">
        <v>29.309999000000001</v>
      </c>
      <c r="D2250">
        <v>28.34</v>
      </c>
      <c r="E2250">
        <v>28.6</v>
      </c>
      <c r="F2250">
        <v>27.866015999999998</v>
      </c>
      <c r="G2250">
        <v>27701200</v>
      </c>
      <c r="I2250">
        <f t="shared" si="35"/>
        <v>3.7048456871595988E-4</v>
      </c>
    </row>
    <row r="2251" spans="1:9" x14ac:dyDescent="0.3">
      <c r="A2251" s="5">
        <v>44902</v>
      </c>
      <c r="B2251">
        <v>28.280000999999999</v>
      </c>
      <c r="C2251">
        <v>28.549999</v>
      </c>
      <c r="D2251">
        <v>28.15</v>
      </c>
      <c r="E2251">
        <v>28.33</v>
      </c>
      <c r="F2251">
        <v>27.602944999999998</v>
      </c>
      <c r="G2251">
        <v>28239900</v>
      </c>
      <c r="I2251">
        <f t="shared" si="35"/>
        <v>1.0287189710618734E-4</v>
      </c>
    </row>
    <row r="2252" spans="1:9" x14ac:dyDescent="0.3">
      <c r="A2252" s="5">
        <v>44903</v>
      </c>
      <c r="B2252">
        <v>28.32</v>
      </c>
      <c r="C2252">
        <v>28.6</v>
      </c>
      <c r="D2252">
        <v>28.07</v>
      </c>
      <c r="E2252">
        <v>28.440000999999999</v>
      </c>
      <c r="F2252">
        <v>27.710122999999999</v>
      </c>
      <c r="G2252">
        <v>28486100</v>
      </c>
      <c r="I2252">
        <f t="shared" ref="I2252:I2315" si="36">LN(C2252/B2252)*(LN(C2252/B2252)-LN(E2252/B2252))+LN(D2252/B2252)*(LN(D2252/B2252)-LN(E2252/B2252))</f>
        <v>1.7130845121344514E-4</v>
      </c>
    </row>
    <row r="2253" spans="1:9" x14ac:dyDescent="0.3">
      <c r="A2253" s="5">
        <v>44904</v>
      </c>
      <c r="B2253">
        <v>28.389999</v>
      </c>
      <c r="C2253">
        <v>28.780000999999999</v>
      </c>
      <c r="D2253">
        <v>28.190000999999999</v>
      </c>
      <c r="E2253">
        <v>28.24</v>
      </c>
      <c r="F2253">
        <v>27.515255</v>
      </c>
      <c r="G2253">
        <v>25641300</v>
      </c>
      <c r="I2253">
        <f t="shared" si="36"/>
        <v>2.7095947948666959E-4</v>
      </c>
    </row>
    <row r="2254" spans="1:9" x14ac:dyDescent="0.3">
      <c r="A2254" s="5">
        <v>44907</v>
      </c>
      <c r="B2254">
        <v>28.129999000000002</v>
      </c>
      <c r="C2254">
        <v>28.709999</v>
      </c>
      <c r="D2254">
        <v>27.860001</v>
      </c>
      <c r="E2254">
        <v>28.690000999999999</v>
      </c>
      <c r="F2254">
        <v>27.953710999999998</v>
      </c>
      <c r="G2254">
        <v>35117900</v>
      </c>
      <c r="I2254">
        <f t="shared" si="36"/>
        <v>2.9735353024311069E-4</v>
      </c>
    </row>
    <row r="2255" spans="1:9" x14ac:dyDescent="0.3">
      <c r="A2255" s="5">
        <v>44908</v>
      </c>
      <c r="B2255">
        <v>29.790001</v>
      </c>
      <c r="C2255">
        <v>30.09</v>
      </c>
      <c r="D2255">
        <v>28.370000999999998</v>
      </c>
      <c r="E2255">
        <v>28.73</v>
      </c>
      <c r="F2255">
        <v>27.99268</v>
      </c>
      <c r="G2255">
        <v>58546800</v>
      </c>
      <c r="I2255">
        <f t="shared" si="36"/>
        <v>1.0792982078912804E-3</v>
      </c>
    </row>
    <row r="2256" spans="1:9" x14ac:dyDescent="0.3">
      <c r="A2256" s="5">
        <v>44909</v>
      </c>
      <c r="B2256">
        <v>28.51</v>
      </c>
      <c r="C2256">
        <v>29.120000999999998</v>
      </c>
      <c r="D2256">
        <v>28.01</v>
      </c>
      <c r="E2256">
        <v>28.26</v>
      </c>
      <c r="F2256">
        <v>27.534742000000001</v>
      </c>
      <c r="G2256">
        <v>37141100</v>
      </c>
      <c r="I2256">
        <f t="shared" si="36"/>
        <v>7.9186139668580902E-4</v>
      </c>
    </row>
    <row r="2257" spans="1:9" x14ac:dyDescent="0.3">
      <c r="A2257" s="5">
        <v>44910</v>
      </c>
      <c r="B2257">
        <v>27.940000999999999</v>
      </c>
      <c r="C2257">
        <v>28</v>
      </c>
      <c r="D2257">
        <v>27.120000999999998</v>
      </c>
      <c r="E2257">
        <v>27.15</v>
      </c>
      <c r="F2257">
        <v>26.453227999999999</v>
      </c>
      <c r="G2257">
        <v>45682700</v>
      </c>
      <c r="I2257">
        <f t="shared" si="36"/>
        <v>9.9060521481971094E-5</v>
      </c>
    </row>
    <row r="2258" spans="1:9" x14ac:dyDescent="0.3">
      <c r="A2258" s="5">
        <v>44911</v>
      </c>
      <c r="B2258">
        <v>27</v>
      </c>
      <c r="C2258">
        <v>27.139999</v>
      </c>
      <c r="D2258">
        <v>26.450001</v>
      </c>
      <c r="E2258">
        <v>26.92</v>
      </c>
      <c r="F2258">
        <v>26.229132</v>
      </c>
      <c r="G2258">
        <v>81104200</v>
      </c>
      <c r="I2258">
        <f t="shared" si="36"/>
        <v>4.0458716056530729E-4</v>
      </c>
    </row>
    <row r="2259" spans="1:9" x14ac:dyDescent="0.3">
      <c r="A2259" s="5">
        <v>44914</v>
      </c>
      <c r="B2259">
        <v>26.9</v>
      </c>
      <c r="C2259">
        <v>26.969999000000001</v>
      </c>
      <c r="D2259">
        <v>26.5</v>
      </c>
      <c r="E2259">
        <v>26.790001</v>
      </c>
      <c r="F2259">
        <v>26.102467999999998</v>
      </c>
      <c r="G2259">
        <v>37662500</v>
      </c>
      <c r="I2259">
        <f t="shared" si="36"/>
        <v>1.8046168855981017E-4</v>
      </c>
    </row>
    <row r="2260" spans="1:9" x14ac:dyDescent="0.3">
      <c r="A2260" s="5">
        <v>44915</v>
      </c>
      <c r="B2260">
        <v>26.540001</v>
      </c>
      <c r="C2260">
        <v>26.870000999999998</v>
      </c>
      <c r="D2260">
        <v>26.42</v>
      </c>
      <c r="E2260">
        <v>26.440000999999999</v>
      </c>
      <c r="F2260">
        <v>25.761451999999998</v>
      </c>
      <c r="G2260">
        <v>31863300</v>
      </c>
      <c r="I2260">
        <f t="shared" si="36"/>
        <v>2.0278392988021951E-4</v>
      </c>
    </row>
    <row r="2261" spans="1:9" x14ac:dyDescent="0.3">
      <c r="A2261" s="5">
        <v>44916</v>
      </c>
      <c r="B2261">
        <v>26.59</v>
      </c>
      <c r="C2261">
        <v>26.969999000000001</v>
      </c>
      <c r="D2261">
        <v>26.58</v>
      </c>
      <c r="E2261">
        <v>26.83</v>
      </c>
      <c r="F2261">
        <v>26.141441</v>
      </c>
      <c r="G2261">
        <v>28100900</v>
      </c>
      <c r="I2261">
        <f t="shared" si="36"/>
        <v>7.7371782738282679E-5</v>
      </c>
    </row>
    <row r="2262" spans="1:9" x14ac:dyDescent="0.3">
      <c r="A2262" s="5">
        <v>44917</v>
      </c>
      <c r="B2262">
        <v>26.450001</v>
      </c>
      <c r="C2262">
        <v>26.450001</v>
      </c>
      <c r="D2262">
        <v>25.35</v>
      </c>
      <c r="E2262">
        <v>25.969999000000001</v>
      </c>
      <c r="F2262">
        <v>25.303512999999999</v>
      </c>
      <c r="G2262">
        <v>47478300</v>
      </c>
      <c r="I2262">
        <f t="shared" si="36"/>
        <v>1.026393935047668E-3</v>
      </c>
    </row>
    <row r="2263" spans="1:9" x14ac:dyDescent="0.3">
      <c r="A2263" s="5">
        <v>44918</v>
      </c>
      <c r="B2263">
        <v>25.92</v>
      </c>
      <c r="C2263">
        <v>26.190000999999999</v>
      </c>
      <c r="D2263">
        <v>25.68</v>
      </c>
      <c r="E2263">
        <v>26.09</v>
      </c>
      <c r="F2263">
        <v>25.420432999999999</v>
      </c>
      <c r="G2263">
        <v>23600900</v>
      </c>
      <c r="I2263">
        <f t="shared" si="36"/>
        <v>1.8699036670407108E-4</v>
      </c>
    </row>
    <row r="2264" spans="1:9" x14ac:dyDescent="0.3">
      <c r="A2264" s="5">
        <v>44922</v>
      </c>
      <c r="B2264">
        <v>25.85</v>
      </c>
      <c r="C2264">
        <v>26.1</v>
      </c>
      <c r="D2264">
        <v>25.65</v>
      </c>
      <c r="E2264">
        <v>25.940000999999999</v>
      </c>
      <c r="F2264">
        <v>25.274281999999999</v>
      </c>
      <c r="G2264">
        <v>29548100</v>
      </c>
      <c r="I2264">
        <f t="shared" si="36"/>
        <v>1.4650525500759095E-4</v>
      </c>
    </row>
    <row r="2265" spans="1:9" x14ac:dyDescent="0.3">
      <c r="A2265" s="5">
        <v>44923</v>
      </c>
      <c r="B2265">
        <v>25.84</v>
      </c>
      <c r="C2265">
        <v>26.120000999999998</v>
      </c>
      <c r="D2265">
        <v>25.5</v>
      </c>
      <c r="E2265">
        <v>25.540001</v>
      </c>
      <c r="F2265">
        <v>24.884550000000001</v>
      </c>
      <c r="G2265">
        <v>26176900</v>
      </c>
      <c r="I2265">
        <f t="shared" si="36"/>
        <v>2.6277838807748998E-4</v>
      </c>
    </row>
    <row r="2266" spans="1:9" x14ac:dyDescent="0.3">
      <c r="A2266" s="5">
        <v>44924</v>
      </c>
      <c r="B2266">
        <v>25.77</v>
      </c>
      <c r="C2266">
        <v>26.290001</v>
      </c>
      <c r="D2266">
        <v>25.75</v>
      </c>
      <c r="E2266">
        <v>26.209999</v>
      </c>
      <c r="F2266">
        <v>25.537351999999998</v>
      </c>
      <c r="G2266">
        <v>30944800</v>
      </c>
      <c r="I2266">
        <f t="shared" si="36"/>
        <v>7.4633010794979021E-5</v>
      </c>
    </row>
    <row r="2267" spans="1:9" x14ac:dyDescent="0.3">
      <c r="A2267" s="5">
        <v>44925</v>
      </c>
      <c r="B2267">
        <v>25.9</v>
      </c>
      <c r="C2267">
        <v>26.459999</v>
      </c>
      <c r="D2267">
        <v>25.799999</v>
      </c>
      <c r="E2267">
        <v>26.43</v>
      </c>
      <c r="F2267">
        <v>25.751707</v>
      </c>
      <c r="G2267">
        <v>31030100</v>
      </c>
      <c r="I2267">
        <f t="shared" si="36"/>
        <v>1.1759496077495775E-4</v>
      </c>
    </row>
    <row r="2268" spans="1:9" x14ac:dyDescent="0.3">
      <c r="A2268" s="5">
        <v>44929</v>
      </c>
      <c r="B2268">
        <v>27.049999</v>
      </c>
      <c r="C2268">
        <v>27.07</v>
      </c>
      <c r="D2268">
        <v>26.370000999999998</v>
      </c>
      <c r="E2268">
        <v>26.73</v>
      </c>
      <c r="F2268">
        <v>26.04401</v>
      </c>
      <c r="G2268">
        <v>31308000</v>
      </c>
      <c r="I2268">
        <f t="shared" si="36"/>
        <v>3.5456606914782831E-4</v>
      </c>
    </row>
    <row r="2269" spans="1:9" x14ac:dyDescent="0.3">
      <c r="A2269" s="5">
        <v>44930</v>
      </c>
      <c r="B2269">
        <v>27.41</v>
      </c>
      <c r="C2269">
        <v>27.92</v>
      </c>
      <c r="D2269">
        <v>27.16</v>
      </c>
      <c r="E2269">
        <v>27.68</v>
      </c>
      <c r="F2269">
        <v>26.969626999999999</v>
      </c>
      <c r="G2269">
        <v>37665200</v>
      </c>
      <c r="I2269">
        <f t="shared" si="36"/>
        <v>3.3292251914508958E-4</v>
      </c>
    </row>
    <row r="2270" spans="1:9" x14ac:dyDescent="0.3">
      <c r="A2270" s="5">
        <v>44931</v>
      </c>
      <c r="B2270">
        <v>27.440000999999999</v>
      </c>
      <c r="C2270">
        <v>27.780000999999999</v>
      </c>
      <c r="D2270">
        <v>27.379999000000002</v>
      </c>
      <c r="E2270">
        <v>27.559999000000001</v>
      </c>
      <c r="F2270">
        <v>26.852705</v>
      </c>
      <c r="G2270">
        <v>33552600</v>
      </c>
      <c r="I2270">
        <f t="shared" si="36"/>
        <v>1.1225647623694073E-4</v>
      </c>
    </row>
    <row r="2271" spans="1:9" x14ac:dyDescent="0.3">
      <c r="A2271" s="5">
        <v>44932</v>
      </c>
      <c r="B2271">
        <v>27.93</v>
      </c>
      <c r="C2271">
        <v>28.83</v>
      </c>
      <c r="D2271">
        <v>27.379999000000002</v>
      </c>
      <c r="E2271">
        <v>28.73</v>
      </c>
      <c r="F2271">
        <v>27.99268</v>
      </c>
      <c r="G2271">
        <v>31788600</v>
      </c>
      <c r="I2271">
        <f t="shared" si="36"/>
        <v>1.0674186724644863E-3</v>
      </c>
    </row>
    <row r="2272" spans="1:9" x14ac:dyDescent="0.3">
      <c r="A2272" s="5">
        <v>44935</v>
      </c>
      <c r="B2272">
        <v>28.84</v>
      </c>
      <c r="C2272">
        <v>29.870000999999998</v>
      </c>
      <c r="D2272">
        <v>28.84</v>
      </c>
      <c r="E2272">
        <v>29.309999000000001</v>
      </c>
      <c r="F2272">
        <v>28.557793</v>
      </c>
      <c r="G2272">
        <v>37493200</v>
      </c>
      <c r="I2272">
        <f t="shared" si="36"/>
        <v>6.6413702590378712E-4</v>
      </c>
    </row>
    <row r="2273" spans="1:9" x14ac:dyDescent="0.3">
      <c r="A2273" s="5">
        <v>44936</v>
      </c>
      <c r="B2273">
        <v>29.24</v>
      </c>
      <c r="C2273">
        <v>29.51</v>
      </c>
      <c r="D2273">
        <v>28.92</v>
      </c>
      <c r="E2273">
        <v>29.440000999999999</v>
      </c>
      <c r="F2273">
        <v>28.684457999999999</v>
      </c>
      <c r="G2273">
        <v>23008100</v>
      </c>
      <c r="I2273">
        <f t="shared" si="36"/>
        <v>2.1793441819094816E-4</v>
      </c>
    </row>
    <row r="2274" spans="1:9" x14ac:dyDescent="0.3">
      <c r="A2274" s="5">
        <v>44937</v>
      </c>
      <c r="B2274">
        <v>29.68</v>
      </c>
      <c r="C2274">
        <v>29.879999000000002</v>
      </c>
      <c r="D2274">
        <v>29</v>
      </c>
      <c r="E2274">
        <v>29.85</v>
      </c>
      <c r="F2274">
        <v>29.083936999999999</v>
      </c>
      <c r="G2274">
        <v>30375400</v>
      </c>
      <c r="I2274">
        <f t="shared" si="36"/>
        <v>6.7632361961752357E-4</v>
      </c>
    </row>
    <row r="2275" spans="1:9" x14ac:dyDescent="0.3">
      <c r="A2275" s="5">
        <v>44938</v>
      </c>
      <c r="B2275">
        <v>29.98</v>
      </c>
      <c r="C2275">
        <v>30.379999000000002</v>
      </c>
      <c r="D2275">
        <v>29.469999000000001</v>
      </c>
      <c r="E2275">
        <v>30.290001</v>
      </c>
      <c r="F2275">
        <v>29.512646</v>
      </c>
      <c r="G2275">
        <v>28963900</v>
      </c>
      <c r="I2275">
        <f t="shared" si="36"/>
        <v>5.1021406346127274E-4</v>
      </c>
    </row>
    <row r="2276" spans="1:9" x14ac:dyDescent="0.3">
      <c r="A2276" s="5">
        <v>44939</v>
      </c>
      <c r="B2276">
        <v>29.969999000000001</v>
      </c>
      <c r="C2276">
        <v>30.17</v>
      </c>
      <c r="D2276">
        <v>29.809999000000001</v>
      </c>
      <c r="E2276">
        <v>30.110001</v>
      </c>
      <c r="F2276">
        <v>29.337267000000001</v>
      </c>
      <c r="G2276">
        <v>31361900</v>
      </c>
      <c r="I2276">
        <f t="shared" si="36"/>
        <v>6.6842416009366842E-5</v>
      </c>
    </row>
    <row r="2277" spans="1:9" x14ac:dyDescent="0.3">
      <c r="A2277" s="5">
        <v>44943</v>
      </c>
      <c r="B2277">
        <v>30.18</v>
      </c>
      <c r="C2277">
        <v>30.26</v>
      </c>
      <c r="D2277">
        <v>29.52</v>
      </c>
      <c r="E2277">
        <v>29.6</v>
      </c>
      <c r="F2277">
        <v>28.840353</v>
      </c>
      <c r="G2277">
        <v>34759100</v>
      </c>
      <c r="I2277">
        <f t="shared" si="36"/>
        <v>1.1821977530307741E-4</v>
      </c>
    </row>
    <row r="2278" spans="1:9" x14ac:dyDescent="0.3">
      <c r="A2278" s="5">
        <v>44944</v>
      </c>
      <c r="B2278">
        <v>29.799999</v>
      </c>
      <c r="C2278">
        <v>29.82</v>
      </c>
      <c r="D2278">
        <v>28.629999000000002</v>
      </c>
      <c r="E2278">
        <v>28.809999000000001</v>
      </c>
      <c r="F2278">
        <v>28.070627000000002</v>
      </c>
      <c r="G2278">
        <v>44199600</v>
      </c>
      <c r="I2278">
        <f t="shared" si="36"/>
        <v>2.7414987565982016E-4</v>
      </c>
    </row>
    <row r="2279" spans="1:9" x14ac:dyDescent="0.3">
      <c r="A2279" s="5">
        <v>44945</v>
      </c>
      <c r="B2279">
        <v>28.610001</v>
      </c>
      <c r="C2279">
        <v>28.76</v>
      </c>
      <c r="D2279">
        <v>28.24</v>
      </c>
      <c r="E2279">
        <v>28.42</v>
      </c>
      <c r="F2279">
        <v>27.690638</v>
      </c>
      <c r="G2279">
        <v>36886600</v>
      </c>
      <c r="I2279">
        <f t="shared" si="36"/>
        <v>1.4489347738033356E-4</v>
      </c>
    </row>
    <row r="2280" spans="1:9" x14ac:dyDescent="0.3">
      <c r="A2280" s="5">
        <v>44946</v>
      </c>
      <c r="B2280">
        <v>28.42</v>
      </c>
      <c r="C2280">
        <v>29.23</v>
      </c>
      <c r="D2280">
        <v>28.25</v>
      </c>
      <c r="E2280">
        <v>29.219999000000001</v>
      </c>
      <c r="F2280">
        <v>28.470106000000001</v>
      </c>
      <c r="G2280">
        <v>35158500</v>
      </c>
      <c r="I2280">
        <f t="shared" si="36"/>
        <v>2.1216503803611728E-4</v>
      </c>
    </row>
    <row r="2281" spans="1:9" x14ac:dyDescent="0.3">
      <c r="A2281" s="5">
        <v>44949</v>
      </c>
      <c r="B2281">
        <v>29.33</v>
      </c>
      <c r="C2281">
        <v>30.49</v>
      </c>
      <c r="D2281">
        <v>29.18</v>
      </c>
      <c r="E2281">
        <v>30.27</v>
      </c>
      <c r="F2281">
        <v>29.49316</v>
      </c>
      <c r="G2281">
        <v>38795800</v>
      </c>
      <c r="I2281">
        <f t="shared" si="36"/>
        <v>4.689256795477819E-4</v>
      </c>
    </row>
    <row r="2282" spans="1:9" x14ac:dyDescent="0.3">
      <c r="A2282" s="5">
        <v>44950</v>
      </c>
      <c r="B2282">
        <v>29.940000999999999</v>
      </c>
      <c r="C2282">
        <v>30.190000999999999</v>
      </c>
      <c r="D2282">
        <v>29.73</v>
      </c>
      <c r="E2282">
        <v>29.92</v>
      </c>
      <c r="F2282">
        <v>29.152142000000001</v>
      </c>
      <c r="G2282">
        <v>24855100</v>
      </c>
      <c r="I2282">
        <f t="shared" si="36"/>
        <v>1.1954273731938789E-4</v>
      </c>
    </row>
    <row r="2283" spans="1:9" x14ac:dyDescent="0.3">
      <c r="A2283" s="5">
        <v>44951</v>
      </c>
      <c r="B2283">
        <v>29.52</v>
      </c>
      <c r="C2283">
        <v>29.889999</v>
      </c>
      <c r="D2283">
        <v>29.17</v>
      </c>
      <c r="E2283">
        <v>29.700001</v>
      </c>
      <c r="F2283">
        <v>28.937788000000001</v>
      </c>
      <c r="G2283">
        <v>28268000</v>
      </c>
      <c r="I2283">
        <f t="shared" si="36"/>
        <v>2.9419482154769078E-4</v>
      </c>
    </row>
    <row r="2284" spans="1:9" x14ac:dyDescent="0.3">
      <c r="A2284" s="5">
        <v>44952</v>
      </c>
      <c r="B2284">
        <v>30.059999000000001</v>
      </c>
      <c r="C2284">
        <v>30.110001</v>
      </c>
      <c r="D2284">
        <v>29.33</v>
      </c>
      <c r="E2284">
        <v>30.09</v>
      </c>
      <c r="F2284">
        <v>29.317778000000001</v>
      </c>
      <c r="G2284">
        <v>56088100</v>
      </c>
      <c r="I2284">
        <f t="shared" si="36"/>
        <v>6.3002444082042766E-4</v>
      </c>
    </row>
    <row r="2285" spans="1:9" x14ac:dyDescent="0.3">
      <c r="A2285" s="5">
        <v>44953</v>
      </c>
      <c r="B2285">
        <v>27.07</v>
      </c>
      <c r="C2285">
        <v>28.24</v>
      </c>
      <c r="D2285">
        <v>26.780000999999999</v>
      </c>
      <c r="E2285">
        <v>28.16</v>
      </c>
      <c r="F2285">
        <v>27.437308999999999</v>
      </c>
      <c r="G2285">
        <v>148548200</v>
      </c>
      <c r="I2285">
        <f t="shared" si="36"/>
        <v>6.6123616225554596E-4</v>
      </c>
    </row>
    <row r="2286" spans="1:9" x14ac:dyDescent="0.3">
      <c r="A2286" s="5">
        <v>44956</v>
      </c>
      <c r="B2286">
        <v>27.719999000000001</v>
      </c>
      <c r="C2286">
        <v>28.51</v>
      </c>
      <c r="D2286">
        <v>27.67</v>
      </c>
      <c r="E2286">
        <v>27.950001</v>
      </c>
      <c r="F2286">
        <v>27.232700000000001</v>
      </c>
      <c r="G2286">
        <v>55145800</v>
      </c>
      <c r="I2286">
        <f t="shared" si="36"/>
        <v>5.7563063255469942E-4</v>
      </c>
    </row>
    <row r="2287" spans="1:9" x14ac:dyDescent="0.3">
      <c r="A2287" s="5">
        <v>44957</v>
      </c>
      <c r="B2287">
        <v>27.780000999999999</v>
      </c>
      <c r="C2287">
        <v>28.290001</v>
      </c>
      <c r="D2287">
        <v>27.530000999999999</v>
      </c>
      <c r="E2287">
        <v>28.26</v>
      </c>
      <c r="F2287">
        <v>27.534742000000001</v>
      </c>
      <c r="G2287">
        <v>52621600</v>
      </c>
      <c r="I2287">
        <f t="shared" si="36"/>
        <v>2.5588905574501784E-4</v>
      </c>
    </row>
    <row r="2288" spans="1:9" x14ac:dyDescent="0.3">
      <c r="A2288" s="5">
        <v>44958</v>
      </c>
      <c r="B2288">
        <v>27.889999</v>
      </c>
      <c r="C2288">
        <v>29.43</v>
      </c>
      <c r="D2288">
        <v>27.68</v>
      </c>
      <c r="E2288">
        <v>29.07</v>
      </c>
      <c r="F2288">
        <v>28.323955999999999</v>
      </c>
      <c r="G2288">
        <v>63330600</v>
      </c>
      <c r="I2288">
        <f t="shared" si="36"/>
        <v>1.0318203578082619E-3</v>
      </c>
    </row>
    <row r="2289" spans="1:9" x14ac:dyDescent="0.3">
      <c r="A2289" s="5">
        <v>44959</v>
      </c>
      <c r="B2289">
        <v>29.25</v>
      </c>
      <c r="C2289">
        <v>30.299999</v>
      </c>
      <c r="D2289">
        <v>28.799999</v>
      </c>
      <c r="E2289">
        <v>30.190000999999999</v>
      </c>
      <c r="F2289">
        <v>29.415210999999999</v>
      </c>
      <c r="G2289">
        <v>62230700</v>
      </c>
      <c r="I2289">
        <f t="shared" si="36"/>
        <v>8.5906471761129036E-4</v>
      </c>
    </row>
    <row r="2290" spans="1:9" x14ac:dyDescent="0.3">
      <c r="A2290" s="5">
        <v>44960</v>
      </c>
      <c r="B2290">
        <v>29.620000999999998</v>
      </c>
      <c r="C2290">
        <v>31.17</v>
      </c>
      <c r="D2290">
        <v>29.530000999999999</v>
      </c>
      <c r="E2290">
        <v>30.32</v>
      </c>
      <c r="F2290">
        <v>29.541878000000001</v>
      </c>
      <c r="G2290">
        <v>57603100</v>
      </c>
      <c r="I2290">
        <f t="shared" si="36"/>
        <v>1.4905887311706691E-3</v>
      </c>
    </row>
    <row r="2291" spans="1:9" x14ac:dyDescent="0.3">
      <c r="A2291" s="5">
        <v>44963</v>
      </c>
      <c r="B2291">
        <v>29.549999</v>
      </c>
      <c r="C2291">
        <v>29.65</v>
      </c>
      <c r="D2291">
        <v>28.610001</v>
      </c>
      <c r="E2291">
        <v>28.690000999999999</v>
      </c>
      <c r="F2291">
        <v>28.294322999999999</v>
      </c>
      <c r="G2291">
        <v>48726400</v>
      </c>
      <c r="I2291">
        <f t="shared" si="36"/>
        <v>2.0146379102649873E-4</v>
      </c>
    </row>
    <row r="2292" spans="1:9" x14ac:dyDescent="0.3">
      <c r="A2292" s="5">
        <v>44964</v>
      </c>
      <c r="B2292">
        <v>28.65</v>
      </c>
      <c r="C2292">
        <v>29.27</v>
      </c>
      <c r="D2292">
        <v>28.43</v>
      </c>
      <c r="E2292">
        <v>29.049999</v>
      </c>
      <c r="F2292">
        <v>28.649355</v>
      </c>
      <c r="G2292">
        <v>50780800</v>
      </c>
      <c r="I2292">
        <f t="shared" si="36"/>
        <v>3.2782829311315799E-4</v>
      </c>
    </row>
    <row r="2293" spans="1:9" x14ac:dyDescent="0.3">
      <c r="A2293" s="5">
        <v>44965</v>
      </c>
      <c r="B2293">
        <v>28.950001</v>
      </c>
      <c r="C2293">
        <v>29.120000999999998</v>
      </c>
      <c r="D2293">
        <v>28.209999</v>
      </c>
      <c r="E2293">
        <v>28.24</v>
      </c>
      <c r="F2293">
        <v>27.850527</v>
      </c>
      <c r="G2293">
        <v>36479100</v>
      </c>
      <c r="I2293">
        <f t="shared" si="36"/>
        <v>2.071892719791276E-4</v>
      </c>
    </row>
    <row r="2294" spans="1:9" x14ac:dyDescent="0.3">
      <c r="A2294" s="5">
        <v>44966</v>
      </c>
      <c r="B2294">
        <v>28.68</v>
      </c>
      <c r="C2294">
        <v>28.82</v>
      </c>
      <c r="D2294">
        <v>27.57</v>
      </c>
      <c r="E2294">
        <v>27.73</v>
      </c>
      <c r="F2294">
        <v>27.347560999999999</v>
      </c>
      <c r="G2294">
        <v>43906400</v>
      </c>
      <c r="I2294">
        <f t="shared" si="36"/>
        <v>4.1615397721194943E-4</v>
      </c>
    </row>
    <row r="2295" spans="1:9" x14ac:dyDescent="0.3">
      <c r="A2295" s="5">
        <v>44967</v>
      </c>
      <c r="B2295">
        <v>27.629999000000002</v>
      </c>
      <c r="C2295">
        <v>27.99</v>
      </c>
      <c r="D2295">
        <v>27.34</v>
      </c>
      <c r="E2295">
        <v>27.799999</v>
      </c>
      <c r="F2295">
        <v>27.416594</v>
      </c>
      <c r="G2295">
        <v>31232500</v>
      </c>
      <c r="I2295">
        <f t="shared" si="36"/>
        <v>2.6422347246940405E-4</v>
      </c>
    </row>
    <row r="2296" spans="1:9" x14ac:dyDescent="0.3">
      <c r="A2296" s="5">
        <v>44970</v>
      </c>
      <c r="B2296">
        <v>27.870000999999998</v>
      </c>
      <c r="C2296">
        <v>28.549999</v>
      </c>
      <c r="D2296">
        <v>27.719999000000001</v>
      </c>
      <c r="E2296">
        <v>28.549999</v>
      </c>
      <c r="F2296">
        <v>28.156251999999999</v>
      </c>
      <c r="G2296">
        <v>32347500</v>
      </c>
      <c r="I2296">
        <f t="shared" si="36"/>
        <v>1.5921871454575861E-4</v>
      </c>
    </row>
    <row r="2297" spans="1:9" x14ac:dyDescent="0.3">
      <c r="A2297" s="5">
        <v>44971</v>
      </c>
      <c r="B2297">
        <v>28.379999000000002</v>
      </c>
      <c r="C2297">
        <v>28.719999000000001</v>
      </c>
      <c r="D2297">
        <v>27.99</v>
      </c>
      <c r="E2297">
        <v>28.639999</v>
      </c>
      <c r="F2297">
        <v>28.245010000000001</v>
      </c>
      <c r="G2297">
        <v>27928900</v>
      </c>
      <c r="I2297">
        <f t="shared" si="36"/>
        <v>3.5088289731731193E-4</v>
      </c>
    </row>
    <row r="2298" spans="1:9" x14ac:dyDescent="0.3">
      <c r="A2298" s="5">
        <v>44972</v>
      </c>
      <c r="B2298">
        <v>28.360001</v>
      </c>
      <c r="C2298">
        <v>28.879999000000002</v>
      </c>
      <c r="D2298">
        <v>28.16</v>
      </c>
      <c r="E2298">
        <v>28.85</v>
      </c>
      <c r="F2298">
        <v>28.452116</v>
      </c>
      <c r="G2298">
        <v>23359400</v>
      </c>
      <c r="I2298">
        <f t="shared" si="36"/>
        <v>1.9020454329507285E-4</v>
      </c>
    </row>
    <row r="2299" spans="1:9" x14ac:dyDescent="0.3">
      <c r="A2299" s="5">
        <v>44973</v>
      </c>
      <c r="B2299">
        <v>28.5</v>
      </c>
      <c r="C2299">
        <v>28.83</v>
      </c>
      <c r="D2299">
        <v>28.129999000000002</v>
      </c>
      <c r="E2299">
        <v>28.200001</v>
      </c>
      <c r="F2299">
        <v>27.811081000000001</v>
      </c>
      <c r="G2299">
        <v>28972500</v>
      </c>
      <c r="I2299">
        <f t="shared" si="36"/>
        <v>2.8683955113655599E-4</v>
      </c>
    </row>
    <row r="2300" spans="1:9" x14ac:dyDescent="0.3">
      <c r="A2300" s="5">
        <v>44974</v>
      </c>
      <c r="B2300">
        <v>28</v>
      </c>
      <c r="C2300">
        <v>28.07</v>
      </c>
      <c r="D2300">
        <v>27.379999000000002</v>
      </c>
      <c r="E2300">
        <v>27.610001</v>
      </c>
      <c r="F2300">
        <v>27.229213999999999</v>
      </c>
      <c r="G2300">
        <v>32086200</v>
      </c>
      <c r="I2300">
        <f t="shared" si="36"/>
        <v>2.2856980936918411E-4</v>
      </c>
    </row>
    <row r="2301" spans="1:9" x14ac:dyDescent="0.3">
      <c r="A2301" s="5">
        <v>44978</v>
      </c>
      <c r="B2301">
        <v>27.110001</v>
      </c>
      <c r="C2301">
        <v>27.27</v>
      </c>
      <c r="D2301">
        <v>26.040001</v>
      </c>
      <c r="E2301">
        <v>26.059999000000001</v>
      </c>
      <c r="F2301">
        <v>25.700593999999999</v>
      </c>
      <c r="G2301">
        <v>63668400</v>
      </c>
      <c r="I2301">
        <f t="shared" si="36"/>
        <v>2.9798526565634286E-4</v>
      </c>
    </row>
    <row r="2302" spans="1:9" x14ac:dyDescent="0.3">
      <c r="A2302" s="5">
        <v>44979</v>
      </c>
      <c r="B2302">
        <v>25.91</v>
      </c>
      <c r="C2302">
        <v>26.9</v>
      </c>
      <c r="D2302">
        <v>25.299999</v>
      </c>
      <c r="E2302">
        <v>25.469999000000001</v>
      </c>
      <c r="F2302">
        <v>25.118728999999998</v>
      </c>
      <c r="G2302">
        <v>89195300</v>
      </c>
      <c r="I2302">
        <f t="shared" si="36"/>
        <v>2.2078420265133677E-3</v>
      </c>
    </row>
    <row r="2303" spans="1:9" x14ac:dyDescent="0.3">
      <c r="A2303" s="5">
        <v>44980</v>
      </c>
      <c r="B2303">
        <v>25.780000999999999</v>
      </c>
      <c r="C2303">
        <v>26.08</v>
      </c>
      <c r="D2303">
        <v>25.32</v>
      </c>
      <c r="E2303">
        <v>25.610001</v>
      </c>
      <c r="F2303">
        <v>25.256799999999998</v>
      </c>
      <c r="G2303">
        <v>56473200</v>
      </c>
      <c r="I2303">
        <f t="shared" si="36"/>
        <v>4.1544494740398453E-4</v>
      </c>
    </row>
    <row r="2304" spans="1:9" x14ac:dyDescent="0.3">
      <c r="A2304" s="5">
        <v>44981</v>
      </c>
      <c r="B2304">
        <v>25.219999000000001</v>
      </c>
      <c r="C2304">
        <v>25.35</v>
      </c>
      <c r="D2304">
        <v>24.92</v>
      </c>
      <c r="E2304">
        <v>25.139999</v>
      </c>
      <c r="F2304">
        <v>24.793279999999999</v>
      </c>
      <c r="G2304">
        <v>44089900</v>
      </c>
      <c r="I2304">
        <f t="shared" si="36"/>
        <v>1.4794944291437391E-4</v>
      </c>
    </row>
    <row r="2305" spans="1:9" x14ac:dyDescent="0.3">
      <c r="A2305" s="5">
        <v>44984</v>
      </c>
      <c r="B2305">
        <v>25.549999</v>
      </c>
      <c r="C2305">
        <v>25.58</v>
      </c>
      <c r="D2305">
        <v>24.879999000000002</v>
      </c>
      <c r="E2305">
        <v>24.9</v>
      </c>
      <c r="F2305">
        <v>24.556588999999999</v>
      </c>
      <c r="G2305">
        <v>37657000</v>
      </c>
      <c r="I2305">
        <f t="shared" si="36"/>
        <v>5.2971563706833197E-5</v>
      </c>
    </row>
    <row r="2306" spans="1:9" x14ac:dyDescent="0.3">
      <c r="A2306" s="5">
        <v>44985</v>
      </c>
      <c r="B2306">
        <v>24.940000999999999</v>
      </c>
      <c r="C2306">
        <v>25.120000999999998</v>
      </c>
      <c r="D2306">
        <v>24.73</v>
      </c>
      <c r="E2306">
        <v>24.93</v>
      </c>
      <c r="F2306">
        <v>24.586178</v>
      </c>
      <c r="G2306">
        <v>50255300</v>
      </c>
      <c r="I2306">
        <f t="shared" si="36"/>
        <v>1.227113056674803E-4</v>
      </c>
    </row>
    <row r="2307" spans="1:9" x14ac:dyDescent="0.3">
      <c r="A2307" s="5">
        <v>44986</v>
      </c>
      <c r="B2307">
        <v>25.030000999999999</v>
      </c>
      <c r="C2307">
        <v>25.92</v>
      </c>
      <c r="D2307">
        <v>24.969999000000001</v>
      </c>
      <c r="E2307">
        <v>25.33</v>
      </c>
      <c r="F2307">
        <v>24.980658999999999</v>
      </c>
      <c r="G2307">
        <v>47823400</v>
      </c>
      <c r="I2307">
        <f t="shared" si="36"/>
        <v>8.3885715118295606E-4</v>
      </c>
    </row>
    <row r="2308" spans="1:9" x14ac:dyDescent="0.3">
      <c r="A2308" s="5">
        <v>44987</v>
      </c>
      <c r="B2308">
        <v>25.209999</v>
      </c>
      <c r="C2308">
        <v>26.299999</v>
      </c>
      <c r="D2308">
        <v>25.120000999999998</v>
      </c>
      <c r="E2308">
        <v>26.200001</v>
      </c>
      <c r="F2308">
        <v>25.838660999999998</v>
      </c>
      <c r="G2308">
        <v>48309300</v>
      </c>
      <c r="I2308">
        <f t="shared" si="36"/>
        <v>3.1179269141084934E-4</v>
      </c>
    </row>
    <row r="2309" spans="1:9" x14ac:dyDescent="0.3">
      <c r="A2309" s="5">
        <v>44988</v>
      </c>
      <c r="B2309">
        <v>26.200001</v>
      </c>
      <c r="C2309">
        <v>26.48</v>
      </c>
      <c r="D2309">
        <v>26.01</v>
      </c>
      <c r="E2309">
        <v>26.4</v>
      </c>
      <c r="F2309">
        <v>26.035903999999999</v>
      </c>
      <c r="G2309">
        <v>36744900</v>
      </c>
      <c r="I2309">
        <f t="shared" si="36"/>
        <v>1.4048773543756985E-4</v>
      </c>
    </row>
    <row r="2310" spans="1:9" x14ac:dyDescent="0.3">
      <c r="A2310" s="5">
        <v>44991</v>
      </c>
      <c r="B2310">
        <v>26.469999000000001</v>
      </c>
      <c r="C2310">
        <v>26.540001</v>
      </c>
      <c r="D2310">
        <v>25.93</v>
      </c>
      <c r="E2310">
        <v>25.99</v>
      </c>
      <c r="F2310">
        <v>25.631557000000001</v>
      </c>
      <c r="G2310">
        <v>37879800</v>
      </c>
      <c r="I2310">
        <f t="shared" si="36"/>
        <v>1.0294563296098553E-4</v>
      </c>
    </row>
    <row r="2311" spans="1:9" x14ac:dyDescent="0.3">
      <c r="A2311" s="5">
        <v>44992</v>
      </c>
      <c r="B2311">
        <v>25.84</v>
      </c>
      <c r="C2311">
        <v>25.99</v>
      </c>
      <c r="D2311">
        <v>25.5</v>
      </c>
      <c r="E2311">
        <v>25.530000999999999</v>
      </c>
      <c r="F2311">
        <v>25.177900000000001</v>
      </c>
      <c r="G2311">
        <v>43164600</v>
      </c>
      <c r="I2311">
        <f t="shared" si="36"/>
        <v>1.1893667337718042E-4</v>
      </c>
    </row>
    <row r="2312" spans="1:9" x14ac:dyDescent="0.3">
      <c r="A2312" s="5">
        <v>44993</v>
      </c>
      <c r="B2312">
        <v>25.559999000000001</v>
      </c>
      <c r="C2312">
        <v>26.01</v>
      </c>
      <c r="D2312">
        <v>25.450001</v>
      </c>
      <c r="E2312">
        <v>25.98</v>
      </c>
      <c r="F2312">
        <v>25.621694999999999</v>
      </c>
      <c r="G2312">
        <v>36071900</v>
      </c>
      <c r="I2312">
        <f t="shared" si="36"/>
        <v>1.0903363807507086E-4</v>
      </c>
    </row>
    <row r="2313" spans="1:9" x14ac:dyDescent="0.3">
      <c r="A2313" s="5">
        <v>44994</v>
      </c>
      <c r="B2313">
        <v>25.98</v>
      </c>
      <c r="C2313">
        <v>26.98</v>
      </c>
      <c r="D2313">
        <v>25.969999000000001</v>
      </c>
      <c r="E2313">
        <v>26.440000999999999</v>
      </c>
      <c r="F2313">
        <v>26.075354000000001</v>
      </c>
      <c r="G2313">
        <v>54886100</v>
      </c>
      <c r="I2313">
        <f t="shared" si="36"/>
        <v>7.7050858455752634E-4</v>
      </c>
    </row>
    <row r="2314" spans="1:9" x14ac:dyDescent="0.3">
      <c r="A2314" s="5">
        <v>44995</v>
      </c>
      <c r="B2314">
        <v>26.549999</v>
      </c>
      <c r="C2314">
        <v>27.52</v>
      </c>
      <c r="D2314">
        <v>26.32</v>
      </c>
      <c r="E2314">
        <v>27.219999000000001</v>
      </c>
      <c r="F2314">
        <v>26.844595000000002</v>
      </c>
      <c r="G2314">
        <v>65187000</v>
      </c>
      <c r="I2314">
        <f t="shared" si="36"/>
        <v>6.8585789503099659E-4</v>
      </c>
    </row>
    <row r="2315" spans="1:9" x14ac:dyDescent="0.3">
      <c r="A2315" s="5">
        <v>44998</v>
      </c>
      <c r="B2315">
        <v>26.74</v>
      </c>
      <c r="C2315">
        <v>27.309999000000001</v>
      </c>
      <c r="D2315">
        <v>26.610001</v>
      </c>
      <c r="E2315">
        <v>26.950001</v>
      </c>
      <c r="F2315">
        <v>26.578317999999999</v>
      </c>
      <c r="G2315">
        <v>50977000</v>
      </c>
      <c r="I2315">
        <f t="shared" si="36"/>
        <v>3.4176033670632079E-4</v>
      </c>
    </row>
    <row r="2316" spans="1:9" x14ac:dyDescent="0.3">
      <c r="A2316" s="5">
        <v>44999</v>
      </c>
      <c r="B2316">
        <v>27.35</v>
      </c>
      <c r="C2316">
        <v>28.1</v>
      </c>
      <c r="D2316">
        <v>27.25</v>
      </c>
      <c r="E2316">
        <v>28.01</v>
      </c>
      <c r="F2316">
        <v>27.623698999999998</v>
      </c>
      <c r="G2316">
        <v>47689800</v>
      </c>
      <c r="I2316">
        <f t="shared" ref="I2316:I2379" si="37">LN(C2316/B2316)*(LN(C2316/B2316)-LN(E2316/B2316))+LN(D2316/B2316)*(LN(D2316/B2316)-LN(E2316/B2316))</f>
        <v>1.8754809353873242E-4</v>
      </c>
    </row>
    <row r="2317" spans="1:9" x14ac:dyDescent="0.3">
      <c r="A2317" s="5">
        <v>45000</v>
      </c>
      <c r="B2317">
        <v>27.73</v>
      </c>
      <c r="C2317">
        <v>28.5</v>
      </c>
      <c r="D2317">
        <v>27.66</v>
      </c>
      <c r="E2317">
        <v>28.41</v>
      </c>
      <c r="F2317">
        <v>28.018183000000001</v>
      </c>
      <c r="G2317">
        <v>49322800</v>
      </c>
      <c r="I2317">
        <f t="shared" si="37"/>
        <v>1.5425045163909156E-4</v>
      </c>
    </row>
    <row r="2318" spans="1:9" x14ac:dyDescent="0.3">
      <c r="A2318" s="5">
        <v>45001</v>
      </c>
      <c r="B2318">
        <v>28.389999</v>
      </c>
      <c r="C2318">
        <v>30.27</v>
      </c>
      <c r="D2318">
        <v>28.389999</v>
      </c>
      <c r="E2318">
        <v>30.18</v>
      </c>
      <c r="F2318">
        <v>29.763770999999998</v>
      </c>
      <c r="G2318">
        <v>75779500</v>
      </c>
      <c r="I2318">
        <f t="shared" si="37"/>
        <v>1.9092873989867389E-4</v>
      </c>
    </row>
    <row r="2319" spans="1:9" x14ac:dyDescent="0.3">
      <c r="A2319" s="5">
        <v>45002</v>
      </c>
      <c r="B2319">
        <v>29.92</v>
      </c>
      <c r="C2319">
        <v>31</v>
      </c>
      <c r="D2319">
        <v>29.440000999999999</v>
      </c>
      <c r="E2319">
        <v>29.809999000000001</v>
      </c>
      <c r="F2319">
        <v>29.398873999999999</v>
      </c>
      <c r="G2319">
        <v>80628500</v>
      </c>
      <c r="I2319">
        <f t="shared" si="37"/>
        <v>1.5900157554051776E-3</v>
      </c>
    </row>
    <row r="2320" spans="1:9" x14ac:dyDescent="0.3">
      <c r="A2320" s="5">
        <v>45005</v>
      </c>
      <c r="B2320">
        <v>29.799999</v>
      </c>
      <c r="C2320">
        <v>29.9</v>
      </c>
      <c r="D2320">
        <v>28.629999000000002</v>
      </c>
      <c r="E2320">
        <v>29.16</v>
      </c>
      <c r="F2320">
        <v>28.757839000000001</v>
      </c>
      <c r="G2320">
        <v>38780100</v>
      </c>
      <c r="I2320">
        <f t="shared" si="37"/>
        <v>8.1864608518162968E-4</v>
      </c>
    </row>
    <row r="2321" spans="1:9" x14ac:dyDescent="0.3">
      <c r="A2321" s="5">
        <v>45006</v>
      </c>
      <c r="B2321">
        <v>29</v>
      </c>
      <c r="C2321">
        <v>29.17</v>
      </c>
      <c r="D2321">
        <v>27.98</v>
      </c>
      <c r="E2321">
        <v>28.459999</v>
      </c>
      <c r="F2321">
        <v>28.067492000000001</v>
      </c>
      <c r="G2321">
        <v>55650800</v>
      </c>
      <c r="I2321">
        <f t="shared" si="37"/>
        <v>7.5306978153209911E-4</v>
      </c>
    </row>
    <row r="2322" spans="1:9" x14ac:dyDescent="0.3">
      <c r="A2322" s="5">
        <v>45007</v>
      </c>
      <c r="B2322">
        <v>28.48</v>
      </c>
      <c r="C2322">
        <v>29.120000999999998</v>
      </c>
      <c r="D2322">
        <v>28.1</v>
      </c>
      <c r="E2322">
        <v>28.129999000000002</v>
      </c>
      <c r="F2322">
        <v>27.742042999999999</v>
      </c>
      <c r="G2322">
        <v>37415500</v>
      </c>
      <c r="I2322">
        <f t="shared" si="37"/>
        <v>7.8300257927905038E-4</v>
      </c>
    </row>
    <row r="2323" spans="1:9" x14ac:dyDescent="0.3">
      <c r="A2323" s="5">
        <v>45008</v>
      </c>
      <c r="B2323">
        <v>28.379999000000002</v>
      </c>
      <c r="C2323">
        <v>29.16</v>
      </c>
      <c r="D2323">
        <v>28.219999000000001</v>
      </c>
      <c r="E2323">
        <v>29.030000999999999</v>
      </c>
      <c r="F2323">
        <v>28.629631</v>
      </c>
      <c r="G2323">
        <v>43785500</v>
      </c>
      <c r="I2323">
        <f t="shared" si="37"/>
        <v>2.811388808973632E-4</v>
      </c>
    </row>
    <row r="2324" spans="1:9" x14ac:dyDescent="0.3">
      <c r="A2324" s="5">
        <v>45009</v>
      </c>
      <c r="B2324">
        <v>29.040001</v>
      </c>
      <c r="C2324">
        <v>29.809999000000001</v>
      </c>
      <c r="D2324">
        <v>28.93</v>
      </c>
      <c r="E2324">
        <v>29.360001</v>
      </c>
      <c r="F2324">
        <v>28.955082000000001</v>
      </c>
      <c r="G2324">
        <v>55912100</v>
      </c>
      <c r="I2324">
        <f t="shared" si="37"/>
        <v>4.5405046152924516E-4</v>
      </c>
    </row>
    <row r="2325" spans="1:9" x14ac:dyDescent="0.3">
      <c r="A2325" s="5">
        <v>45012</v>
      </c>
      <c r="B2325">
        <v>29.370000999999998</v>
      </c>
      <c r="C2325">
        <v>29.73</v>
      </c>
      <c r="D2325">
        <v>29.08</v>
      </c>
      <c r="E2325">
        <v>29.18</v>
      </c>
      <c r="F2325">
        <v>28.777563000000001</v>
      </c>
      <c r="G2325">
        <v>34758200</v>
      </c>
      <c r="I2325">
        <f t="shared" si="37"/>
        <v>2.6155665325636087E-4</v>
      </c>
    </row>
    <row r="2326" spans="1:9" x14ac:dyDescent="0.3">
      <c r="A2326" s="5">
        <v>45013</v>
      </c>
      <c r="B2326">
        <v>29.08</v>
      </c>
      <c r="C2326">
        <v>29.33</v>
      </c>
      <c r="D2326">
        <v>28.629999000000002</v>
      </c>
      <c r="E2326">
        <v>29.290001</v>
      </c>
      <c r="F2326">
        <v>28.886047000000001</v>
      </c>
      <c r="G2326">
        <v>37407900</v>
      </c>
      <c r="I2326">
        <f t="shared" si="37"/>
        <v>3.671223729629678E-4</v>
      </c>
    </row>
    <row r="2327" spans="1:9" x14ac:dyDescent="0.3">
      <c r="A2327" s="5">
        <v>45014</v>
      </c>
      <c r="B2327">
        <v>29.77</v>
      </c>
      <c r="C2327">
        <v>31.889999</v>
      </c>
      <c r="D2327">
        <v>29.76</v>
      </c>
      <c r="E2327">
        <v>31.52</v>
      </c>
      <c r="F2327">
        <v>31.085291000000002</v>
      </c>
      <c r="G2327">
        <v>85556200</v>
      </c>
      <c r="I2327">
        <f t="shared" si="37"/>
        <v>8.2211044210107973E-4</v>
      </c>
    </row>
    <row r="2328" spans="1:9" x14ac:dyDescent="0.3">
      <c r="A2328" s="5">
        <v>45015</v>
      </c>
      <c r="B2328">
        <v>31.85</v>
      </c>
      <c r="C2328">
        <v>32.580002</v>
      </c>
      <c r="D2328">
        <v>31.809999000000001</v>
      </c>
      <c r="E2328">
        <v>32.090000000000003</v>
      </c>
      <c r="F2328">
        <v>31.647428999999999</v>
      </c>
      <c r="G2328">
        <v>70077600</v>
      </c>
      <c r="I2328">
        <f t="shared" si="37"/>
        <v>3.5442733257979979E-4</v>
      </c>
    </row>
    <row r="2329" spans="1:9" x14ac:dyDescent="0.3">
      <c r="A2329" s="5">
        <v>45016</v>
      </c>
      <c r="B2329">
        <v>31.799999</v>
      </c>
      <c r="C2329">
        <v>32.900002000000001</v>
      </c>
      <c r="D2329">
        <v>31.73</v>
      </c>
      <c r="E2329">
        <v>32.669998</v>
      </c>
      <c r="F2329">
        <v>32.219428999999998</v>
      </c>
      <c r="G2329">
        <v>59765000</v>
      </c>
      <c r="I2329">
        <f t="shared" si="37"/>
        <v>3.0290883333366028E-4</v>
      </c>
    </row>
    <row r="2330" spans="1:9" x14ac:dyDescent="0.3">
      <c r="A2330" s="5">
        <v>45019</v>
      </c>
      <c r="B2330">
        <v>32.939999</v>
      </c>
      <c r="C2330">
        <v>33.560001</v>
      </c>
      <c r="D2330">
        <v>32.540000999999997</v>
      </c>
      <c r="E2330">
        <v>32.889999000000003</v>
      </c>
      <c r="F2330">
        <v>32.436394</v>
      </c>
      <c r="G2330">
        <v>57038300</v>
      </c>
      <c r="I2330">
        <f t="shared" si="37"/>
        <v>5.0675458153127853E-4</v>
      </c>
    </row>
    <row r="2331" spans="1:9" x14ac:dyDescent="0.3">
      <c r="A2331" s="5">
        <v>45020</v>
      </c>
      <c r="B2331">
        <v>32.849997999999999</v>
      </c>
      <c r="C2331">
        <v>33.840000000000003</v>
      </c>
      <c r="D2331">
        <v>32.840000000000003</v>
      </c>
      <c r="E2331">
        <v>33.099997999999999</v>
      </c>
      <c r="F2331">
        <v>32.643497000000004</v>
      </c>
      <c r="G2331">
        <v>55714100</v>
      </c>
      <c r="I2331">
        <f t="shared" si="37"/>
        <v>6.5889658082427091E-4</v>
      </c>
    </row>
    <row r="2332" spans="1:9" x14ac:dyDescent="0.3">
      <c r="A2332" s="5">
        <v>45021</v>
      </c>
      <c r="B2332">
        <v>32.799999</v>
      </c>
      <c r="C2332">
        <v>32.990001999999997</v>
      </c>
      <c r="D2332">
        <v>32.340000000000003</v>
      </c>
      <c r="E2332">
        <v>32.830002</v>
      </c>
      <c r="F2332">
        <v>32.377223999999998</v>
      </c>
      <c r="G2332">
        <v>39615700</v>
      </c>
      <c r="I2332">
        <f t="shared" si="37"/>
        <v>2.4047207182644408E-4</v>
      </c>
    </row>
    <row r="2333" spans="1:9" x14ac:dyDescent="0.3">
      <c r="A2333" s="5">
        <v>45022</v>
      </c>
      <c r="B2333">
        <v>32.599997999999999</v>
      </c>
      <c r="C2333">
        <v>33</v>
      </c>
      <c r="D2333">
        <v>32.459999000000003</v>
      </c>
      <c r="E2333">
        <v>32.810001</v>
      </c>
      <c r="F2333">
        <v>32.357498</v>
      </c>
      <c r="G2333">
        <v>28551900</v>
      </c>
      <c r="I2333">
        <f t="shared" si="37"/>
        <v>1.1657458002371028E-4</v>
      </c>
    </row>
    <row r="2334" spans="1:9" x14ac:dyDescent="0.3">
      <c r="A2334" s="5">
        <v>45026</v>
      </c>
      <c r="B2334">
        <v>32.599997999999999</v>
      </c>
      <c r="C2334">
        <v>32.759998000000003</v>
      </c>
      <c r="D2334">
        <v>32.200001</v>
      </c>
      <c r="E2334">
        <v>32.520000000000003</v>
      </c>
      <c r="F2334">
        <v>32.071499000000003</v>
      </c>
      <c r="G2334">
        <v>30534400</v>
      </c>
      <c r="I2334">
        <f t="shared" si="37"/>
        <v>1.5808425016508658E-4</v>
      </c>
    </row>
    <row r="2335" spans="1:9" x14ac:dyDescent="0.3">
      <c r="A2335" s="5">
        <v>45027</v>
      </c>
      <c r="B2335">
        <v>32.659999999999997</v>
      </c>
      <c r="C2335">
        <v>33.110000999999997</v>
      </c>
      <c r="D2335">
        <v>32.32</v>
      </c>
      <c r="E2335">
        <v>32.349997999999999</v>
      </c>
      <c r="F2335">
        <v>31.903841</v>
      </c>
      <c r="G2335">
        <v>27059100</v>
      </c>
      <c r="I2335">
        <f t="shared" si="37"/>
        <v>3.2747729106736922E-4</v>
      </c>
    </row>
    <row r="2336" spans="1:9" x14ac:dyDescent="0.3">
      <c r="A2336" s="5">
        <v>45028</v>
      </c>
      <c r="B2336">
        <v>32.770000000000003</v>
      </c>
      <c r="C2336">
        <v>32.889999000000003</v>
      </c>
      <c r="D2336">
        <v>31.959999</v>
      </c>
      <c r="E2336">
        <v>32.020000000000003</v>
      </c>
      <c r="F2336">
        <v>31.578398</v>
      </c>
      <c r="G2336">
        <v>37070800</v>
      </c>
      <c r="I2336">
        <f t="shared" si="37"/>
        <v>1.4493110105764733E-4</v>
      </c>
    </row>
    <row r="2337" spans="1:9" x14ac:dyDescent="0.3">
      <c r="A2337" s="5">
        <v>45029</v>
      </c>
      <c r="B2337">
        <v>31.82</v>
      </c>
      <c r="C2337">
        <v>32.43</v>
      </c>
      <c r="D2337">
        <v>31.65</v>
      </c>
      <c r="E2337">
        <v>32.130001</v>
      </c>
      <c r="F2337">
        <v>31.686876000000002</v>
      </c>
      <c r="G2337">
        <v>29722300</v>
      </c>
      <c r="I2337">
        <f t="shared" si="37"/>
        <v>2.571093913933537E-4</v>
      </c>
    </row>
    <row r="2338" spans="1:9" x14ac:dyDescent="0.3">
      <c r="A2338" s="5">
        <v>45030</v>
      </c>
      <c r="B2338">
        <v>32</v>
      </c>
      <c r="C2338">
        <v>32.240001999999997</v>
      </c>
      <c r="D2338">
        <v>31.690000999999999</v>
      </c>
      <c r="E2338">
        <v>31.889999</v>
      </c>
      <c r="F2338">
        <v>31.450188000000001</v>
      </c>
      <c r="G2338">
        <v>24623600</v>
      </c>
      <c r="I2338">
        <f t="shared" si="37"/>
        <v>1.4280504078827816E-4</v>
      </c>
    </row>
    <row r="2339" spans="1:9" x14ac:dyDescent="0.3">
      <c r="A2339" s="5">
        <v>45033</v>
      </c>
      <c r="B2339">
        <v>31.950001</v>
      </c>
      <c r="C2339">
        <v>32.639999000000003</v>
      </c>
      <c r="D2339">
        <v>31.77</v>
      </c>
      <c r="E2339">
        <v>32.139999000000003</v>
      </c>
      <c r="F2339">
        <v>31.696740999999999</v>
      </c>
      <c r="G2339">
        <v>29601100</v>
      </c>
      <c r="I2339">
        <f t="shared" si="37"/>
        <v>3.9525295820839817E-4</v>
      </c>
    </row>
    <row r="2340" spans="1:9" x14ac:dyDescent="0.3">
      <c r="A2340" s="5">
        <v>45034</v>
      </c>
      <c r="B2340">
        <v>32.43</v>
      </c>
      <c r="C2340">
        <v>32.459999000000003</v>
      </c>
      <c r="D2340">
        <v>31.780000999999999</v>
      </c>
      <c r="E2340">
        <v>31.83</v>
      </c>
      <c r="F2340">
        <v>31.391016</v>
      </c>
      <c r="G2340">
        <v>26041400</v>
      </c>
      <c r="I2340">
        <f t="shared" si="37"/>
        <v>4.9950560746467212E-5</v>
      </c>
    </row>
    <row r="2341" spans="1:9" x14ac:dyDescent="0.3">
      <c r="A2341" s="5">
        <v>45035</v>
      </c>
      <c r="B2341">
        <v>31.1</v>
      </c>
      <c r="C2341">
        <v>31.52</v>
      </c>
      <c r="D2341">
        <v>31.08</v>
      </c>
      <c r="E2341">
        <v>31.15</v>
      </c>
      <c r="F2341">
        <v>30.720393999999999</v>
      </c>
      <c r="G2341">
        <v>25746600</v>
      </c>
      <c r="I2341">
        <f t="shared" si="37"/>
        <v>1.5984527157769253E-4</v>
      </c>
    </row>
    <row r="2342" spans="1:9" x14ac:dyDescent="0.3">
      <c r="A2342" s="5">
        <v>45036</v>
      </c>
      <c r="B2342">
        <v>30.76</v>
      </c>
      <c r="C2342">
        <v>31.25</v>
      </c>
      <c r="D2342">
        <v>30.709999</v>
      </c>
      <c r="E2342">
        <v>30.860001</v>
      </c>
      <c r="F2342">
        <v>30.434394999999999</v>
      </c>
      <c r="G2342">
        <v>30255100</v>
      </c>
      <c r="I2342">
        <f t="shared" si="37"/>
        <v>2.0640430924798211E-4</v>
      </c>
    </row>
    <row r="2343" spans="1:9" x14ac:dyDescent="0.3">
      <c r="A2343" s="5">
        <v>45037</v>
      </c>
      <c r="B2343">
        <v>30.84</v>
      </c>
      <c r="C2343">
        <v>30.84</v>
      </c>
      <c r="D2343">
        <v>30.23</v>
      </c>
      <c r="E2343">
        <v>30.299999</v>
      </c>
      <c r="F2343">
        <v>29.882114000000001</v>
      </c>
      <c r="G2343">
        <v>28655800</v>
      </c>
      <c r="I2343">
        <f t="shared" si="37"/>
        <v>4.620592968828909E-5</v>
      </c>
    </row>
    <row r="2344" spans="1:9" x14ac:dyDescent="0.3">
      <c r="A2344" s="5">
        <v>45040</v>
      </c>
      <c r="B2344">
        <v>30.129999000000002</v>
      </c>
      <c r="C2344">
        <v>30.370000999999998</v>
      </c>
      <c r="D2344">
        <v>29.610001</v>
      </c>
      <c r="E2344">
        <v>29.66</v>
      </c>
      <c r="F2344">
        <v>29.250941999999998</v>
      </c>
      <c r="G2344">
        <v>38732500</v>
      </c>
      <c r="I2344">
        <f t="shared" si="37"/>
        <v>2.1705834519374426E-4</v>
      </c>
    </row>
    <row r="2345" spans="1:9" x14ac:dyDescent="0.3">
      <c r="A2345" s="5">
        <v>45041</v>
      </c>
      <c r="B2345">
        <v>29.440000999999999</v>
      </c>
      <c r="C2345">
        <v>29.57</v>
      </c>
      <c r="D2345">
        <v>28.870000999999998</v>
      </c>
      <c r="E2345">
        <v>28.879999000000002</v>
      </c>
      <c r="F2345">
        <v>28.481701000000001</v>
      </c>
      <c r="G2345">
        <v>38289900</v>
      </c>
      <c r="I2345">
        <f t="shared" si="37"/>
        <v>1.1080010718436994E-4</v>
      </c>
    </row>
    <row r="2346" spans="1:9" x14ac:dyDescent="0.3">
      <c r="A2346" s="5">
        <v>45042</v>
      </c>
      <c r="B2346">
        <v>29.200001</v>
      </c>
      <c r="C2346">
        <v>29.809999000000001</v>
      </c>
      <c r="D2346">
        <v>28.84</v>
      </c>
      <c r="E2346">
        <v>29.049999</v>
      </c>
      <c r="F2346">
        <v>28.649355</v>
      </c>
      <c r="G2346">
        <v>41218800</v>
      </c>
      <c r="I2346">
        <f t="shared" si="37"/>
        <v>6.2394713633224901E-4</v>
      </c>
    </row>
    <row r="2347" spans="1:9" x14ac:dyDescent="0.3">
      <c r="A2347" s="5">
        <v>45043</v>
      </c>
      <c r="B2347">
        <v>28.75</v>
      </c>
      <c r="C2347">
        <v>29.950001</v>
      </c>
      <c r="D2347">
        <v>28.51</v>
      </c>
      <c r="E2347">
        <v>29.860001</v>
      </c>
      <c r="F2347">
        <v>29.448184999999999</v>
      </c>
      <c r="G2347">
        <v>60186200</v>
      </c>
      <c r="I2347">
        <f t="shared" si="37"/>
        <v>5.1089713457919724E-4</v>
      </c>
    </row>
    <row r="2348" spans="1:9" x14ac:dyDescent="0.3">
      <c r="A2348" s="5">
        <v>45044</v>
      </c>
      <c r="B2348">
        <v>31.98</v>
      </c>
      <c r="C2348">
        <v>32.57</v>
      </c>
      <c r="D2348">
        <v>30.809999000000001</v>
      </c>
      <c r="E2348">
        <v>31.059999000000001</v>
      </c>
      <c r="F2348">
        <v>30.631636</v>
      </c>
      <c r="G2348">
        <v>80229700</v>
      </c>
      <c r="I2348">
        <f t="shared" si="37"/>
        <v>1.1690193686309416E-3</v>
      </c>
    </row>
    <row r="2349" spans="1:9" x14ac:dyDescent="0.3">
      <c r="A2349" s="5">
        <v>45047</v>
      </c>
      <c r="B2349">
        <v>31.110001</v>
      </c>
      <c r="C2349">
        <v>31.24</v>
      </c>
      <c r="D2349">
        <v>30.280000999999999</v>
      </c>
      <c r="E2349">
        <v>30.299999</v>
      </c>
      <c r="F2349">
        <v>29.882114000000001</v>
      </c>
      <c r="G2349">
        <v>36918500</v>
      </c>
      <c r="I2349">
        <f t="shared" si="37"/>
        <v>1.4525334379615615E-4</v>
      </c>
    </row>
    <row r="2350" spans="1:9" x14ac:dyDescent="0.3">
      <c r="A2350" s="5">
        <v>45048</v>
      </c>
      <c r="B2350">
        <v>30.299999</v>
      </c>
      <c r="C2350">
        <v>30.58</v>
      </c>
      <c r="D2350">
        <v>29.75</v>
      </c>
      <c r="E2350">
        <v>29.77</v>
      </c>
      <c r="F2350">
        <v>29.359425999999999</v>
      </c>
      <c r="G2350">
        <v>33463400</v>
      </c>
      <c r="I2350">
        <f t="shared" si="37"/>
        <v>2.5924538255445357E-4</v>
      </c>
    </row>
    <row r="2351" spans="1:9" x14ac:dyDescent="0.3">
      <c r="A2351" s="5">
        <v>45049</v>
      </c>
      <c r="B2351">
        <v>30.639999</v>
      </c>
      <c r="C2351">
        <v>31.110001</v>
      </c>
      <c r="D2351">
        <v>30.25</v>
      </c>
      <c r="E2351">
        <v>30.65</v>
      </c>
      <c r="F2351">
        <v>30.227287</v>
      </c>
      <c r="G2351">
        <v>45554500</v>
      </c>
      <c r="I2351">
        <f t="shared" si="37"/>
        <v>3.9505258921309797E-4</v>
      </c>
    </row>
    <row r="2352" spans="1:9" x14ac:dyDescent="0.3">
      <c r="A2352" s="5">
        <v>45050</v>
      </c>
      <c r="B2352">
        <v>30.440000999999999</v>
      </c>
      <c r="C2352">
        <v>31.719999000000001</v>
      </c>
      <c r="D2352">
        <v>30.379999000000002</v>
      </c>
      <c r="E2352">
        <v>31.24</v>
      </c>
      <c r="F2352">
        <v>30.935316</v>
      </c>
      <c r="G2352">
        <v>46104000</v>
      </c>
      <c r="I2352">
        <f t="shared" si="37"/>
        <v>6.8314257604874286E-4</v>
      </c>
    </row>
    <row r="2353" spans="1:9" x14ac:dyDescent="0.3">
      <c r="A2353" s="5">
        <v>45051</v>
      </c>
      <c r="B2353">
        <v>31.379999000000002</v>
      </c>
      <c r="C2353">
        <v>31.41</v>
      </c>
      <c r="D2353">
        <v>30.73</v>
      </c>
      <c r="E2353">
        <v>30.99</v>
      </c>
      <c r="F2353">
        <v>30.687754000000002</v>
      </c>
      <c r="G2353">
        <v>35010800</v>
      </c>
      <c r="I2353">
        <f t="shared" si="37"/>
        <v>1.8921464394566488E-4</v>
      </c>
    </row>
    <row r="2354" spans="1:9" x14ac:dyDescent="0.3">
      <c r="A2354" s="5">
        <v>45054</v>
      </c>
      <c r="B2354">
        <v>30.700001</v>
      </c>
      <c r="C2354">
        <v>30.84</v>
      </c>
      <c r="D2354">
        <v>30.389999</v>
      </c>
      <c r="E2354">
        <v>30.77</v>
      </c>
      <c r="F2354">
        <v>30.469902000000001</v>
      </c>
      <c r="G2354">
        <v>30882800</v>
      </c>
      <c r="I2354">
        <f t="shared" si="37"/>
        <v>1.3645804521446501E-4</v>
      </c>
    </row>
    <row r="2355" spans="1:9" x14ac:dyDescent="0.3">
      <c r="A2355" s="5">
        <v>45055</v>
      </c>
      <c r="B2355">
        <v>30.379999000000002</v>
      </c>
      <c r="C2355">
        <v>30.58</v>
      </c>
      <c r="D2355">
        <v>29.91</v>
      </c>
      <c r="E2355">
        <v>30.1</v>
      </c>
      <c r="F2355">
        <v>29.806435</v>
      </c>
      <c r="G2355">
        <v>30706500</v>
      </c>
      <c r="I2355">
        <f t="shared" si="37"/>
        <v>2.0254403954836125E-4</v>
      </c>
    </row>
    <row r="2356" spans="1:9" x14ac:dyDescent="0.3">
      <c r="A2356" s="5">
        <v>45056</v>
      </c>
      <c r="B2356">
        <v>30.290001</v>
      </c>
      <c r="C2356">
        <v>30.4</v>
      </c>
      <c r="D2356">
        <v>29.49</v>
      </c>
      <c r="E2356">
        <v>29.969999000000001</v>
      </c>
      <c r="F2356">
        <v>29.677702</v>
      </c>
      <c r="G2356">
        <v>40526500</v>
      </c>
      <c r="I2356">
        <f t="shared" si="37"/>
        <v>4.8380100380959322E-4</v>
      </c>
    </row>
    <row r="2357" spans="1:9" x14ac:dyDescent="0.3">
      <c r="A2357" s="5">
        <v>45057</v>
      </c>
      <c r="B2357">
        <v>29.6</v>
      </c>
      <c r="C2357">
        <v>29.68</v>
      </c>
      <c r="D2357">
        <v>28.82</v>
      </c>
      <c r="E2357">
        <v>28.860001</v>
      </c>
      <c r="F2357">
        <v>28.578529</v>
      </c>
      <c r="G2357">
        <v>47144400</v>
      </c>
      <c r="I2357">
        <f t="shared" si="37"/>
        <v>1.1265846934532589E-4</v>
      </c>
    </row>
    <row r="2358" spans="1:9" x14ac:dyDescent="0.3">
      <c r="A2358" s="5">
        <v>45058</v>
      </c>
      <c r="B2358">
        <v>29.030000999999999</v>
      </c>
      <c r="C2358">
        <v>29.1</v>
      </c>
      <c r="D2358">
        <v>28.719999000000001</v>
      </c>
      <c r="E2358">
        <v>28.950001</v>
      </c>
      <c r="F2358">
        <v>28.667652</v>
      </c>
      <c r="G2358">
        <v>24147300</v>
      </c>
      <c r="I2358">
        <f t="shared" si="37"/>
        <v>9.8083098227847435E-5</v>
      </c>
    </row>
    <row r="2359" spans="1:9" x14ac:dyDescent="0.3">
      <c r="A2359" s="5">
        <v>45061</v>
      </c>
      <c r="B2359">
        <v>28.9</v>
      </c>
      <c r="C2359">
        <v>29.83</v>
      </c>
      <c r="D2359">
        <v>28.879999000000002</v>
      </c>
      <c r="E2359">
        <v>29.799999</v>
      </c>
      <c r="F2359">
        <v>29.509359</v>
      </c>
      <c r="G2359">
        <v>28717500</v>
      </c>
      <c r="I2359">
        <f t="shared" si="37"/>
        <v>5.358098215865261E-5</v>
      </c>
    </row>
    <row r="2360" spans="1:9" x14ac:dyDescent="0.3">
      <c r="A2360" s="5">
        <v>45062</v>
      </c>
      <c r="B2360">
        <v>29.620000999999998</v>
      </c>
      <c r="C2360">
        <v>29.9</v>
      </c>
      <c r="D2360">
        <v>29.209999</v>
      </c>
      <c r="E2360">
        <v>29.219999000000001</v>
      </c>
      <c r="F2360">
        <v>28.935016999999998</v>
      </c>
      <c r="G2360">
        <v>22812000</v>
      </c>
      <c r="I2360">
        <f t="shared" si="37"/>
        <v>2.2121782882495976E-4</v>
      </c>
    </row>
    <row r="2361" spans="1:9" x14ac:dyDescent="0.3">
      <c r="A2361" s="5">
        <v>45063</v>
      </c>
      <c r="B2361">
        <v>29.52</v>
      </c>
      <c r="C2361">
        <v>29.559999000000001</v>
      </c>
      <c r="D2361">
        <v>28.68</v>
      </c>
      <c r="E2361">
        <v>28.870000999999998</v>
      </c>
      <c r="F2361">
        <v>28.588432000000001</v>
      </c>
      <c r="G2361">
        <v>41667300</v>
      </c>
      <c r="I2361">
        <f t="shared" si="37"/>
        <v>2.2259731013062428E-4</v>
      </c>
    </row>
    <row r="2362" spans="1:9" x14ac:dyDescent="0.3">
      <c r="A2362" s="5">
        <v>45064</v>
      </c>
      <c r="B2362">
        <v>29</v>
      </c>
      <c r="C2362">
        <v>29.76</v>
      </c>
      <c r="D2362">
        <v>28.870000999999998</v>
      </c>
      <c r="E2362">
        <v>29.68</v>
      </c>
      <c r="F2362">
        <v>29.390532</v>
      </c>
      <c r="G2362">
        <v>36529200</v>
      </c>
      <c r="I2362">
        <f t="shared" si="37"/>
        <v>1.9395255586261278E-4</v>
      </c>
    </row>
    <row r="2363" spans="1:9" x14ac:dyDescent="0.3">
      <c r="A2363" s="5">
        <v>45065</v>
      </c>
      <c r="B2363">
        <v>29.6</v>
      </c>
      <c r="C2363">
        <v>30.24</v>
      </c>
      <c r="D2363">
        <v>29.5</v>
      </c>
      <c r="E2363">
        <v>29.93</v>
      </c>
      <c r="F2363">
        <v>29.638093999999999</v>
      </c>
      <c r="G2363">
        <v>40668700</v>
      </c>
      <c r="I2363">
        <f t="shared" si="37"/>
        <v>2.6939120966938852E-4</v>
      </c>
    </row>
    <row r="2364" spans="1:9" x14ac:dyDescent="0.3">
      <c r="A2364" s="5">
        <v>45068</v>
      </c>
      <c r="B2364">
        <v>29.85</v>
      </c>
      <c r="C2364">
        <v>30.450001</v>
      </c>
      <c r="D2364">
        <v>29.82</v>
      </c>
      <c r="E2364">
        <v>30.280000999999999</v>
      </c>
      <c r="F2364">
        <v>29.984680000000001</v>
      </c>
      <c r="G2364">
        <v>28693400</v>
      </c>
      <c r="I2364">
        <f t="shared" si="37"/>
        <v>1.2681091191192289E-4</v>
      </c>
    </row>
    <row r="2365" spans="1:9" x14ac:dyDescent="0.3">
      <c r="A2365" s="5">
        <v>45069</v>
      </c>
      <c r="B2365">
        <v>30.049999</v>
      </c>
      <c r="C2365">
        <v>30.200001</v>
      </c>
      <c r="D2365">
        <v>29.49</v>
      </c>
      <c r="E2365">
        <v>29.51</v>
      </c>
      <c r="F2365">
        <v>29.222190999999999</v>
      </c>
      <c r="G2365">
        <v>29400900</v>
      </c>
      <c r="I2365">
        <f t="shared" si="37"/>
        <v>1.2783959223460902E-4</v>
      </c>
    </row>
    <row r="2366" spans="1:9" x14ac:dyDescent="0.3">
      <c r="A2366" s="5">
        <v>45070</v>
      </c>
      <c r="B2366">
        <v>29.309999000000001</v>
      </c>
      <c r="C2366">
        <v>29.49</v>
      </c>
      <c r="D2366">
        <v>28.82</v>
      </c>
      <c r="E2366">
        <v>29</v>
      </c>
      <c r="F2366">
        <v>28.717162999999999</v>
      </c>
      <c r="G2366">
        <v>28045800</v>
      </c>
      <c r="I2366">
        <f t="shared" si="37"/>
        <v>2.0755390982305513E-4</v>
      </c>
    </row>
    <row r="2367" spans="1:9" x14ac:dyDescent="0.3">
      <c r="A2367" s="5">
        <v>45071</v>
      </c>
      <c r="B2367">
        <v>28.290001</v>
      </c>
      <c r="C2367">
        <v>28.290001</v>
      </c>
      <c r="D2367">
        <v>26.860001</v>
      </c>
      <c r="E2367">
        <v>27.4</v>
      </c>
      <c r="F2367">
        <v>27.132767000000001</v>
      </c>
      <c r="G2367">
        <v>78009400</v>
      </c>
      <c r="I2367">
        <f t="shared" si="37"/>
        <v>1.0324650299376732E-3</v>
      </c>
    </row>
    <row r="2368" spans="1:9" x14ac:dyDescent="0.3">
      <c r="A2368" s="5">
        <v>45072</v>
      </c>
      <c r="B2368">
        <v>27.440000999999999</v>
      </c>
      <c r="C2368">
        <v>29.09</v>
      </c>
      <c r="D2368">
        <v>27.1</v>
      </c>
      <c r="E2368">
        <v>29</v>
      </c>
      <c r="F2368">
        <v>28.717162999999999</v>
      </c>
      <c r="G2368">
        <v>71910600</v>
      </c>
      <c r="I2368">
        <f t="shared" si="37"/>
        <v>1.0258033348645034E-3</v>
      </c>
    </row>
    <row r="2369" spans="1:9" x14ac:dyDescent="0.3">
      <c r="A2369" s="5">
        <v>45076</v>
      </c>
      <c r="B2369">
        <v>29.700001</v>
      </c>
      <c r="C2369">
        <v>30.040001</v>
      </c>
      <c r="D2369">
        <v>29</v>
      </c>
      <c r="E2369">
        <v>29.99</v>
      </c>
      <c r="F2369">
        <v>29.697507999999999</v>
      </c>
      <c r="G2369">
        <v>54874800</v>
      </c>
      <c r="I2369">
        <f t="shared" si="37"/>
        <v>8.1960482890104766E-4</v>
      </c>
    </row>
    <row r="2370" spans="1:9" x14ac:dyDescent="0.3">
      <c r="A2370" s="5">
        <v>45077</v>
      </c>
      <c r="B2370">
        <v>29.700001</v>
      </c>
      <c r="C2370">
        <v>32.290000999999997</v>
      </c>
      <c r="D2370">
        <v>29.67</v>
      </c>
      <c r="E2370">
        <v>31.440000999999999</v>
      </c>
      <c r="F2370">
        <v>31.133365999999999</v>
      </c>
      <c r="G2370">
        <v>136243800</v>
      </c>
      <c r="I2370">
        <f t="shared" si="37"/>
        <v>2.2890075956351129E-3</v>
      </c>
    </row>
    <row r="2371" spans="1:9" x14ac:dyDescent="0.3">
      <c r="A2371" s="5">
        <v>45078</v>
      </c>
      <c r="B2371">
        <v>31.799999</v>
      </c>
      <c r="C2371">
        <v>31.940000999999999</v>
      </c>
      <c r="D2371">
        <v>31.02</v>
      </c>
      <c r="E2371">
        <v>31.129999000000002</v>
      </c>
      <c r="F2371">
        <v>30.826387</v>
      </c>
      <c r="G2371">
        <v>52667400</v>
      </c>
      <c r="I2371">
        <f t="shared" si="37"/>
        <v>2.007494159364564E-4</v>
      </c>
    </row>
    <row r="2372" spans="1:9" x14ac:dyDescent="0.3">
      <c r="A2372" s="5">
        <v>45079</v>
      </c>
      <c r="B2372">
        <v>31.4</v>
      </c>
      <c r="C2372">
        <v>31.59</v>
      </c>
      <c r="D2372">
        <v>30.83</v>
      </c>
      <c r="E2372">
        <v>31.309999000000001</v>
      </c>
      <c r="F2372">
        <v>31.004635</v>
      </c>
      <c r="G2372">
        <v>36496200</v>
      </c>
      <c r="I2372">
        <f t="shared" si="37"/>
        <v>3.3673507437174781E-4</v>
      </c>
    </row>
    <row r="2373" spans="1:9" x14ac:dyDescent="0.3">
      <c r="A2373" s="5">
        <v>45082</v>
      </c>
      <c r="B2373">
        <v>31.309999000000001</v>
      </c>
      <c r="C2373">
        <v>31.4</v>
      </c>
      <c r="D2373">
        <v>29.83</v>
      </c>
      <c r="E2373">
        <v>29.860001</v>
      </c>
      <c r="F2373">
        <v>29.568774999999999</v>
      </c>
      <c r="G2373">
        <v>48244100</v>
      </c>
      <c r="I2373">
        <f t="shared" si="37"/>
        <v>1.9302235610514848E-4</v>
      </c>
    </row>
    <row r="2374" spans="1:9" x14ac:dyDescent="0.3">
      <c r="A2374" s="5">
        <v>45083</v>
      </c>
      <c r="B2374">
        <v>29.77</v>
      </c>
      <c r="C2374">
        <v>31.450001</v>
      </c>
      <c r="D2374">
        <v>29.700001</v>
      </c>
      <c r="E2374">
        <v>30.959999</v>
      </c>
      <c r="F2374">
        <v>30.658047</v>
      </c>
      <c r="G2374">
        <v>42295300</v>
      </c>
      <c r="I2374">
        <f t="shared" si="37"/>
        <v>9.5987086652804315E-4</v>
      </c>
    </row>
    <row r="2375" spans="1:9" x14ac:dyDescent="0.3">
      <c r="A2375" s="5">
        <v>45084</v>
      </c>
      <c r="B2375">
        <v>31.030000999999999</v>
      </c>
      <c r="C2375">
        <v>31.370000999999998</v>
      </c>
      <c r="D2375">
        <v>30.93</v>
      </c>
      <c r="E2375">
        <v>31.280000999999999</v>
      </c>
      <c r="F2375">
        <v>30.974926</v>
      </c>
      <c r="G2375">
        <v>39098000</v>
      </c>
      <c r="I2375">
        <f t="shared" si="37"/>
        <v>6.7631567889552349E-5</v>
      </c>
    </row>
    <row r="2376" spans="1:9" x14ac:dyDescent="0.3">
      <c r="A2376" s="5">
        <v>45085</v>
      </c>
      <c r="B2376">
        <v>31.43</v>
      </c>
      <c r="C2376">
        <v>31.85</v>
      </c>
      <c r="D2376">
        <v>31.059999000000001</v>
      </c>
      <c r="E2376">
        <v>31.82</v>
      </c>
      <c r="F2376">
        <v>31.509661000000001</v>
      </c>
      <c r="G2376">
        <v>35199000</v>
      </c>
      <c r="I2376">
        <f t="shared" si="37"/>
        <v>2.9878227271489238E-4</v>
      </c>
    </row>
    <row r="2377" spans="1:9" x14ac:dyDescent="0.3">
      <c r="A2377" s="5">
        <v>45086</v>
      </c>
      <c r="B2377">
        <v>31.93</v>
      </c>
      <c r="C2377">
        <v>31.99</v>
      </c>
      <c r="D2377">
        <v>30.68</v>
      </c>
      <c r="E2377">
        <v>31.34</v>
      </c>
      <c r="F2377">
        <v>31.034341999999999</v>
      </c>
      <c r="G2377">
        <v>40218000</v>
      </c>
      <c r="I2377">
        <f t="shared" si="37"/>
        <v>8.8852598734503888E-4</v>
      </c>
    </row>
    <row r="2378" spans="1:9" x14ac:dyDescent="0.3">
      <c r="A2378" s="5">
        <v>45089</v>
      </c>
      <c r="B2378">
        <v>31.4</v>
      </c>
      <c r="C2378">
        <v>33.299999</v>
      </c>
      <c r="D2378">
        <v>31.360001</v>
      </c>
      <c r="E2378">
        <v>33.07</v>
      </c>
      <c r="F2378">
        <v>32.747470999999997</v>
      </c>
      <c r="G2378">
        <v>59881600</v>
      </c>
      <c r="I2378">
        <f t="shared" si="37"/>
        <v>4.748594021377259E-4</v>
      </c>
    </row>
    <row r="2379" spans="1:9" x14ac:dyDescent="0.3">
      <c r="A2379" s="5">
        <v>45090</v>
      </c>
      <c r="B2379">
        <v>33.770000000000003</v>
      </c>
      <c r="C2379">
        <v>33.950001</v>
      </c>
      <c r="D2379">
        <v>33.07</v>
      </c>
      <c r="E2379">
        <v>33.909999999999997</v>
      </c>
      <c r="F2379">
        <v>33.579273000000001</v>
      </c>
      <c r="G2379">
        <v>51990000</v>
      </c>
      <c r="I2379">
        <f t="shared" si="37"/>
        <v>5.3167245307371512E-4</v>
      </c>
    </row>
    <row r="2380" spans="1:9" x14ac:dyDescent="0.3">
      <c r="A2380" s="5">
        <v>45091</v>
      </c>
      <c r="B2380">
        <v>33.869999</v>
      </c>
      <c r="C2380">
        <v>35.599997999999999</v>
      </c>
      <c r="D2380">
        <v>33.799999</v>
      </c>
      <c r="E2380">
        <v>35.580002</v>
      </c>
      <c r="F2380">
        <v>35.232990000000001</v>
      </c>
      <c r="G2380">
        <v>74404300</v>
      </c>
      <c r="I2380">
        <f t="shared" ref="I2380:I2443" si="38">LN(C2380/B2380)*(LN(C2380/B2380)-LN(E2380/B2380))+LN(D2380/B2380)*(LN(D2380/B2380)-LN(E2380/B2380))</f>
        <v>1.3416900746593676E-4</v>
      </c>
    </row>
    <row r="2381" spans="1:9" x14ac:dyDescent="0.3">
      <c r="A2381" s="5">
        <v>45092</v>
      </c>
      <c r="B2381">
        <v>35.279998999999997</v>
      </c>
      <c r="C2381">
        <v>36.419998</v>
      </c>
      <c r="D2381">
        <v>35.220001000000003</v>
      </c>
      <c r="E2381">
        <v>35.82</v>
      </c>
      <c r="F2381">
        <v>35.470649999999999</v>
      </c>
      <c r="G2381">
        <v>67676300</v>
      </c>
      <c r="I2381">
        <f t="shared" si="38"/>
        <v>5.5703162032898223E-4</v>
      </c>
    </row>
    <row r="2382" spans="1:9" x14ac:dyDescent="0.3">
      <c r="A2382" s="5">
        <v>45093</v>
      </c>
      <c r="B2382">
        <v>36.360000999999997</v>
      </c>
      <c r="C2382">
        <v>36.799999</v>
      </c>
      <c r="D2382">
        <v>35.599997999999999</v>
      </c>
      <c r="E2382">
        <v>36.369999</v>
      </c>
      <c r="F2382">
        <v>36.015281999999999</v>
      </c>
      <c r="G2382">
        <v>110188500</v>
      </c>
      <c r="I2382">
        <f t="shared" si="38"/>
        <v>5.9339724739066184E-4</v>
      </c>
    </row>
    <row r="2383" spans="1:9" x14ac:dyDescent="0.3">
      <c r="A2383" s="5">
        <v>45097</v>
      </c>
      <c r="B2383">
        <v>36.770000000000003</v>
      </c>
      <c r="C2383">
        <v>37.110000999999997</v>
      </c>
      <c r="D2383">
        <v>34.720001000000003</v>
      </c>
      <c r="E2383">
        <v>35</v>
      </c>
      <c r="F2383">
        <v>34.658645999999997</v>
      </c>
      <c r="G2383">
        <v>65970200</v>
      </c>
      <c r="I2383">
        <f t="shared" si="38"/>
        <v>9.9957484210018931E-4</v>
      </c>
    </row>
    <row r="2384" spans="1:9" x14ac:dyDescent="0.3">
      <c r="A2384" s="5">
        <v>45098</v>
      </c>
      <c r="B2384">
        <v>34.919998</v>
      </c>
      <c r="C2384">
        <v>35.049999</v>
      </c>
      <c r="D2384">
        <v>32.830002</v>
      </c>
      <c r="E2384">
        <v>32.900002000000001</v>
      </c>
      <c r="F2384">
        <v>32.579132000000001</v>
      </c>
      <c r="G2384">
        <v>70973500</v>
      </c>
      <c r="I2384">
        <f t="shared" si="38"/>
        <v>3.6668023147127941E-4</v>
      </c>
    </row>
    <row r="2385" spans="1:9" x14ac:dyDescent="0.3">
      <c r="A2385" s="5">
        <v>45099</v>
      </c>
      <c r="B2385">
        <v>32.689999</v>
      </c>
      <c r="C2385">
        <v>33.240001999999997</v>
      </c>
      <c r="D2385">
        <v>32.130001</v>
      </c>
      <c r="E2385">
        <v>32.709999000000003</v>
      </c>
      <c r="F2385">
        <v>32.390979999999999</v>
      </c>
      <c r="G2385">
        <v>45740300</v>
      </c>
      <c r="I2385">
        <f t="shared" si="38"/>
        <v>5.7731063169851136E-4</v>
      </c>
    </row>
    <row r="2386" spans="1:9" x14ac:dyDescent="0.3">
      <c r="A2386" s="5">
        <v>45100</v>
      </c>
      <c r="B2386">
        <v>32.209999000000003</v>
      </c>
      <c r="C2386">
        <v>33.450001</v>
      </c>
      <c r="D2386">
        <v>32.029998999999997</v>
      </c>
      <c r="E2386">
        <v>33</v>
      </c>
      <c r="F2386">
        <v>32.678150000000002</v>
      </c>
      <c r="G2386">
        <v>46199200</v>
      </c>
      <c r="I2386">
        <f t="shared" si="38"/>
        <v>6.7882592214840113E-4</v>
      </c>
    </row>
    <row r="2387" spans="1:9" x14ac:dyDescent="0.3">
      <c r="A2387" s="5">
        <v>45103</v>
      </c>
      <c r="B2387">
        <v>33.189999</v>
      </c>
      <c r="C2387">
        <v>33.990001999999997</v>
      </c>
      <c r="D2387">
        <v>33.099997999999999</v>
      </c>
      <c r="E2387">
        <v>33.340000000000003</v>
      </c>
      <c r="F2387">
        <v>33.014839000000002</v>
      </c>
      <c r="G2387">
        <v>38952400</v>
      </c>
      <c r="I2387">
        <f t="shared" si="38"/>
        <v>4.7950522753325339E-4</v>
      </c>
    </row>
    <row r="2388" spans="1:9" x14ac:dyDescent="0.3">
      <c r="A2388" s="5">
        <v>45104</v>
      </c>
      <c r="B2388">
        <v>33.220001000000003</v>
      </c>
      <c r="C2388">
        <v>34.229999999999997</v>
      </c>
      <c r="D2388">
        <v>33.009998000000003</v>
      </c>
      <c r="E2388">
        <v>34.099997999999999</v>
      </c>
      <c r="F2388">
        <v>33.767422000000003</v>
      </c>
      <c r="G2388">
        <v>33038900</v>
      </c>
      <c r="I2388">
        <f t="shared" si="38"/>
        <v>3.1998490078027626E-4</v>
      </c>
    </row>
    <row r="2389" spans="1:9" x14ac:dyDescent="0.3">
      <c r="A2389" s="5">
        <v>45105</v>
      </c>
      <c r="B2389">
        <v>33.610000999999997</v>
      </c>
      <c r="C2389">
        <v>33.810001</v>
      </c>
      <c r="D2389">
        <v>33.029998999999997</v>
      </c>
      <c r="E2389">
        <v>33.57</v>
      </c>
      <c r="F2389">
        <v>33.242592000000002</v>
      </c>
      <c r="G2389">
        <v>33906900</v>
      </c>
      <c r="I2389">
        <f t="shared" si="38"/>
        <v>3.2455542200598726E-4</v>
      </c>
    </row>
    <row r="2390" spans="1:9" x14ac:dyDescent="0.3">
      <c r="A2390" s="5">
        <v>45106</v>
      </c>
      <c r="B2390">
        <v>33.340000000000003</v>
      </c>
      <c r="C2390">
        <v>33.340000000000003</v>
      </c>
      <c r="D2390">
        <v>32.490001999999997</v>
      </c>
      <c r="E2390">
        <v>32.909999999999997</v>
      </c>
      <c r="F2390">
        <v>32.589027000000002</v>
      </c>
      <c r="G2390">
        <v>38313000</v>
      </c>
      <c r="I2390">
        <f t="shared" si="38"/>
        <v>3.3170620454404714E-4</v>
      </c>
    </row>
    <row r="2391" spans="1:9" x14ac:dyDescent="0.3">
      <c r="A2391" s="5">
        <v>45107</v>
      </c>
      <c r="B2391">
        <v>33.360000999999997</v>
      </c>
      <c r="C2391">
        <v>33.560001</v>
      </c>
      <c r="D2391">
        <v>33.159999999999997</v>
      </c>
      <c r="E2391">
        <v>33.439999</v>
      </c>
      <c r="F2391">
        <v>33.113857000000003</v>
      </c>
      <c r="G2391">
        <v>33798400</v>
      </c>
      <c r="I2391">
        <f t="shared" si="38"/>
        <v>7.1973826354319143E-5</v>
      </c>
    </row>
    <row r="2392" spans="1:9" x14ac:dyDescent="0.3">
      <c r="A2392" s="5">
        <v>45110</v>
      </c>
      <c r="B2392">
        <v>33.540000999999997</v>
      </c>
      <c r="C2392">
        <v>33.889999000000003</v>
      </c>
      <c r="D2392">
        <v>33.139999000000003</v>
      </c>
      <c r="E2392">
        <v>33.619999</v>
      </c>
      <c r="F2392">
        <v>33.292102999999997</v>
      </c>
      <c r="G2392">
        <v>15753000</v>
      </c>
      <c r="I2392">
        <f t="shared" si="38"/>
        <v>2.5556732640438968E-4</v>
      </c>
    </row>
    <row r="2393" spans="1:9" x14ac:dyDescent="0.3">
      <c r="A2393" s="5">
        <v>45112</v>
      </c>
      <c r="B2393">
        <v>33.310001</v>
      </c>
      <c r="C2393">
        <v>33.330002</v>
      </c>
      <c r="D2393">
        <v>32.5</v>
      </c>
      <c r="E2393">
        <v>32.509998000000003</v>
      </c>
      <c r="F2393">
        <v>32.192928000000002</v>
      </c>
      <c r="G2393">
        <v>37664700</v>
      </c>
      <c r="I2393">
        <f t="shared" si="38"/>
        <v>2.2524860373052001E-5</v>
      </c>
    </row>
    <row r="2394" spans="1:9" x14ac:dyDescent="0.3">
      <c r="A2394" s="5">
        <v>45113</v>
      </c>
      <c r="B2394">
        <v>31.9</v>
      </c>
      <c r="C2394">
        <v>32.040000999999997</v>
      </c>
      <c r="D2394">
        <v>31.379999000000002</v>
      </c>
      <c r="E2394">
        <v>31.969999000000001</v>
      </c>
      <c r="F2394">
        <v>31.658197000000001</v>
      </c>
      <c r="G2394">
        <v>41693600</v>
      </c>
      <c r="I2394">
        <f t="shared" si="38"/>
        <v>3.1572194137526537E-4</v>
      </c>
    </row>
    <row r="2395" spans="1:9" x14ac:dyDescent="0.3">
      <c r="A2395" s="5">
        <v>45114</v>
      </c>
      <c r="B2395">
        <v>32</v>
      </c>
      <c r="C2395">
        <v>32.409999999999997</v>
      </c>
      <c r="D2395">
        <v>31.82</v>
      </c>
      <c r="E2395">
        <v>31.85</v>
      </c>
      <c r="F2395">
        <v>31.539368</v>
      </c>
      <c r="G2395">
        <v>28345700</v>
      </c>
      <c r="I2395">
        <f t="shared" si="38"/>
        <v>2.2721441259562831E-4</v>
      </c>
    </row>
    <row r="2396" spans="1:9" x14ac:dyDescent="0.3">
      <c r="A2396" s="5">
        <v>45117</v>
      </c>
      <c r="B2396">
        <v>31.870000999999998</v>
      </c>
      <c r="C2396">
        <v>32.830002</v>
      </c>
      <c r="D2396">
        <v>31.77</v>
      </c>
      <c r="E2396">
        <v>32.740001999999997</v>
      </c>
      <c r="F2396">
        <v>32.420689000000003</v>
      </c>
      <c r="G2396">
        <v>36305700</v>
      </c>
      <c r="I2396">
        <f t="shared" si="38"/>
        <v>1.7598746200098747E-4</v>
      </c>
    </row>
    <row r="2397" spans="1:9" x14ac:dyDescent="0.3">
      <c r="A2397" s="5">
        <v>45118</v>
      </c>
      <c r="B2397">
        <v>32.82</v>
      </c>
      <c r="C2397">
        <v>33.360000999999997</v>
      </c>
      <c r="D2397">
        <v>32.5</v>
      </c>
      <c r="E2397">
        <v>33.299999</v>
      </c>
      <c r="F2397">
        <v>32.975223999999997</v>
      </c>
      <c r="G2397">
        <v>28148800</v>
      </c>
      <c r="I2397">
        <f t="shared" si="38"/>
        <v>2.6763966105157889E-4</v>
      </c>
    </row>
    <row r="2398" spans="1:9" x14ac:dyDescent="0.3">
      <c r="A2398" s="5">
        <v>45119</v>
      </c>
      <c r="B2398">
        <v>33.689999</v>
      </c>
      <c r="C2398">
        <v>34.080002</v>
      </c>
      <c r="D2398">
        <v>33.060001</v>
      </c>
      <c r="E2398">
        <v>33.979999999999997</v>
      </c>
      <c r="F2398">
        <v>33.648594000000003</v>
      </c>
      <c r="G2398">
        <v>37762200</v>
      </c>
      <c r="I2398">
        <f t="shared" si="38"/>
        <v>5.5195618248862364E-4</v>
      </c>
    </row>
    <row r="2399" spans="1:9" x14ac:dyDescent="0.3">
      <c r="A2399" s="5">
        <v>45120</v>
      </c>
      <c r="B2399">
        <v>34.150002000000001</v>
      </c>
      <c r="C2399">
        <v>34.299999</v>
      </c>
      <c r="D2399">
        <v>33.619999</v>
      </c>
      <c r="E2399">
        <v>33.869999</v>
      </c>
      <c r="F2399">
        <v>33.539664999999999</v>
      </c>
      <c r="G2399">
        <v>32745800</v>
      </c>
      <c r="I2399">
        <f t="shared" si="38"/>
        <v>1.7117153491408971E-4</v>
      </c>
    </row>
    <row r="2400" spans="1:9" x14ac:dyDescent="0.3">
      <c r="A2400" s="5">
        <v>45121</v>
      </c>
      <c r="B2400">
        <v>33.779998999999997</v>
      </c>
      <c r="C2400">
        <v>33.869999</v>
      </c>
      <c r="D2400">
        <v>33</v>
      </c>
      <c r="E2400">
        <v>33.150002000000001</v>
      </c>
      <c r="F2400">
        <v>32.826690999999997</v>
      </c>
      <c r="G2400">
        <v>30426200</v>
      </c>
      <c r="I2400">
        <f t="shared" si="38"/>
        <v>1.6311990435202505E-4</v>
      </c>
    </row>
    <row r="2401" spans="1:9" x14ac:dyDescent="0.3">
      <c r="A2401" s="5">
        <v>45124</v>
      </c>
      <c r="B2401">
        <v>33.159999999999997</v>
      </c>
      <c r="C2401">
        <v>34.599997999999999</v>
      </c>
      <c r="D2401">
        <v>33.07</v>
      </c>
      <c r="E2401">
        <v>34.369999</v>
      </c>
      <c r="F2401">
        <v>34.034790000000001</v>
      </c>
      <c r="G2401">
        <v>34111200</v>
      </c>
      <c r="I2401">
        <f t="shared" si="38"/>
        <v>3.8831018706595848E-4</v>
      </c>
    </row>
    <row r="2402" spans="1:9" x14ac:dyDescent="0.3">
      <c r="A2402" s="5">
        <v>45125</v>
      </c>
      <c r="B2402">
        <v>34.279998999999997</v>
      </c>
      <c r="C2402">
        <v>34.700001</v>
      </c>
      <c r="D2402">
        <v>33.830002</v>
      </c>
      <c r="E2402">
        <v>34.5</v>
      </c>
      <c r="F2402">
        <v>34.163521000000003</v>
      </c>
      <c r="G2402">
        <v>29679500</v>
      </c>
      <c r="I2402">
        <f t="shared" si="38"/>
        <v>3.2953552054215625E-4</v>
      </c>
    </row>
    <row r="2403" spans="1:9" x14ac:dyDescent="0.3">
      <c r="A2403" s="5">
        <v>45126</v>
      </c>
      <c r="B2403">
        <v>34.400002000000001</v>
      </c>
      <c r="C2403">
        <v>34.840000000000003</v>
      </c>
      <c r="D2403">
        <v>34.330002</v>
      </c>
      <c r="E2403">
        <v>34.459999000000003</v>
      </c>
      <c r="F2403">
        <v>34.123908999999998</v>
      </c>
      <c r="G2403">
        <v>26486700</v>
      </c>
      <c r="I2403">
        <f t="shared" si="38"/>
        <v>1.4708352518819464E-4</v>
      </c>
    </row>
    <row r="2404" spans="1:9" x14ac:dyDescent="0.3">
      <c r="A2404" s="5">
        <v>45127</v>
      </c>
      <c r="B2404">
        <v>33.700001</v>
      </c>
      <c r="C2404">
        <v>34.209999000000003</v>
      </c>
      <c r="D2404">
        <v>33.229999999999997</v>
      </c>
      <c r="E2404">
        <v>33.369999</v>
      </c>
      <c r="F2404">
        <v>33.044544000000002</v>
      </c>
      <c r="G2404">
        <v>37878000</v>
      </c>
      <c r="I2404">
        <f t="shared" si="38"/>
        <v>4.3245718125083636E-4</v>
      </c>
    </row>
    <row r="2405" spans="1:9" x14ac:dyDescent="0.3">
      <c r="A2405" s="5">
        <v>45128</v>
      </c>
      <c r="B2405">
        <v>33.729999999999997</v>
      </c>
      <c r="C2405">
        <v>34.25</v>
      </c>
      <c r="D2405">
        <v>33.419998</v>
      </c>
      <c r="E2405">
        <v>34.020000000000003</v>
      </c>
      <c r="F2405">
        <v>33.688206000000001</v>
      </c>
      <c r="G2405">
        <v>79724100</v>
      </c>
      <c r="I2405">
        <f t="shared" si="38"/>
        <v>2.6738020188487568E-4</v>
      </c>
    </row>
    <row r="2406" spans="1:9" x14ac:dyDescent="0.3">
      <c r="A2406" s="5">
        <v>45131</v>
      </c>
      <c r="B2406">
        <v>33.840000000000003</v>
      </c>
      <c r="C2406">
        <v>34.459999000000003</v>
      </c>
      <c r="D2406">
        <v>33.560001</v>
      </c>
      <c r="E2406">
        <v>33.630001</v>
      </c>
      <c r="F2406">
        <v>33.302010000000003</v>
      </c>
      <c r="G2406">
        <v>25225800</v>
      </c>
      <c r="I2406">
        <f t="shared" si="38"/>
        <v>4.5995912307336678E-4</v>
      </c>
    </row>
    <row r="2407" spans="1:9" x14ac:dyDescent="0.3">
      <c r="A2407" s="5">
        <v>45132</v>
      </c>
      <c r="B2407">
        <v>33.700001</v>
      </c>
      <c r="C2407">
        <v>34.340000000000003</v>
      </c>
      <c r="D2407">
        <v>33.400002000000001</v>
      </c>
      <c r="E2407">
        <v>34.099997999999999</v>
      </c>
      <c r="F2407">
        <v>33.767422000000003</v>
      </c>
      <c r="G2407">
        <v>31771100</v>
      </c>
      <c r="I2407">
        <f t="shared" si="38"/>
        <v>3.1741282293752204E-4</v>
      </c>
    </row>
    <row r="2408" spans="1:9" x14ac:dyDescent="0.3">
      <c r="A2408" s="5">
        <v>45133</v>
      </c>
      <c r="B2408">
        <v>33.720001000000003</v>
      </c>
      <c r="C2408">
        <v>34.529998999999997</v>
      </c>
      <c r="D2408">
        <v>33.700001</v>
      </c>
      <c r="E2408">
        <v>34.360000999999997</v>
      </c>
      <c r="F2408">
        <v>34.024887</v>
      </c>
      <c r="G2408">
        <v>32643200</v>
      </c>
      <c r="I2408">
        <f t="shared" si="38"/>
        <v>1.2865925323204115E-4</v>
      </c>
    </row>
    <row r="2409" spans="1:9" x14ac:dyDescent="0.3">
      <c r="A2409" s="5">
        <v>45134</v>
      </c>
      <c r="B2409">
        <v>34.82</v>
      </c>
      <c r="C2409">
        <v>35.029998999999997</v>
      </c>
      <c r="D2409">
        <v>34.110000999999997</v>
      </c>
      <c r="E2409">
        <v>34.549999</v>
      </c>
      <c r="F2409">
        <v>34.213036000000002</v>
      </c>
      <c r="G2409">
        <v>58890800</v>
      </c>
      <c r="I2409">
        <f t="shared" si="38"/>
        <v>3.4700617494078448E-4</v>
      </c>
    </row>
    <row r="2410" spans="1:9" x14ac:dyDescent="0.3">
      <c r="A2410" s="5">
        <v>45135</v>
      </c>
      <c r="B2410">
        <v>36.75</v>
      </c>
      <c r="C2410">
        <v>36.990001999999997</v>
      </c>
      <c r="D2410">
        <v>35.509998000000003</v>
      </c>
      <c r="E2410">
        <v>36.830002</v>
      </c>
      <c r="F2410">
        <v>36.470798000000002</v>
      </c>
      <c r="G2410">
        <v>90863000</v>
      </c>
      <c r="I2410">
        <f t="shared" si="38"/>
        <v>1.2809895257916925E-3</v>
      </c>
    </row>
    <row r="2411" spans="1:9" x14ac:dyDescent="0.3">
      <c r="A2411" s="5">
        <v>45138</v>
      </c>
      <c r="B2411">
        <v>36.869999</v>
      </c>
      <c r="C2411">
        <v>37.189999</v>
      </c>
      <c r="D2411">
        <v>35.669998</v>
      </c>
      <c r="E2411">
        <v>35.770000000000003</v>
      </c>
      <c r="F2411">
        <v>35.421135</v>
      </c>
      <c r="G2411">
        <v>55630700</v>
      </c>
      <c r="I2411">
        <f t="shared" si="38"/>
        <v>4.2905822656748066E-4</v>
      </c>
    </row>
    <row r="2412" spans="1:9" x14ac:dyDescent="0.3">
      <c r="A2412" s="5">
        <v>45139</v>
      </c>
      <c r="B2412">
        <v>35.82</v>
      </c>
      <c r="C2412">
        <v>36.020000000000003</v>
      </c>
      <c r="D2412">
        <v>35.279998999999997</v>
      </c>
      <c r="E2412">
        <v>35.799999</v>
      </c>
      <c r="F2412">
        <v>35.450839999999999</v>
      </c>
      <c r="G2412">
        <v>24702200</v>
      </c>
      <c r="I2412">
        <f t="shared" si="38"/>
        <v>2.5636965254276049E-4</v>
      </c>
    </row>
    <row r="2413" spans="1:9" x14ac:dyDescent="0.3">
      <c r="A2413" s="5">
        <v>45140</v>
      </c>
      <c r="B2413">
        <v>35.150002000000001</v>
      </c>
      <c r="C2413">
        <v>35.18</v>
      </c>
      <c r="D2413">
        <v>34.279998999999997</v>
      </c>
      <c r="E2413">
        <v>34.389999000000003</v>
      </c>
      <c r="F2413">
        <v>34.054595999999997</v>
      </c>
      <c r="G2413">
        <v>39052000</v>
      </c>
      <c r="I2413">
        <f t="shared" si="38"/>
        <v>9.9668602937935319E-5</v>
      </c>
    </row>
    <row r="2414" spans="1:9" x14ac:dyDescent="0.3">
      <c r="A2414" s="5">
        <v>45141</v>
      </c>
      <c r="B2414">
        <v>34.290000999999997</v>
      </c>
      <c r="C2414">
        <v>35.029998999999997</v>
      </c>
      <c r="D2414">
        <v>34.130001</v>
      </c>
      <c r="E2414">
        <v>34.869999</v>
      </c>
      <c r="F2414">
        <v>34.529910999999998</v>
      </c>
      <c r="G2414">
        <v>24817900</v>
      </c>
      <c r="I2414">
        <f t="shared" si="38"/>
        <v>1.9806634859276208E-4</v>
      </c>
    </row>
    <row r="2415" spans="1:9" x14ac:dyDescent="0.3">
      <c r="A2415" s="5">
        <v>45142</v>
      </c>
      <c r="B2415">
        <v>34.479999999999997</v>
      </c>
      <c r="C2415">
        <v>35.560001</v>
      </c>
      <c r="D2415">
        <v>34.479999999999997</v>
      </c>
      <c r="E2415">
        <v>35.139999000000003</v>
      </c>
      <c r="F2415">
        <v>34.922466</v>
      </c>
      <c r="G2415">
        <v>26664300</v>
      </c>
      <c r="I2415">
        <f t="shared" si="38"/>
        <v>3.6644557618932294E-4</v>
      </c>
    </row>
    <row r="2416" spans="1:9" x14ac:dyDescent="0.3">
      <c r="A2416" s="5">
        <v>45145</v>
      </c>
      <c r="B2416">
        <v>35.409999999999997</v>
      </c>
      <c r="C2416">
        <v>35.549999</v>
      </c>
      <c r="D2416">
        <v>34.75</v>
      </c>
      <c r="E2416">
        <v>35.229999999999997</v>
      </c>
      <c r="F2416">
        <v>35.011909000000003</v>
      </c>
      <c r="G2416">
        <v>22486900</v>
      </c>
      <c r="I2416">
        <f t="shared" si="38"/>
        <v>2.9378690233983467E-4</v>
      </c>
    </row>
    <row r="2417" spans="1:9" x14ac:dyDescent="0.3">
      <c r="A2417" s="5">
        <v>45146</v>
      </c>
      <c r="B2417">
        <v>34.669998</v>
      </c>
      <c r="C2417">
        <v>35.099997999999999</v>
      </c>
      <c r="D2417">
        <v>33.860000999999997</v>
      </c>
      <c r="E2417">
        <v>35.020000000000003</v>
      </c>
      <c r="F2417">
        <v>34.803210999999997</v>
      </c>
      <c r="G2417">
        <v>34753600</v>
      </c>
      <c r="I2417">
        <f t="shared" si="38"/>
        <v>8.244471431294218E-4</v>
      </c>
    </row>
    <row r="2418" spans="1:9" x14ac:dyDescent="0.3">
      <c r="A2418" s="5">
        <v>45147</v>
      </c>
      <c r="B2418">
        <v>35</v>
      </c>
      <c r="C2418">
        <v>35.099997999999999</v>
      </c>
      <c r="D2418">
        <v>34.229999999999997</v>
      </c>
      <c r="E2418">
        <v>34.279998999999997</v>
      </c>
      <c r="F2418">
        <v>34.067791</v>
      </c>
      <c r="G2418">
        <v>28720200</v>
      </c>
      <c r="I2418">
        <f t="shared" si="38"/>
        <v>9.9912334333257288E-5</v>
      </c>
    </row>
    <row r="2419" spans="1:9" x14ac:dyDescent="0.3">
      <c r="A2419" s="5">
        <v>45148</v>
      </c>
      <c r="B2419">
        <v>34.700001</v>
      </c>
      <c r="C2419">
        <v>35.090000000000003</v>
      </c>
      <c r="D2419">
        <v>34.479999999999997</v>
      </c>
      <c r="E2419">
        <v>34.68</v>
      </c>
      <c r="F2419">
        <v>34.465313000000002</v>
      </c>
      <c r="G2419">
        <v>30957300</v>
      </c>
      <c r="I2419">
        <f t="shared" si="38"/>
        <v>1.6814345037618339E-4</v>
      </c>
    </row>
    <row r="2420" spans="1:9" x14ac:dyDescent="0.3">
      <c r="A2420" s="5">
        <v>45149</v>
      </c>
      <c r="B2420">
        <v>34.459999000000003</v>
      </c>
      <c r="C2420">
        <v>34.950001</v>
      </c>
      <c r="D2420">
        <v>34.360000999999997</v>
      </c>
      <c r="E2420">
        <v>34.889999000000003</v>
      </c>
      <c r="F2420">
        <v>34.674014999999997</v>
      </c>
      <c r="G2420">
        <v>28752000</v>
      </c>
      <c r="I2420">
        <f t="shared" si="38"/>
        <v>6.8744366776505669E-5</v>
      </c>
    </row>
    <row r="2421" spans="1:9" x14ac:dyDescent="0.3">
      <c r="A2421" s="5">
        <v>45152</v>
      </c>
      <c r="B2421">
        <v>34.669998</v>
      </c>
      <c r="C2421">
        <v>35.709999000000003</v>
      </c>
      <c r="D2421">
        <v>34.470001000000003</v>
      </c>
      <c r="E2421">
        <v>35.68</v>
      </c>
      <c r="F2421">
        <v>35.459125999999998</v>
      </c>
      <c r="G2421">
        <v>36896100</v>
      </c>
      <c r="I2421">
        <f t="shared" si="38"/>
        <v>2.2443744061866112E-4</v>
      </c>
    </row>
    <row r="2422" spans="1:9" x14ac:dyDescent="0.3">
      <c r="A2422" s="5">
        <v>45153</v>
      </c>
      <c r="B2422">
        <v>35.409999999999997</v>
      </c>
      <c r="C2422">
        <v>35.630001</v>
      </c>
      <c r="D2422">
        <v>34.75</v>
      </c>
      <c r="E2422">
        <v>34.770000000000003</v>
      </c>
      <c r="F2422">
        <v>34.554760000000002</v>
      </c>
      <c r="G2422">
        <v>27420300</v>
      </c>
      <c r="I2422">
        <f t="shared" si="38"/>
        <v>1.6215755545110036E-4</v>
      </c>
    </row>
    <row r="2423" spans="1:9" x14ac:dyDescent="0.3">
      <c r="A2423" s="5">
        <v>45154</v>
      </c>
      <c r="B2423">
        <v>34.520000000000003</v>
      </c>
      <c r="C2423">
        <v>34.630001</v>
      </c>
      <c r="D2423">
        <v>33.459999000000003</v>
      </c>
      <c r="E2423">
        <v>33.529998999999997</v>
      </c>
      <c r="F2423">
        <v>33.322429999999997</v>
      </c>
      <c r="G2423">
        <v>35757300</v>
      </c>
      <c r="I2423">
        <f t="shared" si="38"/>
        <v>1.6787817237593489E-4</v>
      </c>
    </row>
    <row r="2424" spans="1:9" x14ac:dyDescent="0.3">
      <c r="A2424" s="5">
        <v>45155</v>
      </c>
      <c r="B2424">
        <v>33.560001</v>
      </c>
      <c r="C2424">
        <v>33.590000000000003</v>
      </c>
      <c r="D2424">
        <v>32.349997999999999</v>
      </c>
      <c r="E2424">
        <v>32.580002</v>
      </c>
      <c r="F2424">
        <v>32.378318999999998</v>
      </c>
      <c r="G2424">
        <v>39906700</v>
      </c>
      <c r="I2424">
        <f t="shared" si="38"/>
        <v>2.8743521483445811E-4</v>
      </c>
    </row>
    <row r="2425" spans="1:9" x14ac:dyDescent="0.3">
      <c r="A2425" s="5">
        <v>45156</v>
      </c>
      <c r="B2425">
        <v>32.229999999999997</v>
      </c>
      <c r="C2425">
        <v>32.909999999999997</v>
      </c>
      <c r="D2425">
        <v>32.18</v>
      </c>
      <c r="E2425">
        <v>32.75</v>
      </c>
      <c r="F2425">
        <v>32.547263999999998</v>
      </c>
      <c r="G2425">
        <v>23692300</v>
      </c>
      <c r="I2425">
        <f t="shared" si="38"/>
        <v>1.290147341770276E-4</v>
      </c>
    </row>
    <row r="2426" spans="1:9" x14ac:dyDescent="0.3">
      <c r="A2426" s="5">
        <v>45159</v>
      </c>
      <c r="B2426">
        <v>32.599997999999999</v>
      </c>
      <c r="C2426">
        <v>33.169998</v>
      </c>
      <c r="D2426">
        <v>32.020000000000003</v>
      </c>
      <c r="E2426">
        <v>33.139999000000003</v>
      </c>
      <c r="F2426">
        <v>32.934849</v>
      </c>
      <c r="G2426">
        <v>43718200</v>
      </c>
      <c r="I2426">
        <f t="shared" si="38"/>
        <v>6.3286176022249864E-4</v>
      </c>
    </row>
    <row r="2427" spans="1:9" x14ac:dyDescent="0.3">
      <c r="A2427" s="5">
        <v>45160</v>
      </c>
      <c r="B2427">
        <v>33.220001000000003</v>
      </c>
      <c r="C2427">
        <v>33.799999</v>
      </c>
      <c r="D2427">
        <v>32.830002</v>
      </c>
      <c r="E2427">
        <v>32.889999000000003</v>
      </c>
      <c r="F2427">
        <v>32.686394</v>
      </c>
      <c r="G2427">
        <v>23434200</v>
      </c>
      <c r="I2427">
        <f t="shared" si="38"/>
        <v>4.9395177967125525E-4</v>
      </c>
    </row>
    <row r="2428" spans="1:9" x14ac:dyDescent="0.3">
      <c r="A2428" s="5">
        <v>45161</v>
      </c>
      <c r="B2428">
        <v>32.880001</v>
      </c>
      <c r="C2428">
        <v>34.150002000000001</v>
      </c>
      <c r="D2428">
        <v>32.799999</v>
      </c>
      <c r="E2428">
        <v>33.979999999999997</v>
      </c>
      <c r="F2428">
        <v>33.769649999999999</v>
      </c>
      <c r="G2428">
        <v>32324300</v>
      </c>
      <c r="I2428">
        <f t="shared" si="38"/>
        <v>2.7523243762663522E-4</v>
      </c>
    </row>
    <row r="2429" spans="1:9" x14ac:dyDescent="0.3">
      <c r="A2429" s="5">
        <v>45162</v>
      </c>
      <c r="B2429">
        <v>33.720001000000003</v>
      </c>
      <c r="C2429">
        <v>34.090000000000003</v>
      </c>
      <c r="D2429">
        <v>32.490001999999997</v>
      </c>
      <c r="E2429">
        <v>32.590000000000003</v>
      </c>
      <c r="F2429">
        <v>32.388252000000001</v>
      </c>
      <c r="G2429">
        <v>37931000</v>
      </c>
      <c r="I2429">
        <f t="shared" si="38"/>
        <v>6.052580760840334E-4</v>
      </c>
    </row>
    <row r="2430" spans="1:9" x14ac:dyDescent="0.3">
      <c r="A2430" s="5">
        <v>45163</v>
      </c>
      <c r="B2430">
        <v>32.529998999999997</v>
      </c>
      <c r="C2430">
        <v>33.400002000000001</v>
      </c>
      <c r="D2430">
        <v>32.349997999999999</v>
      </c>
      <c r="E2430">
        <v>33.25</v>
      </c>
      <c r="F2430">
        <v>33.044167000000002</v>
      </c>
      <c r="G2430">
        <v>27324800</v>
      </c>
      <c r="I2430">
        <f t="shared" si="38"/>
        <v>2.710633066944611E-4</v>
      </c>
    </row>
    <row r="2431" spans="1:9" x14ac:dyDescent="0.3">
      <c r="A2431" s="5">
        <v>45166</v>
      </c>
      <c r="B2431">
        <v>33.5</v>
      </c>
      <c r="C2431">
        <v>33.779998999999997</v>
      </c>
      <c r="D2431">
        <v>33.209999000000003</v>
      </c>
      <c r="E2431">
        <v>33.619999</v>
      </c>
      <c r="F2431">
        <v>33.411876999999997</v>
      </c>
      <c r="G2431">
        <v>22341800</v>
      </c>
      <c r="I2431">
        <f t="shared" si="38"/>
        <v>1.4619941334341642E-4</v>
      </c>
    </row>
    <row r="2432" spans="1:9" x14ac:dyDescent="0.3">
      <c r="A2432" s="5">
        <v>45167</v>
      </c>
      <c r="B2432">
        <v>33.490001999999997</v>
      </c>
      <c r="C2432">
        <v>34.479999999999997</v>
      </c>
      <c r="D2432">
        <v>33.470001000000003</v>
      </c>
      <c r="E2432">
        <v>34.310001</v>
      </c>
      <c r="F2432">
        <v>34.097607000000004</v>
      </c>
      <c r="G2432">
        <v>29943600</v>
      </c>
      <c r="I2432">
        <f t="shared" si="38"/>
        <v>1.5879711193460424E-4</v>
      </c>
    </row>
    <row r="2433" spans="1:9" x14ac:dyDescent="0.3">
      <c r="A2433" s="5">
        <v>45168</v>
      </c>
      <c r="B2433">
        <v>34.060001</v>
      </c>
      <c r="C2433">
        <v>34.659999999999997</v>
      </c>
      <c r="D2433">
        <v>33.779998999999997</v>
      </c>
      <c r="E2433">
        <v>34.529998999999997</v>
      </c>
      <c r="F2433">
        <v>34.316242000000003</v>
      </c>
      <c r="G2433">
        <v>26279200</v>
      </c>
      <c r="I2433">
        <f t="shared" si="38"/>
        <v>2.4689352685314074E-4</v>
      </c>
    </row>
    <row r="2434" spans="1:9" x14ac:dyDescent="0.3">
      <c r="A2434" s="5">
        <v>45169</v>
      </c>
      <c r="B2434">
        <v>34.32</v>
      </c>
      <c r="C2434">
        <v>35.560001</v>
      </c>
      <c r="D2434">
        <v>34.299999</v>
      </c>
      <c r="E2434">
        <v>35.139999000000003</v>
      </c>
      <c r="F2434">
        <v>34.922466</v>
      </c>
      <c r="G2434">
        <v>48157600</v>
      </c>
      <c r="I2434">
        <f t="shared" si="38"/>
        <v>4.3581223696053745E-4</v>
      </c>
    </row>
    <row r="2435" spans="1:9" x14ac:dyDescent="0.3">
      <c r="A2435" s="5">
        <v>45170</v>
      </c>
      <c r="B2435">
        <v>35.790000999999997</v>
      </c>
      <c r="C2435">
        <v>36.75</v>
      </c>
      <c r="D2435">
        <v>35.729999999999997</v>
      </c>
      <c r="E2435">
        <v>36.610000999999997</v>
      </c>
      <c r="F2435">
        <v>36.383369000000002</v>
      </c>
      <c r="G2435">
        <v>43782600</v>
      </c>
      <c r="I2435">
        <f t="shared" si="38"/>
        <v>1.4185283548290601E-4</v>
      </c>
    </row>
    <row r="2436" spans="1:9" x14ac:dyDescent="0.3">
      <c r="A2436" s="5">
        <v>45174</v>
      </c>
      <c r="B2436">
        <v>36.580002</v>
      </c>
      <c r="C2436">
        <v>37.409999999999997</v>
      </c>
      <c r="D2436">
        <v>36.459999000000003</v>
      </c>
      <c r="E2436">
        <v>36.709999000000003</v>
      </c>
      <c r="F2436">
        <v>36.482745999999999</v>
      </c>
      <c r="G2436">
        <v>43379400</v>
      </c>
      <c r="I2436">
        <f t="shared" si="38"/>
        <v>4.4625183755588841E-4</v>
      </c>
    </row>
    <row r="2437" spans="1:9" x14ac:dyDescent="0.3">
      <c r="A2437" s="5">
        <v>45175</v>
      </c>
      <c r="B2437">
        <v>36.560001</v>
      </c>
      <c r="C2437">
        <v>37.040000999999997</v>
      </c>
      <c r="D2437">
        <v>36.029998999999997</v>
      </c>
      <c r="E2437">
        <v>36.979999999999997</v>
      </c>
      <c r="F2437">
        <v>36.751075999999998</v>
      </c>
      <c r="G2437">
        <v>39643400</v>
      </c>
      <c r="I2437">
        <f t="shared" si="38"/>
        <v>4.0119120313136835E-4</v>
      </c>
    </row>
    <row r="2438" spans="1:9" x14ac:dyDescent="0.3">
      <c r="A2438" s="5">
        <v>45176</v>
      </c>
      <c r="B2438">
        <v>36.830002</v>
      </c>
      <c r="C2438">
        <v>38.340000000000003</v>
      </c>
      <c r="D2438">
        <v>36.75</v>
      </c>
      <c r="E2438">
        <v>38.18</v>
      </c>
      <c r="F2438">
        <v>37.943649000000001</v>
      </c>
      <c r="G2438">
        <v>67659700</v>
      </c>
      <c r="I2438">
        <f t="shared" si="38"/>
        <v>2.510442363609927E-4</v>
      </c>
    </row>
    <row r="2439" spans="1:9" x14ac:dyDescent="0.3">
      <c r="A2439" s="5">
        <v>45177</v>
      </c>
      <c r="B2439">
        <v>38.119999</v>
      </c>
      <c r="C2439">
        <v>38.830002</v>
      </c>
      <c r="D2439">
        <v>37.709999000000003</v>
      </c>
      <c r="E2439">
        <v>38.009998000000003</v>
      </c>
      <c r="F2439">
        <v>37.774695999999999</v>
      </c>
      <c r="G2439">
        <v>44255200</v>
      </c>
      <c r="I2439">
        <f t="shared" si="38"/>
        <v>4.7957228149656412E-4</v>
      </c>
    </row>
    <row r="2440" spans="1:9" x14ac:dyDescent="0.3">
      <c r="A2440" s="5">
        <v>45180</v>
      </c>
      <c r="B2440">
        <v>38.240001999999997</v>
      </c>
      <c r="C2440">
        <v>38.740001999999997</v>
      </c>
      <c r="D2440">
        <v>37.840000000000003</v>
      </c>
      <c r="E2440">
        <v>38.590000000000003</v>
      </c>
      <c r="F2440">
        <v>38.351112000000001</v>
      </c>
      <c r="G2440">
        <v>36349300</v>
      </c>
      <c r="I2440">
        <f t="shared" si="38"/>
        <v>2.5677705908628748E-4</v>
      </c>
    </row>
    <row r="2441" spans="1:9" x14ac:dyDescent="0.3">
      <c r="A2441" s="5">
        <v>45181</v>
      </c>
      <c r="B2441">
        <v>38.650002000000001</v>
      </c>
      <c r="C2441">
        <v>40.07</v>
      </c>
      <c r="D2441">
        <v>38.650002000000001</v>
      </c>
      <c r="E2441">
        <v>38.860000999999997</v>
      </c>
      <c r="F2441">
        <v>38.619438000000002</v>
      </c>
      <c r="G2441">
        <v>55326600</v>
      </c>
      <c r="I2441">
        <f t="shared" si="38"/>
        <v>1.1063350384837559E-3</v>
      </c>
    </row>
    <row r="2442" spans="1:9" x14ac:dyDescent="0.3">
      <c r="A2442" s="5">
        <v>45182</v>
      </c>
      <c r="B2442">
        <v>38.799999</v>
      </c>
      <c r="C2442">
        <v>39.150002000000001</v>
      </c>
      <c r="D2442">
        <v>38.25</v>
      </c>
      <c r="E2442">
        <v>38.709999000000003</v>
      </c>
      <c r="F2442">
        <v>38.470367000000003</v>
      </c>
      <c r="G2442">
        <v>35407800</v>
      </c>
      <c r="I2442">
        <f t="shared" si="38"/>
        <v>2.7216822206941048E-4</v>
      </c>
    </row>
    <row r="2443" spans="1:9" x14ac:dyDescent="0.3">
      <c r="A2443" s="5">
        <v>45183</v>
      </c>
      <c r="B2443">
        <v>38.810001</v>
      </c>
      <c r="C2443">
        <v>38.900002000000001</v>
      </c>
      <c r="D2443">
        <v>38.299999</v>
      </c>
      <c r="E2443">
        <v>38.669998</v>
      </c>
      <c r="F2443">
        <v>38.430610999999999</v>
      </c>
      <c r="G2443">
        <v>30616500</v>
      </c>
      <c r="I2443">
        <f t="shared" si="38"/>
        <v>1.4091381226942712E-4</v>
      </c>
    </row>
    <row r="2444" spans="1:9" x14ac:dyDescent="0.3">
      <c r="A2444" s="5">
        <v>45184</v>
      </c>
      <c r="B2444">
        <v>38.419998</v>
      </c>
      <c r="C2444">
        <v>38.520000000000003</v>
      </c>
      <c r="D2444">
        <v>37.619999</v>
      </c>
      <c r="E2444">
        <v>37.880001</v>
      </c>
      <c r="F2444">
        <v>37.645508</v>
      </c>
      <c r="G2444">
        <v>68868800</v>
      </c>
      <c r="I2444">
        <f t="shared" ref="I2444:I2507" si="39">LN(C2444/B2444)*(LN(C2444/B2444)-LN(E2444/B2444))+LN(D2444/B2444)*(LN(D2444/B2444)-LN(E2444/B2444))</f>
        <v>1.8848131722780891E-4</v>
      </c>
    </row>
    <row r="2445" spans="1:9" x14ac:dyDescent="0.3">
      <c r="A2445" s="5">
        <v>45187</v>
      </c>
      <c r="B2445">
        <v>37.619999</v>
      </c>
      <c r="C2445">
        <v>38.389999000000003</v>
      </c>
      <c r="D2445">
        <v>37.509998000000003</v>
      </c>
      <c r="E2445">
        <v>37.990001999999997</v>
      </c>
      <c r="F2445">
        <v>37.754829000000001</v>
      </c>
      <c r="G2445">
        <v>29322200</v>
      </c>
      <c r="I2445">
        <f t="shared" si="39"/>
        <v>2.4944956525406486E-4</v>
      </c>
    </row>
    <row r="2446" spans="1:9" x14ac:dyDescent="0.3">
      <c r="A2446" s="5">
        <v>45188</v>
      </c>
      <c r="B2446">
        <v>38.040000999999997</v>
      </c>
      <c r="C2446">
        <v>38.099997999999999</v>
      </c>
      <c r="D2446">
        <v>36.020000000000003</v>
      </c>
      <c r="E2446">
        <v>36.340000000000003</v>
      </c>
      <c r="F2446">
        <v>36.11504</v>
      </c>
      <c r="G2446">
        <v>53288100</v>
      </c>
      <c r="I2446">
        <f t="shared" si="39"/>
        <v>5.5713836672814058E-4</v>
      </c>
    </row>
    <row r="2447" spans="1:9" x14ac:dyDescent="0.3">
      <c r="A2447" s="5">
        <v>45189</v>
      </c>
      <c r="B2447">
        <v>36.220001000000003</v>
      </c>
      <c r="C2447">
        <v>36.25</v>
      </c>
      <c r="D2447">
        <v>34.630001</v>
      </c>
      <c r="E2447">
        <v>34.689999</v>
      </c>
      <c r="F2447">
        <v>34.475254</v>
      </c>
      <c r="G2447">
        <v>57660800</v>
      </c>
      <c r="I2447">
        <f t="shared" si="39"/>
        <v>1.1412617306195326E-4</v>
      </c>
    </row>
    <row r="2448" spans="1:9" x14ac:dyDescent="0.3">
      <c r="A2448" s="5">
        <v>45190</v>
      </c>
      <c r="B2448">
        <v>34.57</v>
      </c>
      <c r="C2448">
        <v>35.25</v>
      </c>
      <c r="D2448">
        <v>34.459999000000003</v>
      </c>
      <c r="E2448">
        <v>34.650002000000001</v>
      </c>
      <c r="F2448">
        <v>34.435501000000002</v>
      </c>
      <c r="G2448">
        <v>45215900</v>
      </c>
      <c r="I2448">
        <f t="shared" si="39"/>
        <v>3.5193951277824045E-4</v>
      </c>
    </row>
    <row r="2449" spans="1:9" x14ac:dyDescent="0.3">
      <c r="A2449" s="5">
        <v>45191</v>
      </c>
      <c r="B2449">
        <v>34.810001</v>
      </c>
      <c r="C2449">
        <v>34.889999000000003</v>
      </c>
      <c r="D2449">
        <v>34.139999000000003</v>
      </c>
      <c r="E2449">
        <v>34.18</v>
      </c>
      <c r="F2449">
        <v>33.968409999999999</v>
      </c>
      <c r="G2449">
        <v>29232700</v>
      </c>
      <c r="I2449">
        <f t="shared" si="39"/>
        <v>6.9952594721396638E-5</v>
      </c>
    </row>
    <row r="2450" spans="1:9" x14ac:dyDescent="0.3">
      <c r="A2450" s="5">
        <v>45194</v>
      </c>
      <c r="B2450">
        <v>34</v>
      </c>
      <c r="C2450">
        <v>34.369999</v>
      </c>
      <c r="D2450">
        <v>33.770000000000003</v>
      </c>
      <c r="E2450">
        <v>34.290000999999997</v>
      </c>
      <c r="F2450">
        <v>34.077731999999997</v>
      </c>
      <c r="G2450">
        <v>21729400</v>
      </c>
      <c r="I2450">
        <f t="shared" si="39"/>
        <v>1.2894415315833723E-4</v>
      </c>
    </row>
    <row r="2451" spans="1:9" x14ac:dyDescent="0.3">
      <c r="A2451" s="5">
        <v>45195</v>
      </c>
      <c r="B2451">
        <v>34.139999000000003</v>
      </c>
      <c r="C2451">
        <v>34.779998999999997</v>
      </c>
      <c r="D2451">
        <v>33.639999000000003</v>
      </c>
      <c r="E2451">
        <v>33.830002</v>
      </c>
      <c r="F2451">
        <v>33.620578999999999</v>
      </c>
      <c r="G2451">
        <v>34198300</v>
      </c>
      <c r="I2451">
        <f t="shared" si="39"/>
        <v>5.9746040127538051E-4</v>
      </c>
    </row>
    <row r="2452" spans="1:9" x14ac:dyDescent="0.3">
      <c r="A2452" s="5">
        <v>45196</v>
      </c>
      <c r="B2452">
        <v>33.919998</v>
      </c>
      <c r="C2452">
        <v>34.830002</v>
      </c>
      <c r="D2452">
        <v>33.880001</v>
      </c>
      <c r="E2452">
        <v>34.610000999999997</v>
      </c>
      <c r="F2452">
        <v>34.395752000000002</v>
      </c>
      <c r="G2452">
        <v>44369100</v>
      </c>
      <c r="I2452">
        <f t="shared" si="39"/>
        <v>1.9290563473671455E-4</v>
      </c>
    </row>
    <row r="2453" spans="1:9" x14ac:dyDescent="0.3">
      <c r="A2453" s="5">
        <v>45197</v>
      </c>
      <c r="B2453">
        <v>34.650002000000001</v>
      </c>
      <c r="C2453">
        <v>35.659999999999997</v>
      </c>
      <c r="D2453">
        <v>34.380001</v>
      </c>
      <c r="E2453">
        <v>35.18</v>
      </c>
      <c r="F2453">
        <v>34.962223000000002</v>
      </c>
      <c r="G2453">
        <v>32265300</v>
      </c>
      <c r="I2453">
        <f t="shared" si="39"/>
        <v>5.6931465334131618E-4</v>
      </c>
    </row>
    <row r="2454" spans="1:9" x14ac:dyDescent="0.3">
      <c r="A2454" s="5">
        <v>45198</v>
      </c>
      <c r="B2454">
        <v>35.650002000000001</v>
      </c>
      <c r="C2454">
        <v>35.909999999999997</v>
      </c>
      <c r="D2454">
        <v>35.159999999999997</v>
      </c>
      <c r="E2454">
        <v>35.549999</v>
      </c>
      <c r="F2454">
        <v>35.329929</v>
      </c>
      <c r="G2454">
        <v>28758500</v>
      </c>
      <c r="I2454">
        <f t="shared" si="39"/>
        <v>2.2588723133376174E-4</v>
      </c>
    </row>
    <row r="2455" spans="1:9" x14ac:dyDescent="0.3">
      <c r="A2455" s="5">
        <v>45201</v>
      </c>
      <c r="B2455">
        <v>35.610000999999997</v>
      </c>
      <c r="C2455">
        <v>35.979999999999997</v>
      </c>
      <c r="D2455">
        <v>34.979999999999997</v>
      </c>
      <c r="E2455">
        <v>35.459999000000003</v>
      </c>
      <c r="F2455">
        <v>35.240485999999997</v>
      </c>
      <c r="G2455">
        <v>26086200</v>
      </c>
      <c r="I2455">
        <f t="shared" si="39"/>
        <v>3.9375616163993255E-4</v>
      </c>
    </row>
    <row r="2456" spans="1:9" x14ac:dyDescent="0.3">
      <c r="A2456" s="5">
        <v>45202</v>
      </c>
      <c r="B2456">
        <v>35.270000000000003</v>
      </c>
      <c r="C2456">
        <v>36.540000999999997</v>
      </c>
      <c r="D2456">
        <v>35.270000000000003</v>
      </c>
      <c r="E2456">
        <v>35.689999</v>
      </c>
      <c r="F2456">
        <v>35.469062999999998</v>
      </c>
      <c r="G2456">
        <v>45292600</v>
      </c>
      <c r="I2456">
        <f t="shared" si="39"/>
        <v>8.3261990448134219E-4</v>
      </c>
    </row>
    <row r="2457" spans="1:9" x14ac:dyDescent="0.3">
      <c r="A2457" s="5">
        <v>45203</v>
      </c>
      <c r="B2457">
        <v>36.520000000000003</v>
      </c>
      <c r="C2457">
        <v>36.520000000000003</v>
      </c>
      <c r="D2457">
        <v>35.330002</v>
      </c>
      <c r="E2457">
        <v>35.93</v>
      </c>
      <c r="F2457">
        <v>35.707580999999998</v>
      </c>
      <c r="G2457">
        <v>39842200</v>
      </c>
      <c r="I2457">
        <f t="shared" si="39"/>
        <v>5.5787049005054129E-4</v>
      </c>
    </row>
    <row r="2458" spans="1:9" x14ac:dyDescent="0.3">
      <c r="A2458" s="5">
        <v>45204</v>
      </c>
      <c r="B2458">
        <v>35.970001000000003</v>
      </c>
      <c r="C2458">
        <v>36.099997999999999</v>
      </c>
      <c r="D2458">
        <v>35.599997999999999</v>
      </c>
      <c r="E2458">
        <v>35.889999000000003</v>
      </c>
      <c r="F2458">
        <v>35.667824000000003</v>
      </c>
      <c r="G2458">
        <v>25771200</v>
      </c>
      <c r="I2458">
        <f t="shared" si="39"/>
        <v>1.0493378186194555E-4</v>
      </c>
    </row>
    <row r="2459" spans="1:9" x14ac:dyDescent="0.3">
      <c r="A2459" s="5">
        <v>45205</v>
      </c>
      <c r="B2459">
        <v>35.869999</v>
      </c>
      <c r="C2459">
        <v>36.459999000000003</v>
      </c>
      <c r="D2459">
        <v>35.18</v>
      </c>
      <c r="E2459">
        <v>36.189999</v>
      </c>
      <c r="F2459">
        <v>35.965964999999997</v>
      </c>
      <c r="G2459">
        <v>33252300</v>
      </c>
      <c r="I2459">
        <f t="shared" si="39"/>
        <v>6.7104863366668612E-4</v>
      </c>
    </row>
    <row r="2460" spans="1:9" x14ac:dyDescent="0.3">
      <c r="A2460" s="5">
        <v>45208</v>
      </c>
      <c r="B2460">
        <v>35.700001</v>
      </c>
      <c r="C2460">
        <v>36.169998</v>
      </c>
      <c r="D2460">
        <v>35.5</v>
      </c>
      <c r="E2460">
        <v>36.060001</v>
      </c>
      <c r="F2460">
        <v>35.836776999999998</v>
      </c>
      <c r="G2460">
        <v>19376100</v>
      </c>
      <c r="I2460">
        <f t="shared" si="39"/>
        <v>1.2776685552371426E-4</v>
      </c>
    </row>
    <row r="2461" spans="1:9" x14ac:dyDescent="0.3">
      <c r="A2461" s="5">
        <v>45209</v>
      </c>
      <c r="B2461">
        <v>36.139999000000003</v>
      </c>
      <c r="C2461">
        <v>36.740001999999997</v>
      </c>
      <c r="D2461">
        <v>35.810001</v>
      </c>
      <c r="E2461">
        <v>36.43</v>
      </c>
      <c r="F2461">
        <v>36.204483000000003</v>
      </c>
      <c r="G2461">
        <v>24044100</v>
      </c>
      <c r="I2461">
        <f t="shared" si="39"/>
        <v>2.9698297636255959E-4</v>
      </c>
    </row>
    <row r="2462" spans="1:9" x14ac:dyDescent="0.3">
      <c r="A2462" s="5">
        <v>45210</v>
      </c>
      <c r="B2462">
        <v>36.619999</v>
      </c>
      <c r="C2462">
        <v>37.029998999999997</v>
      </c>
      <c r="D2462">
        <v>36.380001</v>
      </c>
      <c r="E2462">
        <v>36.880001</v>
      </c>
      <c r="F2462">
        <v>36.651694999999997</v>
      </c>
      <c r="G2462">
        <v>19262600</v>
      </c>
      <c r="I2462">
        <f t="shared" si="39"/>
        <v>1.349461579791546E-4</v>
      </c>
    </row>
    <row r="2463" spans="1:9" x14ac:dyDescent="0.3">
      <c r="A2463" s="5">
        <v>45211</v>
      </c>
      <c r="B2463">
        <v>36.799999</v>
      </c>
      <c r="C2463">
        <v>37.220001000000003</v>
      </c>
      <c r="D2463">
        <v>36.389999000000003</v>
      </c>
      <c r="E2463">
        <v>36.840000000000003</v>
      </c>
      <c r="F2463">
        <v>36.611946000000003</v>
      </c>
      <c r="G2463">
        <v>23639200</v>
      </c>
      <c r="I2463">
        <f t="shared" si="39"/>
        <v>2.5415631831884899E-4</v>
      </c>
    </row>
    <row r="2464" spans="1:9" x14ac:dyDescent="0.3">
      <c r="A2464" s="5">
        <v>45212</v>
      </c>
      <c r="B2464">
        <v>36.740001999999997</v>
      </c>
      <c r="C2464">
        <v>36.790000999999997</v>
      </c>
      <c r="D2464">
        <v>35.860000999999997</v>
      </c>
      <c r="E2464">
        <v>35.970001000000003</v>
      </c>
      <c r="F2464">
        <v>35.747329999999998</v>
      </c>
      <c r="G2464">
        <v>28390100</v>
      </c>
      <c r="I2464">
        <f t="shared" si="39"/>
        <v>1.0490780687284102E-4</v>
      </c>
    </row>
    <row r="2465" spans="1:9" x14ac:dyDescent="0.3">
      <c r="A2465" s="5">
        <v>45215</v>
      </c>
      <c r="B2465">
        <v>36.139999000000003</v>
      </c>
      <c r="C2465">
        <v>36.939999</v>
      </c>
      <c r="D2465">
        <v>36.080002</v>
      </c>
      <c r="E2465">
        <v>36.560001</v>
      </c>
      <c r="F2465">
        <v>36.333678999999997</v>
      </c>
      <c r="G2465">
        <v>29555800</v>
      </c>
      <c r="I2465">
        <f t="shared" si="39"/>
        <v>2.483534146840913E-4</v>
      </c>
    </row>
    <row r="2466" spans="1:9" x14ac:dyDescent="0.3">
      <c r="A2466" s="5">
        <v>45216</v>
      </c>
      <c r="B2466">
        <v>35.919998</v>
      </c>
      <c r="C2466">
        <v>36.349997999999999</v>
      </c>
      <c r="D2466">
        <v>35.07</v>
      </c>
      <c r="E2466">
        <v>36.060001</v>
      </c>
      <c r="F2466">
        <v>35.836776999999998</v>
      </c>
      <c r="G2466">
        <v>24993600</v>
      </c>
      <c r="I2466">
        <f t="shared" si="39"/>
        <v>7.6198974828324073E-4</v>
      </c>
    </row>
    <row r="2467" spans="1:9" x14ac:dyDescent="0.3">
      <c r="A2467" s="5">
        <v>45217</v>
      </c>
      <c r="B2467">
        <v>35.520000000000003</v>
      </c>
      <c r="C2467">
        <v>36.020000000000003</v>
      </c>
      <c r="D2467">
        <v>35.450001</v>
      </c>
      <c r="E2467">
        <v>35.639999000000003</v>
      </c>
      <c r="F2467">
        <v>35.419373</v>
      </c>
      <c r="G2467">
        <v>22086000</v>
      </c>
      <c r="I2467">
        <f t="shared" si="39"/>
        <v>1.5879618077518381E-4</v>
      </c>
    </row>
    <row r="2468" spans="1:9" x14ac:dyDescent="0.3">
      <c r="A2468" s="5">
        <v>45218</v>
      </c>
      <c r="B2468">
        <v>35.959999000000003</v>
      </c>
      <c r="C2468">
        <v>36.360000999999997</v>
      </c>
      <c r="D2468">
        <v>35.520000000000003</v>
      </c>
      <c r="E2468">
        <v>35.669998</v>
      </c>
      <c r="F2468">
        <v>35.449184000000002</v>
      </c>
      <c r="G2468">
        <v>29201800</v>
      </c>
      <c r="I2468">
        <f t="shared" si="39"/>
        <v>2.6382294726585141E-4</v>
      </c>
    </row>
    <row r="2469" spans="1:9" x14ac:dyDescent="0.3">
      <c r="A2469" s="5">
        <v>45219</v>
      </c>
      <c r="B2469">
        <v>35.650002000000001</v>
      </c>
      <c r="C2469">
        <v>36.279998999999997</v>
      </c>
      <c r="D2469">
        <v>34.869999</v>
      </c>
      <c r="E2469">
        <v>34.919998</v>
      </c>
      <c r="F2469">
        <v>34.703826999999997</v>
      </c>
      <c r="G2469">
        <v>32291800</v>
      </c>
      <c r="I2469">
        <f t="shared" si="39"/>
        <v>7.0098362392169867E-4</v>
      </c>
    </row>
    <row r="2470" spans="1:9" x14ac:dyDescent="0.3">
      <c r="A2470" s="5">
        <v>45222</v>
      </c>
      <c r="B2470">
        <v>34.599997999999999</v>
      </c>
      <c r="C2470">
        <v>35.189999</v>
      </c>
      <c r="D2470">
        <v>33.389999000000003</v>
      </c>
      <c r="E2470">
        <v>33.849997999999999</v>
      </c>
      <c r="F2470">
        <v>33.640453000000001</v>
      </c>
      <c r="G2470">
        <v>53924700</v>
      </c>
      <c r="I2470">
        <f t="shared" si="39"/>
        <v>1.1434898567895221E-3</v>
      </c>
    </row>
    <row r="2471" spans="1:9" x14ac:dyDescent="0.3">
      <c r="A2471" s="5">
        <v>45223</v>
      </c>
      <c r="B2471">
        <v>33.639999000000003</v>
      </c>
      <c r="C2471">
        <v>34.709999000000003</v>
      </c>
      <c r="D2471">
        <v>33.639999000000003</v>
      </c>
      <c r="E2471">
        <v>34.590000000000003</v>
      </c>
      <c r="F2471">
        <v>34.375874000000003</v>
      </c>
      <c r="G2471">
        <v>52673900</v>
      </c>
      <c r="I2471">
        <f t="shared" si="39"/>
        <v>1.0843901817797426E-4</v>
      </c>
    </row>
    <row r="2472" spans="1:9" x14ac:dyDescent="0.3">
      <c r="A2472" s="5">
        <v>45224</v>
      </c>
      <c r="B2472">
        <v>34.18</v>
      </c>
      <c r="C2472">
        <v>34.450001</v>
      </c>
      <c r="D2472">
        <v>32.549999</v>
      </c>
      <c r="E2472">
        <v>32.830002</v>
      </c>
      <c r="F2472">
        <v>32.62677</v>
      </c>
      <c r="G2472">
        <v>44658500</v>
      </c>
      <c r="I2472">
        <f t="shared" si="39"/>
        <v>7.9752544333454539E-4</v>
      </c>
    </row>
    <row r="2473" spans="1:9" x14ac:dyDescent="0.3">
      <c r="A2473" s="5">
        <v>45225</v>
      </c>
      <c r="B2473">
        <v>32.889999000000003</v>
      </c>
      <c r="C2473">
        <v>33.220001000000003</v>
      </c>
      <c r="D2473">
        <v>32.150002000000001</v>
      </c>
      <c r="E2473">
        <v>32.520000000000003</v>
      </c>
      <c r="F2473">
        <v>32.318686999999997</v>
      </c>
      <c r="G2473">
        <v>59142500</v>
      </c>
      <c r="I2473">
        <f t="shared" si="39"/>
        <v>4.7301024621307375E-4</v>
      </c>
    </row>
    <row r="2474" spans="1:9" x14ac:dyDescent="0.3">
      <c r="A2474" s="5">
        <v>45226</v>
      </c>
      <c r="B2474">
        <v>34.659999999999997</v>
      </c>
      <c r="C2474">
        <v>36.380001</v>
      </c>
      <c r="D2474">
        <v>34.599997999999999</v>
      </c>
      <c r="E2474">
        <v>35.540000999999997</v>
      </c>
      <c r="F2474">
        <v>35.319996000000003</v>
      </c>
      <c r="G2474">
        <v>84128200</v>
      </c>
      <c r="I2474">
        <f t="shared" si="39"/>
        <v>1.1778542068540884E-3</v>
      </c>
    </row>
    <row r="2475" spans="1:9" x14ac:dyDescent="0.3">
      <c r="A2475" s="5">
        <v>45229</v>
      </c>
      <c r="B2475">
        <v>35.470001000000003</v>
      </c>
      <c r="C2475">
        <v>35.959999000000003</v>
      </c>
      <c r="D2475">
        <v>34.919998</v>
      </c>
      <c r="E2475">
        <v>35.689999</v>
      </c>
      <c r="F2475">
        <v>35.469062999999998</v>
      </c>
      <c r="G2475">
        <v>36656300</v>
      </c>
      <c r="I2475">
        <f t="shared" si="39"/>
        <v>4.4425380110767724E-4</v>
      </c>
    </row>
    <row r="2476" spans="1:9" x14ac:dyDescent="0.3">
      <c r="A2476" s="5">
        <v>45230</v>
      </c>
      <c r="B2476">
        <v>35.659999999999997</v>
      </c>
      <c r="C2476">
        <v>36.57</v>
      </c>
      <c r="D2476">
        <v>35.619999</v>
      </c>
      <c r="E2476">
        <v>36.5</v>
      </c>
      <c r="F2476">
        <v>36.274051999999998</v>
      </c>
      <c r="G2476">
        <v>41185200</v>
      </c>
      <c r="I2476">
        <f t="shared" si="39"/>
        <v>7.5671111607731616E-5</v>
      </c>
    </row>
    <row r="2477" spans="1:9" x14ac:dyDescent="0.3">
      <c r="A2477" s="5">
        <v>45231</v>
      </c>
      <c r="B2477">
        <v>36.5</v>
      </c>
      <c r="C2477">
        <v>37.32</v>
      </c>
      <c r="D2477">
        <v>36.279998999999997</v>
      </c>
      <c r="E2477">
        <v>37.290000999999997</v>
      </c>
      <c r="F2477">
        <v>37.059157999999996</v>
      </c>
      <c r="G2477">
        <v>41710700</v>
      </c>
      <c r="I2477">
        <f t="shared" si="39"/>
        <v>1.8387158424532633E-4</v>
      </c>
    </row>
    <row r="2478" spans="1:9" x14ac:dyDescent="0.3">
      <c r="A2478" s="5">
        <v>45232</v>
      </c>
      <c r="B2478">
        <v>37.580002</v>
      </c>
      <c r="C2478">
        <v>37.82</v>
      </c>
      <c r="D2478">
        <v>36.909999999999997</v>
      </c>
      <c r="E2478">
        <v>37.700001</v>
      </c>
      <c r="F2478">
        <v>37.466621000000004</v>
      </c>
      <c r="G2478">
        <v>35440000</v>
      </c>
      <c r="I2478">
        <f t="shared" si="39"/>
        <v>4.0120597611171491E-4</v>
      </c>
    </row>
    <row r="2479" spans="1:9" x14ac:dyDescent="0.3">
      <c r="A2479" s="5">
        <v>45233</v>
      </c>
      <c r="B2479">
        <v>38</v>
      </c>
      <c r="C2479">
        <v>38.32</v>
      </c>
      <c r="D2479">
        <v>37.669998</v>
      </c>
      <c r="E2479">
        <v>38.139999000000003</v>
      </c>
      <c r="F2479">
        <v>37.903896000000003</v>
      </c>
      <c r="G2479">
        <v>30493400</v>
      </c>
      <c r="I2479">
        <f t="shared" si="39"/>
        <v>1.4763522222814124E-4</v>
      </c>
    </row>
    <row r="2480" spans="1:9" x14ac:dyDescent="0.3">
      <c r="A2480" s="5">
        <v>45236</v>
      </c>
      <c r="B2480">
        <v>38.020000000000003</v>
      </c>
      <c r="C2480">
        <v>38.200001</v>
      </c>
      <c r="D2480">
        <v>37.849997999999999</v>
      </c>
      <c r="E2480">
        <v>37.950001</v>
      </c>
      <c r="F2480">
        <v>37.839087999999997</v>
      </c>
      <c r="G2480">
        <v>23877200</v>
      </c>
      <c r="I2480">
        <f t="shared" si="39"/>
        <v>4.2837279622560536E-5</v>
      </c>
    </row>
    <row r="2481" spans="1:9" x14ac:dyDescent="0.3">
      <c r="A2481" s="5">
        <v>45237</v>
      </c>
      <c r="B2481">
        <v>38.240001999999997</v>
      </c>
      <c r="C2481">
        <v>38.900002000000001</v>
      </c>
      <c r="D2481">
        <v>37.979999999999997</v>
      </c>
      <c r="E2481">
        <v>38.770000000000003</v>
      </c>
      <c r="F2481">
        <v>38.656692999999997</v>
      </c>
      <c r="G2481">
        <v>32052000</v>
      </c>
      <c r="I2481">
        <f t="shared" si="39"/>
        <v>1.9773760977195506E-4</v>
      </c>
    </row>
    <row r="2482" spans="1:9" x14ac:dyDescent="0.3">
      <c r="A2482" s="5">
        <v>45238</v>
      </c>
      <c r="B2482">
        <v>38.849997999999999</v>
      </c>
      <c r="C2482">
        <v>38.889999000000003</v>
      </c>
      <c r="D2482">
        <v>37.75</v>
      </c>
      <c r="E2482">
        <v>37.919998</v>
      </c>
      <c r="F2482">
        <v>37.809173999999999</v>
      </c>
      <c r="G2482">
        <v>33483400</v>
      </c>
      <c r="I2482">
        <f t="shared" si="39"/>
        <v>1.5504814109037381E-4</v>
      </c>
    </row>
    <row r="2483" spans="1:9" x14ac:dyDescent="0.3">
      <c r="A2483" s="5">
        <v>45239</v>
      </c>
      <c r="B2483">
        <v>38.049999</v>
      </c>
      <c r="C2483">
        <v>38.520000000000003</v>
      </c>
      <c r="D2483">
        <v>37.770000000000003</v>
      </c>
      <c r="E2483">
        <v>37.799999</v>
      </c>
      <c r="F2483">
        <v>37.689526000000001</v>
      </c>
      <c r="G2483">
        <v>48955800</v>
      </c>
      <c r="I2483">
        <f t="shared" si="39"/>
        <v>2.3750379197066257E-4</v>
      </c>
    </row>
    <row r="2484" spans="1:9" x14ac:dyDescent="0.3">
      <c r="A2484" s="5">
        <v>45240</v>
      </c>
      <c r="B2484">
        <v>38.240001999999997</v>
      </c>
      <c r="C2484">
        <v>38.990001999999997</v>
      </c>
      <c r="D2484">
        <v>38.240001999999997</v>
      </c>
      <c r="E2484">
        <v>38.860000999999997</v>
      </c>
      <c r="F2484">
        <v>38.746428999999999</v>
      </c>
      <c r="G2484">
        <v>38862500</v>
      </c>
      <c r="I2484">
        <f t="shared" si="39"/>
        <v>6.4869016507046793E-5</v>
      </c>
    </row>
    <row r="2485" spans="1:9" x14ac:dyDescent="0.3">
      <c r="A2485" s="5">
        <v>45243</v>
      </c>
      <c r="B2485">
        <v>38.349997999999999</v>
      </c>
      <c r="C2485">
        <v>38.57</v>
      </c>
      <c r="D2485">
        <v>38.139999000000003</v>
      </c>
      <c r="E2485">
        <v>38.229999999999997</v>
      </c>
      <c r="F2485">
        <v>38.118267000000003</v>
      </c>
      <c r="G2485">
        <v>24558300</v>
      </c>
      <c r="I2485">
        <f t="shared" si="39"/>
        <v>6.3590701220269953E-5</v>
      </c>
    </row>
    <row r="2486" spans="1:9" x14ac:dyDescent="0.3">
      <c r="A2486" s="5">
        <v>45244</v>
      </c>
      <c r="B2486">
        <v>38.799999</v>
      </c>
      <c r="C2486">
        <v>39.490001999999997</v>
      </c>
      <c r="D2486">
        <v>38.07</v>
      </c>
      <c r="E2486">
        <v>39.409999999999997</v>
      </c>
      <c r="F2486">
        <v>39.294818999999997</v>
      </c>
      <c r="G2486">
        <v>45457400</v>
      </c>
      <c r="I2486">
        <f t="shared" si="39"/>
        <v>6.9279477003931025E-4</v>
      </c>
    </row>
    <row r="2487" spans="1:9" x14ac:dyDescent="0.3">
      <c r="A2487" s="5">
        <v>45245</v>
      </c>
      <c r="B2487">
        <v>39.590000000000003</v>
      </c>
      <c r="C2487">
        <v>40.840000000000003</v>
      </c>
      <c r="D2487">
        <v>39.580002</v>
      </c>
      <c r="E2487">
        <v>40.610000999999997</v>
      </c>
      <c r="F2487">
        <v>40.491314000000003</v>
      </c>
      <c r="G2487">
        <v>47392100</v>
      </c>
      <c r="I2487">
        <f t="shared" si="39"/>
        <v>1.8204755404371785E-4</v>
      </c>
    </row>
    <row r="2488" spans="1:9" x14ac:dyDescent="0.3">
      <c r="A2488" s="5">
        <v>45246</v>
      </c>
      <c r="B2488">
        <v>41</v>
      </c>
      <c r="C2488">
        <v>43.400002000000001</v>
      </c>
      <c r="D2488">
        <v>40.82</v>
      </c>
      <c r="E2488">
        <v>43.349997999999999</v>
      </c>
      <c r="F2488">
        <v>43.223305000000003</v>
      </c>
      <c r="G2488">
        <v>86405700</v>
      </c>
      <c r="I2488">
        <f t="shared" si="39"/>
        <v>3.3016787646052988E-4</v>
      </c>
    </row>
    <row r="2489" spans="1:9" x14ac:dyDescent="0.3">
      <c r="A2489" s="5">
        <v>45247</v>
      </c>
      <c r="B2489">
        <v>42.91</v>
      </c>
      <c r="C2489">
        <v>43.810001</v>
      </c>
      <c r="D2489">
        <v>42.560001</v>
      </c>
      <c r="E2489">
        <v>43.810001</v>
      </c>
      <c r="F2489">
        <v>43.681961000000001</v>
      </c>
      <c r="G2489">
        <v>49735000</v>
      </c>
      <c r="I2489">
        <f t="shared" si="39"/>
        <v>2.3707890977232504E-4</v>
      </c>
    </row>
    <row r="2490" spans="1:9" x14ac:dyDescent="0.3">
      <c r="A2490" s="5">
        <v>45250</v>
      </c>
      <c r="B2490">
        <v>43.779998999999997</v>
      </c>
      <c r="C2490">
        <v>44.93</v>
      </c>
      <c r="D2490">
        <v>43.779998999999997</v>
      </c>
      <c r="E2490">
        <v>44.740001999999997</v>
      </c>
      <c r="F2490">
        <v>44.609245000000001</v>
      </c>
      <c r="G2490">
        <v>44564900</v>
      </c>
      <c r="I2490">
        <f t="shared" si="39"/>
        <v>1.0987843498952223E-4</v>
      </c>
    </row>
    <row r="2491" spans="1:9" x14ac:dyDescent="0.3">
      <c r="A2491" s="5">
        <v>45251</v>
      </c>
      <c r="B2491">
        <v>44.5</v>
      </c>
      <c r="C2491">
        <v>44.66</v>
      </c>
      <c r="D2491">
        <v>43.299999</v>
      </c>
      <c r="E2491">
        <v>43.639999000000003</v>
      </c>
      <c r="F2491">
        <v>43.512459</v>
      </c>
      <c r="G2491">
        <v>37252100</v>
      </c>
      <c r="I2491">
        <f t="shared" si="39"/>
        <v>2.967357208912207E-4</v>
      </c>
    </row>
    <row r="2492" spans="1:9" x14ac:dyDescent="0.3">
      <c r="A2492" s="5">
        <v>45252</v>
      </c>
      <c r="B2492">
        <v>44.029998999999997</v>
      </c>
      <c r="C2492">
        <v>44.630001</v>
      </c>
      <c r="D2492">
        <v>43.540000999999997</v>
      </c>
      <c r="E2492">
        <v>43.669998</v>
      </c>
      <c r="F2492">
        <v>43.542369999999998</v>
      </c>
      <c r="G2492">
        <v>31481200</v>
      </c>
      <c r="I2492">
        <f t="shared" si="39"/>
        <v>3.2768399898498691E-4</v>
      </c>
    </row>
    <row r="2493" spans="1:9" x14ac:dyDescent="0.3">
      <c r="A2493" s="5">
        <v>45254</v>
      </c>
      <c r="B2493">
        <v>43.68</v>
      </c>
      <c r="C2493">
        <v>44</v>
      </c>
      <c r="D2493">
        <v>43.610000999999997</v>
      </c>
      <c r="E2493">
        <v>43.959999000000003</v>
      </c>
      <c r="F2493">
        <v>43.831519999999998</v>
      </c>
      <c r="G2493">
        <v>13037100</v>
      </c>
      <c r="I2493">
        <f t="shared" si="39"/>
        <v>1.9459265575256425E-5</v>
      </c>
    </row>
    <row r="2494" spans="1:9" x14ac:dyDescent="0.3">
      <c r="A2494" s="5">
        <v>45257</v>
      </c>
      <c r="B2494">
        <v>43.650002000000001</v>
      </c>
      <c r="C2494">
        <v>44.549999</v>
      </c>
      <c r="D2494">
        <v>43.650002000000001</v>
      </c>
      <c r="E2494">
        <v>44.080002</v>
      </c>
      <c r="F2494">
        <v>43.951175999999997</v>
      </c>
      <c r="G2494">
        <v>33339900</v>
      </c>
      <c r="I2494">
        <f t="shared" si="39"/>
        <v>2.1645416137107334E-4</v>
      </c>
    </row>
    <row r="2495" spans="1:9" x14ac:dyDescent="0.3">
      <c r="A2495" s="5">
        <v>45258</v>
      </c>
      <c r="B2495">
        <v>43.689999</v>
      </c>
      <c r="C2495">
        <v>44.380001</v>
      </c>
      <c r="D2495">
        <v>43.66</v>
      </c>
      <c r="E2495">
        <v>44.23</v>
      </c>
      <c r="F2495">
        <v>44.100735</v>
      </c>
      <c r="G2495">
        <v>24548900</v>
      </c>
      <c r="I2495">
        <f t="shared" si="39"/>
        <v>6.1961495007638949E-5</v>
      </c>
    </row>
    <row r="2496" spans="1:9" x14ac:dyDescent="0.3">
      <c r="A2496" s="5">
        <v>45259</v>
      </c>
      <c r="B2496">
        <v>44.599997999999999</v>
      </c>
      <c r="C2496">
        <v>45.34</v>
      </c>
      <c r="D2496">
        <v>44.599997999999999</v>
      </c>
      <c r="E2496">
        <v>44.939999</v>
      </c>
      <c r="F2496">
        <v>44.808658999999999</v>
      </c>
      <c r="G2496">
        <v>38982000</v>
      </c>
      <c r="I2496">
        <f t="shared" si="39"/>
        <v>1.4582170935264607E-4</v>
      </c>
    </row>
    <row r="2497" spans="1:9" x14ac:dyDescent="0.3">
      <c r="A2497" s="5">
        <v>45260</v>
      </c>
      <c r="B2497">
        <v>44.650002000000001</v>
      </c>
      <c r="C2497">
        <v>45.09</v>
      </c>
      <c r="D2497">
        <v>44.41</v>
      </c>
      <c r="E2497">
        <v>44.700001</v>
      </c>
      <c r="F2497">
        <v>44.569363000000003</v>
      </c>
      <c r="G2497">
        <v>46263000</v>
      </c>
      <c r="I2497">
        <f t="shared" si="39"/>
        <v>1.2026629370560726E-4</v>
      </c>
    </row>
    <row r="2498" spans="1:9" x14ac:dyDescent="0.3">
      <c r="A2498" s="5">
        <v>45261</v>
      </c>
      <c r="B2498">
        <v>44.360000999999997</v>
      </c>
      <c r="C2498">
        <v>44.360000999999997</v>
      </c>
      <c r="D2498">
        <v>42.860000999999997</v>
      </c>
      <c r="E2498">
        <v>43.740001999999997</v>
      </c>
      <c r="F2498">
        <v>43.612166999999999</v>
      </c>
      <c r="G2498">
        <v>43922500</v>
      </c>
      <c r="I2498">
        <f t="shared" si="39"/>
        <v>6.9913040183777005E-4</v>
      </c>
    </row>
    <row r="2499" spans="1:9" x14ac:dyDescent="0.3">
      <c r="A2499" s="5">
        <v>45264</v>
      </c>
      <c r="B2499">
        <v>43.299999</v>
      </c>
      <c r="C2499">
        <v>43.310001</v>
      </c>
      <c r="D2499">
        <v>41.689999</v>
      </c>
      <c r="E2499">
        <v>42.349997999999999</v>
      </c>
      <c r="F2499">
        <v>42.226227000000002</v>
      </c>
      <c r="G2499">
        <v>50417600</v>
      </c>
      <c r="I2499">
        <f t="shared" si="39"/>
        <v>6.0034051466123484E-4</v>
      </c>
    </row>
    <row r="2500" spans="1:9" x14ac:dyDescent="0.3">
      <c r="A2500" s="5">
        <v>45265</v>
      </c>
      <c r="B2500">
        <v>41.91</v>
      </c>
      <c r="C2500">
        <v>42.290000999999997</v>
      </c>
      <c r="D2500">
        <v>41.610000999999997</v>
      </c>
      <c r="E2500">
        <v>41.919998</v>
      </c>
      <c r="F2500">
        <v>41.797482000000002</v>
      </c>
      <c r="G2500">
        <v>31859300</v>
      </c>
      <c r="I2500">
        <f t="shared" si="39"/>
        <v>1.3264171395992598E-4</v>
      </c>
    </row>
    <row r="2501" spans="1:9" x14ac:dyDescent="0.3">
      <c r="A2501" s="5">
        <v>45266</v>
      </c>
      <c r="B2501">
        <v>42.48</v>
      </c>
      <c r="C2501">
        <v>42.59</v>
      </c>
      <c r="D2501">
        <v>41.169998</v>
      </c>
      <c r="E2501">
        <v>41.27</v>
      </c>
      <c r="F2501">
        <v>41.149383999999998</v>
      </c>
      <c r="G2501">
        <v>31992300</v>
      </c>
      <c r="I2501">
        <f t="shared" si="39"/>
        <v>1.5741286268006015E-4</v>
      </c>
    </row>
    <row r="2502" spans="1:9" x14ac:dyDescent="0.3">
      <c r="A2502" s="5">
        <v>45267</v>
      </c>
      <c r="B2502">
        <v>41.75</v>
      </c>
      <c r="C2502">
        <v>42.439999</v>
      </c>
      <c r="D2502">
        <v>41.18</v>
      </c>
      <c r="E2502">
        <v>42.150002000000001</v>
      </c>
      <c r="F2502">
        <v>42.026814000000002</v>
      </c>
      <c r="G2502">
        <v>29118700</v>
      </c>
      <c r="I2502">
        <f t="shared" si="39"/>
        <v>4.3244384167965666E-4</v>
      </c>
    </row>
    <row r="2503" spans="1:9" x14ac:dyDescent="0.3">
      <c r="A2503" s="5">
        <v>45268</v>
      </c>
      <c r="B2503">
        <v>41.84</v>
      </c>
      <c r="C2503">
        <v>42.959999000000003</v>
      </c>
      <c r="D2503">
        <v>41.810001</v>
      </c>
      <c r="E2503">
        <v>42.700001</v>
      </c>
      <c r="F2503">
        <v>42.575206999999999</v>
      </c>
      <c r="G2503">
        <v>42805900</v>
      </c>
      <c r="I2503">
        <f t="shared" si="39"/>
        <v>1.7546928701218101E-4</v>
      </c>
    </row>
    <row r="2504" spans="1:9" x14ac:dyDescent="0.3">
      <c r="A2504" s="5">
        <v>45271</v>
      </c>
      <c r="B2504">
        <v>43.16</v>
      </c>
      <c r="C2504">
        <v>44.73</v>
      </c>
      <c r="D2504">
        <v>43.080002</v>
      </c>
      <c r="E2504">
        <v>44.540000999999997</v>
      </c>
      <c r="F2504">
        <v>44.409827999999997</v>
      </c>
      <c r="G2504">
        <v>48288200</v>
      </c>
      <c r="I2504">
        <f t="shared" si="39"/>
        <v>2.1392720730296487E-4</v>
      </c>
    </row>
    <row r="2505" spans="1:9" x14ac:dyDescent="0.3">
      <c r="A2505" s="5">
        <v>45272</v>
      </c>
      <c r="B2505">
        <v>44.360000999999997</v>
      </c>
      <c r="C2505">
        <v>44.439999</v>
      </c>
      <c r="D2505">
        <v>43.630001</v>
      </c>
      <c r="E2505">
        <v>44.040000999999997</v>
      </c>
      <c r="F2505">
        <v>43.911288999999996</v>
      </c>
      <c r="G2505">
        <v>31452200</v>
      </c>
      <c r="I2505">
        <f t="shared" si="39"/>
        <v>1.714921322544167E-4</v>
      </c>
    </row>
    <row r="2506" spans="1:9" x14ac:dyDescent="0.3">
      <c r="A2506" s="5">
        <v>45273</v>
      </c>
      <c r="B2506">
        <v>44.080002</v>
      </c>
      <c r="C2506">
        <v>44.720001000000003</v>
      </c>
      <c r="D2506">
        <v>43.330002</v>
      </c>
      <c r="E2506">
        <v>44.57</v>
      </c>
      <c r="F2506">
        <v>44.439739000000003</v>
      </c>
      <c r="G2506">
        <v>35216100</v>
      </c>
      <c r="I2506">
        <f t="shared" si="39"/>
        <v>5.3263892843576272E-4</v>
      </c>
    </row>
    <row r="2507" spans="1:9" x14ac:dyDescent="0.3">
      <c r="A2507" s="5">
        <v>45274</v>
      </c>
      <c r="B2507">
        <v>45.009998000000003</v>
      </c>
      <c r="C2507">
        <v>47.07</v>
      </c>
      <c r="D2507">
        <v>44.650002000000001</v>
      </c>
      <c r="E2507">
        <v>45.18</v>
      </c>
      <c r="F2507">
        <v>45.047958000000001</v>
      </c>
      <c r="G2507">
        <v>70620800</v>
      </c>
      <c r="I2507">
        <f t="shared" si="39"/>
        <v>1.9287235594519436E-3</v>
      </c>
    </row>
    <row r="2508" spans="1:9" x14ac:dyDescent="0.3">
      <c r="A2508" s="5">
        <v>45275</v>
      </c>
      <c r="B2508">
        <v>45.939999</v>
      </c>
      <c r="C2508">
        <v>47.27</v>
      </c>
      <c r="D2508">
        <v>45.669998</v>
      </c>
      <c r="E2508">
        <v>46.16</v>
      </c>
      <c r="F2508">
        <v>46.025092999999998</v>
      </c>
      <c r="G2508">
        <v>84553800</v>
      </c>
      <c r="I2508">
        <f t="shared" ref="I2508:I2566" si="40">LN(C2508/B2508)*(LN(C2508/B2508)-LN(E2508/B2508))+LN(D2508/B2508)*(LN(D2508/B2508)-LN(E2508/B2508))</f>
        <v>7.4107329072273806E-4</v>
      </c>
    </row>
    <row r="2509" spans="1:9" x14ac:dyDescent="0.3">
      <c r="A2509" s="5">
        <v>45278</v>
      </c>
      <c r="B2509">
        <v>46.150002000000001</v>
      </c>
      <c r="C2509">
        <v>46.23</v>
      </c>
      <c r="D2509">
        <v>45.400002000000001</v>
      </c>
      <c r="E2509">
        <v>45.689999</v>
      </c>
      <c r="F2509">
        <v>45.556465000000003</v>
      </c>
      <c r="G2509">
        <v>27895700</v>
      </c>
      <c r="I2509">
        <f t="shared" si="40"/>
        <v>1.2467639855037683E-4</v>
      </c>
    </row>
    <row r="2510" spans="1:9" x14ac:dyDescent="0.3">
      <c r="A2510" s="5">
        <v>45279</v>
      </c>
      <c r="B2510">
        <v>45.599997999999999</v>
      </c>
      <c r="C2510">
        <v>46.68</v>
      </c>
      <c r="D2510">
        <v>45.509998000000003</v>
      </c>
      <c r="E2510">
        <v>46.66</v>
      </c>
      <c r="F2510">
        <v>46.523631999999999</v>
      </c>
      <c r="G2510">
        <v>35358800</v>
      </c>
      <c r="I2510">
        <f t="shared" si="40"/>
        <v>5.9333753744016538E-5</v>
      </c>
    </row>
    <row r="2511" spans="1:9" x14ac:dyDescent="0.3">
      <c r="A2511" s="5">
        <v>45280</v>
      </c>
      <c r="B2511">
        <v>46.639999000000003</v>
      </c>
      <c r="C2511">
        <v>46.950001</v>
      </c>
      <c r="D2511">
        <v>45.700001</v>
      </c>
      <c r="E2511">
        <v>45.759998000000003</v>
      </c>
      <c r="F2511">
        <v>45.626258999999997</v>
      </c>
      <c r="G2511">
        <v>38159100</v>
      </c>
      <c r="I2511">
        <f t="shared" si="40"/>
        <v>1.9678782919933861E-4</v>
      </c>
    </row>
    <row r="2512" spans="1:9" x14ac:dyDescent="0.3">
      <c r="A2512" s="5">
        <v>45281</v>
      </c>
      <c r="B2512">
        <v>46.48</v>
      </c>
      <c r="C2512">
        <v>47.119999</v>
      </c>
      <c r="D2512">
        <v>46.02</v>
      </c>
      <c r="E2512">
        <v>47.080002</v>
      </c>
      <c r="F2512">
        <v>46.942405999999998</v>
      </c>
      <c r="G2512">
        <v>28320500</v>
      </c>
      <c r="I2512">
        <f t="shared" si="40"/>
        <v>2.3810639993761428E-4</v>
      </c>
    </row>
    <row r="2513" spans="1:9" x14ac:dyDescent="0.3">
      <c r="A2513" s="5">
        <v>45282</v>
      </c>
      <c r="B2513">
        <v>47.25</v>
      </c>
      <c r="C2513">
        <v>48.16</v>
      </c>
      <c r="D2513">
        <v>47.200001</v>
      </c>
      <c r="E2513">
        <v>48</v>
      </c>
      <c r="F2513">
        <v>47.859715000000001</v>
      </c>
      <c r="G2513">
        <v>30053700</v>
      </c>
      <c r="I2513">
        <f t="shared" si="40"/>
        <v>8.1275761930147349E-5</v>
      </c>
    </row>
    <row r="2514" spans="1:9" x14ac:dyDescent="0.3">
      <c r="A2514" s="5">
        <v>45286</v>
      </c>
      <c r="B2514">
        <v>48.919998</v>
      </c>
      <c r="C2514">
        <v>50.52</v>
      </c>
      <c r="D2514">
        <v>48.709999000000003</v>
      </c>
      <c r="E2514">
        <v>50.5</v>
      </c>
      <c r="F2514">
        <v>50.352409000000002</v>
      </c>
      <c r="G2514">
        <v>60287400</v>
      </c>
      <c r="I2514">
        <f t="shared" si="40"/>
        <v>1.6799607711523264E-4</v>
      </c>
    </row>
    <row r="2515" spans="1:9" x14ac:dyDescent="0.3">
      <c r="A2515" s="5">
        <v>45287</v>
      </c>
      <c r="B2515">
        <v>50.630001</v>
      </c>
      <c r="C2515">
        <v>51.279998999999997</v>
      </c>
      <c r="D2515">
        <v>50.189999</v>
      </c>
      <c r="E2515">
        <v>50.759998000000003</v>
      </c>
      <c r="F2515">
        <v>50.611649</v>
      </c>
      <c r="G2515">
        <v>52148000</v>
      </c>
      <c r="I2515">
        <f t="shared" si="40"/>
        <v>2.285861639496179E-4</v>
      </c>
    </row>
    <row r="2516" spans="1:9" x14ac:dyDescent="0.3">
      <c r="A2516" s="5">
        <v>45288</v>
      </c>
      <c r="B2516">
        <v>50.810001</v>
      </c>
      <c r="C2516">
        <v>50.869999</v>
      </c>
      <c r="D2516">
        <v>50.16</v>
      </c>
      <c r="E2516">
        <v>50.389999000000003</v>
      </c>
      <c r="F2516">
        <v>50.242728999999997</v>
      </c>
      <c r="G2516">
        <v>27705200</v>
      </c>
      <c r="I2516">
        <f t="shared" si="40"/>
        <v>7.0090701554751143E-5</v>
      </c>
    </row>
    <row r="2517" spans="1:9" x14ac:dyDescent="0.3">
      <c r="A2517" s="5">
        <v>45289</v>
      </c>
      <c r="B2517">
        <v>50.299999</v>
      </c>
      <c r="C2517">
        <v>50.57</v>
      </c>
      <c r="D2517">
        <v>49.77</v>
      </c>
      <c r="E2517">
        <v>50.25</v>
      </c>
      <c r="F2517">
        <v>50.103138000000001</v>
      </c>
      <c r="G2517">
        <v>29266500</v>
      </c>
      <c r="I2517">
        <f t="shared" si="40"/>
        <v>1.3565360451892153E-4</v>
      </c>
    </row>
    <row r="2518" spans="1:9" x14ac:dyDescent="0.3">
      <c r="A2518" s="5">
        <v>45293</v>
      </c>
      <c r="B2518">
        <v>49.200001</v>
      </c>
      <c r="C2518">
        <v>49.380001</v>
      </c>
      <c r="D2518">
        <v>47.450001</v>
      </c>
      <c r="E2518">
        <v>47.799999</v>
      </c>
      <c r="F2518">
        <v>47.660297</v>
      </c>
      <c r="G2518">
        <v>45905700</v>
      </c>
      <c r="I2518">
        <f t="shared" si="40"/>
        <v>3.8492015533747657E-4</v>
      </c>
    </row>
    <row r="2519" spans="1:9" x14ac:dyDescent="0.3">
      <c r="A2519" s="5">
        <v>45294</v>
      </c>
      <c r="B2519">
        <v>47.099997999999999</v>
      </c>
      <c r="C2519">
        <v>47.810001</v>
      </c>
      <c r="D2519">
        <v>46.799999</v>
      </c>
      <c r="E2519">
        <v>47.049999</v>
      </c>
      <c r="F2519">
        <v>46.912491000000003</v>
      </c>
      <c r="G2519">
        <v>35858400</v>
      </c>
      <c r="I2519">
        <f t="shared" si="40"/>
        <v>2.7379180678503408E-4</v>
      </c>
    </row>
    <row r="2520" spans="1:9" x14ac:dyDescent="0.3">
      <c r="A2520" s="5">
        <v>45295</v>
      </c>
      <c r="B2520">
        <v>45.720001000000003</v>
      </c>
      <c r="C2520">
        <v>47.16</v>
      </c>
      <c r="D2520">
        <v>45.240001999999997</v>
      </c>
      <c r="E2520">
        <v>46.869999</v>
      </c>
      <c r="F2520">
        <v>46.733016999999997</v>
      </c>
      <c r="G2520">
        <v>47797800</v>
      </c>
      <c r="I2520">
        <f t="shared" si="40"/>
        <v>5.648560860116599E-4</v>
      </c>
    </row>
    <row r="2521" spans="1:9" x14ac:dyDescent="0.3">
      <c r="A2521" s="5">
        <v>45296</v>
      </c>
      <c r="B2521">
        <v>47.029998999999997</v>
      </c>
      <c r="C2521">
        <v>47.830002</v>
      </c>
      <c r="D2521">
        <v>46.639999000000003</v>
      </c>
      <c r="E2521">
        <v>46.889999000000003</v>
      </c>
      <c r="F2521">
        <v>46.752960000000002</v>
      </c>
      <c r="G2521">
        <v>34332100</v>
      </c>
      <c r="I2521">
        <f t="shared" si="40"/>
        <v>3.7931230752069812E-4</v>
      </c>
    </row>
    <row r="2522" spans="1:9" x14ac:dyDescent="0.3">
      <c r="A2522" s="5">
        <v>45299</v>
      </c>
      <c r="B2522">
        <v>47.07</v>
      </c>
      <c r="C2522">
        <v>48.759998000000003</v>
      </c>
      <c r="D2522">
        <v>46.970001000000003</v>
      </c>
      <c r="E2522">
        <v>48.450001</v>
      </c>
      <c r="F2522">
        <v>48.308399000000001</v>
      </c>
      <c r="G2522">
        <v>42135100</v>
      </c>
      <c r="I2522">
        <f t="shared" si="40"/>
        <v>2.9095498778956564E-4</v>
      </c>
    </row>
    <row r="2523" spans="1:9" x14ac:dyDescent="0.3">
      <c r="A2523" s="5">
        <v>45300</v>
      </c>
      <c r="B2523">
        <v>48.009998000000003</v>
      </c>
      <c r="C2523">
        <v>48.560001</v>
      </c>
      <c r="D2523">
        <v>47.799999</v>
      </c>
      <c r="E2523">
        <v>48.049999</v>
      </c>
      <c r="F2523">
        <v>47.909568999999998</v>
      </c>
      <c r="G2523">
        <v>30097000</v>
      </c>
      <c r="I2523">
        <f t="shared" si="40"/>
        <v>1.4313293700705948E-4</v>
      </c>
    </row>
    <row r="2524" spans="1:9" x14ac:dyDescent="0.3">
      <c r="A2524" s="5">
        <v>45301</v>
      </c>
      <c r="B2524">
        <v>48.240001999999997</v>
      </c>
      <c r="C2524">
        <v>48.299999</v>
      </c>
      <c r="D2524">
        <v>46.939999</v>
      </c>
      <c r="E2524">
        <v>47.470001000000003</v>
      </c>
      <c r="F2524">
        <v>47.331263999999997</v>
      </c>
      <c r="G2524">
        <v>31480200</v>
      </c>
      <c r="I2524">
        <f t="shared" si="40"/>
        <v>3.2827009946252705E-4</v>
      </c>
    </row>
    <row r="2525" spans="1:9" x14ac:dyDescent="0.3">
      <c r="A2525" s="5">
        <v>45302</v>
      </c>
      <c r="B2525">
        <v>47.439999</v>
      </c>
      <c r="C2525">
        <v>47.84</v>
      </c>
      <c r="D2525">
        <v>46.73</v>
      </c>
      <c r="E2525">
        <v>47.639999000000003</v>
      </c>
      <c r="F2525">
        <v>47.500767000000003</v>
      </c>
      <c r="G2525">
        <v>31707900</v>
      </c>
      <c r="I2525">
        <f t="shared" si="40"/>
        <v>3.2600205515273962E-4</v>
      </c>
    </row>
    <row r="2526" spans="1:9" x14ac:dyDescent="0.3">
      <c r="A2526" s="5">
        <v>45303</v>
      </c>
      <c r="B2526">
        <v>47.599997999999999</v>
      </c>
      <c r="C2526">
        <v>47.669998</v>
      </c>
      <c r="D2526">
        <v>46.610000999999997</v>
      </c>
      <c r="E2526">
        <v>47.119999</v>
      </c>
      <c r="F2526">
        <v>46.982284999999997</v>
      </c>
      <c r="G2526">
        <v>27448800</v>
      </c>
      <c r="I2526">
        <f t="shared" si="40"/>
        <v>2.4577471798793141E-4</v>
      </c>
    </row>
    <row r="2527" spans="1:9" x14ac:dyDescent="0.3">
      <c r="A2527" s="5">
        <v>45307</v>
      </c>
      <c r="B2527">
        <v>46.98</v>
      </c>
      <c r="C2527">
        <v>47.220001000000003</v>
      </c>
      <c r="D2527">
        <v>46.380001</v>
      </c>
      <c r="E2527">
        <v>47.060001</v>
      </c>
      <c r="F2527">
        <v>46.922462000000003</v>
      </c>
      <c r="G2527">
        <v>43720700</v>
      </c>
      <c r="I2527">
        <f t="shared" si="40"/>
        <v>2.0438031414591554E-4</v>
      </c>
    </row>
    <row r="2528" spans="1:9" x14ac:dyDescent="0.3">
      <c r="A2528" s="5">
        <v>45308</v>
      </c>
      <c r="B2528">
        <v>46.419998</v>
      </c>
      <c r="C2528">
        <v>46.419998</v>
      </c>
      <c r="D2528">
        <v>45.650002000000001</v>
      </c>
      <c r="E2528">
        <v>46.060001</v>
      </c>
      <c r="F2528">
        <v>45.925387999999998</v>
      </c>
      <c r="G2528">
        <v>33488000</v>
      </c>
      <c r="I2528">
        <f t="shared" si="40"/>
        <v>1.495579232436089E-4</v>
      </c>
    </row>
    <row r="2529" spans="1:9" x14ac:dyDescent="0.3">
      <c r="A2529" s="5">
        <v>45309</v>
      </c>
      <c r="B2529">
        <v>47.029998999999997</v>
      </c>
      <c r="C2529">
        <v>47.57</v>
      </c>
      <c r="D2529">
        <v>46.169998</v>
      </c>
      <c r="E2529">
        <v>46.740001999999997</v>
      </c>
      <c r="F2529">
        <v>46.603400999999998</v>
      </c>
      <c r="G2529">
        <v>46681300</v>
      </c>
      <c r="I2529">
        <f t="shared" si="40"/>
        <v>4.2740697676457636E-4</v>
      </c>
    </row>
    <row r="2530" spans="1:9" x14ac:dyDescent="0.3">
      <c r="A2530" s="5">
        <v>45310</v>
      </c>
      <c r="B2530">
        <v>47</v>
      </c>
      <c r="C2530">
        <v>48.759998000000003</v>
      </c>
      <c r="D2530">
        <v>46.439999</v>
      </c>
      <c r="E2530">
        <v>48.150002000000001</v>
      </c>
      <c r="F2530">
        <v>48.009276999999997</v>
      </c>
      <c r="G2530">
        <v>55912900</v>
      </c>
      <c r="I2530">
        <f t="shared" si="40"/>
        <v>8.9623939046175078E-4</v>
      </c>
    </row>
    <row r="2531" spans="1:9" x14ac:dyDescent="0.3">
      <c r="A2531" s="5">
        <v>45313</v>
      </c>
      <c r="B2531">
        <v>48.849997999999999</v>
      </c>
      <c r="C2531">
        <v>49.169998</v>
      </c>
      <c r="D2531">
        <v>47.639999000000003</v>
      </c>
      <c r="E2531">
        <v>48.220001000000003</v>
      </c>
      <c r="F2531">
        <v>48.079075000000003</v>
      </c>
      <c r="G2531">
        <v>45639500</v>
      </c>
      <c r="I2531">
        <f t="shared" si="40"/>
        <v>4.3090193060486251E-4</v>
      </c>
    </row>
    <row r="2532" spans="1:9" x14ac:dyDescent="0.3">
      <c r="A2532" s="5">
        <v>45314</v>
      </c>
      <c r="B2532">
        <v>48.119999</v>
      </c>
      <c r="C2532">
        <v>48.939999</v>
      </c>
      <c r="D2532">
        <v>47.32</v>
      </c>
      <c r="E2532">
        <v>48.889999000000003</v>
      </c>
      <c r="F2532">
        <v>48.747112000000001</v>
      </c>
      <c r="G2532">
        <v>37224100</v>
      </c>
      <c r="I2532">
        <f t="shared" si="40"/>
        <v>5.6447299417148797E-4</v>
      </c>
    </row>
    <row r="2533" spans="1:9" x14ac:dyDescent="0.3">
      <c r="A2533" s="5">
        <v>45315</v>
      </c>
      <c r="B2533">
        <v>49.169998</v>
      </c>
      <c r="C2533">
        <v>49.77</v>
      </c>
      <c r="D2533">
        <v>48.27</v>
      </c>
      <c r="E2533">
        <v>49.09</v>
      </c>
      <c r="F2533">
        <v>48.946528999999998</v>
      </c>
      <c r="G2533">
        <v>49375800</v>
      </c>
      <c r="I2533">
        <f t="shared" si="40"/>
        <v>4.7804187672992673E-4</v>
      </c>
    </row>
    <row r="2534" spans="1:9" x14ac:dyDescent="0.3">
      <c r="A2534" s="5">
        <v>45316</v>
      </c>
      <c r="B2534">
        <v>50</v>
      </c>
      <c r="C2534">
        <v>50.299999</v>
      </c>
      <c r="D2534">
        <v>48.970001000000003</v>
      </c>
      <c r="E2534">
        <v>49.549999</v>
      </c>
      <c r="F2534">
        <v>49.405186</v>
      </c>
      <c r="G2534">
        <v>84845100</v>
      </c>
      <c r="I2534">
        <f t="shared" si="40"/>
        <v>3.3495185989358505E-4</v>
      </c>
    </row>
    <row r="2535" spans="1:9" x14ac:dyDescent="0.3">
      <c r="A2535" s="5">
        <v>45317</v>
      </c>
      <c r="B2535">
        <v>44.18</v>
      </c>
      <c r="C2535">
        <v>45.41</v>
      </c>
      <c r="D2535">
        <v>43.349997999999999</v>
      </c>
      <c r="E2535">
        <v>43.650002000000001</v>
      </c>
      <c r="F2535">
        <v>43.52243</v>
      </c>
      <c r="G2535">
        <v>127665300</v>
      </c>
      <c r="I2535">
        <f t="shared" si="40"/>
        <v>1.2162717185929752E-3</v>
      </c>
    </row>
    <row r="2536" spans="1:9" x14ac:dyDescent="0.3">
      <c r="A2536" s="5">
        <v>45320</v>
      </c>
      <c r="B2536">
        <v>43.709999000000003</v>
      </c>
      <c r="C2536">
        <v>43.990001999999997</v>
      </c>
      <c r="D2536">
        <v>42.810001</v>
      </c>
      <c r="E2536">
        <v>43.84</v>
      </c>
      <c r="F2536">
        <v>43.711872</v>
      </c>
      <c r="G2536">
        <v>51790900</v>
      </c>
      <c r="I2536">
        <f t="shared" si="40"/>
        <v>5.1645134227038729E-4</v>
      </c>
    </row>
    <row r="2537" spans="1:9" x14ac:dyDescent="0.3">
      <c r="A2537" s="5">
        <v>45321</v>
      </c>
      <c r="B2537">
        <v>43.669998</v>
      </c>
      <c r="C2537">
        <v>43.82</v>
      </c>
      <c r="D2537">
        <v>42.889999000000003</v>
      </c>
      <c r="E2537">
        <v>42.919998</v>
      </c>
      <c r="F2537">
        <v>42.794559</v>
      </c>
      <c r="G2537">
        <v>47958800</v>
      </c>
      <c r="I2537">
        <f t="shared" si="40"/>
        <v>8.3761815823631781E-5</v>
      </c>
    </row>
    <row r="2538" spans="1:9" x14ac:dyDescent="0.3">
      <c r="A2538" s="5">
        <v>45322</v>
      </c>
      <c r="B2538">
        <v>42.57</v>
      </c>
      <c r="C2538">
        <v>43.790000999999997</v>
      </c>
      <c r="D2538">
        <v>42.360000999999997</v>
      </c>
      <c r="E2538">
        <v>43.080002</v>
      </c>
      <c r="F2538">
        <v>42.954098000000002</v>
      </c>
      <c r="G2538">
        <v>51584200</v>
      </c>
      <c r="I2538">
        <f t="shared" si="40"/>
        <v>5.45233905868245E-4</v>
      </c>
    </row>
    <row r="2539" spans="1:9" x14ac:dyDescent="0.3">
      <c r="A2539" s="5">
        <v>45323</v>
      </c>
      <c r="B2539">
        <v>43.150002000000001</v>
      </c>
      <c r="C2539">
        <v>43.57</v>
      </c>
      <c r="D2539">
        <v>42.490001999999997</v>
      </c>
      <c r="E2539">
        <v>43.360000999999997</v>
      </c>
      <c r="F2539">
        <v>43.233275999999996</v>
      </c>
      <c r="G2539">
        <v>38819900</v>
      </c>
      <c r="I2539">
        <f t="shared" si="40"/>
        <v>3.5921237849569608E-4</v>
      </c>
    </row>
    <row r="2540" spans="1:9" x14ac:dyDescent="0.3">
      <c r="A2540" s="5">
        <v>45324</v>
      </c>
      <c r="B2540">
        <v>43</v>
      </c>
      <c r="C2540">
        <v>43.139999000000003</v>
      </c>
      <c r="D2540">
        <v>41.599997999999999</v>
      </c>
      <c r="E2540">
        <v>42.599997999999999</v>
      </c>
      <c r="F2540">
        <v>42.475493999999998</v>
      </c>
      <c r="G2540">
        <v>53669900</v>
      </c>
      <c r="I2540">
        <f t="shared" si="40"/>
        <v>8.2720486288251826E-4</v>
      </c>
    </row>
    <row r="2541" spans="1:9" x14ac:dyDescent="0.3">
      <c r="A2541" s="5">
        <v>45327</v>
      </c>
      <c r="B2541">
        <v>42.619999</v>
      </c>
      <c r="C2541">
        <v>43.150002000000001</v>
      </c>
      <c r="D2541">
        <v>42.43</v>
      </c>
      <c r="E2541">
        <v>42.77</v>
      </c>
      <c r="F2541">
        <v>42.645000000000003</v>
      </c>
      <c r="G2541">
        <v>28890300</v>
      </c>
      <c r="I2541">
        <f t="shared" si="40"/>
        <v>1.4498065289252055E-4</v>
      </c>
    </row>
    <row r="2542" spans="1:9" x14ac:dyDescent="0.3">
      <c r="A2542" s="5">
        <v>45328</v>
      </c>
      <c r="B2542">
        <v>42.700001</v>
      </c>
      <c r="C2542">
        <v>42.779998999999997</v>
      </c>
      <c r="D2542">
        <v>42.139999000000003</v>
      </c>
      <c r="E2542">
        <v>42.740001999999997</v>
      </c>
      <c r="F2542">
        <v>42.740001999999997</v>
      </c>
      <c r="G2542">
        <v>34068200</v>
      </c>
      <c r="I2542">
        <f t="shared" si="40"/>
        <v>1.8839327177765357E-4</v>
      </c>
    </row>
    <row r="2543" spans="1:9" x14ac:dyDescent="0.3">
      <c r="A2543" s="5">
        <v>45329</v>
      </c>
      <c r="B2543">
        <v>42.889999000000003</v>
      </c>
      <c r="C2543">
        <v>43.099997999999999</v>
      </c>
      <c r="D2543">
        <v>42.549999</v>
      </c>
      <c r="E2543">
        <v>42.779998999999997</v>
      </c>
      <c r="F2543">
        <v>42.779998999999997</v>
      </c>
      <c r="G2543">
        <v>34269200</v>
      </c>
      <c r="I2543">
        <f t="shared" si="40"/>
        <v>7.930386448977509E-5</v>
      </c>
    </row>
    <row r="2544" spans="1:9" x14ac:dyDescent="0.3">
      <c r="A2544" s="5">
        <v>45330</v>
      </c>
      <c r="B2544">
        <v>42.720001000000003</v>
      </c>
      <c r="C2544">
        <v>42.970001000000003</v>
      </c>
      <c r="D2544">
        <v>42.330002</v>
      </c>
      <c r="E2544">
        <v>42.5</v>
      </c>
      <c r="F2544">
        <v>42.5</v>
      </c>
      <c r="G2544">
        <v>33206500</v>
      </c>
      <c r="I2544">
        <f t="shared" si="40"/>
        <v>1.0093180677873433E-4</v>
      </c>
    </row>
    <row r="2545" spans="1:9" x14ac:dyDescent="0.3">
      <c r="A2545" s="5">
        <v>45331</v>
      </c>
      <c r="B2545">
        <v>42.549999</v>
      </c>
      <c r="C2545">
        <v>43.52</v>
      </c>
      <c r="D2545">
        <v>42.400002000000001</v>
      </c>
      <c r="E2545">
        <v>43.310001</v>
      </c>
      <c r="F2545">
        <v>43.310001</v>
      </c>
      <c r="G2545">
        <v>51193000</v>
      </c>
      <c r="I2545">
        <f t="shared" si="40"/>
        <v>1.8402060066552867E-4</v>
      </c>
    </row>
    <row r="2546" spans="1:9" x14ac:dyDescent="0.3">
      <c r="A2546" s="5">
        <v>45334</v>
      </c>
      <c r="B2546">
        <v>43.389999000000003</v>
      </c>
      <c r="C2546">
        <v>45.040000999999997</v>
      </c>
      <c r="D2546">
        <v>43.32</v>
      </c>
      <c r="E2546">
        <v>44.029998999999997</v>
      </c>
      <c r="F2546">
        <v>44.029998999999997</v>
      </c>
      <c r="G2546">
        <v>51107300</v>
      </c>
      <c r="I2546">
        <f t="shared" si="40"/>
        <v>8.7270394575886181E-4</v>
      </c>
    </row>
    <row r="2547" spans="1:9" x14ac:dyDescent="0.3">
      <c r="A2547" s="5">
        <v>45335</v>
      </c>
      <c r="B2547">
        <v>43</v>
      </c>
      <c r="C2547">
        <v>43.630001</v>
      </c>
      <c r="D2547">
        <v>42.759998000000003</v>
      </c>
      <c r="E2547">
        <v>43.16</v>
      </c>
      <c r="F2547">
        <v>43.16</v>
      </c>
      <c r="G2547">
        <v>36622200</v>
      </c>
      <c r="I2547">
        <f t="shared" si="40"/>
        <v>2.0964879798815464E-4</v>
      </c>
    </row>
    <row r="2548" spans="1:9" x14ac:dyDescent="0.3">
      <c r="A2548" s="5">
        <v>45336</v>
      </c>
      <c r="B2548">
        <v>43.82</v>
      </c>
      <c r="C2548">
        <v>44.290000999999997</v>
      </c>
      <c r="D2548">
        <v>43.389999000000003</v>
      </c>
      <c r="E2548">
        <v>44.189999</v>
      </c>
      <c r="F2548">
        <v>44.189999</v>
      </c>
      <c r="G2548">
        <v>36186200</v>
      </c>
      <c r="I2548">
        <f t="shared" si="40"/>
        <v>2.0427805105640524E-4</v>
      </c>
    </row>
    <row r="2549" spans="1:9" x14ac:dyDescent="0.3">
      <c r="A2549" s="5">
        <v>45337</v>
      </c>
      <c r="B2549">
        <v>44.759998000000003</v>
      </c>
      <c r="C2549">
        <v>45.27</v>
      </c>
      <c r="D2549">
        <v>44.02</v>
      </c>
      <c r="E2549">
        <v>44.049999</v>
      </c>
      <c r="F2549">
        <v>44.049999</v>
      </c>
      <c r="G2549">
        <v>44024500</v>
      </c>
      <c r="I2549">
        <f t="shared" si="40"/>
        <v>3.2087633672613032E-4</v>
      </c>
    </row>
    <row r="2550" spans="1:9" x14ac:dyDescent="0.3">
      <c r="A2550" s="5">
        <v>45338</v>
      </c>
      <c r="B2550">
        <v>44.029998999999997</v>
      </c>
      <c r="C2550">
        <v>44.220001000000003</v>
      </c>
      <c r="D2550">
        <v>43.119999</v>
      </c>
      <c r="E2550">
        <v>43.509998000000003</v>
      </c>
      <c r="F2550">
        <v>43.509998000000003</v>
      </c>
      <c r="G2550">
        <v>29858600</v>
      </c>
      <c r="I2550">
        <f t="shared" si="40"/>
        <v>2.5773785010136161E-4</v>
      </c>
    </row>
    <row r="2551" spans="1:9" x14ac:dyDescent="0.3">
      <c r="A2551" s="5">
        <v>45342</v>
      </c>
      <c r="B2551">
        <v>44.259998000000003</v>
      </c>
      <c r="C2551">
        <v>45.169998</v>
      </c>
      <c r="D2551">
        <v>43.419998</v>
      </c>
      <c r="E2551">
        <v>44.52</v>
      </c>
      <c r="F2551">
        <v>44.52</v>
      </c>
      <c r="G2551">
        <v>61514100</v>
      </c>
      <c r="I2551">
        <f t="shared" si="40"/>
        <v>7.7437299914469271E-4</v>
      </c>
    </row>
    <row r="2552" spans="1:9" x14ac:dyDescent="0.3">
      <c r="A2552" s="5">
        <v>45343</v>
      </c>
      <c r="B2552">
        <v>44.48</v>
      </c>
      <c r="C2552">
        <v>44.689999</v>
      </c>
      <c r="D2552">
        <v>43.080002</v>
      </c>
      <c r="E2552">
        <v>43.470001000000003</v>
      </c>
      <c r="F2552">
        <v>43.470001000000003</v>
      </c>
      <c r="G2552">
        <v>57715000</v>
      </c>
      <c r="I2552">
        <f t="shared" si="40"/>
        <v>4.1858500034996546E-4</v>
      </c>
    </row>
    <row r="2553" spans="1:9" x14ac:dyDescent="0.3">
      <c r="A2553" s="5">
        <v>45344</v>
      </c>
      <c r="B2553">
        <v>44.68</v>
      </c>
      <c r="C2553">
        <v>44.68</v>
      </c>
      <c r="D2553">
        <v>42.529998999999997</v>
      </c>
      <c r="E2553">
        <v>42.98</v>
      </c>
      <c r="F2553">
        <v>42.98</v>
      </c>
      <c r="G2553">
        <v>62809300</v>
      </c>
      <c r="I2553">
        <f t="shared" si="40"/>
        <v>5.1906406852342453E-4</v>
      </c>
    </row>
    <row r="2554" spans="1:9" x14ac:dyDescent="0.3">
      <c r="A2554" s="5">
        <v>45345</v>
      </c>
      <c r="B2554">
        <v>43.130001</v>
      </c>
      <c r="C2554">
        <v>43.509998000000003</v>
      </c>
      <c r="D2554">
        <v>42.66</v>
      </c>
      <c r="E2554">
        <v>42.990001999999997</v>
      </c>
      <c r="F2554">
        <v>42.990001999999997</v>
      </c>
      <c r="G2554">
        <v>33810700</v>
      </c>
      <c r="I2554">
        <f t="shared" si="40"/>
        <v>1.8990036372681042E-4</v>
      </c>
    </row>
    <row r="2555" spans="1:9" x14ac:dyDescent="0.3">
      <c r="A2555" s="5">
        <v>45348</v>
      </c>
      <c r="B2555">
        <v>43.5</v>
      </c>
      <c r="C2555">
        <v>43.68</v>
      </c>
      <c r="D2555">
        <v>42.82</v>
      </c>
      <c r="E2555">
        <v>42.990001999999997</v>
      </c>
      <c r="F2555">
        <v>42.990001999999997</v>
      </c>
      <c r="G2555">
        <v>27035400</v>
      </c>
      <c r="I2555">
        <f t="shared" si="40"/>
        <v>1.2817985097574459E-4</v>
      </c>
    </row>
    <row r="2556" spans="1:9" x14ac:dyDescent="0.3">
      <c r="A2556" s="5">
        <v>45349</v>
      </c>
      <c r="B2556">
        <v>43.25</v>
      </c>
      <c r="C2556">
        <v>43.27</v>
      </c>
      <c r="D2556">
        <v>42.509998000000003</v>
      </c>
      <c r="E2556">
        <v>42.73</v>
      </c>
      <c r="F2556">
        <v>42.73</v>
      </c>
      <c r="G2556">
        <v>25126400</v>
      </c>
      <c r="I2556">
        <f t="shared" si="40"/>
        <v>9.4890654281394344E-5</v>
      </c>
    </row>
    <row r="2557" spans="1:9" x14ac:dyDescent="0.3">
      <c r="A2557" s="5">
        <v>45350</v>
      </c>
      <c r="B2557">
        <v>42.439999</v>
      </c>
      <c r="C2557">
        <v>42.450001</v>
      </c>
      <c r="D2557">
        <v>41.91</v>
      </c>
      <c r="E2557">
        <v>41.990001999999997</v>
      </c>
      <c r="F2557">
        <v>41.990001999999997</v>
      </c>
      <c r="G2557">
        <v>26928500</v>
      </c>
      <c r="I2557">
        <f t="shared" si="40"/>
        <v>2.6533409149607652E-5</v>
      </c>
    </row>
    <row r="2558" spans="1:9" x14ac:dyDescent="0.3">
      <c r="A2558" s="5">
        <v>45351</v>
      </c>
      <c r="B2558">
        <v>42.369999</v>
      </c>
      <c r="C2558">
        <v>43.150002000000001</v>
      </c>
      <c r="D2558">
        <v>42.360000999999997</v>
      </c>
      <c r="E2558">
        <v>43.049999</v>
      </c>
      <c r="F2558">
        <v>43.049999</v>
      </c>
      <c r="G2558">
        <v>48875100</v>
      </c>
      <c r="I2558">
        <f t="shared" si="40"/>
        <v>4.6139090366283175E-5</v>
      </c>
    </row>
    <row r="2559" spans="1:9" x14ac:dyDescent="0.3">
      <c r="A2559" s="5">
        <v>45352</v>
      </c>
      <c r="B2559">
        <v>43.41</v>
      </c>
      <c r="C2559">
        <v>44.27</v>
      </c>
      <c r="D2559">
        <v>43.130001</v>
      </c>
      <c r="E2559">
        <v>43.82</v>
      </c>
      <c r="F2559">
        <v>43.82</v>
      </c>
      <c r="G2559">
        <v>41396900</v>
      </c>
      <c r="I2559">
        <f t="shared" si="40"/>
        <v>3.0313384551138343E-4</v>
      </c>
    </row>
    <row r="2560" spans="1:9" x14ac:dyDescent="0.3">
      <c r="A2560" s="5">
        <v>45355</v>
      </c>
      <c r="B2560">
        <v>44.27</v>
      </c>
      <c r="C2560">
        <v>46.610000999999997</v>
      </c>
      <c r="D2560">
        <v>43.849997999999999</v>
      </c>
      <c r="E2560">
        <v>45.610000999999997</v>
      </c>
      <c r="F2560">
        <v>45.610000999999997</v>
      </c>
      <c r="G2560">
        <v>59990800</v>
      </c>
      <c r="I2560">
        <f t="shared" si="40"/>
        <v>1.4922382207290643E-3</v>
      </c>
    </row>
    <row r="2561" spans="1:9" x14ac:dyDescent="0.3">
      <c r="A2561" s="5">
        <v>45356</v>
      </c>
      <c r="B2561">
        <v>44.560001</v>
      </c>
      <c r="C2561">
        <v>44.869999</v>
      </c>
      <c r="D2561">
        <v>42.689999</v>
      </c>
      <c r="E2561">
        <v>43.16</v>
      </c>
      <c r="F2561">
        <v>43.16</v>
      </c>
      <c r="G2561">
        <v>56655100</v>
      </c>
      <c r="I2561">
        <f t="shared" si="40"/>
        <v>7.3879966733984663E-4</v>
      </c>
    </row>
    <row r="2562" spans="1:9" x14ac:dyDescent="0.3">
      <c r="A2562" s="5">
        <v>45357</v>
      </c>
      <c r="B2562">
        <v>43.93</v>
      </c>
      <c r="C2562">
        <v>45.509998000000003</v>
      </c>
      <c r="D2562">
        <v>43.560001</v>
      </c>
      <c r="E2562">
        <v>44.509998000000003</v>
      </c>
      <c r="F2562">
        <v>44.509998000000003</v>
      </c>
      <c r="G2562">
        <v>52652000</v>
      </c>
      <c r="I2562">
        <f t="shared" si="40"/>
        <v>9.675509874113742E-4</v>
      </c>
    </row>
    <row r="2563" spans="1:9" x14ac:dyDescent="0.3">
      <c r="A2563" s="5">
        <v>45358</v>
      </c>
      <c r="B2563">
        <v>45.549999</v>
      </c>
      <c r="C2563">
        <v>46.419998</v>
      </c>
      <c r="D2563">
        <v>45.18</v>
      </c>
      <c r="E2563">
        <v>46.150002000000001</v>
      </c>
      <c r="F2563">
        <v>46.150002000000001</v>
      </c>
      <c r="G2563">
        <v>50378200</v>
      </c>
      <c r="I2563">
        <f t="shared" si="40"/>
        <v>2.8362132634227608E-4</v>
      </c>
    </row>
    <row r="2564" spans="1:9" x14ac:dyDescent="0.3">
      <c r="A2564" s="5">
        <v>45359</v>
      </c>
      <c r="B2564">
        <v>46.439999</v>
      </c>
      <c r="C2564">
        <v>46.630001</v>
      </c>
      <c r="D2564">
        <v>44</v>
      </c>
      <c r="E2564">
        <v>44</v>
      </c>
      <c r="F2564">
        <v>44</v>
      </c>
      <c r="G2564">
        <v>54793800</v>
      </c>
      <c r="I2564">
        <f t="shared" si="40"/>
        <v>2.3703634079624405E-4</v>
      </c>
    </row>
    <row r="2565" spans="1:9" x14ac:dyDescent="0.3">
      <c r="A2565" s="5">
        <v>45362</v>
      </c>
      <c r="B2565">
        <v>43.869999</v>
      </c>
      <c r="C2565">
        <v>44.93</v>
      </c>
      <c r="D2565">
        <v>43.66</v>
      </c>
      <c r="E2565">
        <v>44.860000999999997</v>
      </c>
      <c r="F2565">
        <v>44.860000999999997</v>
      </c>
      <c r="G2565">
        <v>34991100</v>
      </c>
      <c r="I2565">
        <f t="shared" si="40"/>
        <v>1.6732845805890697E-4</v>
      </c>
    </row>
    <row r="2566" spans="1:9" x14ac:dyDescent="0.3">
      <c r="A2566" s="5">
        <v>45363</v>
      </c>
      <c r="B2566">
        <v>45.060001</v>
      </c>
      <c r="C2566">
        <v>45.259998000000003</v>
      </c>
      <c r="D2566">
        <v>44.459999000000003</v>
      </c>
      <c r="E2566">
        <v>45.201301999999998</v>
      </c>
      <c r="F2566">
        <v>45.201301999999998</v>
      </c>
      <c r="G2566">
        <v>7650444</v>
      </c>
      <c r="I2566">
        <f t="shared" si="40"/>
        <v>2.2741339641093003E-4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0541C-884B-054E-99E4-8053C27A748A}">
  <sheetPr codeName="Sheet9"/>
  <dimension ref="A1:I2566"/>
  <sheetViews>
    <sheetView workbookViewId="0">
      <selection activeCell="I6" sqref="I6"/>
    </sheetView>
  </sheetViews>
  <sheetFormatPr defaultColWidth="8.77734375" defaultRowHeight="14.4" x14ac:dyDescent="0.3"/>
  <cols>
    <col min="1" max="1" width="15.44140625" customWidth="1"/>
    <col min="2" max="6" width="10.44140625" customWidth="1"/>
    <col min="7" max="7" width="9" customWidth="1"/>
    <col min="9" max="9" width="11.77734375" bestFit="1" customWidth="1"/>
  </cols>
  <sheetData>
    <row r="1" spans="1:9" x14ac:dyDescent="0.3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I1" s="3" t="s">
        <v>52</v>
      </c>
    </row>
    <row r="2" spans="1:9" x14ac:dyDescent="0.3">
      <c r="A2" s="5">
        <v>41641</v>
      </c>
      <c r="B2">
        <v>58.310001</v>
      </c>
      <c r="C2">
        <v>58.5</v>
      </c>
      <c r="D2">
        <v>57.970001000000003</v>
      </c>
      <c r="E2">
        <v>58.209999000000003</v>
      </c>
      <c r="F2">
        <v>44.047375000000002</v>
      </c>
      <c r="G2">
        <v>15627600</v>
      </c>
      <c r="I2">
        <f t="shared" ref="I2:I10" si="0">LN(C2/B2)*(LN(C2/B2)-LN(E2/B2))+LN(D2/B2)*(LN(D2/B2)-LN(E2/B2))</f>
        <v>4.0327634487564087E-5</v>
      </c>
    </row>
    <row r="3" spans="1:9" x14ac:dyDescent="0.3">
      <c r="A3" s="5">
        <v>41642</v>
      </c>
      <c r="B3">
        <v>58.290000999999997</v>
      </c>
      <c r="C3">
        <v>58.950001</v>
      </c>
      <c r="D3">
        <v>58.209999000000003</v>
      </c>
      <c r="E3">
        <v>58.66</v>
      </c>
      <c r="F3">
        <v>44.387886000000002</v>
      </c>
      <c r="G3">
        <v>14214100</v>
      </c>
      <c r="I3">
        <f t="shared" si="0"/>
        <v>6.6101668377402642E-5</v>
      </c>
    </row>
    <row r="4" spans="1:9" x14ac:dyDescent="0.3">
      <c r="A4" s="5">
        <v>41645</v>
      </c>
      <c r="B4">
        <v>59.16</v>
      </c>
      <c r="C4">
        <v>59.470001000000003</v>
      </c>
      <c r="D4">
        <v>58.830002</v>
      </c>
      <c r="E4">
        <v>59</v>
      </c>
      <c r="F4">
        <v>44.645149000000004</v>
      </c>
      <c r="G4">
        <v>17550700</v>
      </c>
      <c r="I4">
        <f t="shared" si="0"/>
        <v>5.760931376210634E-5</v>
      </c>
    </row>
    <row r="5" spans="1:9" x14ac:dyDescent="0.3">
      <c r="A5" s="5">
        <v>41646</v>
      </c>
      <c r="B5">
        <v>59.290000999999997</v>
      </c>
      <c r="C5">
        <v>59.43</v>
      </c>
      <c r="D5">
        <v>58.110000999999997</v>
      </c>
      <c r="E5">
        <v>58.32</v>
      </c>
      <c r="F5">
        <v>44.130603999999998</v>
      </c>
      <c r="G5">
        <v>17851200</v>
      </c>
      <c r="I5">
        <f t="shared" si="0"/>
        <v>1.1698407751014909E-4</v>
      </c>
    </row>
    <row r="6" spans="1:9" x14ac:dyDescent="0.3">
      <c r="A6" s="5">
        <v>41647</v>
      </c>
      <c r="B6">
        <v>58.540000999999997</v>
      </c>
      <c r="C6">
        <v>58.91</v>
      </c>
      <c r="D6">
        <v>58.299999</v>
      </c>
      <c r="E6">
        <v>58.869999</v>
      </c>
      <c r="F6">
        <v>44.546790999999999</v>
      </c>
      <c r="G6">
        <v>14687400</v>
      </c>
      <c r="I6">
        <f t="shared" si="0"/>
        <v>4.4250720156385573E-5</v>
      </c>
    </row>
    <row r="7" spans="1:9" x14ac:dyDescent="0.3">
      <c r="A7" s="5">
        <v>41648</v>
      </c>
      <c r="B7">
        <v>58.98</v>
      </c>
      <c r="C7">
        <v>59</v>
      </c>
      <c r="D7">
        <v>58.330002</v>
      </c>
      <c r="E7">
        <v>58.759998000000003</v>
      </c>
      <c r="F7">
        <v>44.463562000000003</v>
      </c>
      <c r="G7">
        <v>13242500</v>
      </c>
      <c r="I7">
        <f t="shared" si="0"/>
        <v>8.2775144479961258E-5</v>
      </c>
    </row>
    <row r="8" spans="1:9" x14ac:dyDescent="0.3">
      <c r="A8" s="5">
        <v>41649</v>
      </c>
      <c r="B8">
        <v>58.669998</v>
      </c>
      <c r="C8">
        <v>58.759998000000003</v>
      </c>
      <c r="D8">
        <v>58.18</v>
      </c>
      <c r="E8">
        <v>58.490001999999997</v>
      </c>
      <c r="F8">
        <v>44.259250999999999</v>
      </c>
      <c r="G8">
        <v>12694900</v>
      </c>
      <c r="I8">
        <f t="shared" si="0"/>
        <v>5.1628576035006872E-5</v>
      </c>
    </row>
    <row r="9" spans="1:9" x14ac:dyDescent="0.3">
      <c r="A9" s="5">
        <v>41652</v>
      </c>
      <c r="B9">
        <v>58.509998000000003</v>
      </c>
      <c r="C9">
        <v>58.669998</v>
      </c>
      <c r="D9">
        <v>57.529998999999997</v>
      </c>
      <c r="E9">
        <v>57.700001</v>
      </c>
      <c r="F9">
        <v>43.661461000000003</v>
      </c>
      <c r="G9">
        <v>20711600</v>
      </c>
      <c r="I9">
        <f t="shared" si="0"/>
        <v>9.5366585479719524E-5</v>
      </c>
    </row>
    <row r="10" spans="1:9" x14ac:dyDescent="0.3">
      <c r="A10" s="5">
        <v>41653</v>
      </c>
      <c r="B10">
        <v>58.299999</v>
      </c>
      <c r="C10">
        <v>58.580002</v>
      </c>
      <c r="D10">
        <v>57.560001</v>
      </c>
      <c r="E10">
        <v>57.740001999999997</v>
      </c>
      <c r="F10">
        <v>43.691733999999997</v>
      </c>
      <c r="G10">
        <v>30272400</v>
      </c>
      <c r="I10">
        <f t="shared" si="0"/>
        <v>1.0908646824686253E-4</v>
      </c>
    </row>
    <row r="11" spans="1:9" x14ac:dyDescent="0.3">
      <c r="A11" s="5">
        <v>41654</v>
      </c>
      <c r="B11">
        <v>57.73</v>
      </c>
      <c r="C11">
        <v>59.650002000000001</v>
      </c>
      <c r="D11">
        <v>57.73</v>
      </c>
      <c r="E11">
        <v>59.490001999999997</v>
      </c>
      <c r="F11">
        <v>45.015948999999999</v>
      </c>
      <c r="G11">
        <v>35186600</v>
      </c>
      <c r="I11">
        <f>LN(C11/B11)*(LN(C11/B11)-LN(E11/B11))+LN(D11/B11)*(LN(D11/B11)-LN(E11/B11))</f>
        <v>8.7875726897336927E-5</v>
      </c>
    </row>
    <row r="12" spans="1:9" x14ac:dyDescent="0.3">
      <c r="A12" s="5">
        <v>41655</v>
      </c>
      <c r="B12">
        <v>58.790000999999997</v>
      </c>
      <c r="C12">
        <v>59.82</v>
      </c>
      <c r="D12">
        <v>58.740001999999997</v>
      </c>
      <c r="E12">
        <v>58.990001999999997</v>
      </c>
      <c r="F12">
        <v>44.637604000000003</v>
      </c>
      <c r="G12">
        <v>21689400</v>
      </c>
      <c r="I12">
        <f t="shared" ref="I12:I75" si="1">LN(C12/B12)*(LN(C12/B12)-LN(E12/B12))+LN(D12/B12)*(LN(D12/B12)-LN(E12/B12))</f>
        <v>2.4628427687377021E-4</v>
      </c>
    </row>
    <row r="13" spans="1:9" x14ac:dyDescent="0.3">
      <c r="A13" s="5">
        <v>41656</v>
      </c>
      <c r="B13">
        <v>59.209999000000003</v>
      </c>
      <c r="C13">
        <v>59.23</v>
      </c>
      <c r="D13">
        <v>58.029998999999997</v>
      </c>
      <c r="E13">
        <v>58.110000999999997</v>
      </c>
      <c r="F13">
        <v>43.971705999999998</v>
      </c>
      <c r="G13">
        <v>20997900</v>
      </c>
      <c r="I13">
        <f t="shared" si="1"/>
        <v>3.4180797450120709E-5</v>
      </c>
    </row>
    <row r="14" spans="1:9" x14ac:dyDescent="0.3">
      <c r="A14" s="5">
        <v>41660</v>
      </c>
      <c r="B14">
        <v>58.09</v>
      </c>
      <c r="C14">
        <v>58.439999</v>
      </c>
      <c r="D14">
        <v>57.580002</v>
      </c>
      <c r="E14">
        <v>58.169998</v>
      </c>
      <c r="F14">
        <v>44.017108999999998</v>
      </c>
      <c r="G14">
        <v>19548300</v>
      </c>
      <c r="I14">
        <f t="shared" si="1"/>
        <v>1.1771408142958888E-4</v>
      </c>
    </row>
    <row r="15" spans="1:9" x14ac:dyDescent="0.3">
      <c r="A15" s="5">
        <v>41661</v>
      </c>
      <c r="B15">
        <v>58.330002</v>
      </c>
      <c r="C15">
        <v>58.330002</v>
      </c>
      <c r="D15">
        <v>57.419998</v>
      </c>
      <c r="E15">
        <v>57.59</v>
      </c>
      <c r="F15">
        <v>43.578220000000002</v>
      </c>
      <c r="G15">
        <v>15433500</v>
      </c>
      <c r="I15">
        <f t="shared" si="1"/>
        <v>4.6484695656614254E-5</v>
      </c>
    </row>
    <row r="16" spans="1:9" x14ac:dyDescent="0.3">
      <c r="A16" s="5">
        <v>41662</v>
      </c>
      <c r="B16">
        <v>57.09</v>
      </c>
      <c r="C16">
        <v>57.099997999999999</v>
      </c>
      <c r="D16">
        <v>56.209999000000003</v>
      </c>
      <c r="E16">
        <v>56.470001000000003</v>
      </c>
      <c r="F16">
        <v>42.730721000000003</v>
      </c>
      <c r="G16">
        <v>26234600</v>
      </c>
      <c r="I16">
        <f t="shared" si="1"/>
        <v>7.3631797064475024E-5</v>
      </c>
    </row>
    <row r="17" spans="1:9" x14ac:dyDescent="0.3">
      <c r="A17" s="5">
        <v>41663</v>
      </c>
      <c r="B17">
        <v>56</v>
      </c>
      <c r="C17">
        <v>56.360000999999997</v>
      </c>
      <c r="D17">
        <v>55.09</v>
      </c>
      <c r="E17">
        <v>55.09</v>
      </c>
      <c r="F17">
        <v>41.686473999999997</v>
      </c>
      <c r="G17">
        <v>26833100</v>
      </c>
      <c r="I17">
        <f t="shared" si="1"/>
        <v>1.4604820895182597E-4</v>
      </c>
    </row>
    <row r="18" spans="1:9" x14ac:dyDescent="0.3">
      <c r="A18" s="5">
        <v>41666</v>
      </c>
      <c r="B18">
        <v>55.080002</v>
      </c>
      <c r="C18">
        <v>55.799999</v>
      </c>
      <c r="D18">
        <v>54.689999</v>
      </c>
      <c r="E18">
        <v>55.09</v>
      </c>
      <c r="F18">
        <v>41.686473999999997</v>
      </c>
      <c r="G18">
        <v>23935000</v>
      </c>
      <c r="I18">
        <f t="shared" si="1"/>
        <v>2.1809149693665695E-4</v>
      </c>
    </row>
    <row r="19" spans="1:9" x14ac:dyDescent="0.3">
      <c r="A19" s="5">
        <v>41667</v>
      </c>
      <c r="B19">
        <v>55.389999000000003</v>
      </c>
      <c r="C19">
        <v>56.34</v>
      </c>
      <c r="D19">
        <v>55.240001999999997</v>
      </c>
      <c r="E19">
        <v>55.740001999999997</v>
      </c>
      <c r="F19">
        <v>42.178336999999999</v>
      </c>
      <c r="G19">
        <v>18041000</v>
      </c>
      <c r="I19">
        <f t="shared" si="1"/>
        <v>2.0650929529580591E-4</v>
      </c>
    </row>
    <row r="20" spans="1:9" x14ac:dyDescent="0.3">
      <c r="A20" s="5">
        <v>41668</v>
      </c>
      <c r="B20">
        <v>54.959999000000003</v>
      </c>
      <c r="C20">
        <v>55.869999</v>
      </c>
      <c r="D20">
        <v>54.849997999999999</v>
      </c>
      <c r="E20">
        <v>55.529998999999997</v>
      </c>
      <c r="F20">
        <v>42.019427999999998</v>
      </c>
      <c r="G20">
        <v>25459000</v>
      </c>
      <c r="I20">
        <f t="shared" si="1"/>
        <v>1.2492717545545113E-4</v>
      </c>
    </row>
    <row r="21" spans="1:9" x14ac:dyDescent="0.3">
      <c r="A21" s="5">
        <v>41669</v>
      </c>
      <c r="B21">
        <v>56.07</v>
      </c>
      <c r="C21">
        <v>56.389999000000003</v>
      </c>
      <c r="D21">
        <v>55.630001</v>
      </c>
      <c r="E21">
        <v>56</v>
      </c>
      <c r="F21">
        <v>42.375069000000003</v>
      </c>
      <c r="G21">
        <v>17031100</v>
      </c>
      <c r="I21">
        <f t="shared" si="1"/>
        <v>9.1721073676730513E-5</v>
      </c>
    </row>
    <row r="22" spans="1:9" x14ac:dyDescent="0.3">
      <c r="A22" s="5">
        <v>41670</v>
      </c>
      <c r="B22">
        <v>55.5</v>
      </c>
      <c r="C22">
        <v>56.110000999999997</v>
      </c>
      <c r="D22">
        <v>55.18</v>
      </c>
      <c r="E22">
        <v>55.360000999999997</v>
      </c>
      <c r="F22">
        <v>41.890788999999998</v>
      </c>
      <c r="G22">
        <v>18174000</v>
      </c>
      <c r="I22">
        <f t="shared" si="1"/>
        <v>1.6592829724192029E-4</v>
      </c>
    </row>
    <row r="23" spans="1:9" x14ac:dyDescent="0.3">
      <c r="A23" s="5">
        <v>41673</v>
      </c>
      <c r="B23">
        <v>55.5</v>
      </c>
      <c r="C23">
        <v>55.919998</v>
      </c>
      <c r="D23">
        <v>54.200001</v>
      </c>
      <c r="E23">
        <v>54.310001</v>
      </c>
      <c r="F23">
        <v>41.096252</v>
      </c>
      <c r="G23">
        <v>28549900</v>
      </c>
      <c r="I23">
        <f t="shared" si="1"/>
        <v>2.6829821230400048E-4</v>
      </c>
    </row>
    <row r="24" spans="1:9" x14ac:dyDescent="0.3">
      <c r="A24" s="5">
        <v>41674</v>
      </c>
      <c r="B24">
        <v>54.720001000000003</v>
      </c>
      <c r="C24">
        <v>55.349997999999999</v>
      </c>
      <c r="D24">
        <v>54.599997999999999</v>
      </c>
      <c r="E24">
        <v>54.950001</v>
      </c>
      <c r="F24">
        <v>41.580539999999999</v>
      </c>
      <c r="G24">
        <v>20709300</v>
      </c>
      <c r="I24">
        <f t="shared" si="1"/>
        <v>9.7055198220342794E-5</v>
      </c>
    </row>
    <row r="25" spans="1:9" x14ac:dyDescent="0.3">
      <c r="A25" s="5">
        <v>41675</v>
      </c>
      <c r="B25">
        <v>55.099997999999999</v>
      </c>
      <c r="C25">
        <v>55.450001</v>
      </c>
      <c r="D25">
        <v>54.580002</v>
      </c>
      <c r="E25">
        <v>55.209999000000003</v>
      </c>
      <c r="F25">
        <v>41.777279</v>
      </c>
      <c r="G25">
        <v>19491600</v>
      </c>
      <c r="I25">
        <f t="shared" si="1"/>
        <v>1.3628813859320569E-4</v>
      </c>
    </row>
    <row r="26" spans="1:9" x14ac:dyDescent="0.3">
      <c r="A26" s="5">
        <v>41676</v>
      </c>
      <c r="B26">
        <v>55.349997999999999</v>
      </c>
      <c r="C26">
        <v>56.549999</v>
      </c>
      <c r="D26">
        <v>55.200001</v>
      </c>
      <c r="E26">
        <v>56.48</v>
      </c>
      <c r="F26">
        <v>42.738289000000002</v>
      </c>
      <c r="G26">
        <v>20881600</v>
      </c>
      <c r="I26">
        <f t="shared" si="1"/>
        <v>8.8772733999018273E-5</v>
      </c>
    </row>
    <row r="27" spans="1:9" x14ac:dyDescent="0.3">
      <c r="A27" s="5">
        <v>41677</v>
      </c>
      <c r="B27">
        <v>56.650002000000001</v>
      </c>
      <c r="C27">
        <v>56.93</v>
      </c>
      <c r="D27">
        <v>56.259998000000003</v>
      </c>
      <c r="E27">
        <v>56.619999</v>
      </c>
      <c r="F27">
        <v>42.844226999999997</v>
      </c>
      <c r="G27">
        <v>23388500</v>
      </c>
      <c r="I27">
        <f t="shared" si="1"/>
        <v>7.0985254607485959E-5</v>
      </c>
    </row>
    <row r="28" spans="1:9" x14ac:dyDescent="0.3">
      <c r="A28" s="5">
        <v>41680</v>
      </c>
      <c r="B28">
        <v>56.77</v>
      </c>
      <c r="C28">
        <v>56.919998</v>
      </c>
      <c r="D28">
        <v>56.389999000000003</v>
      </c>
      <c r="E28">
        <v>56.740001999999997</v>
      </c>
      <c r="F28">
        <v>42.935023999999999</v>
      </c>
      <c r="G28">
        <v>14715200</v>
      </c>
      <c r="I28">
        <f t="shared" si="1"/>
        <v>4.9914990992273502E-5</v>
      </c>
    </row>
    <row r="29" spans="1:9" x14ac:dyDescent="0.3">
      <c r="A29" s="5">
        <v>41681</v>
      </c>
      <c r="B29">
        <v>56.610000999999997</v>
      </c>
      <c r="C29">
        <v>57.57</v>
      </c>
      <c r="D29">
        <v>56.580002</v>
      </c>
      <c r="E29">
        <v>57.43</v>
      </c>
      <c r="F29">
        <v>43.457157000000002</v>
      </c>
      <c r="G29">
        <v>18774100</v>
      </c>
      <c r="I29">
        <f t="shared" si="1"/>
        <v>4.8847066267957601E-5</v>
      </c>
    </row>
    <row r="30" spans="1:9" x14ac:dyDescent="0.3">
      <c r="A30" s="5">
        <v>41682</v>
      </c>
      <c r="B30">
        <v>57.34</v>
      </c>
      <c r="C30">
        <v>57.709999000000003</v>
      </c>
      <c r="D30">
        <v>57.16</v>
      </c>
      <c r="E30">
        <v>57.52</v>
      </c>
      <c r="F30">
        <v>43.525246000000003</v>
      </c>
      <c r="G30">
        <v>13437900</v>
      </c>
      <c r="I30">
        <f t="shared" si="1"/>
        <v>4.0950860021303778E-5</v>
      </c>
    </row>
    <row r="31" spans="1:9" x14ac:dyDescent="0.3">
      <c r="A31" s="5">
        <v>41683</v>
      </c>
      <c r="B31">
        <v>57.07</v>
      </c>
      <c r="C31">
        <v>58.099997999999999</v>
      </c>
      <c r="D31">
        <v>56.959999000000003</v>
      </c>
      <c r="E31">
        <v>58.029998999999997</v>
      </c>
      <c r="F31">
        <v>43.911171000000003</v>
      </c>
      <c r="G31">
        <v>16605500</v>
      </c>
      <c r="I31">
        <f t="shared" si="1"/>
        <v>5.7469908803271612E-5</v>
      </c>
    </row>
    <row r="32" spans="1:9" x14ac:dyDescent="0.3">
      <c r="A32" s="5">
        <v>41684</v>
      </c>
      <c r="B32">
        <v>57.889999000000003</v>
      </c>
      <c r="C32">
        <v>58.23</v>
      </c>
      <c r="D32">
        <v>57.75</v>
      </c>
      <c r="E32">
        <v>58.150002000000001</v>
      </c>
      <c r="F32">
        <v>44.001967999999998</v>
      </c>
      <c r="G32">
        <v>13067300</v>
      </c>
      <c r="I32">
        <f t="shared" si="1"/>
        <v>2.4763848462400429E-5</v>
      </c>
    </row>
    <row r="33" spans="1:9" x14ac:dyDescent="0.3">
      <c r="A33" s="5">
        <v>41688</v>
      </c>
      <c r="B33">
        <v>58.02</v>
      </c>
      <c r="C33">
        <v>58.650002000000001</v>
      </c>
      <c r="D33">
        <v>57.900002000000001</v>
      </c>
      <c r="E33">
        <v>58.490001999999997</v>
      </c>
      <c r="F33">
        <v>44.259250999999999</v>
      </c>
      <c r="G33">
        <v>14983800</v>
      </c>
      <c r="I33">
        <f t="shared" si="1"/>
        <v>5.0492876498335666E-5</v>
      </c>
    </row>
    <row r="34" spans="1:9" x14ac:dyDescent="0.3">
      <c r="A34" s="5">
        <v>41689</v>
      </c>
      <c r="B34">
        <v>58.360000999999997</v>
      </c>
      <c r="C34">
        <v>58.540000999999997</v>
      </c>
      <c r="D34">
        <v>57.220001000000003</v>
      </c>
      <c r="E34">
        <v>57.259998000000003</v>
      </c>
      <c r="F34">
        <v>43.328505999999997</v>
      </c>
      <c r="G34">
        <v>18669900</v>
      </c>
      <c r="I34">
        <f t="shared" si="1"/>
        <v>8.1867558118343093E-5</v>
      </c>
    </row>
    <row r="35" spans="1:9" x14ac:dyDescent="0.3">
      <c r="A35" s="5">
        <v>41690</v>
      </c>
      <c r="B35">
        <v>57.529998999999997</v>
      </c>
      <c r="C35">
        <v>57.970001000000003</v>
      </c>
      <c r="D35">
        <v>57.27</v>
      </c>
      <c r="E35">
        <v>57.580002</v>
      </c>
      <c r="F35">
        <v>43.570647999999998</v>
      </c>
      <c r="G35">
        <v>12457000</v>
      </c>
      <c r="I35">
        <f t="shared" si="1"/>
        <v>7.5884190255732115E-5</v>
      </c>
    </row>
    <row r="36" spans="1:9" x14ac:dyDescent="0.3">
      <c r="A36" s="5">
        <v>41691</v>
      </c>
      <c r="B36">
        <v>57.59</v>
      </c>
      <c r="C36">
        <v>57.84</v>
      </c>
      <c r="D36">
        <v>57.369999</v>
      </c>
      <c r="E36">
        <v>57.610000999999997</v>
      </c>
      <c r="F36">
        <v>43.593349000000003</v>
      </c>
      <c r="G36">
        <v>16790100</v>
      </c>
      <c r="I36">
        <f t="shared" si="1"/>
        <v>3.3237296026051132E-5</v>
      </c>
    </row>
    <row r="37" spans="1:9" x14ac:dyDescent="0.3">
      <c r="A37" s="5">
        <v>41694</v>
      </c>
      <c r="B37">
        <v>57.619999</v>
      </c>
      <c r="C37">
        <v>58.23</v>
      </c>
      <c r="D37">
        <v>57.580002</v>
      </c>
      <c r="E37">
        <v>58.029998999999997</v>
      </c>
      <c r="F37">
        <v>43.911171000000003</v>
      </c>
      <c r="G37">
        <v>16151400</v>
      </c>
      <c r="I37">
        <f t="shared" si="1"/>
        <v>4.1638401014774166E-5</v>
      </c>
    </row>
    <row r="38" spans="1:9" x14ac:dyDescent="0.3">
      <c r="A38" s="5">
        <v>41695</v>
      </c>
      <c r="B38">
        <v>57.900002000000001</v>
      </c>
      <c r="C38">
        <v>57.98</v>
      </c>
      <c r="D38">
        <v>56.919998</v>
      </c>
      <c r="E38">
        <v>57.029998999999997</v>
      </c>
      <c r="F38">
        <v>43.154476000000003</v>
      </c>
      <c r="G38">
        <v>17991800</v>
      </c>
      <c r="I38">
        <f t="shared" si="1"/>
        <v>5.5768382481202199E-5</v>
      </c>
    </row>
    <row r="39" spans="1:9" x14ac:dyDescent="0.3">
      <c r="A39" s="5">
        <v>41696</v>
      </c>
      <c r="B39">
        <v>57.369999</v>
      </c>
      <c r="C39">
        <v>57.380001</v>
      </c>
      <c r="D39">
        <v>56.220001000000003</v>
      </c>
      <c r="E39">
        <v>56.75</v>
      </c>
      <c r="F39">
        <v>42.942593000000002</v>
      </c>
      <c r="G39">
        <v>23661700</v>
      </c>
      <c r="I39">
        <f t="shared" si="1"/>
        <v>1.919216746970973E-4</v>
      </c>
    </row>
    <row r="40" spans="1:9" x14ac:dyDescent="0.3">
      <c r="A40" s="5">
        <v>41697</v>
      </c>
      <c r="B40">
        <v>56.779998999999997</v>
      </c>
      <c r="C40">
        <v>56.889999000000003</v>
      </c>
      <c r="D40">
        <v>56.139999000000003</v>
      </c>
      <c r="E40">
        <v>56.689999</v>
      </c>
      <c r="F40">
        <v>42.897202</v>
      </c>
      <c r="G40">
        <v>16277500</v>
      </c>
      <c r="I40">
        <f t="shared" si="1"/>
        <v>1.1732958585580377E-4</v>
      </c>
    </row>
    <row r="41" spans="1:9" x14ac:dyDescent="0.3">
      <c r="A41" s="5">
        <v>41698</v>
      </c>
      <c r="B41">
        <v>56.57</v>
      </c>
      <c r="C41">
        <v>57.450001</v>
      </c>
      <c r="D41">
        <v>56.389999000000003</v>
      </c>
      <c r="E41">
        <v>56.82</v>
      </c>
      <c r="F41">
        <v>42.995567000000001</v>
      </c>
      <c r="G41">
        <v>18599000</v>
      </c>
      <c r="I41">
        <f t="shared" si="1"/>
        <v>1.9441978147647591E-4</v>
      </c>
    </row>
    <row r="42" spans="1:9" x14ac:dyDescent="0.3">
      <c r="A42" s="5">
        <v>41701</v>
      </c>
      <c r="B42">
        <v>56.299999</v>
      </c>
      <c r="C42">
        <v>56.419998</v>
      </c>
      <c r="D42">
        <v>55.689999</v>
      </c>
      <c r="E42">
        <v>56.209999000000003</v>
      </c>
      <c r="F42">
        <v>42.533977999999998</v>
      </c>
      <c r="G42">
        <v>19151000</v>
      </c>
      <c r="I42">
        <f t="shared" si="1"/>
        <v>1.091887580520564E-4</v>
      </c>
    </row>
    <row r="43" spans="1:9" x14ac:dyDescent="0.3">
      <c r="A43" s="5">
        <v>41702</v>
      </c>
      <c r="B43">
        <v>56.950001</v>
      </c>
      <c r="C43">
        <v>57.360000999999997</v>
      </c>
      <c r="D43">
        <v>56.639999000000003</v>
      </c>
      <c r="E43">
        <v>57.259998000000003</v>
      </c>
      <c r="F43">
        <v>43.328505999999997</v>
      </c>
      <c r="G43">
        <v>17157000</v>
      </c>
      <c r="I43">
        <f t="shared" si="1"/>
        <v>7.1940738798818014E-5</v>
      </c>
    </row>
    <row r="44" spans="1:9" x14ac:dyDescent="0.3">
      <c r="A44" s="5">
        <v>41703</v>
      </c>
      <c r="B44">
        <v>57.48</v>
      </c>
      <c r="C44">
        <v>58.290000999999997</v>
      </c>
      <c r="D44">
        <v>57.360000999999997</v>
      </c>
      <c r="E44">
        <v>58.16</v>
      </c>
      <c r="F44">
        <v>44.009543999999998</v>
      </c>
      <c r="G44">
        <v>17761500</v>
      </c>
      <c r="I44">
        <f t="shared" si="1"/>
        <v>6.018949124997477E-5</v>
      </c>
    </row>
    <row r="45" spans="1:9" x14ac:dyDescent="0.3">
      <c r="A45" s="5">
        <v>41704</v>
      </c>
      <c r="B45">
        <v>58.509998000000003</v>
      </c>
      <c r="C45">
        <v>59.09</v>
      </c>
      <c r="D45">
        <v>58.400002000000001</v>
      </c>
      <c r="E45">
        <v>58.900002000000001</v>
      </c>
      <c r="F45">
        <v>44.569496000000001</v>
      </c>
      <c r="G45">
        <v>19420600</v>
      </c>
      <c r="I45">
        <f t="shared" si="1"/>
        <v>4.7810054308144263E-5</v>
      </c>
    </row>
    <row r="46" spans="1:9" x14ac:dyDescent="0.3">
      <c r="A46" s="5">
        <v>41705</v>
      </c>
      <c r="B46">
        <v>59.349997999999999</v>
      </c>
      <c r="C46">
        <v>59.799999</v>
      </c>
      <c r="D46">
        <v>59.07</v>
      </c>
      <c r="E46">
        <v>59.400002000000001</v>
      </c>
      <c r="F46">
        <v>44.947842000000001</v>
      </c>
      <c r="G46">
        <v>18602200</v>
      </c>
      <c r="I46">
        <f t="shared" si="1"/>
        <v>7.7039930039290297E-5</v>
      </c>
    </row>
    <row r="47" spans="1:9" x14ac:dyDescent="0.3">
      <c r="A47" s="5">
        <v>41708</v>
      </c>
      <c r="B47">
        <v>59.139999000000003</v>
      </c>
      <c r="C47">
        <v>59.48</v>
      </c>
      <c r="D47">
        <v>58.869999</v>
      </c>
      <c r="E47">
        <v>59.200001</v>
      </c>
      <c r="F47">
        <v>44.796500999999999</v>
      </c>
      <c r="G47">
        <v>16945200</v>
      </c>
      <c r="I47">
        <f t="shared" si="1"/>
        <v>5.2628763733024432E-5</v>
      </c>
    </row>
    <row r="48" spans="1:9" x14ac:dyDescent="0.3">
      <c r="A48" s="5">
        <v>41709</v>
      </c>
      <c r="B48">
        <v>59.419998</v>
      </c>
      <c r="C48">
        <v>59.450001</v>
      </c>
      <c r="D48">
        <v>58.130001</v>
      </c>
      <c r="E48">
        <v>58.189999</v>
      </c>
      <c r="F48">
        <v>44.032246000000001</v>
      </c>
      <c r="G48">
        <v>19420000</v>
      </c>
      <c r="I48">
        <f t="shared" si="1"/>
        <v>3.3456552468892831E-5</v>
      </c>
    </row>
    <row r="49" spans="1:9" x14ac:dyDescent="0.3">
      <c r="A49" s="5">
        <v>41710</v>
      </c>
      <c r="B49">
        <v>57.700001</v>
      </c>
      <c r="C49">
        <v>57.959999000000003</v>
      </c>
      <c r="D49">
        <v>57.419998</v>
      </c>
      <c r="E49">
        <v>57.919998</v>
      </c>
      <c r="F49">
        <v>43.827927000000003</v>
      </c>
      <c r="G49">
        <v>17932100</v>
      </c>
      <c r="I49">
        <f t="shared" si="1"/>
        <v>4.5279931277401486E-5</v>
      </c>
    </row>
    <row r="50" spans="1:9" x14ac:dyDescent="0.3">
      <c r="A50" s="5">
        <v>41711</v>
      </c>
      <c r="B50">
        <v>58</v>
      </c>
      <c r="C50">
        <v>58.34</v>
      </c>
      <c r="D50">
        <v>57.189999</v>
      </c>
      <c r="E50">
        <v>57.419998</v>
      </c>
      <c r="F50">
        <v>43.449581000000002</v>
      </c>
      <c r="G50">
        <v>17192500</v>
      </c>
      <c r="I50">
        <f t="shared" si="1"/>
        <v>1.4935458153174681E-4</v>
      </c>
    </row>
    <row r="51" spans="1:9" x14ac:dyDescent="0.3">
      <c r="A51" s="5">
        <v>41712</v>
      </c>
      <c r="B51">
        <v>57.110000999999997</v>
      </c>
      <c r="C51">
        <v>57.529998999999997</v>
      </c>
      <c r="D51">
        <v>56.619999</v>
      </c>
      <c r="E51">
        <v>56.799999</v>
      </c>
      <c r="F51">
        <v>42.980423000000002</v>
      </c>
      <c r="G51">
        <v>18635800</v>
      </c>
      <c r="I51">
        <f t="shared" si="1"/>
        <v>1.2092177685207162E-4</v>
      </c>
    </row>
    <row r="52" spans="1:9" x14ac:dyDescent="0.3">
      <c r="A52" s="5">
        <v>41715</v>
      </c>
      <c r="B52">
        <v>57.209999000000003</v>
      </c>
      <c r="C52">
        <v>57.700001</v>
      </c>
      <c r="D52">
        <v>57.049999</v>
      </c>
      <c r="E52">
        <v>57.580002</v>
      </c>
      <c r="F52">
        <v>43.570647999999998</v>
      </c>
      <c r="G52">
        <v>13581400</v>
      </c>
      <c r="I52">
        <f t="shared" si="1"/>
        <v>4.3653411945812474E-5</v>
      </c>
    </row>
    <row r="53" spans="1:9" x14ac:dyDescent="0.3">
      <c r="A53" s="5">
        <v>41716</v>
      </c>
      <c r="B53">
        <v>57.82</v>
      </c>
      <c r="C53">
        <v>58.16</v>
      </c>
      <c r="D53">
        <v>57.619999</v>
      </c>
      <c r="E53">
        <v>58.060001</v>
      </c>
      <c r="F53">
        <v>43.933867999999997</v>
      </c>
      <c r="G53">
        <v>12554800</v>
      </c>
      <c r="I53">
        <f t="shared" si="1"/>
        <v>3.6448906114733458E-5</v>
      </c>
    </row>
    <row r="54" spans="1:9" x14ac:dyDescent="0.3">
      <c r="A54" s="5">
        <v>41717</v>
      </c>
      <c r="B54">
        <v>57.990001999999997</v>
      </c>
      <c r="C54">
        <v>58.93</v>
      </c>
      <c r="D54">
        <v>57.889999000000003</v>
      </c>
      <c r="E54">
        <v>58.299999</v>
      </c>
      <c r="F54">
        <v>44.115479000000001</v>
      </c>
      <c r="G54">
        <v>21450700</v>
      </c>
      <c r="I54">
        <f t="shared" si="1"/>
        <v>1.8500896829109925E-4</v>
      </c>
    </row>
    <row r="55" spans="1:9" x14ac:dyDescent="0.3">
      <c r="A55" s="5">
        <v>41718</v>
      </c>
      <c r="B55">
        <v>58.360000999999997</v>
      </c>
      <c r="C55">
        <v>60.490001999999997</v>
      </c>
      <c r="D55">
        <v>58.130001</v>
      </c>
      <c r="E55">
        <v>60.110000999999997</v>
      </c>
      <c r="F55">
        <v>45.485104</v>
      </c>
      <c r="G55">
        <v>33736500</v>
      </c>
      <c r="I55">
        <f t="shared" si="1"/>
        <v>3.5816889401067177E-4</v>
      </c>
    </row>
    <row r="56" spans="1:9" x14ac:dyDescent="0.3">
      <c r="A56" s="5">
        <v>41719</v>
      </c>
      <c r="B56">
        <v>60.959999000000003</v>
      </c>
      <c r="C56">
        <v>61.200001</v>
      </c>
      <c r="D56">
        <v>60</v>
      </c>
      <c r="E56">
        <v>60.169998</v>
      </c>
      <c r="F56">
        <v>45.530501999999998</v>
      </c>
      <c r="G56">
        <v>35144100</v>
      </c>
      <c r="I56">
        <f t="shared" si="1"/>
        <v>1.1160388984251255E-4</v>
      </c>
    </row>
    <row r="57" spans="1:9" x14ac:dyDescent="0.3">
      <c r="A57" s="5">
        <v>41722</v>
      </c>
      <c r="B57">
        <v>60.369999</v>
      </c>
      <c r="C57">
        <v>61.189999</v>
      </c>
      <c r="D57">
        <v>60.349997999999999</v>
      </c>
      <c r="E57">
        <v>61.07</v>
      </c>
      <c r="F57">
        <v>46.211536000000002</v>
      </c>
      <c r="G57">
        <v>25810500</v>
      </c>
      <c r="I57">
        <f t="shared" si="1"/>
        <v>3.0413868357300116E-5</v>
      </c>
    </row>
    <row r="58" spans="1:9" x14ac:dyDescent="0.3">
      <c r="A58" s="5">
        <v>41723</v>
      </c>
      <c r="B58">
        <v>61.110000999999997</v>
      </c>
      <c r="C58">
        <v>61.48</v>
      </c>
      <c r="D58">
        <v>60.560001</v>
      </c>
      <c r="E58">
        <v>60.93</v>
      </c>
      <c r="F58">
        <v>46.105590999999997</v>
      </c>
      <c r="G58">
        <v>24053500</v>
      </c>
      <c r="I58">
        <f t="shared" si="1"/>
        <v>1.0931300664354082E-4</v>
      </c>
    </row>
    <row r="59" spans="1:9" x14ac:dyDescent="0.3">
      <c r="A59" s="5">
        <v>41724</v>
      </c>
      <c r="B59">
        <v>61.240001999999997</v>
      </c>
      <c r="C59">
        <v>61.400002000000001</v>
      </c>
      <c r="D59">
        <v>59.889999000000003</v>
      </c>
      <c r="E59">
        <v>59.900002000000001</v>
      </c>
      <c r="F59">
        <v>45.326191000000001</v>
      </c>
      <c r="G59">
        <v>22745200</v>
      </c>
      <c r="I59">
        <f t="shared" si="1"/>
        <v>6.8258600836131576E-5</v>
      </c>
    </row>
    <row r="60" spans="1:9" x14ac:dyDescent="0.3">
      <c r="A60" s="5">
        <v>41725</v>
      </c>
      <c r="B60">
        <v>59.939999</v>
      </c>
      <c r="C60">
        <v>60.549999</v>
      </c>
      <c r="D60">
        <v>59.02</v>
      </c>
      <c r="E60">
        <v>59.919998</v>
      </c>
      <c r="F60">
        <v>45.341330999999997</v>
      </c>
      <c r="G60">
        <v>24632600</v>
      </c>
      <c r="I60">
        <f t="shared" si="1"/>
        <v>3.3998995909013794E-4</v>
      </c>
    </row>
    <row r="61" spans="1:9" x14ac:dyDescent="0.3">
      <c r="A61" s="5">
        <v>41726</v>
      </c>
      <c r="B61">
        <v>60.209999000000003</v>
      </c>
      <c r="C61">
        <v>60.59</v>
      </c>
      <c r="D61">
        <v>59.68</v>
      </c>
      <c r="E61">
        <v>60.040000999999997</v>
      </c>
      <c r="F61">
        <v>45.432129000000003</v>
      </c>
      <c r="G61">
        <v>14708700</v>
      </c>
      <c r="I61">
        <f t="shared" si="1"/>
        <v>1.1054377476023446E-4</v>
      </c>
    </row>
    <row r="62" spans="1:9" x14ac:dyDescent="0.3">
      <c r="A62" s="5">
        <v>41729</v>
      </c>
      <c r="B62">
        <v>60.830002</v>
      </c>
      <c r="C62">
        <v>61.02</v>
      </c>
      <c r="D62">
        <v>60.599997999999999</v>
      </c>
      <c r="E62">
        <v>60.709999000000003</v>
      </c>
      <c r="F62">
        <v>45.939106000000002</v>
      </c>
      <c r="G62">
        <v>15216700</v>
      </c>
      <c r="I62">
        <f t="shared" si="1"/>
        <v>2.2753858584872185E-5</v>
      </c>
    </row>
    <row r="63" spans="1:9" x14ac:dyDescent="0.3">
      <c r="A63" s="5">
        <v>41730</v>
      </c>
      <c r="B63">
        <v>60.950001</v>
      </c>
      <c r="C63">
        <v>61.290000999999997</v>
      </c>
      <c r="D63">
        <v>60.369999</v>
      </c>
      <c r="E63">
        <v>60.669998</v>
      </c>
      <c r="F63">
        <v>45.908855000000003</v>
      </c>
      <c r="G63">
        <v>14584400</v>
      </c>
      <c r="I63">
        <f t="shared" si="1"/>
        <v>1.0395680621115528E-4</v>
      </c>
    </row>
    <row r="64" spans="1:9" x14ac:dyDescent="0.3">
      <c r="A64" s="5">
        <v>41731</v>
      </c>
      <c r="B64">
        <v>60.369999</v>
      </c>
      <c r="C64">
        <v>60.77</v>
      </c>
      <c r="D64">
        <v>60.200001</v>
      </c>
      <c r="E64">
        <v>60.48</v>
      </c>
      <c r="F64">
        <v>46.053519999999999</v>
      </c>
      <c r="G64">
        <v>14012200</v>
      </c>
      <c r="I64">
        <f t="shared" si="1"/>
        <v>4.4675577737509358E-5</v>
      </c>
    </row>
    <row r="65" spans="1:9" x14ac:dyDescent="0.3">
      <c r="A65" s="5">
        <v>41732</v>
      </c>
      <c r="B65">
        <v>60.650002000000001</v>
      </c>
      <c r="C65">
        <v>60.799999</v>
      </c>
      <c r="D65">
        <v>60.279998999999997</v>
      </c>
      <c r="E65">
        <v>60.66</v>
      </c>
      <c r="F65">
        <v>46.19059</v>
      </c>
      <c r="G65">
        <v>11925200</v>
      </c>
      <c r="I65">
        <f t="shared" si="1"/>
        <v>4.4148897088580549E-5</v>
      </c>
    </row>
    <row r="66" spans="1:9" x14ac:dyDescent="0.3">
      <c r="A66" s="5">
        <v>41733</v>
      </c>
      <c r="B66">
        <v>61.02</v>
      </c>
      <c r="C66">
        <v>61.060001</v>
      </c>
      <c r="D66">
        <v>59.799999</v>
      </c>
      <c r="E66">
        <v>59.810001</v>
      </c>
      <c r="F66">
        <v>45.543339000000003</v>
      </c>
      <c r="G66">
        <v>16966900</v>
      </c>
      <c r="I66">
        <f t="shared" si="1"/>
        <v>1.6932462189538649E-5</v>
      </c>
    </row>
    <row r="67" spans="1:9" x14ac:dyDescent="0.3">
      <c r="A67" s="5">
        <v>41736</v>
      </c>
      <c r="B67">
        <v>59.689999</v>
      </c>
      <c r="C67">
        <v>60</v>
      </c>
      <c r="D67">
        <v>58.84</v>
      </c>
      <c r="E67">
        <v>59</v>
      </c>
      <c r="F67">
        <v>44.926547999999997</v>
      </c>
      <c r="G67">
        <v>18685700</v>
      </c>
      <c r="I67">
        <f t="shared" si="1"/>
        <v>1.2601015681006571E-4</v>
      </c>
    </row>
    <row r="68" spans="1:9" x14ac:dyDescent="0.3">
      <c r="A68" s="5">
        <v>41737</v>
      </c>
      <c r="B68">
        <v>58.799999</v>
      </c>
      <c r="C68">
        <v>59.02</v>
      </c>
      <c r="D68">
        <v>58.25</v>
      </c>
      <c r="E68">
        <v>58.849997999999999</v>
      </c>
      <c r="F68">
        <v>44.812336000000002</v>
      </c>
      <c r="G68">
        <v>16956500</v>
      </c>
      <c r="I68">
        <f t="shared" si="1"/>
        <v>1.0707786153820375E-4</v>
      </c>
    </row>
    <row r="69" spans="1:9" x14ac:dyDescent="0.3">
      <c r="A69" s="5">
        <v>41738</v>
      </c>
      <c r="B69">
        <v>59.099997999999999</v>
      </c>
      <c r="C69">
        <v>59.450001</v>
      </c>
      <c r="D69">
        <v>58.5</v>
      </c>
      <c r="E69">
        <v>59.27</v>
      </c>
      <c r="F69">
        <v>45.132153000000002</v>
      </c>
      <c r="G69">
        <v>15308400</v>
      </c>
      <c r="I69">
        <f t="shared" si="1"/>
        <v>1.5133995918439782E-4</v>
      </c>
    </row>
    <row r="70" spans="1:9" x14ac:dyDescent="0.3">
      <c r="A70" s="5">
        <v>41739</v>
      </c>
      <c r="B70">
        <v>59.349997999999999</v>
      </c>
      <c r="C70">
        <v>59.389999000000003</v>
      </c>
      <c r="D70">
        <v>57.380001</v>
      </c>
      <c r="E70">
        <v>57.400002000000001</v>
      </c>
      <c r="F70">
        <v>43.708213999999998</v>
      </c>
      <c r="G70">
        <v>29977200</v>
      </c>
      <c r="I70">
        <f t="shared" si="1"/>
        <v>3.4727082599473236E-5</v>
      </c>
    </row>
    <row r="71" spans="1:9" x14ac:dyDescent="0.3">
      <c r="A71" s="5">
        <v>41740</v>
      </c>
      <c r="B71">
        <v>55.18</v>
      </c>
      <c r="C71">
        <v>56.049999</v>
      </c>
      <c r="D71">
        <v>54.549999</v>
      </c>
      <c r="E71">
        <v>55.299999</v>
      </c>
      <c r="F71">
        <v>42.109127000000001</v>
      </c>
      <c r="G71">
        <v>47241300</v>
      </c>
      <c r="I71">
        <f t="shared" si="1"/>
        <v>3.67539121713064E-4</v>
      </c>
    </row>
    <row r="72" spans="1:9" x14ac:dyDescent="0.3">
      <c r="A72" s="5">
        <v>41743</v>
      </c>
      <c r="B72">
        <v>55.849997999999999</v>
      </c>
      <c r="C72">
        <v>55.939999</v>
      </c>
      <c r="D72">
        <v>54.48</v>
      </c>
      <c r="E72">
        <v>54.959999000000003</v>
      </c>
      <c r="F72">
        <v>41.850231000000001</v>
      </c>
      <c r="G72">
        <v>31081500</v>
      </c>
      <c r="I72">
        <f t="shared" si="1"/>
        <v>2.4631747365608605E-4</v>
      </c>
    </row>
    <row r="73" spans="1:9" x14ac:dyDescent="0.3">
      <c r="A73" s="5">
        <v>41744</v>
      </c>
      <c r="B73">
        <v>55.09</v>
      </c>
      <c r="C73">
        <v>55.639999000000003</v>
      </c>
      <c r="D73">
        <v>54.349997999999999</v>
      </c>
      <c r="E73">
        <v>54.799999</v>
      </c>
      <c r="F73">
        <v>41.728386</v>
      </c>
      <c r="G73">
        <v>26691400</v>
      </c>
      <c r="I73">
        <f t="shared" si="1"/>
        <v>2.626302915279529E-4</v>
      </c>
    </row>
    <row r="74" spans="1:9" x14ac:dyDescent="0.3">
      <c r="A74" s="5">
        <v>41745</v>
      </c>
      <c r="B74">
        <v>55</v>
      </c>
      <c r="C74">
        <v>55.349997999999999</v>
      </c>
      <c r="D74">
        <v>54.689999</v>
      </c>
      <c r="E74">
        <v>55.259998000000003</v>
      </c>
      <c r="F74">
        <v>42.078662999999999</v>
      </c>
      <c r="G74">
        <v>27049400</v>
      </c>
      <c r="I74">
        <f t="shared" si="1"/>
        <v>6.8928643756591249E-5</v>
      </c>
    </row>
    <row r="75" spans="1:9" x14ac:dyDescent="0.3">
      <c r="A75" s="5">
        <v>41746</v>
      </c>
      <c r="B75">
        <v>55.34</v>
      </c>
      <c r="C75">
        <v>55.57</v>
      </c>
      <c r="D75">
        <v>55.009998000000003</v>
      </c>
      <c r="E75">
        <v>55.220001000000003</v>
      </c>
      <c r="F75">
        <v>42.048214000000002</v>
      </c>
      <c r="G75">
        <v>17955400</v>
      </c>
      <c r="I75">
        <f t="shared" si="1"/>
        <v>4.8994416253174397E-5</v>
      </c>
    </row>
    <row r="76" spans="1:9" x14ac:dyDescent="0.3">
      <c r="A76" s="5">
        <v>41750</v>
      </c>
      <c r="B76">
        <v>55.259998000000003</v>
      </c>
      <c r="C76">
        <v>55.41</v>
      </c>
      <c r="D76">
        <v>54.990001999999997</v>
      </c>
      <c r="E76">
        <v>55.029998999999997</v>
      </c>
      <c r="F76">
        <v>41.903537999999998</v>
      </c>
      <c r="G76">
        <v>12384800</v>
      </c>
      <c r="I76">
        <f t="shared" ref="I76:I139" si="2">LN(C76/B76)*(LN(C76/B76)-LN(E76/B76))+LN(D76/B76)*(LN(D76/B76)-LN(E76/B76))</f>
        <v>2.2215857377395561E-5</v>
      </c>
    </row>
    <row r="77" spans="1:9" x14ac:dyDescent="0.3">
      <c r="A77" s="5">
        <v>41751</v>
      </c>
      <c r="B77">
        <v>55.040000999999997</v>
      </c>
      <c r="C77">
        <v>56.080002</v>
      </c>
      <c r="D77">
        <v>54.939999</v>
      </c>
      <c r="E77">
        <v>55.810001</v>
      </c>
      <c r="F77">
        <v>42.497478000000001</v>
      </c>
      <c r="G77">
        <v>16257600</v>
      </c>
      <c r="I77">
        <f t="shared" si="2"/>
        <v>1.1891387092452204E-4</v>
      </c>
    </row>
    <row r="78" spans="1:9" x14ac:dyDescent="0.3">
      <c r="A78" s="5">
        <v>41752</v>
      </c>
      <c r="B78">
        <v>55.799999</v>
      </c>
      <c r="C78">
        <v>56.119999</v>
      </c>
      <c r="D78">
        <v>55.560001</v>
      </c>
      <c r="E78">
        <v>56.049999</v>
      </c>
      <c r="F78">
        <v>42.680228999999997</v>
      </c>
      <c r="G78">
        <v>11379000</v>
      </c>
      <c r="I78">
        <f t="shared" si="2"/>
        <v>4.4984289174700734E-5</v>
      </c>
    </row>
    <row r="79" spans="1:9" x14ac:dyDescent="0.3">
      <c r="A79" s="5">
        <v>41753</v>
      </c>
      <c r="B79">
        <v>56.07</v>
      </c>
      <c r="C79">
        <v>56.259998000000003</v>
      </c>
      <c r="D79">
        <v>55.610000999999997</v>
      </c>
      <c r="E79">
        <v>56.189999</v>
      </c>
      <c r="F79">
        <v>42.786830999999999</v>
      </c>
      <c r="G79">
        <v>15360600</v>
      </c>
      <c r="I79">
        <f t="shared" si="2"/>
        <v>8.9685292402381434E-5</v>
      </c>
    </row>
    <row r="80" spans="1:9" x14ac:dyDescent="0.3">
      <c r="A80" s="5">
        <v>41754</v>
      </c>
      <c r="B80">
        <v>56.310001</v>
      </c>
      <c r="C80">
        <v>56.349997999999999</v>
      </c>
      <c r="D80">
        <v>55.639999000000003</v>
      </c>
      <c r="E80">
        <v>55.700001</v>
      </c>
      <c r="F80">
        <v>42.413711999999997</v>
      </c>
      <c r="G80">
        <v>15937700</v>
      </c>
      <c r="I80">
        <f t="shared" si="2"/>
        <v>2.1139253173640661E-5</v>
      </c>
    </row>
    <row r="81" spans="1:9" x14ac:dyDescent="0.3">
      <c r="A81" s="5">
        <v>41757</v>
      </c>
      <c r="B81">
        <v>55.630001</v>
      </c>
      <c r="C81">
        <v>55.700001</v>
      </c>
      <c r="D81">
        <v>54.68</v>
      </c>
      <c r="E81">
        <v>55.490001999999997</v>
      </c>
      <c r="F81">
        <v>42.253807000000002</v>
      </c>
      <c r="G81">
        <v>21394100</v>
      </c>
      <c r="I81">
        <f t="shared" si="2"/>
        <v>2.580356247190677E-4</v>
      </c>
    </row>
    <row r="82" spans="1:9" x14ac:dyDescent="0.3">
      <c r="A82" s="5">
        <v>41758</v>
      </c>
      <c r="B82">
        <v>55.73</v>
      </c>
      <c r="C82">
        <v>56.310001</v>
      </c>
      <c r="D82">
        <v>55.57</v>
      </c>
      <c r="E82">
        <v>56.099997999999999</v>
      </c>
      <c r="F82">
        <v>42.718304000000003</v>
      </c>
      <c r="G82">
        <v>13453400</v>
      </c>
      <c r="I82">
        <f t="shared" si="2"/>
        <v>6.5976236445428686E-5</v>
      </c>
    </row>
    <row r="83" spans="1:9" x14ac:dyDescent="0.3">
      <c r="A83" s="5">
        <v>41759</v>
      </c>
      <c r="B83">
        <v>56.240001999999997</v>
      </c>
      <c r="C83">
        <v>56.349997999999999</v>
      </c>
      <c r="D83">
        <v>55.720001000000003</v>
      </c>
      <c r="E83">
        <v>55.98</v>
      </c>
      <c r="F83">
        <v>42.626925999999997</v>
      </c>
      <c r="G83">
        <v>14388100</v>
      </c>
      <c r="I83">
        <f t="shared" si="2"/>
        <v>5.6115675054110186E-5</v>
      </c>
    </row>
    <row r="84" spans="1:9" x14ac:dyDescent="0.3">
      <c r="A84" s="5">
        <v>41760</v>
      </c>
      <c r="B84">
        <v>55.919998</v>
      </c>
      <c r="C84">
        <v>56.189999</v>
      </c>
      <c r="D84">
        <v>55.5</v>
      </c>
      <c r="E84">
        <v>55.720001000000003</v>
      </c>
      <c r="F84">
        <v>42.428936</v>
      </c>
      <c r="G84">
        <v>12744600</v>
      </c>
      <c r="I84">
        <f t="shared" si="2"/>
        <v>7.0284212616147012E-5</v>
      </c>
    </row>
    <row r="85" spans="1:9" x14ac:dyDescent="0.3">
      <c r="A85" s="5">
        <v>41761</v>
      </c>
      <c r="B85">
        <v>55.830002</v>
      </c>
      <c r="C85">
        <v>56.369999</v>
      </c>
      <c r="D85">
        <v>55.439999</v>
      </c>
      <c r="E85">
        <v>55.580002</v>
      </c>
      <c r="F85">
        <v>42.322341999999999</v>
      </c>
      <c r="G85">
        <v>15153800</v>
      </c>
      <c r="I85">
        <f t="shared" si="2"/>
        <v>1.5353359121380569E-4</v>
      </c>
    </row>
    <row r="86" spans="1:9" x14ac:dyDescent="0.3">
      <c r="A86" s="5">
        <v>41764</v>
      </c>
      <c r="B86">
        <v>53.880001</v>
      </c>
      <c r="C86">
        <v>54.740001999999997</v>
      </c>
      <c r="D86">
        <v>53.700001</v>
      </c>
      <c r="E86">
        <v>54.220001000000003</v>
      </c>
      <c r="F86">
        <v>41.286746999999998</v>
      </c>
      <c r="G86">
        <v>25232300</v>
      </c>
      <c r="I86">
        <f t="shared" si="2"/>
        <v>1.8339491655560409E-4</v>
      </c>
    </row>
    <row r="87" spans="1:9" x14ac:dyDescent="0.3">
      <c r="A87" s="5">
        <v>41765</v>
      </c>
      <c r="B87">
        <v>54.040000999999997</v>
      </c>
      <c r="C87">
        <v>54.060001</v>
      </c>
      <c r="D87">
        <v>53.32</v>
      </c>
      <c r="E87">
        <v>53.34</v>
      </c>
      <c r="F87">
        <v>40.616652999999999</v>
      </c>
      <c r="G87">
        <v>25327400</v>
      </c>
      <c r="I87">
        <f t="shared" si="2"/>
        <v>9.9915501390476641E-6</v>
      </c>
    </row>
    <row r="88" spans="1:9" x14ac:dyDescent="0.3">
      <c r="A88" s="5">
        <v>41766</v>
      </c>
      <c r="B88">
        <v>53.549999</v>
      </c>
      <c r="C88">
        <v>54.119999</v>
      </c>
      <c r="D88">
        <v>53.240001999999997</v>
      </c>
      <c r="E88">
        <v>54.049999</v>
      </c>
      <c r="F88">
        <v>41.157299000000002</v>
      </c>
      <c r="G88">
        <v>18502600</v>
      </c>
      <c r="I88">
        <f t="shared" si="2"/>
        <v>1.0136747215700529E-4</v>
      </c>
    </row>
    <row r="89" spans="1:9" x14ac:dyDescent="0.3">
      <c r="A89" s="5">
        <v>41767</v>
      </c>
      <c r="B89">
        <v>54.200001</v>
      </c>
      <c r="C89">
        <v>54.529998999999997</v>
      </c>
      <c r="D89">
        <v>54.060001</v>
      </c>
      <c r="E89">
        <v>54.360000999999997</v>
      </c>
      <c r="F89">
        <v>41.393349000000001</v>
      </c>
      <c r="G89">
        <v>16090800</v>
      </c>
      <c r="I89">
        <f t="shared" si="2"/>
        <v>3.3266146260149699E-5</v>
      </c>
    </row>
    <row r="90" spans="1:9" x14ac:dyDescent="0.3">
      <c r="A90" s="5">
        <v>41768</v>
      </c>
      <c r="B90">
        <v>54.220001000000003</v>
      </c>
      <c r="C90">
        <v>54.310001</v>
      </c>
      <c r="D90">
        <v>53.68</v>
      </c>
      <c r="E90">
        <v>54.009998000000003</v>
      </c>
      <c r="F90">
        <v>41.126826999999999</v>
      </c>
      <c r="G90">
        <v>12366500</v>
      </c>
      <c r="I90">
        <f t="shared" si="2"/>
        <v>7.0531213339848438E-5</v>
      </c>
    </row>
    <row r="91" spans="1:9" x14ac:dyDescent="0.3">
      <c r="A91" s="5">
        <v>41771</v>
      </c>
      <c r="B91">
        <v>54.27</v>
      </c>
      <c r="C91">
        <v>54.700001</v>
      </c>
      <c r="D91">
        <v>54.029998999999997</v>
      </c>
      <c r="E91">
        <v>54.650002000000001</v>
      </c>
      <c r="F91">
        <v>41.614184999999999</v>
      </c>
      <c r="G91">
        <v>12825500</v>
      </c>
      <c r="I91">
        <f t="shared" si="2"/>
        <v>5.7787317741504664E-5</v>
      </c>
    </row>
    <row r="92" spans="1:9" x14ac:dyDescent="0.3">
      <c r="A92" s="5">
        <v>41772</v>
      </c>
      <c r="B92">
        <v>54.740001999999997</v>
      </c>
      <c r="C92">
        <v>54.830002</v>
      </c>
      <c r="D92">
        <v>54.5</v>
      </c>
      <c r="E92">
        <v>54.619999</v>
      </c>
      <c r="F92">
        <v>41.591327999999997</v>
      </c>
      <c r="G92">
        <v>12310700</v>
      </c>
      <c r="I92">
        <f t="shared" si="2"/>
        <v>1.5968303219783904E-5</v>
      </c>
    </row>
    <row r="93" spans="1:9" x14ac:dyDescent="0.3">
      <c r="A93" s="5">
        <v>41773</v>
      </c>
      <c r="B93">
        <v>54.639999000000003</v>
      </c>
      <c r="C93">
        <v>54.700001</v>
      </c>
      <c r="D93">
        <v>54.299999</v>
      </c>
      <c r="E93">
        <v>54.360000999999997</v>
      </c>
      <c r="F93">
        <v>41.393349000000001</v>
      </c>
      <c r="G93">
        <v>10325800</v>
      </c>
      <c r="I93">
        <f t="shared" si="2"/>
        <v>1.3736882710992342E-5</v>
      </c>
    </row>
    <row r="94" spans="1:9" x14ac:dyDescent="0.3">
      <c r="A94" s="5">
        <v>41774</v>
      </c>
      <c r="B94">
        <v>54.200001</v>
      </c>
      <c r="C94">
        <v>54.200001</v>
      </c>
      <c r="D94">
        <v>53.349997999999999</v>
      </c>
      <c r="E94">
        <v>53.509998000000003</v>
      </c>
      <c r="F94">
        <v>40.746101000000003</v>
      </c>
      <c r="G94">
        <v>19763000</v>
      </c>
      <c r="I94">
        <f t="shared" si="2"/>
        <v>4.7335202067441508E-5</v>
      </c>
    </row>
    <row r="95" spans="1:9" x14ac:dyDescent="0.3">
      <c r="A95" s="5">
        <v>41775</v>
      </c>
      <c r="B95">
        <v>53.419998</v>
      </c>
      <c r="C95">
        <v>53.509998000000003</v>
      </c>
      <c r="D95">
        <v>52.970001000000003</v>
      </c>
      <c r="E95">
        <v>53.310001</v>
      </c>
      <c r="F95">
        <v>40.593814999999999</v>
      </c>
      <c r="G95">
        <v>19992400</v>
      </c>
      <c r="I95">
        <f t="shared" si="2"/>
        <v>6.0428684669985513E-5</v>
      </c>
    </row>
    <row r="96" spans="1:9" x14ac:dyDescent="0.3">
      <c r="A96" s="5">
        <v>41778</v>
      </c>
      <c r="B96">
        <v>53.080002</v>
      </c>
      <c r="C96">
        <v>53.91</v>
      </c>
      <c r="D96">
        <v>53.060001</v>
      </c>
      <c r="E96">
        <v>53.830002</v>
      </c>
      <c r="F96">
        <v>40.989776999999997</v>
      </c>
      <c r="G96">
        <v>12068900</v>
      </c>
      <c r="I96">
        <f t="shared" si="2"/>
        <v>2.8471114728624423E-5</v>
      </c>
    </row>
    <row r="97" spans="1:9" x14ac:dyDescent="0.3">
      <c r="A97" s="5">
        <v>41779</v>
      </c>
      <c r="B97">
        <v>53.720001000000003</v>
      </c>
      <c r="C97">
        <v>54.040000999999997</v>
      </c>
      <c r="D97">
        <v>53.41</v>
      </c>
      <c r="E97">
        <v>53.720001000000003</v>
      </c>
      <c r="F97">
        <v>40.906010000000002</v>
      </c>
      <c r="G97">
        <v>16888200</v>
      </c>
      <c r="I97">
        <f t="shared" si="2"/>
        <v>6.8767351215187969E-5</v>
      </c>
    </row>
    <row r="98" spans="1:9" x14ac:dyDescent="0.3">
      <c r="A98" s="5">
        <v>41780</v>
      </c>
      <c r="B98">
        <v>54.049999</v>
      </c>
      <c r="C98">
        <v>54.599997999999999</v>
      </c>
      <c r="D98">
        <v>53.98</v>
      </c>
      <c r="E98">
        <v>54.119999</v>
      </c>
      <c r="F98">
        <v>41.210605999999999</v>
      </c>
      <c r="G98">
        <v>13210200</v>
      </c>
      <c r="I98">
        <f t="shared" si="2"/>
        <v>9.275502820564343E-5</v>
      </c>
    </row>
    <row r="99" spans="1:9" x14ac:dyDescent="0.3">
      <c r="A99" s="5">
        <v>41781</v>
      </c>
      <c r="B99">
        <v>54.169998</v>
      </c>
      <c r="C99">
        <v>54.599997999999999</v>
      </c>
      <c r="D99">
        <v>54.02</v>
      </c>
      <c r="E99">
        <v>54.549999</v>
      </c>
      <c r="F99">
        <v>41.538035999999998</v>
      </c>
      <c r="G99">
        <v>11800900</v>
      </c>
      <c r="I99">
        <f t="shared" si="2"/>
        <v>3.4316112589481027E-5</v>
      </c>
    </row>
    <row r="100" spans="1:9" x14ac:dyDescent="0.3">
      <c r="A100" s="5">
        <v>41782</v>
      </c>
      <c r="B100">
        <v>54.549999</v>
      </c>
      <c r="C100">
        <v>54.59</v>
      </c>
      <c r="D100">
        <v>54.16</v>
      </c>
      <c r="E100">
        <v>54.529998999999997</v>
      </c>
      <c r="F100">
        <v>41.522815999999999</v>
      </c>
      <c r="G100">
        <v>10876500</v>
      </c>
      <c r="I100">
        <f t="shared" si="2"/>
        <v>4.9656564790072885E-5</v>
      </c>
    </row>
    <row r="101" spans="1:9" x14ac:dyDescent="0.3">
      <c r="A101" s="5">
        <v>41786</v>
      </c>
      <c r="B101">
        <v>54.75</v>
      </c>
      <c r="C101">
        <v>55.43</v>
      </c>
      <c r="D101">
        <v>54.689999</v>
      </c>
      <c r="E101">
        <v>55.139999000000003</v>
      </c>
      <c r="F101">
        <v>41.987296999999998</v>
      </c>
      <c r="G101">
        <v>14503700</v>
      </c>
      <c r="I101">
        <f t="shared" si="2"/>
        <v>7.3734643176905367E-5</v>
      </c>
    </row>
    <row r="102" spans="1:9" x14ac:dyDescent="0.3">
      <c r="A102" s="5">
        <v>41787</v>
      </c>
      <c r="B102">
        <v>55.09</v>
      </c>
      <c r="C102">
        <v>55.599997999999999</v>
      </c>
      <c r="D102">
        <v>55</v>
      </c>
      <c r="E102">
        <v>55.450001</v>
      </c>
      <c r="F102">
        <v>42.223354</v>
      </c>
      <c r="G102">
        <v>11374900</v>
      </c>
      <c r="I102">
        <f t="shared" si="2"/>
        <v>3.8216672085346545E-5</v>
      </c>
    </row>
    <row r="103" spans="1:9" x14ac:dyDescent="0.3">
      <c r="A103" s="5">
        <v>41788</v>
      </c>
      <c r="B103">
        <v>55.75</v>
      </c>
      <c r="C103">
        <v>55.919998</v>
      </c>
      <c r="D103">
        <v>55.389999000000003</v>
      </c>
      <c r="E103">
        <v>55.720001000000003</v>
      </c>
      <c r="F103">
        <v>42.428936</v>
      </c>
      <c r="G103">
        <v>11741000</v>
      </c>
      <c r="I103">
        <f t="shared" si="2"/>
        <v>4.9390836608529598E-5</v>
      </c>
    </row>
    <row r="104" spans="1:9" x14ac:dyDescent="0.3">
      <c r="A104" s="5">
        <v>41789</v>
      </c>
      <c r="B104">
        <v>55.580002</v>
      </c>
      <c r="C104">
        <v>55.880001</v>
      </c>
      <c r="D104">
        <v>55.310001</v>
      </c>
      <c r="E104">
        <v>55.57</v>
      </c>
      <c r="F104">
        <v>42.314731999999999</v>
      </c>
      <c r="G104">
        <v>11991900</v>
      </c>
      <c r="I104">
        <f t="shared" si="2"/>
        <v>5.278422821293305E-5</v>
      </c>
    </row>
    <row r="105" spans="1:9" x14ac:dyDescent="0.3">
      <c r="A105" s="5">
        <v>41792</v>
      </c>
      <c r="B105">
        <v>55.650002000000001</v>
      </c>
      <c r="C105">
        <v>55.650002000000001</v>
      </c>
      <c r="D105">
        <v>55.02</v>
      </c>
      <c r="E105">
        <v>55.349997999999999</v>
      </c>
      <c r="F105">
        <v>42.147198000000003</v>
      </c>
      <c r="G105">
        <v>9440000</v>
      </c>
      <c r="I105">
        <f t="shared" si="2"/>
        <v>6.808293354012677E-5</v>
      </c>
    </row>
    <row r="106" spans="1:9" x14ac:dyDescent="0.3">
      <c r="A106" s="5">
        <v>41793</v>
      </c>
      <c r="B106">
        <v>55.09</v>
      </c>
      <c r="C106">
        <v>55.66</v>
      </c>
      <c r="D106">
        <v>55.09</v>
      </c>
      <c r="E106">
        <v>55.599997999999999</v>
      </c>
      <c r="F106">
        <v>42.337569999999999</v>
      </c>
      <c r="G106">
        <v>9131500</v>
      </c>
      <c r="I106">
        <f t="shared" si="2"/>
        <v>1.1102522647064624E-5</v>
      </c>
    </row>
    <row r="107" spans="1:9" x14ac:dyDescent="0.3">
      <c r="A107" s="5">
        <v>41794</v>
      </c>
      <c r="B107">
        <v>55.52</v>
      </c>
      <c r="C107">
        <v>55.73</v>
      </c>
      <c r="D107">
        <v>55.25</v>
      </c>
      <c r="E107">
        <v>55.68</v>
      </c>
      <c r="F107">
        <v>42.398482999999999</v>
      </c>
      <c r="G107">
        <v>9727800</v>
      </c>
      <c r="I107">
        <f t="shared" si="2"/>
        <v>4.1182747705297464E-5</v>
      </c>
    </row>
    <row r="108" spans="1:9" x14ac:dyDescent="0.3">
      <c r="A108" s="5">
        <v>41795</v>
      </c>
      <c r="B108">
        <v>55.91</v>
      </c>
      <c r="C108">
        <v>56.66</v>
      </c>
      <c r="D108">
        <v>55.490001999999997</v>
      </c>
      <c r="E108">
        <v>56.630001</v>
      </c>
      <c r="F108">
        <v>43.121876</v>
      </c>
      <c r="G108">
        <v>16803400</v>
      </c>
      <c r="I108">
        <f t="shared" si="2"/>
        <v>1.6039874951272019E-4</v>
      </c>
    </row>
    <row r="109" spans="1:9" x14ac:dyDescent="0.3">
      <c r="A109" s="5">
        <v>41796</v>
      </c>
      <c r="B109">
        <v>56.759998000000003</v>
      </c>
      <c r="C109">
        <v>57.130001</v>
      </c>
      <c r="D109">
        <v>56.650002000000001</v>
      </c>
      <c r="E109">
        <v>56.970001000000003</v>
      </c>
      <c r="F109">
        <v>43.380778999999997</v>
      </c>
      <c r="G109">
        <v>15399800</v>
      </c>
      <c r="I109">
        <f t="shared" si="2"/>
        <v>2.9149317860227331E-5</v>
      </c>
    </row>
    <row r="110" spans="1:9" x14ac:dyDescent="0.3">
      <c r="A110" s="5">
        <v>41799</v>
      </c>
      <c r="B110">
        <v>56.91</v>
      </c>
      <c r="C110">
        <v>57.669998</v>
      </c>
      <c r="D110">
        <v>56.900002000000001</v>
      </c>
      <c r="E110">
        <v>57.419998</v>
      </c>
      <c r="F110">
        <v>43.723430999999998</v>
      </c>
      <c r="G110">
        <v>11999700</v>
      </c>
      <c r="I110">
        <f t="shared" si="2"/>
        <v>5.9231606608811904E-5</v>
      </c>
    </row>
    <row r="111" spans="1:9" x14ac:dyDescent="0.3">
      <c r="A111" s="5">
        <v>41800</v>
      </c>
      <c r="B111">
        <v>57.470001000000003</v>
      </c>
      <c r="C111">
        <v>57.939999</v>
      </c>
      <c r="D111">
        <v>57.389999000000003</v>
      </c>
      <c r="E111">
        <v>57.900002000000001</v>
      </c>
      <c r="F111">
        <v>44.088954999999999</v>
      </c>
      <c r="G111">
        <v>11609200</v>
      </c>
      <c r="I111">
        <f t="shared" si="2"/>
        <v>1.7949189285860583E-5</v>
      </c>
    </row>
    <row r="112" spans="1:9" x14ac:dyDescent="0.3">
      <c r="A112" s="5">
        <v>41801</v>
      </c>
      <c r="B112">
        <v>57.48</v>
      </c>
      <c r="C112">
        <v>57.790000999999997</v>
      </c>
      <c r="D112">
        <v>56.98</v>
      </c>
      <c r="E112">
        <v>57.27</v>
      </c>
      <c r="F112">
        <v>43.609211000000002</v>
      </c>
      <c r="G112">
        <v>14232200</v>
      </c>
      <c r="I112">
        <f t="shared" si="2"/>
        <v>9.2970144481000297E-5</v>
      </c>
    </row>
    <row r="113" spans="1:9" x14ac:dyDescent="0.3">
      <c r="A113" s="5">
        <v>41802</v>
      </c>
      <c r="B113">
        <v>57.07</v>
      </c>
      <c r="C113">
        <v>57.419998</v>
      </c>
      <c r="D113">
        <v>56.869999</v>
      </c>
      <c r="E113">
        <v>57.040000999999997</v>
      </c>
      <c r="F113">
        <v>43.434078</v>
      </c>
      <c r="G113">
        <v>11670200</v>
      </c>
      <c r="I113">
        <f t="shared" si="2"/>
        <v>5.1075122978655601E-5</v>
      </c>
    </row>
    <row r="114" spans="1:9" x14ac:dyDescent="0.3">
      <c r="A114" s="5">
        <v>41803</v>
      </c>
      <c r="B114">
        <v>57.029998999999997</v>
      </c>
      <c r="C114">
        <v>57.669998</v>
      </c>
      <c r="D114">
        <v>56.880001</v>
      </c>
      <c r="E114">
        <v>57.040000999999997</v>
      </c>
      <c r="F114">
        <v>43.434078</v>
      </c>
      <c r="G114">
        <v>12040800</v>
      </c>
      <c r="I114">
        <f t="shared" si="2"/>
        <v>1.2997848764576255E-4</v>
      </c>
    </row>
    <row r="115" spans="1:9" x14ac:dyDescent="0.3">
      <c r="A115" s="5">
        <v>41806</v>
      </c>
      <c r="B115">
        <v>56.849997999999999</v>
      </c>
      <c r="C115">
        <v>56.950001</v>
      </c>
      <c r="D115">
        <v>56.330002</v>
      </c>
      <c r="E115">
        <v>56.869999</v>
      </c>
      <c r="F115">
        <v>43.304645999999998</v>
      </c>
      <c r="G115">
        <v>11199100</v>
      </c>
      <c r="I115">
        <f t="shared" si="2"/>
        <v>9.0138756577292891E-5</v>
      </c>
    </row>
    <row r="116" spans="1:9" x14ac:dyDescent="0.3">
      <c r="A116" s="5">
        <v>41807</v>
      </c>
      <c r="B116">
        <v>56.790000999999997</v>
      </c>
      <c r="C116">
        <v>57.59</v>
      </c>
      <c r="D116">
        <v>56.68</v>
      </c>
      <c r="E116">
        <v>57.419998</v>
      </c>
      <c r="F116">
        <v>43.723430999999998</v>
      </c>
      <c r="G116">
        <v>11200500</v>
      </c>
      <c r="I116">
        <f t="shared" si="2"/>
        <v>6.6504074615341655E-5</v>
      </c>
    </row>
    <row r="117" spans="1:9" x14ac:dyDescent="0.3">
      <c r="A117" s="5">
        <v>41808</v>
      </c>
      <c r="B117">
        <v>57.290000999999997</v>
      </c>
      <c r="C117">
        <v>57.810001</v>
      </c>
      <c r="D117">
        <v>56.950001</v>
      </c>
      <c r="E117">
        <v>57.779998999999997</v>
      </c>
      <c r="F117">
        <v>43.997559000000003</v>
      </c>
      <c r="G117">
        <v>13729400</v>
      </c>
      <c r="I117">
        <f t="shared" si="2"/>
        <v>9.0815594997317085E-5</v>
      </c>
    </row>
    <row r="118" spans="1:9" x14ac:dyDescent="0.3">
      <c r="A118" s="5">
        <v>41809</v>
      </c>
      <c r="B118">
        <v>57.689999</v>
      </c>
      <c r="C118">
        <v>57.689999</v>
      </c>
      <c r="D118">
        <v>57.209999000000003</v>
      </c>
      <c r="E118">
        <v>57.299999</v>
      </c>
      <c r="F118">
        <v>43.632064999999997</v>
      </c>
      <c r="G118">
        <v>11624400</v>
      </c>
      <c r="I118">
        <f t="shared" si="2"/>
        <v>1.3133574011206867E-5</v>
      </c>
    </row>
    <row r="119" spans="1:9" x14ac:dyDescent="0.3">
      <c r="A119" s="5">
        <v>41810</v>
      </c>
      <c r="B119">
        <v>57.689999</v>
      </c>
      <c r="C119">
        <v>57.77</v>
      </c>
      <c r="D119">
        <v>57.349997999999999</v>
      </c>
      <c r="E119">
        <v>57.549999</v>
      </c>
      <c r="F119">
        <v>43.822422000000003</v>
      </c>
      <c r="G119">
        <v>17124800</v>
      </c>
      <c r="I119">
        <f t="shared" si="2"/>
        <v>2.5865523580317886E-5</v>
      </c>
    </row>
    <row r="120" spans="1:9" x14ac:dyDescent="0.3">
      <c r="A120" s="5">
        <v>41813</v>
      </c>
      <c r="B120">
        <v>57.540000999999997</v>
      </c>
      <c r="C120">
        <v>58.220001000000003</v>
      </c>
      <c r="D120">
        <v>57.240001999999997</v>
      </c>
      <c r="E120">
        <v>58.189999</v>
      </c>
      <c r="F120">
        <v>44.309780000000003</v>
      </c>
      <c r="G120">
        <v>16007700</v>
      </c>
      <c r="I120">
        <f t="shared" si="2"/>
        <v>9.210129981460262E-5</v>
      </c>
    </row>
    <row r="121" spans="1:9" x14ac:dyDescent="0.3">
      <c r="A121" s="5">
        <v>41814</v>
      </c>
      <c r="B121">
        <v>57.880001</v>
      </c>
      <c r="C121">
        <v>58.119999</v>
      </c>
      <c r="D121">
        <v>57.299999</v>
      </c>
      <c r="E121">
        <v>57.419998</v>
      </c>
      <c r="F121">
        <v>43.723430999999998</v>
      </c>
      <c r="G121">
        <v>12322900</v>
      </c>
      <c r="I121">
        <f t="shared" si="2"/>
        <v>7.1209240289377468E-5</v>
      </c>
    </row>
    <row r="122" spans="1:9" x14ac:dyDescent="0.3">
      <c r="A122" s="5">
        <v>41815</v>
      </c>
      <c r="B122">
        <v>57.220001000000003</v>
      </c>
      <c r="C122">
        <v>57.740001999999997</v>
      </c>
      <c r="D122">
        <v>56.869999</v>
      </c>
      <c r="E122">
        <v>57.529998999999997</v>
      </c>
      <c r="F122">
        <v>43.807198</v>
      </c>
      <c r="G122">
        <v>14836600</v>
      </c>
      <c r="I122">
        <f t="shared" si="2"/>
        <v>1.0375897732307951E-4</v>
      </c>
    </row>
    <row r="123" spans="1:9" x14ac:dyDescent="0.3">
      <c r="A123" s="5">
        <v>41816</v>
      </c>
      <c r="B123">
        <v>57.34</v>
      </c>
      <c r="C123">
        <v>57.490001999999997</v>
      </c>
      <c r="D123">
        <v>56.599997999999999</v>
      </c>
      <c r="E123">
        <v>57.389999000000003</v>
      </c>
      <c r="F123">
        <v>43.700592</v>
      </c>
      <c r="G123">
        <v>11854400</v>
      </c>
      <c r="I123">
        <f t="shared" si="2"/>
        <v>1.8459749315223679E-4</v>
      </c>
    </row>
    <row r="124" spans="1:9" x14ac:dyDescent="0.3">
      <c r="A124" s="5">
        <v>41817</v>
      </c>
      <c r="B124">
        <v>57.330002</v>
      </c>
      <c r="C124">
        <v>57.700001</v>
      </c>
      <c r="D124">
        <v>57.240001999999997</v>
      </c>
      <c r="E124">
        <v>57.529998999999997</v>
      </c>
      <c r="F124">
        <v>43.807198</v>
      </c>
      <c r="G124">
        <v>10178600</v>
      </c>
      <c r="I124">
        <f t="shared" si="2"/>
        <v>2.692148371495263E-5</v>
      </c>
    </row>
    <row r="125" spans="1:9" x14ac:dyDescent="0.3">
      <c r="A125" s="5">
        <v>41820</v>
      </c>
      <c r="B125">
        <v>57.439999</v>
      </c>
      <c r="C125">
        <v>57.779998999999997</v>
      </c>
      <c r="D125">
        <v>57.380001</v>
      </c>
      <c r="E125">
        <v>57.619999</v>
      </c>
      <c r="F125">
        <v>43.875717000000002</v>
      </c>
      <c r="G125">
        <v>11549000</v>
      </c>
      <c r="I125">
        <f t="shared" si="2"/>
        <v>2.0727445606066406E-5</v>
      </c>
    </row>
    <row r="126" spans="1:9" x14ac:dyDescent="0.3">
      <c r="A126" s="5">
        <v>41821</v>
      </c>
      <c r="B126">
        <v>57.150002000000001</v>
      </c>
      <c r="C126">
        <v>57.990001999999997</v>
      </c>
      <c r="D126">
        <v>57.080002</v>
      </c>
      <c r="E126">
        <v>57.57</v>
      </c>
      <c r="F126">
        <v>44.144119000000003</v>
      </c>
      <c r="G126">
        <v>14472200</v>
      </c>
      <c r="I126">
        <f t="shared" si="2"/>
        <v>1.1653975409045247E-4</v>
      </c>
    </row>
    <row r="127" spans="1:9" x14ac:dyDescent="0.3">
      <c r="A127" s="5">
        <v>41822</v>
      </c>
      <c r="B127">
        <v>57.27</v>
      </c>
      <c r="C127">
        <v>57.48</v>
      </c>
      <c r="D127">
        <v>56.82</v>
      </c>
      <c r="E127">
        <v>56.970001000000003</v>
      </c>
      <c r="F127">
        <v>43.684040000000003</v>
      </c>
      <c r="G127">
        <v>19189900</v>
      </c>
      <c r="I127">
        <f t="shared" si="2"/>
        <v>5.3417767853247694E-5</v>
      </c>
    </row>
    <row r="128" spans="1:9" x14ac:dyDescent="0.3">
      <c r="A128" s="5">
        <v>41823</v>
      </c>
      <c r="B128">
        <v>57.23</v>
      </c>
      <c r="C128">
        <v>57.650002000000001</v>
      </c>
      <c r="D128">
        <v>57</v>
      </c>
      <c r="E128">
        <v>57.049999</v>
      </c>
      <c r="F128">
        <v>43.745379999999997</v>
      </c>
      <c r="G128">
        <v>12599800</v>
      </c>
      <c r="I128">
        <f t="shared" si="2"/>
        <v>8.0031052100699751E-5</v>
      </c>
    </row>
    <row r="129" spans="1:9" x14ac:dyDescent="0.3">
      <c r="A129" s="5">
        <v>41827</v>
      </c>
      <c r="B129">
        <v>56.889999000000003</v>
      </c>
      <c r="C129">
        <v>56.990001999999997</v>
      </c>
      <c r="D129">
        <v>56.400002000000001</v>
      </c>
      <c r="E129">
        <v>56.669998</v>
      </c>
      <c r="F129">
        <v>43.453994999999999</v>
      </c>
      <c r="G129">
        <v>13916100</v>
      </c>
      <c r="I129">
        <f t="shared" si="2"/>
        <v>5.120141814666821E-5</v>
      </c>
    </row>
    <row r="130" spans="1:9" x14ac:dyDescent="0.3">
      <c r="A130" s="5">
        <v>41828</v>
      </c>
      <c r="B130">
        <v>56.349997999999999</v>
      </c>
      <c r="C130">
        <v>56.470001000000003</v>
      </c>
      <c r="D130">
        <v>55.630001</v>
      </c>
      <c r="E130">
        <v>55.759998000000003</v>
      </c>
      <c r="F130">
        <v>42.756225999999998</v>
      </c>
      <c r="G130">
        <v>18343400</v>
      </c>
      <c r="I130">
        <f t="shared" si="2"/>
        <v>5.6932143217883912E-5</v>
      </c>
    </row>
    <row r="131" spans="1:9" x14ac:dyDescent="0.3">
      <c r="A131" s="5">
        <v>41829</v>
      </c>
      <c r="B131">
        <v>55.880001</v>
      </c>
      <c r="C131">
        <v>56.119999</v>
      </c>
      <c r="D131">
        <v>55.610000999999997</v>
      </c>
      <c r="E131">
        <v>56.02</v>
      </c>
      <c r="F131">
        <v>42.955589000000003</v>
      </c>
      <c r="G131">
        <v>10914300</v>
      </c>
      <c r="I131">
        <f t="shared" si="2"/>
        <v>4.3222279369679741E-5</v>
      </c>
    </row>
    <row r="132" spans="1:9" x14ac:dyDescent="0.3">
      <c r="A132" s="5">
        <v>41830</v>
      </c>
      <c r="B132">
        <v>55.060001</v>
      </c>
      <c r="C132">
        <v>55.810001</v>
      </c>
      <c r="D132">
        <v>54.959999000000003</v>
      </c>
      <c r="E132">
        <v>55.560001</v>
      </c>
      <c r="F132">
        <v>42.602859000000002</v>
      </c>
      <c r="G132">
        <v>12436600</v>
      </c>
      <c r="I132">
        <f t="shared" si="2"/>
        <v>8.0480074028169257E-5</v>
      </c>
    </row>
    <row r="133" spans="1:9" x14ac:dyDescent="0.3">
      <c r="A133" s="5">
        <v>41831</v>
      </c>
      <c r="B133">
        <v>55.290000999999997</v>
      </c>
      <c r="C133">
        <v>55.91</v>
      </c>
      <c r="D133">
        <v>55.189999</v>
      </c>
      <c r="E133">
        <v>55.799999</v>
      </c>
      <c r="F133">
        <v>42.786900000000003</v>
      </c>
      <c r="G133">
        <v>10230000</v>
      </c>
      <c r="I133">
        <f t="shared" si="2"/>
        <v>4.1860361421540342E-5</v>
      </c>
    </row>
    <row r="134" spans="1:9" x14ac:dyDescent="0.3">
      <c r="A134" s="5">
        <v>41834</v>
      </c>
      <c r="B134">
        <v>56.529998999999997</v>
      </c>
      <c r="C134">
        <v>56.84</v>
      </c>
      <c r="D134">
        <v>56.200001</v>
      </c>
      <c r="E134">
        <v>56.290000999999997</v>
      </c>
      <c r="F134">
        <v>43.162616999999997</v>
      </c>
      <c r="G134">
        <v>14004400</v>
      </c>
      <c r="I134">
        <f t="shared" si="2"/>
        <v>6.2544061568233831E-5</v>
      </c>
    </row>
    <row r="135" spans="1:9" x14ac:dyDescent="0.3">
      <c r="A135" s="5">
        <v>41835</v>
      </c>
      <c r="B135">
        <v>57.950001</v>
      </c>
      <c r="C135">
        <v>58.689999</v>
      </c>
      <c r="D135">
        <v>57.759998000000003</v>
      </c>
      <c r="E135">
        <v>58.27</v>
      </c>
      <c r="F135">
        <v>44.680866000000002</v>
      </c>
      <c r="G135">
        <v>36178000</v>
      </c>
      <c r="I135">
        <f t="shared" si="2"/>
        <v>1.2000055487932424E-4</v>
      </c>
    </row>
    <row r="136" spans="1:9" x14ac:dyDescent="0.3">
      <c r="A136" s="5">
        <v>41836</v>
      </c>
      <c r="B136">
        <v>58.509998000000003</v>
      </c>
      <c r="C136">
        <v>58.98</v>
      </c>
      <c r="D136">
        <v>58.310001</v>
      </c>
      <c r="E136">
        <v>58.709999000000003</v>
      </c>
      <c r="F136">
        <v>45.018242000000001</v>
      </c>
      <c r="G136">
        <v>20507500</v>
      </c>
      <c r="I136">
        <f t="shared" si="2"/>
        <v>6.0118377078460859E-5</v>
      </c>
    </row>
    <row r="137" spans="1:9" x14ac:dyDescent="0.3">
      <c r="A137" s="5">
        <v>41837</v>
      </c>
      <c r="B137">
        <v>58.560001</v>
      </c>
      <c r="C137">
        <v>58.860000999999997</v>
      </c>
      <c r="D137">
        <v>57.759998000000003</v>
      </c>
      <c r="E137">
        <v>57.860000999999997</v>
      </c>
      <c r="F137">
        <v>44.366486000000002</v>
      </c>
      <c r="G137">
        <v>17013500</v>
      </c>
      <c r="I137">
        <f t="shared" si="2"/>
        <v>1.113548579958865E-4</v>
      </c>
    </row>
    <row r="138" spans="1:9" x14ac:dyDescent="0.3">
      <c r="A138" s="5">
        <v>41838</v>
      </c>
      <c r="B138">
        <v>58.330002</v>
      </c>
      <c r="C138">
        <v>58.48</v>
      </c>
      <c r="D138">
        <v>57.900002000000001</v>
      </c>
      <c r="E138">
        <v>58.23</v>
      </c>
      <c r="F138">
        <v>44.650188</v>
      </c>
      <c r="G138">
        <v>12803300</v>
      </c>
      <c r="I138">
        <f t="shared" si="2"/>
        <v>5.3054051369803048E-5</v>
      </c>
    </row>
    <row r="139" spans="1:9" x14ac:dyDescent="0.3">
      <c r="A139" s="5">
        <v>41841</v>
      </c>
      <c r="B139">
        <v>58.119999</v>
      </c>
      <c r="C139">
        <v>58.41</v>
      </c>
      <c r="D139">
        <v>57.900002000000001</v>
      </c>
      <c r="E139">
        <v>58.240001999999997</v>
      </c>
      <c r="F139">
        <v>44.657867000000003</v>
      </c>
      <c r="G139">
        <v>9141400</v>
      </c>
      <c r="I139">
        <f t="shared" si="2"/>
        <v>3.6711735296005589E-5</v>
      </c>
    </row>
    <row r="140" spans="1:9" x14ac:dyDescent="0.3">
      <c r="A140" s="5">
        <v>41842</v>
      </c>
      <c r="B140">
        <v>58.419998</v>
      </c>
      <c r="C140">
        <v>58.799999</v>
      </c>
      <c r="D140">
        <v>58.369999</v>
      </c>
      <c r="E140">
        <v>58.669998</v>
      </c>
      <c r="F140">
        <v>44.987578999999997</v>
      </c>
      <c r="G140">
        <v>10375200</v>
      </c>
      <c r="I140">
        <f t="shared" ref="I140:I203" si="3">LN(C140/B140)*(LN(C140/B140)-LN(E140/B140))+LN(D140/B140)*(LN(D140/B140)-LN(E140/B140))</f>
        <v>1.8739784479261788E-5</v>
      </c>
    </row>
    <row r="141" spans="1:9" x14ac:dyDescent="0.3">
      <c r="A141" s="5">
        <v>41843</v>
      </c>
      <c r="B141">
        <v>58.759998000000003</v>
      </c>
      <c r="C141">
        <v>59.189999</v>
      </c>
      <c r="D141">
        <v>58.52</v>
      </c>
      <c r="E141">
        <v>59</v>
      </c>
      <c r="F141">
        <v>45.240616000000003</v>
      </c>
      <c r="G141">
        <v>11122100</v>
      </c>
      <c r="I141">
        <f t="shared" si="3"/>
        <v>5.6875586973343466E-5</v>
      </c>
    </row>
    <row r="142" spans="1:9" x14ac:dyDescent="0.3">
      <c r="A142" s="5">
        <v>41844</v>
      </c>
      <c r="B142">
        <v>59.07</v>
      </c>
      <c r="C142">
        <v>59.349997999999999</v>
      </c>
      <c r="D142">
        <v>58.990001999999997</v>
      </c>
      <c r="E142">
        <v>59.169998</v>
      </c>
      <c r="F142">
        <v>45.370972000000002</v>
      </c>
      <c r="G142">
        <v>9844100</v>
      </c>
      <c r="I142">
        <f t="shared" si="3"/>
        <v>1.8492734102420703E-5</v>
      </c>
    </row>
    <row r="143" spans="1:9" x14ac:dyDescent="0.3">
      <c r="A143" s="5">
        <v>41845</v>
      </c>
      <c r="B143">
        <v>58.919998</v>
      </c>
      <c r="C143">
        <v>59.27</v>
      </c>
      <c r="D143">
        <v>58.84</v>
      </c>
      <c r="E143">
        <v>59.009998000000003</v>
      </c>
      <c r="F143">
        <v>45.248291000000002</v>
      </c>
      <c r="G143">
        <v>10500600</v>
      </c>
      <c r="I143">
        <f t="shared" si="3"/>
        <v>2.9958298696171103E-5</v>
      </c>
    </row>
    <row r="144" spans="1:9" x14ac:dyDescent="0.3">
      <c r="A144" s="5">
        <v>41848</v>
      </c>
      <c r="B144">
        <v>58.939999</v>
      </c>
      <c r="C144">
        <v>59.259998000000003</v>
      </c>
      <c r="D144">
        <v>58.669998</v>
      </c>
      <c r="E144">
        <v>59.189999</v>
      </c>
      <c r="F144">
        <v>45.386307000000002</v>
      </c>
      <c r="G144">
        <v>12382800</v>
      </c>
      <c r="I144">
        <f t="shared" si="3"/>
        <v>4.6915161359599389E-5</v>
      </c>
    </row>
    <row r="145" spans="1:9" x14ac:dyDescent="0.3">
      <c r="A145" s="5">
        <v>41849</v>
      </c>
      <c r="B145">
        <v>59.130001</v>
      </c>
      <c r="C145">
        <v>59.130001</v>
      </c>
      <c r="D145">
        <v>58.439999</v>
      </c>
      <c r="E145">
        <v>58.639999000000003</v>
      </c>
      <c r="F145">
        <v>44.964576999999998</v>
      </c>
      <c r="G145">
        <v>13498800</v>
      </c>
      <c r="I145">
        <f t="shared" si="3"/>
        <v>4.0102045068305739E-5</v>
      </c>
    </row>
    <row r="146" spans="1:9" x14ac:dyDescent="0.3">
      <c r="A146" s="5">
        <v>41850</v>
      </c>
      <c r="B146">
        <v>59.02</v>
      </c>
      <c r="C146">
        <v>59.279998999999997</v>
      </c>
      <c r="D146">
        <v>58.610000999999997</v>
      </c>
      <c r="E146">
        <v>58.91</v>
      </c>
      <c r="F146">
        <v>45.171599999999998</v>
      </c>
      <c r="G146">
        <v>11815700</v>
      </c>
      <c r="I146">
        <f t="shared" si="3"/>
        <v>6.3111903403319545E-5</v>
      </c>
    </row>
    <row r="147" spans="1:9" x14ac:dyDescent="0.3">
      <c r="A147" s="5">
        <v>41851</v>
      </c>
      <c r="B147">
        <v>58.650002000000001</v>
      </c>
      <c r="C147">
        <v>58.68</v>
      </c>
      <c r="D147">
        <v>57.66</v>
      </c>
      <c r="E147">
        <v>57.669998</v>
      </c>
      <c r="F147">
        <v>44.220798000000002</v>
      </c>
      <c r="G147">
        <v>15955900</v>
      </c>
      <c r="I147">
        <f t="shared" si="3"/>
        <v>1.1829513905266669E-5</v>
      </c>
    </row>
    <row r="148" spans="1:9" x14ac:dyDescent="0.3">
      <c r="A148" s="5">
        <v>41852</v>
      </c>
      <c r="B148">
        <v>57.389999000000003</v>
      </c>
      <c r="C148">
        <v>57.490001999999997</v>
      </c>
      <c r="D148">
        <v>55.970001000000003</v>
      </c>
      <c r="E148">
        <v>56.48</v>
      </c>
      <c r="F148">
        <v>43.308311000000003</v>
      </c>
      <c r="G148">
        <v>23915400</v>
      </c>
      <c r="I148">
        <f t="shared" si="3"/>
        <v>2.5811851242237265E-4</v>
      </c>
    </row>
    <row r="149" spans="1:9" x14ac:dyDescent="0.3">
      <c r="A149" s="5">
        <v>41855</v>
      </c>
      <c r="B149">
        <v>56.91</v>
      </c>
      <c r="C149">
        <v>56.98</v>
      </c>
      <c r="D149">
        <v>56.34</v>
      </c>
      <c r="E149">
        <v>56.650002000000001</v>
      </c>
      <c r="F149">
        <v>43.438662999999998</v>
      </c>
      <c r="G149">
        <v>13543900</v>
      </c>
      <c r="I149">
        <f t="shared" si="3"/>
        <v>6.2376362450263447E-5</v>
      </c>
    </row>
    <row r="150" spans="1:9" x14ac:dyDescent="0.3">
      <c r="A150" s="5">
        <v>41856</v>
      </c>
      <c r="B150">
        <v>56.43</v>
      </c>
      <c r="C150">
        <v>56.599997999999999</v>
      </c>
      <c r="D150">
        <v>55.599997999999999</v>
      </c>
      <c r="E150">
        <v>56.060001</v>
      </c>
      <c r="F150">
        <v>42.986258999999997</v>
      </c>
      <c r="G150">
        <v>16863300</v>
      </c>
      <c r="I150">
        <f t="shared" si="3"/>
        <v>1.5092550307513892E-4</v>
      </c>
    </row>
    <row r="151" spans="1:9" x14ac:dyDescent="0.3">
      <c r="A151" s="5">
        <v>41857</v>
      </c>
      <c r="B151">
        <v>55.889999000000003</v>
      </c>
      <c r="C151">
        <v>56.689999</v>
      </c>
      <c r="D151">
        <v>55.830002</v>
      </c>
      <c r="E151">
        <v>56.23</v>
      </c>
      <c r="F151">
        <v>43.116610999999999</v>
      </c>
      <c r="G151">
        <v>12190600</v>
      </c>
      <c r="I151">
        <f t="shared" si="3"/>
        <v>1.2346132390861326E-4</v>
      </c>
    </row>
    <row r="152" spans="1:9" x14ac:dyDescent="0.3">
      <c r="A152" s="5">
        <v>41858</v>
      </c>
      <c r="B152">
        <v>56.630001</v>
      </c>
      <c r="C152">
        <v>56.689999</v>
      </c>
      <c r="D152">
        <v>55.68</v>
      </c>
      <c r="E152">
        <v>55.91</v>
      </c>
      <c r="F152">
        <v>42.871239000000003</v>
      </c>
      <c r="G152">
        <v>11743800</v>
      </c>
      <c r="I152">
        <f t="shared" si="3"/>
        <v>8.4410320069126462E-5</v>
      </c>
    </row>
    <row r="153" spans="1:9" x14ac:dyDescent="0.3">
      <c r="A153" s="5">
        <v>41859</v>
      </c>
      <c r="B153">
        <v>55.889999000000003</v>
      </c>
      <c r="C153">
        <v>56.360000999999997</v>
      </c>
      <c r="D153">
        <v>55.639999000000003</v>
      </c>
      <c r="E153">
        <v>56.34</v>
      </c>
      <c r="F153">
        <v>43.200974000000002</v>
      </c>
      <c r="G153">
        <v>12213200</v>
      </c>
      <c r="I153">
        <f t="shared" si="3"/>
        <v>5.9022023758669123E-5</v>
      </c>
    </row>
    <row r="154" spans="1:9" x14ac:dyDescent="0.3">
      <c r="A154" s="5">
        <v>41862</v>
      </c>
      <c r="B154">
        <v>56.540000999999997</v>
      </c>
      <c r="C154">
        <v>56.580002</v>
      </c>
      <c r="D154">
        <v>56.169998</v>
      </c>
      <c r="E154">
        <v>56.32</v>
      </c>
      <c r="F154">
        <v>43.185619000000003</v>
      </c>
      <c r="G154">
        <v>9066800</v>
      </c>
      <c r="I154">
        <f t="shared" si="3"/>
        <v>2.0767493607475958E-5</v>
      </c>
    </row>
    <row r="155" spans="1:9" x14ac:dyDescent="0.3">
      <c r="A155" s="5">
        <v>41863</v>
      </c>
      <c r="B155">
        <v>56.23</v>
      </c>
      <c r="C155">
        <v>56.549999</v>
      </c>
      <c r="D155">
        <v>56.130001</v>
      </c>
      <c r="E155">
        <v>56.349997999999999</v>
      </c>
      <c r="F155">
        <v>43.208618000000001</v>
      </c>
      <c r="G155">
        <v>11289600</v>
      </c>
      <c r="I155">
        <f t="shared" si="3"/>
        <v>2.706840358918853E-5</v>
      </c>
    </row>
    <row r="156" spans="1:9" x14ac:dyDescent="0.3">
      <c r="A156" s="5">
        <v>41864</v>
      </c>
      <c r="B156">
        <v>56.689999</v>
      </c>
      <c r="C156">
        <v>56.84</v>
      </c>
      <c r="D156">
        <v>56.509998000000003</v>
      </c>
      <c r="E156">
        <v>56.720001000000003</v>
      </c>
      <c r="F156">
        <v>43.492339999999999</v>
      </c>
      <c r="G156">
        <v>7012600</v>
      </c>
      <c r="I156">
        <f t="shared" si="3"/>
        <v>1.7381157557193006E-5</v>
      </c>
    </row>
    <row r="157" spans="1:9" x14ac:dyDescent="0.3">
      <c r="A157" s="5">
        <v>41865</v>
      </c>
      <c r="B157">
        <v>56.77</v>
      </c>
      <c r="C157">
        <v>57</v>
      </c>
      <c r="D157">
        <v>56.700001</v>
      </c>
      <c r="E157">
        <v>56.98</v>
      </c>
      <c r="F157">
        <v>43.691710999999998</v>
      </c>
      <c r="G157">
        <v>8275900</v>
      </c>
      <c r="I157">
        <f t="shared" si="3"/>
        <v>7.4967013203848268E-6</v>
      </c>
    </row>
    <row r="158" spans="1:9" x14ac:dyDescent="0.3">
      <c r="A158" s="5">
        <v>41866</v>
      </c>
      <c r="B158">
        <v>57.240001999999997</v>
      </c>
      <c r="C158">
        <v>57.5</v>
      </c>
      <c r="D158">
        <v>56.389999000000003</v>
      </c>
      <c r="E158">
        <v>56.75</v>
      </c>
      <c r="F158">
        <v>43.515343000000001</v>
      </c>
      <c r="G158">
        <v>12727400</v>
      </c>
      <c r="I158">
        <f t="shared" si="3"/>
        <v>1.5471183314703279E-4</v>
      </c>
    </row>
    <row r="159" spans="1:9" x14ac:dyDescent="0.3">
      <c r="A159" s="5">
        <v>41869</v>
      </c>
      <c r="B159">
        <v>56.860000999999997</v>
      </c>
      <c r="C159">
        <v>57.43</v>
      </c>
      <c r="D159">
        <v>56.759998000000003</v>
      </c>
      <c r="E159">
        <v>57.23</v>
      </c>
      <c r="F159">
        <v>43.883403999999999</v>
      </c>
      <c r="G159">
        <v>8881400</v>
      </c>
      <c r="I159">
        <f t="shared" si="3"/>
        <v>4.9313720057300142E-5</v>
      </c>
    </row>
    <row r="160" spans="1:9" x14ac:dyDescent="0.3">
      <c r="A160" s="5">
        <v>41870</v>
      </c>
      <c r="B160">
        <v>57.599997999999999</v>
      </c>
      <c r="C160">
        <v>57.720001000000003</v>
      </c>
      <c r="D160">
        <v>57.34</v>
      </c>
      <c r="E160">
        <v>57.560001</v>
      </c>
      <c r="F160">
        <v>44.136448000000001</v>
      </c>
      <c r="G160">
        <v>9040500</v>
      </c>
      <c r="I160">
        <f t="shared" si="3"/>
        <v>2.310181298749746E-5</v>
      </c>
    </row>
    <row r="161" spans="1:9" x14ac:dyDescent="0.3">
      <c r="A161" s="5">
        <v>41871</v>
      </c>
      <c r="B161">
        <v>57.419998</v>
      </c>
      <c r="C161">
        <v>57.849997999999999</v>
      </c>
      <c r="D161">
        <v>57.389999000000003</v>
      </c>
      <c r="E161">
        <v>57.639999000000003</v>
      </c>
      <c r="F161">
        <v>44.197788000000003</v>
      </c>
      <c r="G161">
        <v>8121400</v>
      </c>
      <c r="I161">
        <f t="shared" si="3"/>
        <v>2.940387720289593E-5</v>
      </c>
    </row>
    <row r="162" spans="1:9" x14ac:dyDescent="0.3">
      <c r="A162" s="5">
        <v>41872</v>
      </c>
      <c r="B162">
        <v>57.66</v>
      </c>
      <c r="C162">
        <v>58.77</v>
      </c>
      <c r="D162">
        <v>57.599997999999999</v>
      </c>
      <c r="E162">
        <v>58.5</v>
      </c>
      <c r="F162">
        <v>44.857227000000002</v>
      </c>
      <c r="G162">
        <v>12745500</v>
      </c>
      <c r="I162">
        <f t="shared" si="3"/>
        <v>1.0394525842721057E-4</v>
      </c>
    </row>
    <row r="163" spans="1:9" x14ac:dyDescent="0.3">
      <c r="A163" s="5">
        <v>41873</v>
      </c>
      <c r="B163">
        <v>58.439999</v>
      </c>
      <c r="C163">
        <v>59.080002</v>
      </c>
      <c r="D163">
        <v>58.330002</v>
      </c>
      <c r="E163">
        <v>58.490001999999997</v>
      </c>
      <c r="F163">
        <v>44.849564000000001</v>
      </c>
      <c r="G163">
        <v>10228600</v>
      </c>
      <c r="I163">
        <f t="shared" si="3"/>
        <v>1.1447924078722852E-4</v>
      </c>
    </row>
    <row r="164" spans="1:9" x14ac:dyDescent="0.3">
      <c r="A164" s="5">
        <v>41876</v>
      </c>
      <c r="B164">
        <v>58.98</v>
      </c>
      <c r="C164">
        <v>59.830002</v>
      </c>
      <c r="D164">
        <v>58.860000999999997</v>
      </c>
      <c r="E164">
        <v>59.34</v>
      </c>
      <c r="F164">
        <v>45.501331</v>
      </c>
      <c r="G164">
        <v>13996800</v>
      </c>
      <c r="I164">
        <f t="shared" si="3"/>
        <v>1.3421185123898318E-4</v>
      </c>
    </row>
    <row r="165" spans="1:9" x14ac:dyDescent="0.3">
      <c r="A165" s="5">
        <v>41877</v>
      </c>
      <c r="B165">
        <v>59.57</v>
      </c>
      <c r="C165">
        <v>59.950001</v>
      </c>
      <c r="D165">
        <v>59.389999000000003</v>
      </c>
      <c r="E165">
        <v>59.740001999999997</v>
      </c>
      <c r="F165">
        <v>45.808041000000003</v>
      </c>
      <c r="G165">
        <v>10281100</v>
      </c>
      <c r="I165">
        <f t="shared" si="3"/>
        <v>4.0095609401625924E-5</v>
      </c>
    </row>
    <row r="166" spans="1:9" x14ac:dyDescent="0.3">
      <c r="A166" s="5">
        <v>41878</v>
      </c>
      <c r="B166">
        <v>59.849997999999999</v>
      </c>
      <c r="C166">
        <v>59.950001</v>
      </c>
      <c r="D166">
        <v>59.529998999999997</v>
      </c>
      <c r="E166">
        <v>59.59</v>
      </c>
      <c r="F166">
        <v>45.693027000000001</v>
      </c>
      <c r="G166">
        <v>11410900</v>
      </c>
      <c r="I166">
        <f t="shared" si="3"/>
        <v>1.5456325273860861E-5</v>
      </c>
    </row>
    <row r="167" spans="1:9" x14ac:dyDescent="0.3">
      <c r="A167" s="5">
        <v>41879</v>
      </c>
      <c r="B167">
        <v>59.25</v>
      </c>
      <c r="C167">
        <v>59.369999</v>
      </c>
      <c r="D167">
        <v>58.810001</v>
      </c>
      <c r="E167">
        <v>59.16</v>
      </c>
      <c r="F167">
        <v>45.363308000000004</v>
      </c>
      <c r="G167">
        <v>9096100</v>
      </c>
      <c r="I167">
        <f t="shared" si="3"/>
        <v>5.1398205000522747E-5</v>
      </c>
    </row>
    <row r="168" spans="1:9" x14ac:dyDescent="0.3">
      <c r="A168" s="5">
        <v>41880</v>
      </c>
      <c r="B168">
        <v>59.34</v>
      </c>
      <c r="C168">
        <v>59.650002000000001</v>
      </c>
      <c r="D168">
        <v>59.23</v>
      </c>
      <c r="E168">
        <v>59.450001</v>
      </c>
      <c r="F168">
        <v>45.585673999999997</v>
      </c>
      <c r="G168">
        <v>8897900</v>
      </c>
      <c r="I168">
        <f t="shared" si="3"/>
        <v>2.4378913898863429E-5</v>
      </c>
    </row>
    <row r="169" spans="1:9" x14ac:dyDescent="0.3">
      <c r="A169" s="5">
        <v>41884</v>
      </c>
      <c r="B169">
        <v>59.459999000000003</v>
      </c>
      <c r="C169">
        <v>59.709999000000003</v>
      </c>
      <c r="D169">
        <v>59.150002000000001</v>
      </c>
      <c r="E169">
        <v>59.669998</v>
      </c>
      <c r="F169">
        <v>45.754371999999996</v>
      </c>
      <c r="G169">
        <v>8671100</v>
      </c>
      <c r="I169">
        <f t="shared" si="3"/>
        <v>4.8563758245243241E-5</v>
      </c>
    </row>
    <row r="170" spans="1:9" x14ac:dyDescent="0.3">
      <c r="A170" s="5">
        <v>41885</v>
      </c>
      <c r="B170">
        <v>60.02</v>
      </c>
      <c r="C170">
        <v>60.369999</v>
      </c>
      <c r="D170">
        <v>59.459999000000003</v>
      </c>
      <c r="E170">
        <v>59.700001</v>
      </c>
      <c r="F170">
        <v>45.777374000000002</v>
      </c>
      <c r="G170">
        <v>11791800</v>
      </c>
      <c r="I170">
        <f t="shared" si="3"/>
        <v>1.0265134468203524E-4</v>
      </c>
    </row>
    <row r="171" spans="1:9" x14ac:dyDescent="0.3">
      <c r="A171" s="5">
        <v>41886</v>
      </c>
      <c r="B171">
        <v>59.630001</v>
      </c>
      <c r="C171">
        <v>60.139999000000003</v>
      </c>
      <c r="D171">
        <v>59.43</v>
      </c>
      <c r="E171">
        <v>59.709999000000003</v>
      </c>
      <c r="F171">
        <v>45.785034000000003</v>
      </c>
      <c r="G171">
        <v>9811900</v>
      </c>
      <c r="I171">
        <f t="shared" si="3"/>
        <v>7.6902036958730269E-5</v>
      </c>
    </row>
    <row r="172" spans="1:9" x14ac:dyDescent="0.3">
      <c r="A172" s="5">
        <v>41887</v>
      </c>
      <c r="B172">
        <v>59.619999</v>
      </c>
      <c r="C172">
        <v>59.91</v>
      </c>
      <c r="D172">
        <v>59.220001000000003</v>
      </c>
      <c r="E172">
        <v>59.91</v>
      </c>
      <c r="F172">
        <v>45.938395999999997</v>
      </c>
      <c r="G172">
        <v>9600900</v>
      </c>
      <c r="I172">
        <f t="shared" si="3"/>
        <v>7.7981032386967102E-5</v>
      </c>
    </row>
    <row r="173" spans="1:9" x14ac:dyDescent="0.3">
      <c r="A173" s="5">
        <v>41890</v>
      </c>
      <c r="B173">
        <v>59.84</v>
      </c>
      <c r="C173">
        <v>60.220001000000003</v>
      </c>
      <c r="D173">
        <v>59.740001999999997</v>
      </c>
      <c r="E173">
        <v>59.889999000000003</v>
      </c>
      <c r="F173">
        <v>45.923057999999997</v>
      </c>
      <c r="G173">
        <v>8090000</v>
      </c>
      <c r="I173">
        <f t="shared" si="3"/>
        <v>3.8978614485889837E-5</v>
      </c>
    </row>
    <row r="174" spans="1:9" x14ac:dyDescent="0.3">
      <c r="A174" s="5">
        <v>41891</v>
      </c>
      <c r="B174">
        <v>59.630001</v>
      </c>
      <c r="C174">
        <v>59.68</v>
      </c>
      <c r="D174">
        <v>58.779998999999997</v>
      </c>
      <c r="E174">
        <v>59.060001</v>
      </c>
      <c r="F174">
        <v>45.286625000000001</v>
      </c>
      <c r="G174">
        <v>14868700</v>
      </c>
      <c r="I174">
        <f t="shared" si="3"/>
        <v>7.6981585466381512E-5</v>
      </c>
    </row>
    <row r="175" spans="1:9" x14ac:dyDescent="0.3">
      <c r="A175" s="5">
        <v>41892</v>
      </c>
      <c r="B175">
        <v>59.150002000000001</v>
      </c>
      <c r="C175">
        <v>59.560001</v>
      </c>
      <c r="D175">
        <v>58.919998</v>
      </c>
      <c r="E175">
        <v>59.220001000000003</v>
      </c>
      <c r="F175">
        <v>45.409328000000002</v>
      </c>
      <c r="G175">
        <v>9153800</v>
      </c>
      <c r="I175">
        <f t="shared" si="3"/>
        <v>5.9332490553791483E-5</v>
      </c>
    </row>
    <row r="176" spans="1:9" x14ac:dyDescent="0.3">
      <c r="A176" s="5">
        <v>41893</v>
      </c>
      <c r="B176">
        <v>59.18</v>
      </c>
      <c r="C176">
        <v>59.84</v>
      </c>
      <c r="D176">
        <v>58.970001000000003</v>
      </c>
      <c r="E176">
        <v>59.759998000000003</v>
      </c>
      <c r="F176">
        <v>45.823383</v>
      </c>
      <c r="G176">
        <v>11467000</v>
      </c>
      <c r="I176">
        <f t="shared" si="3"/>
        <v>6.214331498757364E-5</v>
      </c>
    </row>
    <row r="177" spans="1:9" x14ac:dyDescent="0.3">
      <c r="A177" s="5">
        <v>41894</v>
      </c>
      <c r="B177">
        <v>59.799999</v>
      </c>
      <c r="C177">
        <v>60.41</v>
      </c>
      <c r="D177">
        <v>59.75</v>
      </c>
      <c r="E177">
        <v>60.029998999999997</v>
      </c>
      <c r="F177">
        <v>46.030417999999997</v>
      </c>
      <c r="G177">
        <v>14359100</v>
      </c>
      <c r="I177">
        <f t="shared" si="3"/>
        <v>6.7953234788114994E-5</v>
      </c>
    </row>
    <row r="178" spans="1:9" x14ac:dyDescent="0.3">
      <c r="A178" s="5">
        <v>41897</v>
      </c>
      <c r="B178">
        <v>59.779998999999997</v>
      </c>
      <c r="C178">
        <v>59.990001999999997</v>
      </c>
      <c r="D178">
        <v>59.450001</v>
      </c>
      <c r="E178">
        <v>59.939999</v>
      </c>
      <c r="F178">
        <v>45.961390999999999</v>
      </c>
      <c r="G178">
        <v>10685600</v>
      </c>
      <c r="I178">
        <f t="shared" si="3"/>
        <v>4.8361822304324093E-5</v>
      </c>
    </row>
    <row r="179" spans="1:9" x14ac:dyDescent="0.3">
      <c r="A179" s="5">
        <v>41898</v>
      </c>
      <c r="B179">
        <v>59.709999000000003</v>
      </c>
      <c r="C179">
        <v>60.200001</v>
      </c>
      <c r="D179">
        <v>59.619999</v>
      </c>
      <c r="E179">
        <v>59.990001999999997</v>
      </c>
      <c r="F179">
        <v>45.999747999999997</v>
      </c>
      <c r="G179">
        <v>10947900</v>
      </c>
      <c r="I179">
        <f t="shared" si="3"/>
        <v>3.7892108454812828E-5</v>
      </c>
    </row>
    <row r="180" spans="1:9" x14ac:dyDescent="0.3">
      <c r="A180" s="5">
        <v>41899</v>
      </c>
      <c r="B180">
        <v>59.950001</v>
      </c>
      <c r="C180">
        <v>60.59</v>
      </c>
      <c r="D180">
        <v>59.82</v>
      </c>
      <c r="E180">
        <v>60.310001</v>
      </c>
      <c r="F180">
        <v>46.245120999999997</v>
      </c>
      <c r="G180">
        <v>15091800</v>
      </c>
      <c r="I180">
        <f t="shared" si="3"/>
        <v>6.689570006252431E-5</v>
      </c>
    </row>
    <row r="181" spans="1:9" x14ac:dyDescent="0.3">
      <c r="A181" s="5">
        <v>41900</v>
      </c>
      <c r="B181">
        <v>60.540000999999997</v>
      </c>
      <c r="C181">
        <v>61.400002000000001</v>
      </c>
      <c r="D181">
        <v>60.540000999999997</v>
      </c>
      <c r="E181">
        <v>61.32</v>
      </c>
      <c r="F181">
        <v>47.019573000000001</v>
      </c>
      <c r="G181">
        <v>16973700</v>
      </c>
      <c r="I181">
        <f t="shared" si="3"/>
        <v>1.8391006547412488E-5</v>
      </c>
    </row>
    <row r="182" spans="1:9" x14ac:dyDescent="0.3">
      <c r="A182" s="5">
        <v>41901</v>
      </c>
      <c r="B182">
        <v>61.740001999999997</v>
      </c>
      <c r="C182">
        <v>61.849997999999999</v>
      </c>
      <c r="D182">
        <v>60.98</v>
      </c>
      <c r="E182">
        <v>61.110000999999997</v>
      </c>
      <c r="F182">
        <v>46.858555000000003</v>
      </c>
      <c r="G182">
        <v>18739300</v>
      </c>
      <c r="I182">
        <f t="shared" si="3"/>
        <v>4.7802588311592422E-5</v>
      </c>
    </row>
    <row r="183" spans="1:9" x14ac:dyDescent="0.3">
      <c r="A183" s="5">
        <v>41904</v>
      </c>
      <c r="B183">
        <v>60.939999</v>
      </c>
      <c r="C183">
        <v>61.450001</v>
      </c>
      <c r="D183">
        <v>60.799999</v>
      </c>
      <c r="E183">
        <v>60.91</v>
      </c>
      <c r="F183">
        <v>46.705185</v>
      </c>
      <c r="G183">
        <v>13225200</v>
      </c>
      <c r="I183">
        <f t="shared" si="3"/>
        <v>7.7718220579324341E-5</v>
      </c>
    </row>
    <row r="184" spans="1:9" x14ac:dyDescent="0.3">
      <c r="A184" s="5">
        <v>41905</v>
      </c>
      <c r="B184">
        <v>60.82</v>
      </c>
      <c r="C184">
        <v>61.400002000000001</v>
      </c>
      <c r="D184">
        <v>60.77</v>
      </c>
      <c r="E184">
        <v>60.939999</v>
      </c>
      <c r="F184">
        <v>46.728198999999996</v>
      </c>
      <c r="G184">
        <v>14328800</v>
      </c>
      <c r="I184">
        <f t="shared" si="3"/>
        <v>7.3672248606662541E-5</v>
      </c>
    </row>
    <row r="185" spans="1:9" x14ac:dyDescent="0.3">
      <c r="A185" s="5">
        <v>41906</v>
      </c>
      <c r="B185">
        <v>61.18</v>
      </c>
      <c r="C185">
        <v>61.639999000000003</v>
      </c>
      <c r="D185">
        <v>61.02</v>
      </c>
      <c r="E185">
        <v>61.630001</v>
      </c>
      <c r="F185">
        <v>47.257277999999999</v>
      </c>
      <c r="G185">
        <v>13728200</v>
      </c>
      <c r="I185">
        <f t="shared" si="3"/>
        <v>2.7263154180134266E-5</v>
      </c>
    </row>
    <row r="186" spans="1:9" x14ac:dyDescent="0.3">
      <c r="A186" s="5">
        <v>41907</v>
      </c>
      <c r="B186">
        <v>61.490001999999997</v>
      </c>
      <c r="C186">
        <v>61.5</v>
      </c>
      <c r="D186">
        <v>60.150002000000001</v>
      </c>
      <c r="E186">
        <v>60.150002000000001</v>
      </c>
      <c r="F186">
        <v>46.122433000000001</v>
      </c>
      <c r="G186">
        <v>16340100</v>
      </c>
      <c r="I186">
        <f t="shared" si="3"/>
        <v>3.6086282933188491E-6</v>
      </c>
    </row>
    <row r="187" spans="1:9" x14ac:dyDescent="0.3">
      <c r="A187" s="5">
        <v>41908</v>
      </c>
      <c r="B187">
        <v>60.330002</v>
      </c>
      <c r="C187">
        <v>60.880001</v>
      </c>
      <c r="D187">
        <v>60.32</v>
      </c>
      <c r="E187">
        <v>60.560001</v>
      </c>
      <c r="F187">
        <v>46.436810000000001</v>
      </c>
      <c r="G187">
        <v>11948900</v>
      </c>
      <c r="I187">
        <f t="shared" si="3"/>
        <v>4.8485657045052122E-5</v>
      </c>
    </row>
    <row r="188" spans="1:9" x14ac:dyDescent="0.3">
      <c r="A188" s="5">
        <v>41911</v>
      </c>
      <c r="B188">
        <v>60.029998999999997</v>
      </c>
      <c r="C188">
        <v>60.5</v>
      </c>
      <c r="D188">
        <v>59.73</v>
      </c>
      <c r="E188">
        <v>60.330002</v>
      </c>
      <c r="F188">
        <v>46.260452000000001</v>
      </c>
      <c r="G188">
        <v>10686500</v>
      </c>
      <c r="I188">
        <f t="shared" si="3"/>
        <v>7.2020661407980717E-5</v>
      </c>
    </row>
    <row r="189" spans="1:9" x14ac:dyDescent="0.3">
      <c r="A189" s="5">
        <v>41912</v>
      </c>
      <c r="B189">
        <v>60.400002000000001</v>
      </c>
      <c r="C189">
        <v>60.740001999999997</v>
      </c>
      <c r="D189">
        <v>60.130001</v>
      </c>
      <c r="E189">
        <v>60.240001999999997</v>
      </c>
      <c r="F189">
        <v>46.191448000000001</v>
      </c>
      <c r="G189">
        <v>14384800</v>
      </c>
      <c r="I189">
        <f t="shared" si="3"/>
        <v>5.4587886607903919E-5</v>
      </c>
    </row>
    <row r="190" spans="1:9" x14ac:dyDescent="0.3">
      <c r="A190" s="5">
        <v>41913</v>
      </c>
      <c r="B190">
        <v>60.240001999999997</v>
      </c>
      <c r="C190">
        <v>60.400002000000001</v>
      </c>
      <c r="D190">
        <v>59.73</v>
      </c>
      <c r="E190">
        <v>59.77</v>
      </c>
      <c r="F190">
        <v>45.831046999999998</v>
      </c>
      <c r="G190">
        <v>18995800</v>
      </c>
      <c r="I190">
        <f t="shared" si="3"/>
        <v>3.3504272736155393E-5</v>
      </c>
    </row>
    <row r="191" spans="1:9" x14ac:dyDescent="0.3">
      <c r="A191" s="5">
        <v>41914</v>
      </c>
      <c r="B191">
        <v>59.150002000000001</v>
      </c>
      <c r="C191">
        <v>59.490001999999997</v>
      </c>
      <c r="D191">
        <v>58.610000999999997</v>
      </c>
      <c r="E191">
        <v>58.84</v>
      </c>
      <c r="F191">
        <v>45.421917000000001</v>
      </c>
      <c r="G191">
        <v>24559100</v>
      </c>
      <c r="I191">
        <f t="shared" si="3"/>
        <v>9.8889665944002154E-5</v>
      </c>
    </row>
    <row r="192" spans="1:9" x14ac:dyDescent="0.3">
      <c r="A192" s="5">
        <v>41915</v>
      </c>
      <c r="B192">
        <v>59.25</v>
      </c>
      <c r="C192">
        <v>60.389999000000003</v>
      </c>
      <c r="D192">
        <v>59.049999</v>
      </c>
      <c r="E192">
        <v>60.299999</v>
      </c>
      <c r="F192">
        <v>46.548972999999997</v>
      </c>
      <c r="G192">
        <v>18321100</v>
      </c>
      <c r="I192">
        <f t="shared" si="3"/>
        <v>9.9252202498489593E-5</v>
      </c>
    </row>
    <row r="193" spans="1:9" x14ac:dyDescent="0.3">
      <c r="A193" s="5">
        <v>41918</v>
      </c>
      <c r="B193">
        <v>60.779998999999997</v>
      </c>
      <c r="C193">
        <v>60.799999</v>
      </c>
      <c r="D193">
        <v>60</v>
      </c>
      <c r="E193">
        <v>60.18</v>
      </c>
      <c r="F193">
        <v>46.456325999999997</v>
      </c>
      <c r="G193">
        <v>11578000</v>
      </c>
      <c r="I193">
        <f t="shared" si="3"/>
        <v>4.2062786482446882E-5</v>
      </c>
    </row>
    <row r="194" spans="1:9" x14ac:dyDescent="0.3">
      <c r="A194" s="5">
        <v>41919</v>
      </c>
      <c r="B194">
        <v>59.919998</v>
      </c>
      <c r="C194">
        <v>59.919998</v>
      </c>
      <c r="D194">
        <v>59.189999</v>
      </c>
      <c r="E194">
        <v>59.27</v>
      </c>
      <c r="F194">
        <v>45.753864</v>
      </c>
      <c r="G194">
        <v>14542000</v>
      </c>
      <c r="I194">
        <f t="shared" si="3"/>
        <v>1.6556298107974919E-5</v>
      </c>
    </row>
    <row r="195" spans="1:9" x14ac:dyDescent="0.3">
      <c r="A195" s="5">
        <v>41920</v>
      </c>
      <c r="B195">
        <v>59.360000999999997</v>
      </c>
      <c r="C195">
        <v>60.43</v>
      </c>
      <c r="D195">
        <v>59.18</v>
      </c>
      <c r="E195">
        <v>60.400002000000001</v>
      </c>
      <c r="F195">
        <v>46.626170999999999</v>
      </c>
      <c r="G195">
        <v>15834100</v>
      </c>
      <c r="I195">
        <f t="shared" si="3"/>
        <v>7.0841415447289873E-5</v>
      </c>
    </row>
    <row r="196" spans="1:9" x14ac:dyDescent="0.3">
      <c r="A196" s="5">
        <v>41921</v>
      </c>
      <c r="B196">
        <v>60.330002</v>
      </c>
      <c r="C196">
        <v>60.330002</v>
      </c>
      <c r="D196">
        <v>58.889999000000003</v>
      </c>
      <c r="E196">
        <v>59.080002</v>
      </c>
      <c r="F196">
        <v>45.607182000000002</v>
      </c>
      <c r="G196">
        <v>19189500</v>
      </c>
      <c r="I196">
        <f t="shared" si="3"/>
        <v>7.7818819601013366E-5</v>
      </c>
    </row>
    <row r="197" spans="1:9" x14ac:dyDescent="0.3">
      <c r="A197" s="5">
        <v>41922</v>
      </c>
      <c r="B197">
        <v>59.029998999999997</v>
      </c>
      <c r="C197">
        <v>59.82</v>
      </c>
      <c r="D197">
        <v>58.509998000000003</v>
      </c>
      <c r="E197">
        <v>58.52</v>
      </c>
      <c r="F197">
        <v>45.174889</v>
      </c>
      <c r="G197">
        <v>16689400</v>
      </c>
      <c r="I197">
        <f t="shared" si="3"/>
        <v>2.9360740248408332E-4</v>
      </c>
    </row>
    <row r="198" spans="1:9" x14ac:dyDescent="0.3">
      <c r="A198" s="5">
        <v>41925</v>
      </c>
      <c r="B198">
        <v>58.5</v>
      </c>
      <c r="C198">
        <v>59.150002000000001</v>
      </c>
      <c r="D198">
        <v>58.110000999999997</v>
      </c>
      <c r="E198">
        <v>58.16</v>
      </c>
      <c r="F198">
        <v>44.896984000000003</v>
      </c>
      <c r="G198">
        <v>17169300</v>
      </c>
      <c r="I198">
        <f t="shared" si="3"/>
        <v>1.9226129540300685E-4</v>
      </c>
    </row>
    <row r="199" spans="1:9" x14ac:dyDescent="0.3">
      <c r="A199" s="5">
        <v>41926</v>
      </c>
      <c r="B199">
        <v>56.689999</v>
      </c>
      <c r="C199">
        <v>58.52</v>
      </c>
      <c r="D199">
        <v>56.060001</v>
      </c>
      <c r="E199">
        <v>57.990001999999997</v>
      </c>
      <c r="F199">
        <v>44.765754999999999</v>
      </c>
      <c r="G199">
        <v>29096800</v>
      </c>
      <c r="I199">
        <f t="shared" si="3"/>
        <v>6.6730950078748141E-4</v>
      </c>
    </row>
    <row r="200" spans="1:9" x14ac:dyDescent="0.3">
      <c r="A200" s="5">
        <v>41927</v>
      </c>
      <c r="B200">
        <v>57.02</v>
      </c>
      <c r="C200">
        <v>57.380001</v>
      </c>
      <c r="D200">
        <v>54.259998000000003</v>
      </c>
      <c r="E200">
        <v>55.529998999999997</v>
      </c>
      <c r="F200">
        <v>42.866740999999998</v>
      </c>
      <c r="G200">
        <v>37866900</v>
      </c>
      <c r="I200">
        <f t="shared" si="3"/>
        <v>1.3541559165949925E-3</v>
      </c>
    </row>
    <row r="201" spans="1:9" x14ac:dyDescent="0.3">
      <c r="A201" s="5">
        <v>41928</v>
      </c>
      <c r="B201">
        <v>54.75</v>
      </c>
      <c r="C201">
        <v>55.98</v>
      </c>
      <c r="D201">
        <v>54.279998999999997</v>
      </c>
      <c r="E201">
        <v>55.080002</v>
      </c>
      <c r="F201">
        <v>42.519351999999998</v>
      </c>
      <c r="G201">
        <v>31965100</v>
      </c>
      <c r="I201">
        <f t="shared" si="3"/>
        <v>4.8623099577320829E-4</v>
      </c>
    </row>
    <row r="202" spans="1:9" x14ac:dyDescent="0.3">
      <c r="A202" s="5">
        <v>41929</v>
      </c>
      <c r="B202">
        <v>55.73</v>
      </c>
      <c r="C202">
        <v>56.779998999999997</v>
      </c>
      <c r="D202">
        <v>55.57</v>
      </c>
      <c r="E202">
        <v>56.200001</v>
      </c>
      <c r="F202">
        <v>43.383949000000001</v>
      </c>
      <c r="G202">
        <v>20183500</v>
      </c>
      <c r="I202">
        <f t="shared" si="3"/>
        <v>2.2405770128677502E-4</v>
      </c>
    </row>
    <row r="203" spans="1:9" x14ac:dyDescent="0.3">
      <c r="A203" s="5">
        <v>41932</v>
      </c>
      <c r="B203">
        <v>56.099997999999999</v>
      </c>
      <c r="C203">
        <v>56.75</v>
      </c>
      <c r="D203">
        <v>56.07</v>
      </c>
      <c r="E203">
        <v>56.630001</v>
      </c>
      <c r="F203">
        <v>43.715888999999997</v>
      </c>
      <c r="G203">
        <v>10807600</v>
      </c>
      <c r="I203">
        <f t="shared" si="3"/>
        <v>2.9700302786362521E-5</v>
      </c>
    </row>
    <row r="204" spans="1:9" x14ac:dyDescent="0.3">
      <c r="A204" s="5">
        <v>41933</v>
      </c>
      <c r="B204">
        <v>57.23</v>
      </c>
      <c r="C204">
        <v>58.009998000000003</v>
      </c>
      <c r="D204">
        <v>57.080002</v>
      </c>
      <c r="E204">
        <v>57.93</v>
      </c>
      <c r="F204">
        <v>44.719439999999999</v>
      </c>
      <c r="G204">
        <v>14020400</v>
      </c>
      <c r="I204">
        <f t="shared" ref="I204:I267" si="4">LN(C204/B204)*(LN(C204/B204)-LN(E204/B204))+LN(D204/B204)*(LN(D204/B204)-LN(E204/B204))</f>
        <v>5.7473963508172874E-5</v>
      </c>
    </row>
    <row r="205" spans="1:9" x14ac:dyDescent="0.3">
      <c r="A205" s="5">
        <v>41934</v>
      </c>
      <c r="B205">
        <v>58.040000999999997</v>
      </c>
      <c r="C205">
        <v>58.259998000000003</v>
      </c>
      <c r="D205">
        <v>57.439999</v>
      </c>
      <c r="E205">
        <v>57.450001</v>
      </c>
      <c r="F205">
        <v>44.348888000000002</v>
      </c>
      <c r="G205">
        <v>13750700</v>
      </c>
      <c r="I205">
        <f t="shared" si="4"/>
        <v>5.4777754752049881E-5</v>
      </c>
    </row>
    <row r="206" spans="1:9" x14ac:dyDescent="0.3">
      <c r="A206" s="5">
        <v>41935</v>
      </c>
      <c r="B206">
        <v>58.119999</v>
      </c>
      <c r="C206">
        <v>58.599997999999999</v>
      </c>
      <c r="D206">
        <v>57.939999</v>
      </c>
      <c r="E206">
        <v>58.060001</v>
      </c>
      <c r="F206">
        <v>44.819786000000001</v>
      </c>
      <c r="G206">
        <v>12641900</v>
      </c>
      <c r="I206">
        <f t="shared" si="4"/>
        <v>8.2560722708438337E-5</v>
      </c>
    </row>
    <row r="207" spans="1:9" x14ac:dyDescent="0.3">
      <c r="A207" s="5">
        <v>41936</v>
      </c>
      <c r="B207">
        <v>58</v>
      </c>
      <c r="C207">
        <v>58.779998999999997</v>
      </c>
      <c r="D207">
        <v>58</v>
      </c>
      <c r="E207">
        <v>58.740001999999997</v>
      </c>
      <c r="F207">
        <v>45.344723000000002</v>
      </c>
      <c r="G207">
        <v>13758000</v>
      </c>
      <c r="I207">
        <f t="shared" si="4"/>
        <v>9.0930101676954472E-6</v>
      </c>
    </row>
    <row r="208" spans="1:9" x14ac:dyDescent="0.3">
      <c r="A208" s="5">
        <v>41939</v>
      </c>
      <c r="B208">
        <v>58.450001</v>
      </c>
      <c r="C208">
        <v>58.790000999999997</v>
      </c>
      <c r="D208">
        <v>58.25</v>
      </c>
      <c r="E208">
        <v>58.639999000000003</v>
      </c>
      <c r="F208">
        <v>45.267521000000002</v>
      </c>
      <c r="G208">
        <v>11087100</v>
      </c>
      <c r="I208">
        <f t="shared" si="4"/>
        <v>3.7690040014407572E-5</v>
      </c>
    </row>
    <row r="209" spans="1:9" x14ac:dyDescent="0.3">
      <c r="A209" s="5">
        <v>41940</v>
      </c>
      <c r="B209">
        <v>58.869999</v>
      </c>
      <c r="C209">
        <v>59.689999</v>
      </c>
      <c r="D209">
        <v>58.810001</v>
      </c>
      <c r="E209">
        <v>59.630001</v>
      </c>
      <c r="F209">
        <v>46.031768999999997</v>
      </c>
      <c r="G209">
        <v>13625000</v>
      </c>
      <c r="I209">
        <f t="shared" si="4"/>
        <v>2.8030659172052982E-5</v>
      </c>
    </row>
    <row r="210" spans="1:9" x14ac:dyDescent="0.3">
      <c r="A210" s="5">
        <v>41941</v>
      </c>
      <c r="B210">
        <v>59.619999</v>
      </c>
      <c r="C210">
        <v>59.779998999999997</v>
      </c>
      <c r="D210">
        <v>58.759998000000003</v>
      </c>
      <c r="E210">
        <v>59.290000999999997</v>
      </c>
      <c r="F210">
        <v>45.769291000000003</v>
      </c>
      <c r="G210">
        <v>16712100</v>
      </c>
      <c r="I210">
        <f t="shared" si="4"/>
        <v>1.5252606743814494E-4</v>
      </c>
    </row>
    <row r="211" spans="1:9" x14ac:dyDescent="0.3">
      <c r="A211" s="5">
        <v>41942</v>
      </c>
      <c r="B211">
        <v>58.939999</v>
      </c>
      <c r="C211">
        <v>59.68</v>
      </c>
      <c r="D211">
        <v>58.919998</v>
      </c>
      <c r="E211">
        <v>59.389999000000003</v>
      </c>
      <c r="F211">
        <v>45.846480999999997</v>
      </c>
      <c r="G211">
        <v>14709800</v>
      </c>
      <c r="I211">
        <f t="shared" si="4"/>
        <v>6.3473478596720801E-5</v>
      </c>
    </row>
    <row r="212" spans="1:9" x14ac:dyDescent="0.3">
      <c r="A212" s="5">
        <v>41943</v>
      </c>
      <c r="B212">
        <v>60.119999</v>
      </c>
      <c r="C212">
        <v>60.540000999999997</v>
      </c>
      <c r="D212">
        <v>59.869999</v>
      </c>
      <c r="E212">
        <v>60.48</v>
      </c>
      <c r="F212">
        <v>46.687908</v>
      </c>
      <c r="G212">
        <v>18347600</v>
      </c>
      <c r="I212">
        <f t="shared" si="4"/>
        <v>4.9145141579170179E-5</v>
      </c>
    </row>
    <row r="213" spans="1:9" x14ac:dyDescent="0.3">
      <c r="A213" s="5">
        <v>41946</v>
      </c>
      <c r="B213">
        <v>60.790000999999997</v>
      </c>
      <c r="C213">
        <v>61.150002000000001</v>
      </c>
      <c r="D213">
        <v>60.360000999999997</v>
      </c>
      <c r="E213">
        <v>60.880001</v>
      </c>
      <c r="F213">
        <v>46.996704000000001</v>
      </c>
      <c r="G213">
        <v>11841200</v>
      </c>
      <c r="I213">
        <f t="shared" si="4"/>
        <v>8.7021661351708931E-5</v>
      </c>
    </row>
    <row r="214" spans="1:9" x14ac:dyDescent="0.3">
      <c r="A214" s="5">
        <v>41947</v>
      </c>
      <c r="B214">
        <v>60.240001999999997</v>
      </c>
      <c r="C214">
        <v>60.369999</v>
      </c>
      <c r="D214">
        <v>59.419998</v>
      </c>
      <c r="E214">
        <v>60.25</v>
      </c>
      <c r="F214">
        <v>46.510371999999997</v>
      </c>
      <c r="G214">
        <v>15295800</v>
      </c>
      <c r="I214">
        <f t="shared" si="4"/>
        <v>1.9441209031363811E-4</v>
      </c>
    </row>
    <row r="215" spans="1:9" x14ac:dyDescent="0.3">
      <c r="A215" s="5">
        <v>41948</v>
      </c>
      <c r="B215">
        <v>60.799999</v>
      </c>
      <c r="C215">
        <v>61.23</v>
      </c>
      <c r="D215">
        <v>60.389999000000003</v>
      </c>
      <c r="E215">
        <v>61.150002000000001</v>
      </c>
      <c r="F215">
        <v>47.205139000000003</v>
      </c>
      <c r="G215">
        <v>14063800</v>
      </c>
      <c r="I215">
        <f t="shared" si="4"/>
        <v>9.3835134586005249E-5</v>
      </c>
    </row>
    <row r="216" spans="1:9" x14ac:dyDescent="0.3">
      <c r="A216" s="5">
        <v>41949</v>
      </c>
      <c r="B216">
        <v>61.080002</v>
      </c>
      <c r="C216">
        <v>61.310001</v>
      </c>
      <c r="D216">
        <v>60.630001</v>
      </c>
      <c r="E216">
        <v>61.23</v>
      </c>
      <c r="F216">
        <v>47.266891000000001</v>
      </c>
      <c r="G216">
        <v>10421600</v>
      </c>
      <c r="I216">
        <f t="shared" si="4"/>
        <v>7.7726026413709931E-5</v>
      </c>
    </row>
    <row r="217" spans="1:9" x14ac:dyDescent="0.3">
      <c r="A217" s="5">
        <v>41950</v>
      </c>
      <c r="B217">
        <v>61.07</v>
      </c>
      <c r="C217">
        <v>61.549999</v>
      </c>
      <c r="D217">
        <v>60.860000999999997</v>
      </c>
      <c r="E217">
        <v>61.470001000000003</v>
      </c>
      <c r="F217">
        <v>47.452168</v>
      </c>
      <c r="G217">
        <v>12384600</v>
      </c>
      <c r="I217">
        <f t="shared" si="4"/>
        <v>4.4535497817570505E-5</v>
      </c>
    </row>
    <row r="218" spans="1:9" x14ac:dyDescent="0.3">
      <c r="A218" s="5">
        <v>41953</v>
      </c>
      <c r="B218">
        <v>61.25</v>
      </c>
      <c r="C218">
        <v>61.93</v>
      </c>
      <c r="D218">
        <v>61.200001</v>
      </c>
      <c r="E218">
        <v>61.93</v>
      </c>
      <c r="F218">
        <v>47.807265999999998</v>
      </c>
      <c r="G218">
        <v>10801000</v>
      </c>
      <c r="I218">
        <f t="shared" si="4"/>
        <v>9.6833585167658984E-6</v>
      </c>
    </row>
    <row r="219" spans="1:9" x14ac:dyDescent="0.3">
      <c r="A219" s="5">
        <v>41954</v>
      </c>
      <c r="B219">
        <v>61.709999000000003</v>
      </c>
      <c r="C219">
        <v>61.889999000000003</v>
      </c>
      <c r="D219">
        <v>61.290000999999997</v>
      </c>
      <c r="E219">
        <v>61.369999</v>
      </c>
      <c r="F219">
        <v>47.374957999999999</v>
      </c>
      <c r="G219">
        <v>12539800</v>
      </c>
      <c r="I219">
        <f t="shared" si="4"/>
        <v>3.3483255149553427E-5</v>
      </c>
    </row>
    <row r="220" spans="1:9" x14ac:dyDescent="0.3">
      <c r="A220" s="5">
        <v>41955</v>
      </c>
      <c r="B220">
        <v>60.419998</v>
      </c>
      <c r="C220">
        <v>60.84</v>
      </c>
      <c r="D220">
        <v>60.23</v>
      </c>
      <c r="E220">
        <v>60.560001</v>
      </c>
      <c r="F220">
        <v>46.749671999999997</v>
      </c>
      <c r="G220">
        <v>17219600</v>
      </c>
      <c r="I220">
        <f t="shared" si="4"/>
        <v>4.9164118522161756E-5</v>
      </c>
    </row>
    <row r="221" spans="1:9" x14ac:dyDescent="0.3">
      <c r="A221" s="5">
        <v>41956</v>
      </c>
      <c r="B221">
        <v>60.5</v>
      </c>
      <c r="C221">
        <v>60.630001</v>
      </c>
      <c r="D221">
        <v>59.990001999999997</v>
      </c>
      <c r="E221">
        <v>60.23</v>
      </c>
      <c r="F221">
        <v>46.494937999999998</v>
      </c>
      <c r="G221">
        <v>12240400</v>
      </c>
      <c r="I221">
        <f t="shared" si="4"/>
        <v>4.8007670088421026E-5</v>
      </c>
    </row>
    <row r="222" spans="1:9" x14ac:dyDescent="0.3">
      <c r="A222" s="5">
        <v>41957</v>
      </c>
      <c r="B222">
        <v>60.25</v>
      </c>
      <c r="C222">
        <v>60.619999</v>
      </c>
      <c r="D222">
        <v>60.18</v>
      </c>
      <c r="E222">
        <v>60.279998999999997</v>
      </c>
      <c r="F222">
        <v>46.533531000000004</v>
      </c>
      <c r="G222">
        <v>6803400</v>
      </c>
      <c r="I222">
        <f t="shared" si="4"/>
        <v>3.6364851313710559E-5</v>
      </c>
    </row>
    <row r="223" spans="1:9" x14ac:dyDescent="0.3">
      <c r="A223" s="5">
        <v>41960</v>
      </c>
      <c r="B223">
        <v>60</v>
      </c>
      <c r="C223">
        <v>60.529998999999997</v>
      </c>
      <c r="D223">
        <v>59.889999000000003</v>
      </c>
      <c r="E223">
        <v>60.380001</v>
      </c>
      <c r="F223">
        <v>46.610725000000002</v>
      </c>
      <c r="G223">
        <v>9017600</v>
      </c>
      <c r="I223">
        <f t="shared" si="4"/>
        <v>3.6773174001965392E-5</v>
      </c>
    </row>
    <row r="224" spans="1:9" x14ac:dyDescent="0.3">
      <c r="A224" s="5">
        <v>41961</v>
      </c>
      <c r="B224">
        <v>60.349997999999999</v>
      </c>
      <c r="C224">
        <v>60.82</v>
      </c>
      <c r="D224">
        <v>60.200001</v>
      </c>
      <c r="E224">
        <v>60.529998999999997</v>
      </c>
      <c r="F224">
        <v>46.726512999999997</v>
      </c>
      <c r="G224">
        <v>8897800</v>
      </c>
      <c r="I224">
        <f t="shared" si="4"/>
        <v>5.0683133246487854E-5</v>
      </c>
    </row>
    <row r="225" spans="1:9" x14ac:dyDescent="0.3">
      <c r="A225" s="5">
        <v>41962</v>
      </c>
      <c r="B225">
        <v>60.450001</v>
      </c>
      <c r="C225">
        <v>60.790000999999997</v>
      </c>
      <c r="D225">
        <v>60.150002000000001</v>
      </c>
      <c r="E225">
        <v>60.599997999999999</v>
      </c>
      <c r="F225">
        <v>46.780552</v>
      </c>
      <c r="G225">
        <v>9210100</v>
      </c>
      <c r="I225">
        <f t="shared" si="4"/>
        <v>5.4639343986497045E-5</v>
      </c>
    </row>
    <row r="226" spans="1:9" x14ac:dyDescent="0.3">
      <c r="A226" s="5">
        <v>41963</v>
      </c>
      <c r="B226">
        <v>60.200001</v>
      </c>
      <c r="C226">
        <v>60.25</v>
      </c>
      <c r="D226">
        <v>59.75</v>
      </c>
      <c r="E226">
        <v>60.119999</v>
      </c>
      <c r="F226">
        <v>46.410018999999998</v>
      </c>
      <c r="G226">
        <v>10917300</v>
      </c>
      <c r="I226">
        <f t="shared" si="4"/>
        <v>4.8113059899182062E-5</v>
      </c>
    </row>
    <row r="227" spans="1:9" x14ac:dyDescent="0.3">
      <c r="A227" s="5">
        <v>41964</v>
      </c>
      <c r="B227">
        <v>61.07</v>
      </c>
      <c r="C227">
        <v>61.07</v>
      </c>
      <c r="D227">
        <v>60.299999</v>
      </c>
      <c r="E227">
        <v>60.450001</v>
      </c>
      <c r="F227">
        <v>46.664760999999999</v>
      </c>
      <c r="G227">
        <v>12340500</v>
      </c>
      <c r="I227">
        <f t="shared" si="4"/>
        <v>3.1525057875502887E-5</v>
      </c>
    </row>
    <row r="228" spans="1:9" x14ac:dyDescent="0.3">
      <c r="A228" s="5">
        <v>41967</v>
      </c>
      <c r="B228">
        <v>60.700001</v>
      </c>
      <c r="C228">
        <v>61.310001</v>
      </c>
      <c r="D228">
        <v>60.700001</v>
      </c>
      <c r="E228">
        <v>60.959999000000003</v>
      </c>
      <c r="F228">
        <v>47.058453</v>
      </c>
      <c r="G228">
        <v>8335000</v>
      </c>
      <c r="I228">
        <f t="shared" si="4"/>
        <v>5.72466148448293E-5</v>
      </c>
    </row>
    <row r="229" spans="1:9" x14ac:dyDescent="0.3">
      <c r="A229" s="5">
        <v>41968</v>
      </c>
      <c r="B229">
        <v>61.16</v>
      </c>
      <c r="C229">
        <v>61.16</v>
      </c>
      <c r="D229">
        <v>59.950001</v>
      </c>
      <c r="E229">
        <v>60.299999</v>
      </c>
      <c r="F229">
        <v>46.548972999999997</v>
      </c>
      <c r="G229">
        <v>14802600</v>
      </c>
      <c r="I229">
        <f t="shared" si="4"/>
        <v>1.1632180959569403E-4</v>
      </c>
    </row>
    <row r="230" spans="1:9" x14ac:dyDescent="0.3">
      <c r="A230" s="5">
        <v>41969</v>
      </c>
      <c r="B230">
        <v>60.57</v>
      </c>
      <c r="C230">
        <v>60.57</v>
      </c>
      <c r="D230">
        <v>60.200001</v>
      </c>
      <c r="E230">
        <v>60.34</v>
      </c>
      <c r="F230">
        <v>46.579853</v>
      </c>
      <c r="G230">
        <v>7626600</v>
      </c>
      <c r="I230">
        <f t="shared" si="4"/>
        <v>1.4233010462824076E-5</v>
      </c>
    </row>
    <row r="231" spans="1:9" x14ac:dyDescent="0.3">
      <c r="A231" s="5">
        <v>41971</v>
      </c>
      <c r="B231">
        <v>60.400002000000001</v>
      </c>
      <c r="C231">
        <v>60.560001</v>
      </c>
      <c r="D231">
        <v>60.029998999999997</v>
      </c>
      <c r="E231">
        <v>60.16</v>
      </c>
      <c r="F231">
        <v>46.440894999999998</v>
      </c>
      <c r="G231">
        <v>6759600</v>
      </c>
      <c r="I231">
        <f t="shared" si="4"/>
        <v>3.0824118936322293E-5</v>
      </c>
    </row>
    <row r="232" spans="1:9" x14ac:dyDescent="0.3">
      <c r="A232" s="5">
        <v>41974</v>
      </c>
      <c r="B232">
        <v>59.98</v>
      </c>
      <c r="C232">
        <v>60.209999000000003</v>
      </c>
      <c r="D232">
        <v>59.549999</v>
      </c>
      <c r="E232">
        <v>60</v>
      </c>
      <c r="F232">
        <v>46.317383</v>
      </c>
      <c r="G232">
        <v>12771600</v>
      </c>
      <c r="I232">
        <f t="shared" si="4"/>
        <v>6.7537166499407456E-5</v>
      </c>
    </row>
    <row r="233" spans="1:9" x14ac:dyDescent="0.3">
      <c r="A233" s="5">
        <v>41975</v>
      </c>
      <c r="B233">
        <v>60.009998000000003</v>
      </c>
      <c r="C233">
        <v>61.189999</v>
      </c>
      <c r="D233">
        <v>60</v>
      </c>
      <c r="E233">
        <v>61.080002</v>
      </c>
      <c r="F233">
        <v>47.151096000000003</v>
      </c>
      <c r="G233">
        <v>12546600</v>
      </c>
      <c r="I233">
        <f t="shared" si="4"/>
        <v>3.8008483205916353E-5</v>
      </c>
    </row>
    <row r="234" spans="1:9" x14ac:dyDescent="0.3">
      <c r="A234" s="5">
        <v>41976</v>
      </c>
      <c r="B234">
        <v>60.959999000000003</v>
      </c>
      <c r="C234">
        <v>61.619999</v>
      </c>
      <c r="D234">
        <v>60.810001</v>
      </c>
      <c r="E234">
        <v>61.540000999999997</v>
      </c>
      <c r="F234">
        <v>47.506194999999998</v>
      </c>
      <c r="G234">
        <v>12115500</v>
      </c>
      <c r="I234">
        <f t="shared" si="4"/>
        <v>4.3388152355960149E-5</v>
      </c>
    </row>
    <row r="235" spans="1:9" x14ac:dyDescent="0.3">
      <c r="A235" s="5">
        <v>41977</v>
      </c>
      <c r="B235">
        <v>61.099997999999999</v>
      </c>
      <c r="C235">
        <v>61.57</v>
      </c>
      <c r="D235">
        <v>60.84</v>
      </c>
      <c r="E235">
        <v>61.380001</v>
      </c>
      <c r="F235">
        <v>47.382689999999997</v>
      </c>
      <c r="G235">
        <v>11515200</v>
      </c>
      <c r="I235">
        <f t="shared" si="4"/>
        <v>6.1366027364801406E-5</v>
      </c>
    </row>
    <row r="236" spans="1:9" x14ac:dyDescent="0.3">
      <c r="A236" s="5">
        <v>41978</v>
      </c>
      <c r="B236">
        <v>62.009998000000003</v>
      </c>
      <c r="C236">
        <v>63.060001</v>
      </c>
      <c r="D236">
        <v>61.880001</v>
      </c>
      <c r="E236">
        <v>62.700001</v>
      </c>
      <c r="F236">
        <v>48.401668999999998</v>
      </c>
      <c r="G236">
        <v>20071100</v>
      </c>
      <c r="I236">
        <f t="shared" si="4"/>
        <v>1.2375886934739362E-4</v>
      </c>
    </row>
    <row r="237" spans="1:9" x14ac:dyDescent="0.3">
      <c r="A237" s="5">
        <v>41981</v>
      </c>
      <c r="B237">
        <v>62.599997999999999</v>
      </c>
      <c r="C237">
        <v>63.16</v>
      </c>
      <c r="D237">
        <v>62.259998000000003</v>
      </c>
      <c r="E237">
        <v>62.669998</v>
      </c>
      <c r="F237">
        <v>48.378498</v>
      </c>
      <c r="G237">
        <v>15528200</v>
      </c>
      <c r="I237">
        <f t="shared" si="4"/>
        <v>1.051093164341358E-4</v>
      </c>
    </row>
    <row r="238" spans="1:9" x14ac:dyDescent="0.3">
      <c r="A238" s="5">
        <v>41982</v>
      </c>
      <c r="B238">
        <v>61.849997999999999</v>
      </c>
      <c r="C238">
        <v>62.849997999999999</v>
      </c>
      <c r="D238">
        <v>61.560001</v>
      </c>
      <c r="E238">
        <v>62.450001</v>
      </c>
      <c r="F238">
        <v>48.208674999999999</v>
      </c>
      <c r="G238">
        <v>19676400</v>
      </c>
      <c r="I238">
        <f t="shared" si="4"/>
        <v>1.6986211401191664E-4</v>
      </c>
    </row>
    <row r="239" spans="1:9" x14ac:dyDescent="0.3">
      <c r="A239" s="5">
        <v>41983</v>
      </c>
      <c r="B239">
        <v>62.16</v>
      </c>
      <c r="C239">
        <v>62.240001999999997</v>
      </c>
      <c r="D239">
        <v>60.369999</v>
      </c>
      <c r="E239">
        <v>60.68</v>
      </c>
      <c r="F239">
        <v>46.842312</v>
      </c>
      <c r="G239">
        <v>29620600</v>
      </c>
      <c r="I239">
        <f t="shared" si="4"/>
        <v>1.8230710147420487E-4</v>
      </c>
    </row>
    <row r="240" spans="1:9" x14ac:dyDescent="0.3">
      <c r="A240" s="5">
        <v>41984</v>
      </c>
      <c r="B240">
        <v>61.169998</v>
      </c>
      <c r="C240">
        <v>62.060001</v>
      </c>
      <c r="D240">
        <v>61.110000999999997</v>
      </c>
      <c r="E240">
        <v>61.139999000000003</v>
      </c>
      <c r="F240">
        <v>47.197406999999998</v>
      </c>
      <c r="G240">
        <v>16886200</v>
      </c>
      <c r="I240">
        <f t="shared" si="4"/>
        <v>2.1622061170720967E-4</v>
      </c>
    </row>
    <row r="241" spans="1:9" x14ac:dyDescent="0.3">
      <c r="A241" s="5">
        <v>41985</v>
      </c>
      <c r="B241">
        <v>60.529998999999997</v>
      </c>
      <c r="C241">
        <v>61.220001000000003</v>
      </c>
      <c r="D241">
        <v>59.959999000000003</v>
      </c>
      <c r="E241">
        <v>60.040000999999997</v>
      </c>
      <c r="F241">
        <v>46.348255000000002</v>
      </c>
      <c r="G241">
        <v>17405400</v>
      </c>
      <c r="I241">
        <f t="shared" si="4"/>
        <v>2.3322504391249876E-4</v>
      </c>
    </row>
    <row r="242" spans="1:9" x14ac:dyDescent="0.3">
      <c r="A242" s="5">
        <v>41988</v>
      </c>
      <c r="B242">
        <v>60.740001999999997</v>
      </c>
      <c r="C242">
        <v>60.810001</v>
      </c>
      <c r="D242">
        <v>58.790000999999997</v>
      </c>
      <c r="E242">
        <v>59.16</v>
      </c>
      <c r="F242">
        <v>45.668940999999997</v>
      </c>
      <c r="G242">
        <v>19209900</v>
      </c>
      <c r="I242">
        <f t="shared" si="4"/>
        <v>2.364037807451906E-4</v>
      </c>
    </row>
    <row r="243" spans="1:9" x14ac:dyDescent="0.3">
      <c r="A243" s="5">
        <v>41989</v>
      </c>
      <c r="B243">
        <v>58.419998</v>
      </c>
      <c r="C243">
        <v>59.860000999999997</v>
      </c>
      <c r="D243">
        <v>58.110000999999997</v>
      </c>
      <c r="E243">
        <v>58.43</v>
      </c>
      <c r="F243">
        <v>45.105404</v>
      </c>
      <c r="G243">
        <v>20709700</v>
      </c>
      <c r="I243">
        <f t="shared" si="4"/>
        <v>6.1798470774028405E-4</v>
      </c>
    </row>
    <row r="244" spans="1:9" x14ac:dyDescent="0.3">
      <c r="A244" s="5">
        <v>41990</v>
      </c>
      <c r="B244">
        <v>58.57</v>
      </c>
      <c r="C244">
        <v>59.830002</v>
      </c>
      <c r="D244">
        <v>58.34</v>
      </c>
      <c r="E244">
        <v>59.77</v>
      </c>
      <c r="F244">
        <v>46.139834999999998</v>
      </c>
      <c r="G244">
        <v>17856400</v>
      </c>
      <c r="I244">
        <f t="shared" si="4"/>
        <v>1.1663774178498835E-4</v>
      </c>
    </row>
    <row r="245" spans="1:9" x14ac:dyDescent="0.3">
      <c r="A245" s="5">
        <v>41991</v>
      </c>
      <c r="B245">
        <v>60.639999000000003</v>
      </c>
      <c r="C245">
        <v>61.48</v>
      </c>
      <c r="D245">
        <v>60.439999</v>
      </c>
      <c r="E245">
        <v>61.48</v>
      </c>
      <c r="F245">
        <v>47.459868999999998</v>
      </c>
      <c r="G245">
        <v>18173400</v>
      </c>
      <c r="I245">
        <f t="shared" si="4"/>
        <v>5.6362119621766289E-5</v>
      </c>
    </row>
    <row r="246" spans="1:9" x14ac:dyDescent="0.3">
      <c r="A246" s="5">
        <v>41992</v>
      </c>
      <c r="B246">
        <v>61.400002000000001</v>
      </c>
      <c r="C246">
        <v>62.349997999999999</v>
      </c>
      <c r="D246">
        <v>61.369999</v>
      </c>
      <c r="E246">
        <v>61.93</v>
      </c>
      <c r="F246">
        <v>47.807265999999998</v>
      </c>
      <c r="G246">
        <v>22756400</v>
      </c>
      <c r="I246">
        <f t="shared" si="4"/>
        <v>1.0821477392541786E-4</v>
      </c>
    </row>
    <row r="247" spans="1:9" x14ac:dyDescent="0.3">
      <c r="A247" s="5">
        <v>41995</v>
      </c>
      <c r="B247">
        <v>62.16</v>
      </c>
      <c r="C247">
        <v>62.330002</v>
      </c>
      <c r="D247">
        <v>61.610000999999997</v>
      </c>
      <c r="E247">
        <v>61.939999</v>
      </c>
      <c r="F247">
        <v>47.814982999999998</v>
      </c>
      <c r="G247">
        <v>17073400</v>
      </c>
      <c r="I247">
        <f t="shared" si="4"/>
        <v>6.4619372123509374E-5</v>
      </c>
    </row>
    <row r="248" spans="1:9" x14ac:dyDescent="0.3">
      <c r="A248" s="5">
        <v>41996</v>
      </c>
      <c r="B248">
        <v>62.049999</v>
      </c>
      <c r="C248">
        <v>62.970001000000003</v>
      </c>
      <c r="D248">
        <v>61.93</v>
      </c>
      <c r="E248">
        <v>62.48</v>
      </c>
      <c r="F248">
        <v>48.231827000000003</v>
      </c>
      <c r="G248">
        <v>13552600</v>
      </c>
      <c r="I248">
        <f t="shared" si="4"/>
        <v>1.3209134774598476E-4</v>
      </c>
    </row>
    <row r="249" spans="1:9" x14ac:dyDescent="0.3">
      <c r="A249" s="5">
        <v>41997</v>
      </c>
      <c r="B249">
        <v>62.740001999999997</v>
      </c>
      <c r="C249">
        <v>62.869999</v>
      </c>
      <c r="D249">
        <v>62.27</v>
      </c>
      <c r="E249">
        <v>62.48</v>
      </c>
      <c r="F249">
        <v>48.231827000000003</v>
      </c>
      <c r="G249">
        <v>7412500</v>
      </c>
      <c r="I249">
        <f t="shared" si="4"/>
        <v>3.819588162722398E-5</v>
      </c>
    </row>
    <row r="250" spans="1:9" x14ac:dyDescent="0.3">
      <c r="A250" s="5">
        <v>41999</v>
      </c>
      <c r="B250">
        <v>62.669998</v>
      </c>
      <c r="C250">
        <v>62.889999000000003</v>
      </c>
      <c r="D250">
        <v>62.41</v>
      </c>
      <c r="E250">
        <v>62.549999</v>
      </c>
      <c r="F250">
        <v>48.285870000000003</v>
      </c>
      <c r="G250">
        <v>6086500</v>
      </c>
      <c r="I250">
        <f t="shared" si="4"/>
        <v>2.8311981587253442E-5</v>
      </c>
    </row>
    <row r="251" spans="1:9" x14ac:dyDescent="0.3">
      <c r="A251" s="5">
        <v>42002</v>
      </c>
      <c r="B251">
        <v>62.419998</v>
      </c>
      <c r="C251">
        <v>63.34</v>
      </c>
      <c r="D251">
        <v>62.25</v>
      </c>
      <c r="E251">
        <v>62.959999000000003</v>
      </c>
      <c r="F251">
        <v>48.602367000000001</v>
      </c>
      <c r="G251">
        <v>10601200</v>
      </c>
      <c r="I251">
        <f t="shared" si="4"/>
        <v>1.1897234990081897E-4</v>
      </c>
    </row>
    <row r="252" spans="1:9" x14ac:dyDescent="0.3">
      <c r="A252" s="5">
        <v>42003</v>
      </c>
      <c r="B252">
        <v>62.720001000000003</v>
      </c>
      <c r="C252">
        <v>63.279998999999997</v>
      </c>
      <c r="D252">
        <v>62.57</v>
      </c>
      <c r="E252">
        <v>63.150002000000001</v>
      </c>
      <c r="F252">
        <v>48.749049999999997</v>
      </c>
      <c r="G252">
        <v>7518100</v>
      </c>
      <c r="I252">
        <f t="shared" si="4"/>
        <v>4.037298989123048E-5</v>
      </c>
    </row>
    <row r="253" spans="1:9" x14ac:dyDescent="0.3">
      <c r="A253" s="5">
        <v>42004</v>
      </c>
      <c r="B253">
        <v>63.299999</v>
      </c>
      <c r="C253">
        <v>63.490001999999997</v>
      </c>
      <c r="D253">
        <v>62.580002</v>
      </c>
      <c r="E253">
        <v>62.580002</v>
      </c>
      <c r="F253">
        <v>48.309032000000002</v>
      </c>
      <c r="G253">
        <v>18529400</v>
      </c>
      <c r="I253">
        <f t="shared" si="4"/>
        <v>4.3268609410681288E-5</v>
      </c>
    </row>
    <row r="254" spans="1:9" x14ac:dyDescent="0.3">
      <c r="A254" s="5">
        <v>42006</v>
      </c>
      <c r="B254">
        <v>62.18</v>
      </c>
      <c r="C254">
        <v>62.959999000000003</v>
      </c>
      <c r="D254">
        <v>62.07</v>
      </c>
      <c r="E254">
        <v>62.490001999999997</v>
      </c>
      <c r="F254">
        <v>48.549889</v>
      </c>
      <c r="G254">
        <v>12600000</v>
      </c>
      <c r="I254">
        <f t="shared" si="4"/>
        <v>1.0534999434714432E-4</v>
      </c>
    </row>
    <row r="255" spans="1:9" x14ac:dyDescent="0.3">
      <c r="A255" s="5">
        <v>42009</v>
      </c>
      <c r="B255">
        <v>62.060001</v>
      </c>
      <c r="C255">
        <v>62.279998999999997</v>
      </c>
      <c r="D255">
        <v>60.23</v>
      </c>
      <c r="E255">
        <v>60.549999</v>
      </c>
      <c r="F255">
        <v>47.042645</v>
      </c>
      <c r="G255">
        <v>20100600</v>
      </c>
      <c r="I255">
        <f t="shared" si="4"/>
        <v>2.5828858048104069E-4</v>
      </c>
    </row>
    <row r="256" spans="1:9" x14ac:dyDescent="0.3">
      <c r="A256" s="5">
        <v>42010</v>
      </c>
      <c r="B256">
        <v>60.639999000000003</v>
      </c>
      <c r="C256">
        <v>60.75</v>
      </c>
      <c r="D256">
        <v>58.349997999999999</v>
      </c>
      <c r="E256">
        <v>58.98</v>
      </c>
      <c r="F256">
        <v>45.822887000000001</v>
      </c>
      <c r="G256">
        <v>29074100</v>
      </c>
      <c r="I256">
        <f t="shared" si="4"/>
        <v>4.6699415643471564E-4</v>
      </c>
    </row>
    <row r="257" spans="1:9" x14ac:dyDescent="0.3">
      <c r="A257" s="5">
        <v>42011</v>
      </c>
      <c r="B257">
        <v>59.889999000000003</v>
      </c>
      <c r="C257">
        <v>59.889999000000003</v>
      </c>
      <c r="D257">
        <v>58.669998</v>
      </c>
      <c r="E257">
        <v>59.07</v>
      </c>
      <c r="F257">
        <v>45.892806999999998</v>
      </c>
      <c r="G257">
        <v>23843200</v>
      </c>
      <c r="I257">
        <f t="shared" si="4"/>
        <v>1.3984184248207524E-4</v>
      </c>
    </row>
    <row r="258" spans="1:9" x14ac:dyDescent="0.3">
      <c r="A258" s="5">
        <v>42012</v>
      </c>
      <c r="B258">
        <v>59.970001000000003</v>
      </c>
      <c r="C258">
        <v>60.900002000000001</v>
      </c>
      <c r="D258">
        <v>59.970001000000003</v>
      </c>
      <c r="E258">
        <v>60.389999000000003</v>
      </c>
      <c r="F258">
        <v>46.918339000000003</v>
      </c>
      <c r="G258">
        <v>16971100</v>
      </c>
      <c r="I258">
        <f t="shared" si="4"/>
        <v>1.294147373031141E-4</v>
      </c>
    </row>
    <row r="259" spans="1:9" x14ac:dyDescent="0.3">
      <c r="A259" s="5">
        <v>42013</v>
      </c>
      <c r="B259">
        <v>60.720001000000003</v>
      </c>
      <c r="C259">
        <v>60.790000999999997</v>
      </c>
      <c r="D259">
        <v>59.290000999999997</v>
      </c>
      <c r="E259">
        <v>59.34</v>
      </c>
      <c r="F259">
        <v>46.10257</v>
      </c>
      <c r="G259">
        <v>15396200</v>
      </c>
      <c r="I259">
        <f t="shared" si="4"/>
        <v>4.7904666915929783E-5</v>
      </c>
    </row>
    <row r="260" spans="1:9" x14ac:dyDescent="0.3">
      <c r="A260" s="5">
        <v>42016</v>
      </c>
      <c r="B260">
        <v>59.279998999999997</v>
      </c>
      <c r="C260">
        <v>59.400002000000001</v>
      </c>
      <c r="D260">
        <v>58.27</v>
      </c>
      <c r="E260">
        <v>58.830002</v>
      </c>
      <c r="F260">
        <v>45.706344999999999</v>
      </c>
      <c r="G260">
        <v>15455200</v>
      </c>
      <c r="I260">
        <f t="shared" si="4"/>
        <v>1.8386292625765187E-4</v>
      </c>
    </row>
    <row r="261" spans="1:9" x14ac:dyDescent="0.3">
      <c r="A261" s="5">
        <v>42017</v>
      </c>
      <c r="B261">
        <v>59.259998000000003</v>
      </c>
      <c r="C261">
        <v>59.700001</v>
      </c>
      <c r="D261">
        <v>58.369999</v>
      </c>
      <c r="E261">
        <v>58.84</v>
      </c>
      <c r="F261">
        <v>45.714100000000002</v>
      </c>
      <c r="G261">
        <v>21644700</v>
      </c>
      <c r="I261">
        <f t="shared" si="4"/>
        <v>2.2869935351694349E-4</v>
      </c>
    </row>
    <row r="262" spans="1:9" x14ac:dyDescent="0.3">
      <c r="A262" s="5">
        <v>42018</v>
      </c>
      <c r="B262">
        <v>58.84</v>
      </c>
      <c r="C262">
        <v>58.84</v>
      </c>
      <c r="D262">
        <v>55.27</v>
      </c>
      <c r="E262">
        <v>56.810001</v>
      </c>
      <c r="F262">
        <v>44.136947999999997</v>
      </c>
      <c r="G262">
        <v>49602300</v>
      </c>
      <c r="I262">
        <f t="shared" si="4"/>
        <v>1.7201505788259448E-3</v>
      </c>
    </row>
    <row r="263" spans="1:9" x14ac:dyDescent="0.3">
      <c r="A263" s="5">
        <v>42019</v>
      </c>
      <c r="B263">
        <v>55.73</v>
      </c>
      <c r="C263">
        <v>56.610000999999997</v>
      </c>
      <c r="D263">
        <v>54.5</v>
      </c>
      <c r="E263">
        <v>54.990001999999997</v>
      </c>
      <c r="F263">
        <v>42.722960999999998</v>
      </c>
      <c r="G263">
        <v>42458100</v>
      </c>
      <c r="I263">
        <f t="shared" si="4"/>
        <v>6.5464240525012858E-4</v>
      </c>
    </row>
    <row r="264" spans="1:9" x14ac:dyDescent="0.3">
      <c r="A264" s="5">
        <v>42020</v>
      </c>
      <c r="B264">
        <v>54.66</v>
      </c>
      <c r="C264">
        <v>56</v>
      </c>
      <c r="D264">
        <v>54.639999000000003</v>
      </c>
      <c r="E264">
        <v>55.93</v>
      </c>
      <c r="F264">
        <v>43.453274</v>
      </c>
      <c r="G264">
        <v>29368900</v>
      </c>
      <c r="I264">
        <f t="shared" si="4"/>
        <v>3.8833445501732055E-5</v>
      </c>
    </row>
    <row r="265" spans="1:9" x14ac:dyDescent="0.3">
      <c r="A265" s="5">
        <v>42024</v>
      </c>
      <c r="B265">
        <v>56.040000999999997</v>
      </c>
      <c r="C265">
        <v>56.389999000000003</v>
      </c>
      <c r="D265">
        <v>55.419998</v>
      </c>
      <c r="E265">
        <v>55.709999000000003</v>
      </c>
      <c r="F265">
        <v>43.282356</v>
      </c>
      <c r="G265">
        <v>23477700</v>
      </c>
      <c r="I265">
        <f t="shared" si="4"/>
        <v>1.3360008976331559E-4</v>
      </c>
    </row>
    <row r="266" spans="1:9" x14ac:dyDescent="0.3">
      <c r="A266" s="5">
        <v>42025</v>
      </c>
      <c r="B266">
        <v>55.450001</v>
      </c>
      <c r="C266">
        <v>56.419998</v>
      </c>
      <c r="D266">
        <v>55.189999</v>
      </c>
      <c r="E266">
        <v>55.889999000000003</v>
      </c>
      <c r="F266">
        <v>43.422179999999997</v>
      </c>
      <c r="G266">
        <v>21842400</v>
      </c>
      <c r="I266">
        <f t="shared" si="4"/>
        <v>2.2291396241395993E-4</v>
      </c>
    </row>
    <row r="267" spans="1:9" x14ac:dyDescent="0.3">
      <c r="A267" s="5">
        <v>42026</v>
      </c>
      <c r="B267">
        <v>56.380001</v>
      </c>
      <c r="C267">
        <v>57.73</v>
      </c>
      <c r="D267">
        <v>55.959999000000003</v>
      </c>
      <c r="E267">
        <v>57.59</v>
      </c>
      <c r="F267">
        <v>44.742958000000002</v>
      </c>
      <c r="G267">
        <v>31423500</v>
      </c>
      <c r="I267">
        <f t="shared" si="4"/>
        <v>2.7214198521822606E-4</v>
      </c>
    </row>
    <row r="268" spans="1:9" x14ac:dyDescent="0.3">
      <c r="A268" s="5">
        <v>42027</v>
      </c>
      <c r="B268">
        <v>57.720001000000003</v>
      </c>
      <c r="C268">
        <v>57.869999</v>
      </c>
      <c r="D268">
        <v>56.66</v>
      </c>
      <c r="E268">
        <v>56.68</v>
      </c>
      <c r="F268">
        <v>44.035961</v>
      </c>
      <c r="G268">
        <v>15458300</v>
      </c>
      <c r="I268">
        <f t="shared" ref="I268:I331" si="5">LN(C268/B268)*(LN(C268/B268)-LN(E268/B268))+LN(D268/B268)*(LN(D268/B268)-LN(E268/B268))</f>
        <v>6.0466770678916748E-5</v>
      </c>
    </row>
    <row r="269" spans="1:9" x14ac:dyDescent="0.3">
      <c r="A269" s="5">
        <v>42030</v>
      </c>
      <c r="B269">
        <v>56.41</v>
      </c>
      <c r="C269">
        <v>56.990001999999997</v>
      </c>
      <c r="D269">
        <v>56.200001</v>
      </c>
      <c r="E269">
        <v>56.77</v>
      </c>
      <c r="F269">
        <v>44.105873000000003</v>
      </c>
      <c r="G269">
        <v>12577700</v>
      </c>
      <c r="I269">
        <f t="shared" si="5"/>
        <v>7.7202638026221235E-5</v>
      </c>
    </row>
    <row r="270" spans="1:9" x14ac:dyDescent="0.3">
      <c r="A270" s="5">
        <v>42031</v>
      </c>
      <c r="B270">
        <v>56.049999</v>
      </c>
      <c r="C270">
        <v>56.610000999999997</v>
      </c>
      <c r="D270">
        <v>55.759998000000003</v>
      </c>
      <c r="E270">
        <v>56.200001</v>
      </c>
      <c r="F270">
        <v>43.663043999999999</v>
      </c>
      <c r="G270">
        <v>15220500</v>
      </c>
      <c r="I270">
        <f t="shared" si="5"/>
        <v>1.1303712888179855E-4</v>
      </c>
    </row>
    <row r="271" spans="1:9" x14ac:dyDescent="0.3">
      <c r="A271" s="5">
        <v>42032</v>
      </c>
      <c r="B271">
        <v>56.619999</v>
      </c>
      <c r="C271">
        <v>56.68</v>
      </c>
      <c r="D271">
        <v>54.75</v>
      </c>
      <c r="E271">
        <v>54.75</v>
      </c>
      <c r="F271">
        <v>42.536503000000003</v>
      </c>
      <c r="G271">
        <v>24354400</v>
      </c>
      <c r="I271">
        <f t="shared" si="5"/>
        <v>3.6693338468973127E-5</v>
      </c>
    </row>
    <row r="272" spans="1:9" x14ac:dyDescent="0.3">
      <c r="A272" s="5">
        <v>42033</v>
      </c>
      <c r="B272">
        <v>55.27</v>
      </c>
      <c r="C272">
        <v>55.889999000000003</v>
      </c>
      <c r="D272">
        <v>54.68</v>
      </c>
      <c r="E272">
        <v>55.669998</v>
      </c>
      <c r="F272">
        <v>43.251263000000002</v>
      </c>
      <c r="G272">
        <v>20393300</v>
      </c>
      <c r="I272">
        <f t="shared" si="5"/>
        <v>2.3656969870122129E-4</v>
      </c>
    </row>
    <row r="273" spans="1:9" x14ac:dyDescent="0.3">
      <c r="A273" s="5">
        <v>42034</v>
      </c>
      <c r="B273">
        <v>54.990001999999997</v>
      </c>
      <c r="C273">
        <v>55.5</v>
      </c>
      <c r="D273">
        <v>54.369999</v>
      </c>
      <c r="E273">
        <v>54.380001</v>
      </c>
      <c r="F273">
        <v>42.249031000000002</v>
      </c>
      <c r="G273">
        <v>26943700</v>
      </c>
      <c r="I273">
        <f t="shared" si="5"/>
        <v>1.9028701404823111E-4</v>
      </c>
    </row>
    <row r="274" spans="1:9" x14ac:dyDescent="0.3">
      <c r="A274" s="5">
        <v>42037</v>
      </c>
      <c r="B274">
        <v>54.529998999999997</v>
      </c>
      <c r="C274">
        <v>55.650002000000001</v>
      </c>
      <c r="D274">
        <v>54.27</v>
      </c>
      <c r="E274">
        <v>55.470001000000003</v>
      </c>
      <c r="F274">
        <v>43.095882000000003</v>
      </c>
      <c r="G274">
        <v>20308900</v>
      </c>
      <c r="I274">
        <f t="shared" si="5"/>
        <v>1.7039717583740364E-4</v>
      </c>
    </row>
    <row r="275" spans="1:9" x14ac:dyDescent="0.3">
      <c r="A275" s="5">
        <v>42038</v>
      </c>
      <c r="B275">
        <v>55.91</v>
      </c>
      <c r="C275">
        <v>56.779998999999997</v>
      </c>
      <c r="D275">
        <v>55.869999</v>
      </c>
      <c r="E275">
        <v>56.720001000000003</v>
      </c>
      <c r="F275">
        <v>44.067024000000004</v>
      </c>
      <c r="G275">
        <v>18812500</v>
      </c>
      <c r="I275">
        <f t="shared" si="5"/>
        <v>2.7131365915451295E-5</v>
      </c>
    </row>
    <row r="276" spans="1:9" x14ac:dyDescent="0.3">
      <c r="A276" s="5">
        <v>42039</v>
      </c>
      <c r="B276">
        <v>56.32</v>
      </c>
      <c r="C276">
        <v>57.07</v>
      </c>
      <c r="D276">
        <v>56.279998999999997</v>
      </c>
      <c r="E276">
        <v>56.380001</v>
      </c>
      <c r="F276">
        <v>43.802883000000001</v>
      </c>
      <c r="G276">
        <v>14934100</v>
      </c>
      <c r="I276">
        <f t="shared" si="5"/>
        <v>1.6217841884199049E-4</v>
      </c>
    </row>
    <row r="277" spans="1:9" x14ac:dyDescent="0.3">
      <c r="A277" s="5">
        <v>42040</v>
      </c>
      <c r="B277">
        <v>56.860000999999997</v>
      </c>
      <c r="C277">
        <v>57.040000999999997</v>
      </c>
      <c r="D277">
        <v>56.459999000000003</v>
      </c>
      <c r="E277">
        <v>56.77</v>
      </c>
      <c r="F277">
        <v>44.105873000000003</v>
      </c>
      <c r="G277">
        <v>11293900</v>
      </c>
      <c r="I277">
        <f t="shared" si="5"/>
        <v>5.3652952676710307E-5</v>
      </c>
    </row>
    <row r="278" spans="1:9" x14ac:dyDescent="0.3">
      <c r="A278" s="5">
        <v>42041</v>
      </c>
      <c r="B278">
        <v>57.75</v>
      </c>
      <c r="C278">
        <v>58.73</v>
      </c>
      <c r="D278">
        <v>57.540000999999997</v>
      </c>
      <c r="E278">
        <v>57.889999000000003</v>
      </c>
      <c r="F278">
        <v>44.976036000000001</v>
      </c>
      <c r="G278">
        <v>25214000</v>
      </c>
      <c r="I278">
        <f t="shared" si="5"/>
        <v>2.6450681732816052E-4</v>
      </c>
    </row>
    <row r="279" spans="1:9" x14ac:dyDescent="0.3">
      <c r="A279" s="5">
        <v>42044</v>
      </c>
      <c r="B279">
        <v>57.419998</v>
      </c>
      <c r="C279">
        <v>58.099997999999999</v>
      </c>
      <c r="D279">
        <v>57.23</v>
      </c>
      <c r="E279">
        <v>57.82</v>
      </c>
      <c r="F279">
        <v>44.92165</v>
      </c>
      <c r="G279">
        <v>14372400</v>
      </c>
      <c r="I279">
        <f t="shared" si="5"/>
        <v>9.0868230550452479E-5</v>
      </c>
    </row>
    <row r="280" spans="1:9" x14ac:dyDescent="0.3">
      <c r="A280" s="5">
        <v>42045</v>
      </c>
      <c r="B280">
        <v>58.419998</v>
      </c>
      <c r="C280">
        <v>58.709999000000003</v>
      </c>
      <c r="D280">
        <v>58.049999</v>
      </c>
      <c r="E280">
        <v>58.459999000000003</v>
      </c>
      <c r="F280">
        <v>45.418880000000001</v>
      </c>
      <c r="G280">
        <v>16367300</v>
      </c>
      <c r="I280">
        <f t="shared" si="5"/>
        <v>6.5847593256555597E-5</v>
      </c>
    </row>
    <row r="281" spans="1:9" x14ac:dyDescent="0.3">
      <c r="A281" s="5">
        <v>42046</v>
      </c>
      <c r="B281">
        <v>58.060001</v>
      </c>
      <c r="C281">
        <v>58.66</v>
      </c>
      <c r="D281">
        <v>57.84</v>
      </c>
      <c r="E281">
        <v>58.369999</v>
      </c>
      <c r="F281">
        <v>45.348961000000003</v>
      </c>
      <c r="G281">
        <v>13061900</v>
      </c>
      <c r="I281">
        <f t="shared" si="5"/>
        <v>8.5581999770636619E-5</v>
      </c>
    </row>
    <row r="282" spans="1:9" x14ac:dyDescent="0.3">
      <c r="A282" s="5">
        <v>42047</v>
      </c>
      <c r="B282">
        <v>58.93</v>
      </c>
      <c r="C282">
        <v>59.709999000000003</v>
      </c>
      <c r="D282">
        <v>58.549999</v>
      </c>
      <c r="E282">
        <v>59.57</v>
      </c>
      <c r="F282">
        <v>46.281272999999999</v>
      </c>
      <c r="G282">
        <v>23211300</v>
      </c>
      <c r="I282">
        <f t="shared" si="5"/>
        <v>1.4259656988525304E-4</v>
      </c>
    </row>
    <row r="283" spans="1:9" x14ac:dyDescent="0.3">
      <c r="A283" s="5">
        <v>42048</v>
      </c>
      <c r="B283">
        <v>59.459999000000003</v>
      </c>
      <c r="C283">
        <v>60.220001000000003</v>
      </c>
      <c r="D283">
        <v>59.34</v>
      </c>
      <c r="E283">
        <v>59.669998</v>
      </c>
      <c r="F283">
        <v>46.358947999999998</v>
      </c>
      <c r="G283">
        <v>16479100</v>
      </c>
      <c r="I283">
        <f t="shared" si="5"/>
        <v>1.2773512534672925E-4</v>
      </c>
    </row>
    <row r="284" spans="1:9" x14ac:dyDescent="0.3">
      <c r="A284" s="5">
        <v>42052</v>
      </c>
      <c r="B284">
        <v>59.360000999999997</v>
      </c>
      <c r="C284">
        <v>60.139999000000003</v>
      </c>
      <c r="D284">
        <v>59.32</v>
      </c>
      <c r="E284">
        <v>60.099997999999999</v>
      </c>
      <c r="F284">
        <v>46.693030999999998</v>
      </c>
      <c r="G284">
        <v>15308800</v>
      </c>
      <c r="I284">
        <f t="shared" si="5"/>
        <v>1.749182053686921E-5</v>
      </c>
    </row>
    <row r="285" spans="1:9" x14ac:dyDescent="0.3">
      <c r="A285" s="5">
        <v>42053</v>
      </c>
      <c r="B285">
        <v>60.099997999999999</v>
      </c>
      <c r="C285">
        <v>60.099997999999999</v>
      </c>
      <c r="D285">
        <v>59.119999</v>
      </c>
      <c r="E285">
        <v>59.369999</v>
      </c>
      <c r="F285">
        <v>46.125874000000003</v>
      </c>
      <c r="G285">
        <v>14278100</v>
      </c>
      <c r="I285">
        <f t="shared" si="5"/>
        <v>6.9375361681454011E-5</v>
      </c>
    </row>
    <row r="286" spans="1:9" x14ac:dyDescent="0.3">
      <c r="A286" s="5">
        <v>42054</v>
      </c>
      <c r="B286">
        <v>59.150002000000001</v>
      </c>
      <c r="C286">
        <v>59.48</v>
      </c>
      <c r="D286">
        <v>58.799999</v>
      </c>
      <c r="E286">
        <v>59.23</v>
      </c>
      <c r="F286">
        <v>46.017108999999998</v>
      </c>
      <c r="G286">
        <v>11256500</v>
      </c>
      <c r="I286">
        <f t="shared" si="5"/>
        <v>6.6676005870776287E-5</v>
      </c>
    </row>
    <row r="287" spans="1:9" x14ac:dyDescent="0.3">
      <c r="A287" s="5">
        <v>42055</v>
      </c>
      <c r="B287">
        <v>58.959999000000003</v>
      </c>
      <c r="C287">
        <v>59.889999000000003</v>
      </c>
      <c r="D287">
        <v>58.349997999999999</v>
      </c>
      <c r="E287">
        <v>59.799999</v>
      </c>
      <c r="F287">
        <v>46.459961</v>
      </c>
      <c r="G287">
        <v>15379000</v>
      </c>
      <c r="I287">
        <f t="shared" si="5"/>
        <v>2.7881568451285966E-4</v>
      </c>
    </row>
    <row r="288" spans="1:9" x14ac:dyDescent="0.3">
      <c r="A288" s="5">
        <v>42058</v>
      </c>
      <c r="B288">
        <v>59.5</v>
      </c>
      <c r="C288">
        <v>59.529998999999997</v>
      </c>
      <c r="D288">
        <v>58.799999</v>
      </c>
      <c r="E288">
        <v>59.349997999999999</v>
      </c>
      <c r="F288">
        <v>46.110343999999998</v>
      </c>
      <c r="G288">
        <v>16814000</v>
      </c>
      <c r="I288">
        <f t="shared" si="5"/>
        <v>1.1170834096755119E-4</v>
      </c>
    </row>
    <row r="289" spans="1:9" x14ac:dyDescent="0.3">
      <c r="A289" s="5">
        <v>42059</v>
      </c>
      <c r="B289">
        <v>60.25</v>
      </c>
      <c r="C289">
        <v>61.25</v>
      </c>
      <c r="D289">
        <v>60.080002</v>
      </c>
      <c r="E289">
        <v>60.82</v>
      </c>
      <c r="F289">
        <v>47.252419000000003</v>
      </c>
      <c r="G289">
        <v>22937700</v>
      </c>
      <c r="I289">
        <f t="shared" si="5"/>
        <v>1.5056159399414452E-4</v>
      </c>
    </row>
    <row r="290" spans="1:9" x14ac:dyDescent="0.3">
      <c r="A290" s="5">
        <v>42060</v>
      </c>
      <c r="B290">
        <v>60.759998000000003</v>
      </c>
      <c r="C290">
        <v>61.27</v>
      </c>
      <c r="D290">
        <v>60.75</v>
      </c>
      <c r="E290">
        <v>61.139999000000003</v>
      </c>
      <c r="F290">
        <v>47.501033999999997</v>
      </c>
      <c r="G290">
        <v>18307900</v>
      </c>
      <c r="I290">
        <f t="shared" si="5"/>
        <v>1.8807134882505692E-5</v>
      </c>
    </row>
    <row r="291" spans="1:9" x14ac:dyDescent="0.3">
      <c r="A291" s="5">
        <v>42061</v>
      </c>
      <c r="B291">
        <v>61.029998999999997</v>
      </c>
      <c r="C291">
        <v>61.700001</v>
      </c>
      <c r="D291">
        <v>60.91</v>
      </c>
      <c r="E291">
        <v>61.580002</v>
      </c>
      <c r="F291">
        <v>47.842875999999997</v>
      </c>
      <c r="G291">
        <v>15444800</v>
      </c>
      <c r="I291">
        <f t="shared" si="5"/>
        <v>4.2787024900693129E-5</v>
      </c>
    </row>
    <row r="292" spans="1:9" x14ac:dyDescent="0.3">
      <c r="A292" s="5">
        <v>42062</v>
      </c>
      <c r="B292">
        <v>61.130001</v>
      </c>
      <c r="C292">
        <v>61.919998</v>
      </c>
      <c r="D292">
        <v>61.130001</v>
      </c>
      <c r="E292">
        <v>61.279998999999997</v>
      </c>
      <c r="F292">
        <v>47.609797999999998</v>
      </c>
      <c r="G292">
        <v>15225900</v>
      </c>
      <c r="I292">
        <f t="shared" si="5"/>
        <v>1.3340812818030771E-4</v>
      </c>
    </row>
    <row r="293" spans="1:9" x14ac:dyDescent="0.3">
      <c r="A293" s="5">
        <v>42065</v>
      </c>
      <c r="B293">
        <v>61.279998999999997</v>
      </c>
      <c r="C293">
        <v>61.830002</v>
      </c>
      <c r="D293">
        <v>61.029998999999997</v>
      </c>
      <c r="E293">
        <v>61.77</v>
      </c>
      <c r="F293">
        <v>47.990498000000002</v>
      </c>
      <c r="G293">
        <v>13047300</v>
      </c>
      <c r="I293">
        <f t="shared" si="5"/>
        <v>5.7944712726838627E-5</v>
      </c>
    </row>
    <row r="294" spans="1:9" x14ac:dyDescent="0.3">
      <c r="A294" s="5">
        <v>42066</v>
      </c>
      <c r="B294">
        <v>61.650002000000001</v>
      </c>
      <c r="C294">
        <v>61.990001999999997</v>
      </c>
      <c r="D294">
        <v>61.5</v>
      </c>
      <c r="E294">
        <v>61.970001000000003</v>
      </c>
      <c r="F294">
        <v>48.145873999999999</v>
      </c>
      <c r="G294">
        <v>13706900</v>
      </c>
      <c r="I294">
        <f t="shared" si="5"/>
        <v>2.0321319647336595E-5</v>
      </c>
    </row>
    <row r="295" spans="1:9" x14ac:dyDescent="0.3">
      <c r="A295" s="5">
        <v>42067</v>
      </c>
      <c r="B295">
        <v>61.639999000000003</v>
      </c>
      <c r="C295">
        <v>62.169998</v>
      </c>
      <c r="D295">
        <v>61.349997999999999</v>
      </c>
      <c r="E295">
        <v>62.130001</v>
      </c>
      <c r="F295">
        <v>48.270187</v>
      </c>
      <c r="G295">
        <v>16625500</v>
      </c>
      <c r="I295">
        <f t="shared" si="5"/>
        <v>6.5089204767029816E-5</v>
      </c>
    </row>
    <row r="296" spans="1:9" x14ac:dyDescent="0.3">
      <c r="A296" s="5">
        <v>42068</v>
      </c>
      <c r="B296">
        <v>62.200001</v>
      </c>
      <c r="C296">
        <v>62.23</v>
      </c>
      <c r="D296">
        <v>61.599997999999999</v>
      </c>
      <c r="E296">
        <v>62</v>
      </c>
      <c r="F296">
        <v>48.169167000000002</v>
      </c>
      <c r="G296">
        <v>10931300</v>
      </c>
      <c r="I296">
        <f t="shared" si="5"/>
        <v>6.4524981154531571E-5</v>
      </c>
    </row>
    <row r="297" spans="1:9" x14ac:dyDescent="0.3">
      <c r="A297" s="5">
        <v>42069</v>
      </c>
      <c r="B297">
        <v>62.16</v>
      </c>
      <c r="C297">
        <v>62.869999</v>
      </c>
      <c r="D297">
        <v>60.799999</v>
      </c>
      <c r="E297">
        <v>60.889999000000003</v>
      </c>
      <c r="F297">
        <v>47.306792999999999</v>
      </c>
      <c r="G297">
        <v>22719200</v>
      </c>
      <c r="I297">
        <f t="shared" si="5"/>
        <v>3.9615989494824603E-4</v>
      </c>
    </row>
    <row r="298" spans="1:9" x14ac:dyDescent="0.3">
      <c r="A298" s="5">
        <v>42072</v>
      </c>
      <c r="B298">
        <v>60.84</v>
      </c>
      <c r="C298">
        <v>61.630001</v>
      </c>
      <c r="D298">
        <v>60.799999</v>
      </c>
      <c r="E298">
        <v>61.5</v>
      </c>
      <c r="F298">
        <v>47.780715999999998</v>
      </c>
      <c r="G298">
        <v>13001500</v>
      </c>
      <c r="I298">
        <f t="shared" si="5"/>
        <v>3.4771394364182047E-5</v>
      </c>
    </row>
    <row r="299" spans="1:9" x14ac:dyDescent="0.3">
      <c r="A299" s="5">
        <v>42073</v>
      </c>
      <c r="B299">
        <v>60.759998000000003</v>
      </c>
      <c r="C299">
        <v>61.009998000000003</v>
      </c>
      <c r="D299">
        <v>59.959999000000003</v>
      </c>
      <c r="E299">
        <v>59.959999000000003</v>
      </c>
      <c r="F299">
        <v>46.584259000000003</v>
      </c>
      <c r="G299">
        <v>16357700</v>
      </c>
      <c r="I299">
        <f t="shared" si="5"/>
        <v>7.1282420904153314E-5</v>
      </c>
    </row>
    <row r="300" spans="1:9" x14ac:dyDescent="0.3">
      <c r="A300" s="5">
        <v>42074</v>
      </c>
      <c r="B300">
        <v>60.130001</v>
      </c>
      <c r="C300">
        <v>60.650002000000001</v>
      </c>
      <c r="D300">
        <v>59.959999000000003</v>
      </c>
      <c r="E300">
        <v>60.240001999999997</v>
      </c>
      <c r="F300">
        <v>46.801803999999997</v>
      </c>
      <c r="G300">
        <v>13015600</v>
      </c>
      <c r="I300">
        <f t="shared" si="5"/>
        <v>7.1597933544140523E-5</v>
      </c>
    </row>
    <row r="301" spans="1:9" x14ac:dyDescent="0.3">
      <c r="A301" s="5">
        <v>42075</v>
      </c>
      <c r="B301">
        <v>60.650002000000001</v>
      </c>
      <c r="C301">
        <v>61.450001</v>
      </c>
      <c r="D301">
        <v>60.650002000000001</v>
      </c>
      <c r="E301">
        <v>61.369999</v>
      </c>
      <c r="F301">
        <v>47.679726000000002</v>
      </c>
      <c r="G301">
        <v>18159600</v>
      </c>
      <c r="I301">
        <f t="shared" si="5"/>
        <v>1.707150415535858E-5</v>
      </c>
    </row>
    <row r="302" spans="1:9" x14ac:dyDescent="0.3">
      <c r="A302" s="5">
        <v>42076</v>
      </c>
      <c r="B302">
        <v>61.400002000000001</v>
      </c>
      <c r="C302">
        <v>61.860000999999997</v>
      </c>
      <c r="D302">
        <v>60.43</v>
      </c>
      <c r="E302">
        <v>61</v>
      </c>
      <c r="F302">
        <v>47.392249999999997</v>
      </c>
      <c r="G302">
        <v>16506200</v>
      </c>
      <c r="I302">
        <f t="shared" si="5"/>
        <v>2.5399366788362172E-4</v>
      </c>
    </row>
    <row r="303" spans="1:9" x14ac:dyDescent="0.3">
      <c r="A303" s="5">
        <v>42079</v>
      </c>
      <c r="B303">
        <v>61.5</v>
      </c>
      <c r="C303">
        <v>61.919998</v>
      </c>
      <c r="D303">
        <v>61.25</v>
      </c>
      <c r="E303">
        <v>61.849997999999999</v>
      </c>
      <c r="F303">
        <v>48.052647</v>
      </c>
      <c r="G303">
        <v>15182900</v>
      </c>
      <c r="I303">
        <f t="shared" si="5"/>
        <v>4.7406159225412782E-5</v>
      </c>
    </row>
    <row r="304" spans="1:9" x14ac:dyDescent="0.3">
      <c r="A304" s="5">
        <v>42080</v>
      </c>
      <c r="B304">
        <v>61.34</v>
      </c>
      <c r="C304">
        <v>61.66</v>
      </c>
      <c r="D304">
        <v>60.919998</v>
      </c>
      <c r="E304">
        <v>61.610000999999997</v>
      </c>
      <c r="F304">
        <v>47.86618</v>
      </c>
      <c r="G304">
        <v>11718300</v>
      </c>
      <c r="I304">
        <f t="shared" si="5"/>
        <v>8.1603277875810955E-5</v>
      </c>
    </row>
    <row r="305" spans="1:9" x14ac:dyDescent="0.3">
      <c r="A305" s="5">
        <v>42081</v>
      </c>
      <c r="B305">
        <v>61.389999000000003</v>
      </c>
      <c r="C305">
        <v>62.049999</v>
      </c>
      <c r="D305">
        <v>61.09</v>
      </c>
      <c r="E305">
        <v>61.75</v>
      </c>
      <c r="F305">
        <v>47.974952999999999</v>
      </c>
      <c r="G305">
        <v>15697900</v>
      </c>
      <c r="I305">
        <f t="shared" si="5"/>
        <v>1.0446749502330868E-4</v>
      </c>
    </row>
    <row r="306" spans="1:9" x14ac:dyDescent="0.3">
      <c r="A306" s="5">
        <v>42082</v>
      </c>
      <c r="B306">
        <v>61.57</v>
      </c>
      <c r="C306">
        <v>61.650002000000001</v>
      </c>
      <c r="D306">
        <v>60.759998000000003</v>
      </c>
      <c r="E306">
        <v>61.200001</v>
      </c>
      <c r="F306">
        <v>47.547646</v>
      </c>
      <c r="G306">
        <v>11523800</v>
      </c>
      <c r="I306">
        <f t="shared" si="5"/>
        <v>1.0506940742281674E-4</v>
      </c>
    </row>
    <row r="307" spans="1:9" x14ac:dyDescent="0.3">
      <c r="A307" s="5">
        <v>42083</v>
      </c>
      <c r="B307">
        <v>61.32</v>
      </c>
      <c r="C307">
        <v>62.099997999999999</v>
      </c>
      <c r="D307">
        <v>61.150002000000001</v>
      </c>
      <c r="E307">
        <v>61.75</v>
      </c>
      <c r="F307">
        <v>47.974952999999999</v>
      </c>
      <c r="G307">
        <v>18368300</v>
      </c>
      <c r="I307">
        <f t="shared" si="5"/>
        <v>9.8547134942437097E-5</v>
      </c>
    </row>
    <row r="308" spans="1:9" x14ac:dyDescent="0.3">
      <c r="A308" s="5">
        <v>42086</v>
      </c>
      <c r="B308">
        <v>61.75</v>
      </c>
      <c r="C308">
        <v>62.080002</v>
      </c>
      <c r="D308">
        <v>61.119999</v>
      </c>
      <c r="E308">
        <v>61.139999000000003</v>
      </c>
      <c r="F308">
        <v>47.501033999999997</v>
      </c>
      <c r="G308">
        <v>15112900</v>
      </c>
      <c r="I308">
        <f t="shared" si="5"/>
        <v>8.4677116746431318E-5</v>
      </c>
    </row>
    <row r="309" spans="1:9" x14ac:dyDescent="0.3">
      <c r="A309" s="5">
        <v>42087</v>
      </c>
      <c r="B309">
        <v>60.970001000000003</v>
      </c>
      <c r="C309">
        <v>61.240001999999997</v>
      </c>
      <c r="D309">
        <v>60.450001</v>
      </c>
      <c r="E309">
        <v>60.459999000000003</v>
      </c>
      <c r="F309">
        <v>46.972712999999999</v>
      </c>
      <c r="G309">
        <v>12128700</v>
      </c>
      <c r="I309">
        <f t="shared" si="5"/>
        <v>5.8057538332077358E-5</v>
      </c>
    </row>
    <row r="310" spans="1:9" x14ac:dyDescent="0.3">
      <c r="A310" s="5">
        <v>42088</v>
      </c>
      <c r="B310">
        <v>60.529998999999997</v>
      </c>
      <c r="C310">
        <v>60.639999000000003</v>
      </c>
      <c r="D310">
        <v>59.59</v>
      </c>
      <c r="E310">
        <v>59.610000999999997</v>
      </c>
      <c r="F310">
        <v>46.312328000000001</v>
      </c>
      <c r="G310">
        <v>14950900</v>
      </c>
      <c r="I310">
        <f t="shared" si="5"/>
        <v>3.635662428059908E-5</v>
      </c>
    </row>
    <row r="311" spans="1:9" x14ac:dyDescent="0.3">
      <c r="A311" s="5">
        <v>42089</v>
      </c>
      <c r="B311">
        <v>59.459999000000003</v>
      </c>
      <c r="C311">
        <v>59.790000999999997</v>
      </c>
      <c r="D311">
        <v>58.869999</v>
      </c>
      <c r="E311">
        <v>59.540000999999997</v>
      </c>
      <c r="F311">
        <v>46.257961000000002</v>
      </c>
      <c r="G311">
        <v>14039600</v>
      </c>
      <c r="I311">
        <f t="shared" si="5"/>
        <v>1.3604350616318339E-4</v>
      </c>
    </row>
    <row r="312" spans="1:9" x14ac:dyDescent="0.3">
      <c r="A312" s="5">
        <v>42090</v>
      </c>
      <c r="B312">
        <v>59.490001999999997</v>
      </c>
      <c r="C312">
        <v>59.779998999999997</v>
      </c>
      <c r="D312">
        <v>59</v>
      </c>
      <c r="E312">
        <v>59.549999</v>
      </c>
      <c r="F312">
        <v>46.265723999999999</v>
      </c>
      <c r="G312">
        <v>11755800</v>
      </c>
      <c r="I312">
        <f t="shared" si="5"/>
        <v>9.5489292374942487E-5</v>
      </c>
    </row>
    <row r="313" spans="1:9" x14ac:dyDescent="0.3">
      <c r="A313" s="5">
        <v>42093</v>
      </c>
      <c r="B313">
        <v>60.880001</v>
      </c>
      <c r="C313">
        <v>61.459999000000003</v>
      </c>
      <c r="D313">
        <v>60.610000999999997</v>
      </c>
      <c r="E313">
        <v>60.959999000000003</v>
      </c>
      <c r="F313">
        <v>47.361182999999997</v>
      </c>
      <c r="G313">
        <v>20656500</v>
      </c>
      <c r="I313">
        <f t="shared" si="5"/>
        <v>1.030467294126076E-4</v>
      </c>
    </row>
    <row r="314" spans="1:9" x14ac:dyDescent="0.3">
      <c r="A314" s="5">
        <v>42094</v>
      </c>
      <c r="B314">
        <v>60.720001000000003</v>
      </c>
      <c r="C314">
        <v>60.939999</v>
      </c>
      <c r="D314">
        <v>60.419998</v>
      </c>
      <c r="E314">
        <v>60.580002</v>
      </c>
      <c r="F314">
        <v>47.065947999999999</v>
      </c>
      <c r="G314">
        <v>17346700</v>
      </c>
      <c r="I314">
        <f t="shared" si="5"/>
        <v>3.452730115151785E-5</v>
      </c>
    </row>
    <row r="315" spans="1:9" x14ac:dyDescent="0.3">
      <c r="A315" s="5">
        <v>42095</v>
      </c>
      <c r="B315">
        <v>60.41</v>
      </c>
      <c r="C315">
        <v>60.57</v>
      </c>
      <c r="D315">
        <v>59.73</v>
      </c>
      <c r="E315">
        <v>59.950001</v>
      </c>
      <c r="F315">
        <v>46.886077999999998</v>
      </c>
      <c r="G315">
        <v>18100600</v>
      </c>
      <c r="I315">
        <f t="shared" si="5"/>
        <v>6.8833416483577779E-5</v>
      </c>
    </row>
    <row r="316" spans="1:9" x14ac:dyDescent="0.3">
      <c r="A316" s="5">
        <v>42096</v>
      </c>
      <c r="B316">
        <v>60.07</v>
      </c>
      <c r="C316">
        <v>60.700001</v>
      </c>
      <c r="D316">
        <v>60</v>
      </c>
      <c r="E316">
        <v>60.52</v>
      </c>
      <c r="F316">
        <v>47.331859999999999</v>
      </c>
      <c r="G316">
        <v>12697800</v>
      </c>
      <c r="I316">
        <f t="shared" si="5"/>
        <v>4.1046362367152228E-5</v>
      </c>
    </row>
    <row r="317" spans="1:9" x14ac:dyDescent="0.3">
      <c r="A317" s="5">
        <v>42100</v>
      </c>
      <c r="B317">
        <v>59.919998</v>
      </c>
      <c r="C317">
        <v>60.75</v>
      </c>
      <c r="D317">
        <v>59.650002000000001</v>
      </c>
      <c r="E317">
        <v>60.470001000000003</v>
      </c>
      <c r="F317">
        <v>47.292763000000001</v>
      </c>
      <c r="G317">
        <v>12025200</v>
      </c>
      <c r="I317">
        <f t="shared" si="5"/>
        <v>1.2521164196655768E-4</v>
      </c>
    </row>
    <row r="318" spans="1:9" x14ac:dyDescent="0.3">
      <c r="A318" s="5">
        <v>42101</v>
      </c>
      <c r="B318">
        <v>61.150002000000001</v>
      </c>
      <c r="C318">
        <v>61.5</v>
      </c>
      <c r="D318">
        <v>60.849997999999999</v>
      </c>
      <c r="E318">
        <v>60.849997999999999</v>
      </c>
      <c r="F318">
        <v>47.589947000000002</v>
      </c>
      <c r="G318">
        <v>11505500</v>
      </c>
      <c r="I318">
        <f t="shared" si="5"/>
        <v>6.06420655436334E-5</v>
      </c>
    </row>
    <row r="319" spans="1:9" x14ac:dyDescent="0.3">
      <c r="A319" s="5">
        <v>42102</v>
      </c>
      <c r="B319">
        <v>61.060001</v>
      </c>
      <c r="C319">
        <v>61.560001</v>
      </c>
      <c r="D319">
        <v>60.939999</v>
      </c>
      <c r="E319">
        <v>61.049999</v>
      </c>
      <c r="F319">
        <v>47.746375999999998</v>
      </c>
      <c r="G319">
        <v>11734000</v>
      </c>
      <c r="I319">
        <f t="shared" si="5"/>
        <v>7.1393055603762032E-5</v>
      </c>
    </row>
    <row r="320" spans="1:9" x14ac:dyDescent="0.3">
      <c r="A320" s="5">
        <v>42103</v>
      </c>
      <c r="B320">
        <v>61.27</v>
      </c>
      <c r="C320">
        <v>61.580002</v>
      </c>
      <c r="D320">
        <v>60.830002</v>
      </c>
      <c r="E320">
        <v>61.470001000000003</v>
      </c>
      <c r="F320">
        <v>48.074840999999999</v>
      </c>
      <c r="G320">
        <v>11728500</v>
      </c>
      <c r="I320">
        <f t="shared" si="5"/>
        <v>8.445496438250994E-5</v>
      </c>
    </row>
    <row r="321" spans="1:9" x14ac:dyDescent="0.3">
      <c r="A321" s="5">
        <v>42104</v>
      </c>
      <c r="B321">
        <v>61.349997999999999</v>
      </c>
      <c r="C321">
        <v>61.779998999999997</v>
      </c>
      <c r="D321">
        <v>61.200001</v>
      </c>
      <c r="E321">
        <v>61.700001</v>
      </c>
      <c r="F321">
        <v>48.254730000000002</v>
      </c>
      <c r="G321">
        <v>9869700</v>
      </c>
      <c r="I321">
        <f t="shared" si="5"/>
        <v>2.896822299695011E-5</v>
      </c>
    </row>
    <row r="322" spans="1:9" x14ac:dyDescent="0.3">
      <c r="A322" s="5">
        <v>42107</v>
      </c>
      <c r="B322">
        <v>61.639999000000003</v>
      </c>
      <c r="C322">
        <v>62.27</v>
      </c>
      <c r="D322">
        <v>61.5</v>
      </c>
      <c r="E322">
        <v>62.07</v>
      </c>
      <c r="F322">
        <v>48.544094000000001</v>
      </c>
      <c r="G322">
        <v>15468700</v>
      </c>
      <c r="I322">
        <f t="shared" si="5"/>
        <v>5.3690191876792845E-5</v>
      </c>
    </row>
    <row r="323" spans="1:9" x14ac:dyDescent="0.3">
      <c r="A323" s="5">
        <v>42108</v>
      </c>
      <c r="B323">
        <v>62.959999000000003</v>
      </c>
      <c r="C323">
        <v>63.610000999999997</v>
      </c>
      <c r="D323">
        <v>62.740001999999997</v>
      </c>
      <c r="E323">
        <v>63.040000999999997</v>
      </c>
      <c r="F323">
        <v>49.302723</v>
      </c>
      <c r="G323">
        <v>33775400</v>
      </c>
      <c r="I323">
        <f t="shared" si="5"/>
        <v>1.0915033158907764E-4</v>
      </c>
    </row>
    <row r="324" spans="1:9" x14ac:dyDescent="0.3">
      <c r="A324" s="5">
        <v>42109</v>
      </c>
      <c r="B324">
        <v>63.080002</v>
      </c>
      <c r="C324">
        <v>64.480002999999996</v>
      </c>
      <c r="D324">
        <v>63.009998000000003</v>
      </c>
      <c r="E324">
        <v>64.209998999999996</v>
      </c>
      <c r="F324">
        <v>50.217765999999997</v>
      </c>
      <c r="G324">
        <v>28732200</v>
      </c>
      <c r="I324">
        <f t="shared" si="5"/>
        <v>1.1306016726770502E-4</v>
      </c>
    </row>
    <row r="325" spans="1:9" x14ac:dyDescent="0.3">
      <c r="A325" s="5">
        <v>42110</v>
      </c>
      <c r="B325">
        <v>64.080001999999993</v>
      </c>
      <c r="C325">
        <v>64.269997000000004</v>
      </c>
      <c r="D325">
        <v>63.66</v>
      </c>
      <c r="E325">
        <v>63.810001</v>
      </c>
      <c r="F325">
        <v>49.904933999999997</v>
      </c>
      <c r="G325">
        <v>16640500</v>
      </c>
      <c r="I325">
        <f t="shared" si="5"/>
        <v>3.6742261419952236E-5</v>
      </c>
    </row>
    <row r="326" spans="1:9" x14ac:dyDescent="0.3">
      <c r="A326" s="5">
        <v>42111</v>
      </c>
      <c r="B326">
        <v>63.25</v>
      </c>
      <c r="C326">
        <v>63.400002000000001</v>
      </c>
      <c r="D326">
        <v>62.490001999999997</v>
      </c>
      <c r="E326">
        <v>62.84</v>
      </c>
      <c r="F326">
        <v>49.146304999999998</v>
      </c>
      <c r="G326">
        <v>20221200</v>
      </c>
      <c r="I326">
        <f t="shared" si="5"/>
        <v>8.8533306371221552E-5</v>
      </c>
    </row>
    <row r="327" spans="1:9" x14ac:dyDescent="0.3">
      <c r="A327" s="5">
        <v>42114</v>
      </c>
      <c r="B327">
        <v>63.220001000000003</v>
      </c>
      <c r="C327">
        <v>63.52</v>
      </c>
      <c r="D327">
        <v>63.139999000000003</v>
      </c>
      <c r="E327">
        <v>63.240001999999997</v>
      </c>
      <c r="F327">
        <v>49.459152000000003</v>
      </c>
      <c r="G327">
        <v>12755300</v>
      </c>
      <c r="I327">
        <f t="shared" si="5"/>
        <v>2.2918100117324336E-5</v>
      </c>
    </row>
    <row r="328" spans="1:9" x14ac:dyDescent="0.3">
      <c r="A328" s="5">
        <v>42115</v>
      </c>
      <c r="B328">
        <v>63.330002</v>
      </c>
      <c r="C328">
        <v>63.599997999999999</v>
      </c>
      <c r="D328">
        <v>62.130001</v>
      </c>
      <c r="E328">
        <v>62.310001</v>
      </c>
      <c r="F328">
        <v>48.731796000000003</v>
      </c>
      <c r="G328">
        <v>14985100</v>
      </c>
      <c r="I328">
        <f t="shared" si="5"/>
        <v>1.4251904282292833E-4</v>
      </c>
    </row>
    <row r="329" spans="1:9" x14ac:dyDescent="0.3">
      <c r="A329" s="5">
        <v>42116</v>
      </c>
      <c r="B329">
        <v>62.650002000000001</v>
      </c>
      <c r="C329">
        <v>63.150002000000001</v>
      </c>
      <c r="D329">
        <v>62.029998999999997</v>
      </c>
      <c r="E329">
        <v>62.939999</v>
      </c>
      <c r="F329">
        <v>49.224510000000002</v>
      </c>
      <c r="G329">
        <v>14484700</v>
      </c>
      <c r="I329">
        <f t="shared" si="5"/>
        <v>1.7132383435948152E-4</v>
      </c>
    </row>
    <row r="330" spans="1:9" x14ac:dyDescent="0.3">
      <c r="A330" s="5">
        <v>42117</v>
      </c>
      <c r="B330">
        <v>62.790000999999997</v>
      </c>
      <c r="C330">
        <v>63.209999000000003</v>
      </c>
      <c r="D330">
        <v>62.599997999999999</v>
      </c>
      <c r="E330">
        <v>62.799999</v>
      </c>
      <c r="F330">
        <v>49.115025000000003</v>
      </c>
      <c r="G330">
        <v>12851300</v>
      </c>
      <c r="I330">
        <f t="shared" si="5"/>
        <v>5.3049934304557948E-5</v>
      </c>
    </row>
    <row r="331" spans="1:9" x14ac:dyDescent="0.3">
      <c r="A331" s="5">
        <v>42118</v>
      </c>
      <c r="B331">
        <v>62.630001</v>
      </c>
      <c r="C331">
        <v>62.84</v>
      </c>
      <c r="D331">
        <v>62.34</v>
      </c>
      <c r="E331">
        <v>62.599997999999999</v>
      </c>
      <c r="F331">
        <v>48.958602999999997</v>
      </c>
      <c r="G331">
        <v>9597500</v>
      </c>
      <c r="I331">
        <f t="shared" si="5"/>
        <v>3.2125340772327337E-5</v>
      </c>
    </row>
    <row r="332" spans="1:9" x14ac:dyDescent="0.3">
      <c r="A332" s="5">
        <v>42121</v>
      </c>
      <c r="B332">
        <v>62.700001</v>
      </c>
      <c r="C332">
        <v>63.150002000000001</v>
      </c>
      <c r="D332">
        <v>62.310001</v>
      </c>
      <c r="E332">
        <v>62.34</v>
      </c>
      <c r="F332">
        <v>48.75526</v>
      </c>
      <c r="G332">
        <v>11146400</v>
      </c>
      <c r="I332">
        <f t="shared" ref="I332:I395" si="6">LN(C332/B332)*(LN(C332/B332)-LN(E332/B332))+LN(D332/B332)*(LN(D332/B332)-LN(E332/B332))</f>
        <v>9.5325254623989549E-5</v>
      </c>
    </row>
    <row r="333" spans="1:9" x14ac:dyDescent="0.3">
      <c r="A333" s="5">
        <v>42122</v>
      </c>
      <c r="B333">
        <v>62.490001999999997</v>
      </c>
      <c r="C333">
        <v>62.779998999999997</v>
      </c>
      <c r="D333">
        <v>61.77</v>
      </c>
      <c r="E333">
        <v>62.759998000000003</v>
      </c>
      <c r="F333">
        <v>49.083733000000002</v>
      </c>
      <c r="G333">
        <v>12307800</v>
      </c>
      <c r="I333">
        <f t="shared" si="6"/>
        <v>1.8573767111483406E-4</v>
      </c>
    </row>
    <row r="334" spans="1:9" x14ac:dyDescent="0.3">
      <c r="A334" s="5">
        <v>42123</v>
      </c>
      <c r="B334">
        <v>62.560001</v>
      </c>
      <c r="C334">
        <v>63.889999000000003</v>
      </c>
      <c r="D334">
        <v>62.459999000000003</v>
      </c>
      <c r="E334">
        <v>63.599997999999999</v>
      </c>
      <c r="F334">
        <v>49.740684999999999</v>
      </c>
      <c r="G334">
        <v>17601200</v>
      </c>
      <c r="I334">
        <f t="shared" si="6"/>
        <v>1.2463980615124118E-4</v>
      </c>
    </row>
    <row r="335" spans="1:9" x14ac:dyDescent="0.3">
      <c r="A335" s="5">
        <v>42124</v>
      </c>
      <c r="B335">
        <v>63.580002</v>
      </c>
      <c r="C335">
        <v>63.880001</v>
      </c>
      <c r="D335">
        <v>62.919998</v>
      </c>
      <c r="E335">
        <v>63.259998000000003</v>
      </c>
      <c r="F335">
        <v>49.474781</v>
      </c>
      <c r="G335">
        <v>16840900</v>
      </c>
      <c r="I335">
        <f t="shared" si="6"/>
        <v>1.021468776166825E-4</v>
      </c>
    </row>
    <row r="336" spans="1:9" x14ac:dyDescent="0.3">
      <c r="A336" s="5">
        <v>42125</v>
      </c>
      <c r="B336">
        <v>63.700001</v>
      </c>
      <c r="C336">
        <v>63.869999</v>
      </c>
      <c r="D336">
        <v>63.330002</v>
      </c>
      <c r="E336">
        <v>63.610000999999997</v>
      </c>
      <c r="F336">
        <v>49.748505000000002</v>
      </c>
      <c r="G336">
        <v>11640100</v>
      </c>
      <c r="I336">
        <f t="shared" si="6"/>
        <v>3.6570241322853807E-5</v>
      </c>
    </row>
    <row r="337" spans="1:9" x14ac:dyDescent="0.3">
      <c r="A337" s="5">
        <v>42128</v>
      </c>
      <c r="B337">
        <v>63.68</v>
      </c>
      <c r="C337">
        <v>64.870002999999997</v>
      </c>
      <c r="D337">
        <v>63.639999000000003</v>
      </c>
      <c r="E337">
        <v>64.720000999999996</v>
      </c>
      <c r="F337">
        <v>50.616622999999997</v>
      </c>
      <c r="G337">
        <v>14972500</v>
      </c>
      <c r="I337">
        <f t="shared" si="6"/>
        <v>5.3436165419986046E-5</v>
      </c>
    </row>
    <row r="338" spans="1:9" x14ac:dyDescent="0.3">
      <c r="A338" s="5">
        <v>42129</v>
      </c>
      <c r="B338">
        <v>64.510002</v>
      </c>
      <c r="C338">
        <v>65.319999999999993</v>
      </c>
      <c r="D338">
        <v>64.290001000000004</v>
      </c>
      <c r="E338">
        <v>64.400002000000001</v>
      </c>
      <c r="F338">
        <v>50.366356000000003</v>
      </c>
      <c r="G338">
        <v>17692400</v>
      </c>
      <c r="I338">
        <f t="shared" si="6"/>
        <v>1.8283540849856598E-4</v>
      </c>
    </row>
    <row r="339" spans="1:9" x14ac:dyDescent="0.3">
      <c r="A339" s="5">
        <v>42130</v>
      </c>
      <c r="B339">
        <v>64.529999000000004</v>
      </c>
      <c r="C339">
        <v>65.069999999999993</v>
      </c>
      <c r="D339">
        <v>63.419998</v>
      </c>
      <c r="E339">
        <v>63.919998</v>
      </c>
      <c r="F339">
        <v>49.990955</v>
      </c>
      <c r="G339">
        <v>18087900</v>
      </c>
      <c r="I339">
        <f t="shared" si="6"/>
        <v>2.8485346673892985E-4</v>
      </c>
    </row>
    <row r="340" spans="1:9" x14ac:dyDescent="0.3">
      <c r="A340" s="5">
        <v>42131</v>
      </c>
      <c r="B340">
        <v>63.669998</v>
      </c>
      <c r="C340">
        <v>64.599997999999999</v>
      </c>
      <c r="D340">
        <v>63.25</v>
      </c>
      <c r="E340">
        <v>64.5</v>
      </c>
      <c r="F340">
        <v>50.444561</v>
      </c>
      <c r="G340">
        <v>15039900</v>
      </c>
      <c r="I340">
        <f t="shared" si="6"/>
        <v>1.5198563607432162E-4</v>
      </c>
    </row>
    <row r="341" spans="1:9" x14ac:dyDescent="0.3">
      <c r="A341" s="5">
        <v>42132</v>
      </c>
      <c r="B341">
        <v>64.970000999999996</v>
      </c>
      <c r="C341">
        <v>65.650002000000001</v>
      </c>
      <c r="D341">
        <v>64.599997999999999</v>
      </c>
      <c r="E341">
        <v>65.489998</v>
      </c>
      <c r="F341">
        <v>51.218819000000003</v>
      </c>
      <c r="G341">
        <v>16802600</v>
      </c>
      <c r="I341">
        <f t="shared" si="6"/>
        <v>1.0355482240420952E-4</v>
      </c>
    </row>
    <row r="342" spans="1:9" x14ac:dyDescent="0.3">
      <c r="A342" s="5">
        <v>42135</v>
      </c>
      <c r="B342">
        <v>65.260002</v>
      </c>
      <c r="C342">
        <v>65.639999000000003</v>
      </c>
      <c r="D342">
        <v>65.080001999999993</v>
      </c>
      <c r="E342">
        <v>65.449996999999996</v>
      </c>
      <c r="F342">
        <v>51.187550000000002</v>
      </c>
      <c r="G342">
        <v>13798800</v>
      </c>
      <c r="I342">
        <f t="shared" si="6"/>
        <v>3.2488449476570009E-5</v>
      </c>
    </row>
    <row r="343" spans="1:9" x14ac:dyDescent="0.3">
      <c r="A343" s="5">
        <v>42136</v>
      </c>
      <c r="B343">
        <v>65.309997999999993</v>
      </c>
      <c r="C343">
        <v>65.540001000000004</v>
      </c>
      <c r="D343">
        <v>64.760002</v>
      </c>
      <c r="E343">
        <v>65.360000999999997</v>
      </c>
      <c r="F343">
        <v>51.117153000000002</v>
      </c>
      <c r="G343">
        <v>12762200</v>
      </c>
      <c r="I343">
        <f t="shared" si="6"/>
        <v>8.7661171467740844E-5</v>
      </c>
    </row>
    <row r="344" spans="1:9" x14ac:dyDescent="0.3">
      <c r="A344" s="5">
        <v>42137</v>
      </c>
      <c r="B344">
        <v>65.419998000000007</v>
      </c>
      <c r="C344">
        <v>65.629997000000003</v>
      </c>
      <c r="D344">
        <v>65.059997999999993</v>
      </c>
      <c r="E344">
        <v>65.519997000000004</v>
      </c>
      <c r="F344">
        <v>51.242294000000001</v>
      </c>
      <c r="G344">
        <v>11874100</v>
      </c>
      <c r="I344">
        <f t="shared" si="6"/>
        <v>4.4253873503208856E-5</v>
      </c>
    </row>
    <row r="345" spans="1:9" x14ac:dyDescent="0.3">
      <c r="A345" s="5">
        <v>42138</v>
      </c>
      <c r="B345">
        <v>65.830001999999993</v>
      </c>
      <c r="C345">
        <v>66.180000000000007</v>
      </c>
      <c r="D345">
        <v>65.709998999999996</v>
      </c>
      <c r="E345">
        <v>66.050003000000004</v>
      </c>
      <c r="F345">
        <v>51.656796</v>
      </c>
      <c r="G345">
        <v>11855500</v>
      </c>
      <c r="I345">
        <f t="shared" si="6"/>
        <v>1.9842767206047499E-5</v>
      </c>
    </row>
    <row r="346" spans="1:9" x14ac:dyDescent="0.3">
      <c r="A346" s="5">
        <v>42139</v>
      </c>
      <c r="B346">
        <v>66.129997000000003</v>
      </c>
      <c r="C346">
        <v>66.160004000000001</v>
      </c>
      <c r="D346">
        <v>65.440002000000007</v>
      </c>
      <c r="E346">
        <v>65.879997000000003</v>
      </c>
      <c r="F346">
        <v>51.523842000000002</v>
      </c>
      <c r="G346">
        <v>11152100</v>
      </c>
      <c r="I346">
        <f t="shared" si="6"/>
        <v>7.2210503297560978E-5</v>
      </c>
    </row>
    <row r="347" spans="1:9" x14ac:dyDescent="0.3">
      <c r="A347" s="5">
        <v>42142</v>
      </c>
      <c r="B347">
        <v>65.800003000000004</v>
      </c>
      <c r="C347">
        <v>66.540001000000004</v>
      </c>
      <c r="D347">
        <v>65.800003000000004</v>
      </c>
      <c r="E347">
        <v>66.419998000000007</v>
      </c>
      <c r="F347">
        <v>51.946162999999999</v>
      </c>
      <c r="G347">
        <v>10510900</v>
      </c>
      <c r="I347">
        <f t="shared" si="6"/>
        <v>2.0187155958107318E-5</v>
      </c>
    </row>
    <row r="348" spans="1:9" x14ac:dyDescent="0.3">
      <c r="A348" s="5">
        <v>42143</v>
      </c>
      <c r="B348">
        <v>66.769997000000004</v>
      </c>
      <c r="C348">
        <v>67.190002000000007</v>
      </c>
      <c r="D348">
        <v>66.569999999999993</v>
      </c>
      <c r="E348">
        <v>67.010002</v>
      </c>
      <c r="F348">
        <v>52.407597000000003</v>
      </c>
      <c r="G348">
        <v>14282700</v>
      </c>
      <c r="I348">
        <f t="shared" si="6"/>
        <v>3.6583684341189374E-5</v>
      </c>
    </row>
    <row r="349" spans="1:9" x14ac:dyDescent="0.3">
      <c r="A349" s="5">
        <v>42144</v>
      </c>
      <c r="B349">
        <v>66.949996999999996</v>
      </c>
      <c r="C349">
        <v>67.029999000000004</v>
      </c>
      <c r="D349">
        <v>66.400002000000001</v>
      </c>
      <c r="E349">
        <v>66.480002999999996</v>
      </c>
      <c r="F349">
        <v>51.993099000000001</v>
      </c>
      <c r="G349">
        <v>12446000</v>
      </c>
      <c r="I349">
        <f t="shared" si="6"/>
        <v>1.9772035581188433E-5</v>
      </c>
    </row>
    <row r="350" spans="1:9" x14ac:dyDescent="0.3">
      <c r="A350" s="5">
        <v>42145</v>
      </c>
      <c r="B350">
        <v>66.139999000000003</v>
      </c>
      <c r="C350">
        <v>66.680000000000007</v>
      </c>
      <c r="D350">
        <v>66.010002</v>
      </c>
      <c r="E350">
        <v>66.650002000000001</v>
      </c>
      <c r="F350">
        <v>52.126049000000002</v>
      </c>
      <c r="G350">
        <v>12934500</v>
      </c>
      <c r="I350">
        <f t="shared" si="6"/>
        <v>2.264217093613155E-5</v>
      </c>
    </row>
    <row r="351" spans="1:9" x14ac:dyDescent="0.3">
      <c r="A351" s="5">
        <v>42146</v>
      </c>
      <c r="B351">
        <v>66.629997000000003</v>
      </c>
      <c r="C351">
        <v>66.830001999999993</v>
      </c>
      <c r="D351">
        <v>66.319999999999993</v>
      </c>
      <c r="E351">
        <v>66.470000999999996</v>
      </c>
      <c r="F351">
        <v>51.985270999999997</v>
      </c>
      <c r="G351">
        <v>9296900</v>
      </c>
      <c r="I351">
        <f t="shared" si="6"/>
        <v>2.6724763690799093E-5</v>
      </c>
    </row>
    <row r="352" spans="1:9" x14ac:dyDescent="0.3">
      <c r="A352" s="5">
        <v>42150</v>
      </c>
      <c r="B352">
        <v>66.199996999999996</v>
      </c>
      <c r="C352">
        <v>66.290001000000004</v>
      </c>
      <c r="D352">
        <v>65.309997999999993</v>
      </c>
      <c r="E352">
        <v>65.730002999999996</v>
      </c>
      <c r="F352">
        <v>51.406528000000002</v>
      </c>
      <c r="G352">
        <v>15571300</v>
      </c>
      <c r="I352">
        <f t="shared" si="6"/>
        <v>9.8292224652093789E-5</v>
      </c>
    </row>
    <row r="353" spans="1:9" x14ac:dyDescent="0.3">
      <c r="A353" s="5">
        <v>42151</v>
      </c>
      <c r="B353">
        <v>65.949996999999996</v>
      </c>
      <c r="C353">
        <v>66.650002000000001</v>
      </c>
      <c r="D353">
        <v>65.819999999999993</v>
      </c>
      <c r="E353">
        <v>66.470000999999996</v>
      </c>
      <c r="F353">
        <v>51.985270999999997</v>
      </c>
      <c r="G353">
        <v>10963700</v>
      </c>
      <c r="I353">
        <f t="shared" si="6"/>
        <v>4.79426525166548E-5</v>
      </c>
    </row>
    <row r="354" spans="1:9" x14ac:dyDescent="0.3">
      <c r="A354" s="5">
        <v>42152</v>
      </c>
      <c r="B354">
        <v>66.360000999999997</v>
      </c>
      <c r="C354">
        <v>66.400002000000001</v>
      </c>
      <c r="D354">
        <v>65.739998</v>
      </c>
      <c r="E354">
        <v>66.199996999999996</v>
      </c>
      <c r="F354">
        <v>51.774113</v>
      </c>
      <c r="G354">
        <v>11797400</v>
      </c>
      <c r="I354">
        <f t="shared" si="6"/>
        <v>6.727188586930425E-5</v>
      </c>
    </row>
    <row r="355" spans="1:9" x14ac:dyDescent="0.3">
      <c r="A355" s="5">
        <v>42153</v>
      </c>
      <c r="B355">
        <v>66.180000000000007</v>
      </c>
      <c r="C355">
        <v>66.220000999999996</v>
      </c>
      <c r="D355">
        <v>65.360000999999997</v>
      </c>
      <c r="E355">
        <v>65.779999000000004</v>
      </c>
      <c r="F355">
        <v>51.445628999999997</v>
      </c>
      <c r="G355">
        <v>14310700</v>
      </c>
      <c r="I355">
        <f t="shared" si="6"/>
        <v>8.3889309869433399E-5</v>
      </c>
    </row>
    <row r="356" spans="1:9" x14ac:dyDescent="0.3">
      <c r="A356" s="5">
        <v>42156</v>
      </c>
      <c r="B356">
        <v>65.989998</v>
      </c>
      <c r="C356">
        <v>66.660004000000001</v>
      </c>
      <c r="D356">
        <v>65.970000999999996</v>
      </c>
      <c r="E356">
        <v>66.080001999999993</v>
      </c>
      <c r="F356">
        <v>51.680267000000001</v>
      </c>
      <c r="G356">
        <v>11899300</v>
      </c>
      <c r="I356">
        <f t="shared" si="6"/>
        <v>8.8785594415852705E-5</v>
      </c>
    </row>
    <row r="357" spans="1:9" x14ac:dyDescent="0.3">
      <c r="A357" s="5">
        <v>42157</v>
      </c>
      <c r="B357">
        <v>65.830001999999993</v>
      </c>
      <c r="C357">
        <v>66.389999000000003</v>
      </c>
      <c r="D357">
        <v>65.580001999999993</v>
      </c>
      <c r="E357">
        <v>66.019997000000004</v>
      </c>
      <c r="F357">
        <v>51.633324000000002</v>
      </c>
      <c r="G357">
        <v>12784200</v>
      </c>
      <c r="I357">
        <f t="shared" si="6"/>
        <v>7.2783635613476305E-5</v>
      </c>
    </row>
    <row r="358" spans="1:9" x14ac:dyDescent="0.3">
      <c r="A358" s="5">
        <v>42158</v>
      </c>
      <c r="B358">
        <v>66.430000000000007</v>
      </c>
      <c r="C358">
        <v>67.129997000000003</v>
      </c>
      <c r="D358">
        <v>66.269997000000004</v>
      </c>
      <c r="E358">
        <v>66.699996999999996</v>
      </c>
      <c r="F358">
        <v>52.165149999999997</v>
      </c>
      <c r="G358">
        <v>12927300</v>
      </c>
      <c r="I358">
        <f t="shared" si="6"/>
        <v>8.2956450961615513E-5</v>
      </c>
    </row>
    <row r="359" spans="1:9" x14ac:dyDescent="0.3">
      <c r="A359" s="5">
        <v>42159</v>
      </c>
      <c r="B359">
        <v>66.309997999999993</v>
      </c>
      <c r="C359">
        <v>67.050003000000004</v>
      </c>
      <c r="D359">
        <v>66.010002</v>
      </c>
      <c r="E359">
        <v>66.330001999999993</v>
      </c>
      <c r="F359">
        <v>51.875790000000002</v>
      </c>
      <c r="G359">
        <v>13863300</v>
      </c>
      <c r="I359">
        <f t="shared" si="6"/>
        <v>1.4174603190138366E-4</v>
      </c>
    </row>
    <row r="360" spans="1:9" x14ac:dyDescent="0.3">
      <c r="A360" s="5">
        <v>42160</v>
      </c>
      <c r="B360">
        <v>67.370002999999997</v>
      </c>
      <c r="C360">
        <v>67.839995999999999</v>
      </c>
      <c r="D360">
        <v>67.010002</v>
      </c>
      <c r="E360">
        <v>67.419998000000007</v>
      </c>
      <c r="F360">
        <v>52.728256000000002</v>
      </c>
      <c r="G360">
        <v>20801100</v>
      </c>
      <c r="I360">
        <f t="shared" si="6"/>
        <v>7.5856596577593465E-5</v>
      </c>
    </row>
    <row r="361" spans="1:9" x14ac:dyDescent="0.3">
      <c r="A361" s="5">
        <v>42163</v>
      </c>
      <c r="B361">
        <v>67.459998999999996</v>
      </c>
      <c r="C361">
        <v>67.550003000000004</v>
      </c>
      <c r="D361">
        <v>66.809997999999993</v>
      </c>
      <c r="E361">
        <v>66.889999000000003</v>
      </c>
      <c r="F361">
        <v>52.313763000000002</v>
      </c>
      <c r="G361">
        <v>14558700</v>
      </c>
      <c r="I361">
        <f t="shared" si="6"/>
        <v>2.4677913082623949E-5</v>
      </c>
    </row>
    <row r="362" spans="1:9" x14ac:dyDescent="0.3">
      <c r="A362" s="5">
        <v>42164</v>
      </c>
      <c r="B362">
        <v>66.949996999999996</v>
      </c>
      <c r="C362">
        <v>67.269997000000004</v>
      </c>
      <c r="D362">
        <v>66.470000999999996</v>
      </c>
      <c r="E362">
        <v>67.180000000000007</v>
      </c>
      <c r="F362">
        <v>52.540568999999998</v>
      </c>
      <c r="G362">
        <v>13263500</v>
      </c>
      <c r="I362">
        <f t="shared" si="6"/>
        <v>8.2832459337145654E-5</v>
      </c>
    </row>
    <row r="363" spans="1:9" x14ac:dyDescent="0.3">
      <c r="A363" s="5">
        <v>42165</v>
      </c>
      <c r="B363">
        <v>67.589995999999999</v>
      </c>
      <c r="C363">
        <v>68.5</v>
      </c>
      <c r="D363">
        <v>67.470000999999996</v>
      </c>
      <c r="E363">
        <v>68.260002</v>
      </c>
      <c r="F363">
        <v>53.385216</v>
      </c>
      <c r="G363">
        <v>17478900</v>
      </c>
      <c r="I363">
        <f t="shared" si="6"/>
        <v>6.7623749186798942E-5</v>
      </c>
    </row>
    <row r="364" spans="1:9" x14ac:dyDescent="0.3">
      <c r="A364" s="5">
        <v>42166</v>
      </c>
      <c r="B364">
        <v>68.360000999999997</v>
      </c>
      <c r="C364">
        <v>68.680000000000007</v>
      </c>
      <c r="D364">
        <v>68.150002000000001</v>
      </c>
      <c r="E364">
        <v>68.519997000000004</v>
      </c>
      <c r="F364">
        <v>53.588538999999997</v>
      </c>
      <c r="G364">
        <v>13739900</v>
      </c>
      <c r="I364">
        <f t="shared" si="6"/>
        <v>2.755125336430946E-5</v>
      </c>
    </row>
    <row r="365" spans="1:9" x14ac:dyDescent="0.3">
      <c r="A365" s="5">
        <v>42167</v>
      </c>
      <c r="B365">
        <v>68.309997999999993</v>
      </c>
      <c r="C365">
        <v>68.540001000000004</v>
      </c>
      <c r="D365">
        <v>67.870002999999997</v>
      </c>
      <c r="E365">
        <v>68.25</v>
      </c>
      <c r="F365">
        <v>53.377388000000003</v>
      </c>
      <c r="G365">
        <v>11804700</v>
      </c>
      <c r="I365">
        <f t="shared" si="6"/>
        <v>5.033168979476018E-5</v>
      </c>
    </row>
    <row r="366" spans="1:9" x14ac:dyDescent="0.3">
      <c r="A366" s="5">
        <v>42170</v>
      </c>
      <c r="B366">
        <v>67.580001999999993</v>
      </c>
      <c r="C366">
        <v>68.209998999999996</v>
      </c>
      <c r="D366">
        <v>67.300003000000004</v>
      </c>
      <c r="E366">
        <v>67.989998</v>
      </c>
      <c r="F366">
        <v>53.174048999999997</v>
      </c>
      <c r="G366">
        <v>14082300</v>
      </c>
      <c r="I366">
        <f t="shared" si="6"/>
        <v>7.2326567131165487E-5</v>
      </c>
    </row>
    <row r="367" spans="1:9" x14ac:dyDescent="0.3">
      <c r="A367" s="5">
        <v>42171</v>
      </c>
      <c r="B367">
        <v>67.769997000000004</v>
      </c>
      <c r="C367">
        <v>68.519997000000004</v>
      </c>
      <c r="D367">
        <v>67.620002999999997</v>
      </c>
      <c r="E367">
        <v>68.370002999999997</v>
      </c>
      <c r="F367">
        <v>53.471245000000003</v>
      </c>
      <c r="G367">
        <v>11692800</v>
      </c>
      <c r="I367">
        <f t="shared" si="6"/>
        <v>4.8559539345218003E-5</v>
      </c>
    </row>
    <row r="368" spans="1:9" x14ac:dyDescent="0.3">
      <c r="A368" s="5">
        <v>42172</v>
      </c>
      <c r="B368">
        <v>68.410004000000001</v>
      </c>
      <c r="C368">
        <v>68.680000000000007</v>
      </c>
      <c r="D368">
        <v>68.040001000000004</v>
      </c>
      <c r="E368">
        <v>68.139999000000003</v>
      </c>
      <c r="F368">
        <v>53.291359</v>
      </c>
      <c r="G368">
        <v>14521900</v>
      </c>
      <c r="I368">
        <f t="shared" si="6"/>
        <v>3.9057489374796772E-5</v>
      </c>
    </row>
    <row r="369" spans="1:9" x14ac:dyDescent="0.3">
      <c r="A369" s="5">
        <v>42173</v>
      </c>
      <c r="B369">
        <v>68.349997999999999</v>
      </c>
      <c r="C369">
        <v>68.819999999999993</v>
      </c>
      <c r="D369">
        <v>67.900002000000001</v>
      </c>
      <c r="E369">
        <v>68.779999000000004</v>
      </c>
      <c r="F369">
        <v>53.791896999999999</v>
      </c>
      <c r="G369">
        <v>16759600</v>
      </c>
      <c r="I369">
        <f t="shared" si="6"/>
        <v>8.9042474331240646E-5</v>
      </c>
    </row>
    <row r="370" spans="1:9" x14ac:dyDescent="0.3">
      <c r="A370" s="5">
        <v>42174</v>
      </c>
      <c r="B370">
        <v>68.459998999999996</v>
      </c>
      <c r="C370">
        <v>68.669998000000007</v>
      </c>
      <c r="D370">
        <v>67.919998000000007</v>
      </c>
      <c r="E370">
        <v>68.080001999999993</v>
      </c>
      <c r="F370">
        <v>53.244450000000001</v>
      </c>
      <c r="G370">
        <v>21606400</v>
      </c>
      <c r="I370">
        <f t="shared" si="6"/>
        <v>4.506198251059222E-5</v>
      </c>
    </row>
    <row r="371" spans="1:9" x14ac:dyDescent="0.3">
      <c r="A371" s="5">
        <v>42177</v>
      </c>
      <c r="B371">
        <v>68.870002999999997</v>
      </c>
      <c r="C371">
        <v>69.290001000000004</v>
      </c>
      <c r="D371">
        <v>68.75</v>
      </c>
      <c r="E371">
        <v>68.959998999999996</v>
      </c>
      <c r="F371">
        <v>53.932678000000003</v>
      </c>
      <c r="G371">
        <v>14306700</v>
      </c>
      <c r="I371">
        <f t="shared" si="6"/>
        <v>3.4344328299405438E-5</v>
      </c>
    </row>
    <row r="372" spans="1:9" x14ac:dyDescent="0.3">
      <c r="A372" s="5">
        <v>42178</v>
      </c>
      <c r="B372">
        <v>69.349997999999999</v>
      </c>
      <c r="C372">
        <v>69.819999999999993</v>
      </c>
      <c r="D372">
        <v>69.190002000000007</v>
      </c>
      <c r="E372">
        <v>69.75</v>
      </c>
      <c r="F372">
        <v>54.550528999999997</v>
      </c>
      <c r="G372">
        <v>15736900</v>
      </c>
      <c r="I372">
        <f t="shared" si="6"/>
        <v>2.5394163886975247E-5</v>
      </c>
    </row>
    <row r="373" spans="1:9" x14ac:dyDescent="0.3">
      <c r="A373" s="5">
        <v>42179</v>
      </c>
      <c r="B373">
        <v>69.510002</v>
      </c>
      <c r="C373">
        <v>69.769997000000004</v>
      </c>
      <c r="D373">
        <v>68.910004000000001</v>
      </c>
      <c r="E373">
        <v>69.019997000000004</v>
      </c>
      <c r="F373">
        <v>53.979595000000003</v>
      </c>
      <c r="G373">
        <v>16995000</v>
      </c>
      <c r="I373">
        <f t="shared" si="6"/>
        <v>5.4176797478971908E-5</v>
      </c>
    </row>
    <row r="374" spans="1:9" x14ac:dyDescent="0.3">
      <c r="A374" s="5">
        <v>42180</v>
      </c>
      <c r="B374">
        <v>69.319999999999993</v>
      </c>
      <c r="C374">
        <v>69.470000999999996</v>
      </c>
      <c r="D374">
        <v>68.639999000000003</v>
      </c>
      <c r="E374">
        <v>68.650002000000001</v>
      </c>
      <c r="F374">
        <v>53.690215999999999</v>
      </c>
      <c r="G374">
        <v>13314300</v>
      </c>
      <c r="I374">
        <f t="shared" si="6"/>
        <v>2.7102506263422828E-5</v>
      </c>
    </row>
    <row r="375" spans="1:9" x14ac:dyDescent="0.3">
      <c r="A375" s="5">
        <v>42181</v>
      </c>
      <c r="B375">
        <v>68.940002000000007</v>
      </c>
      <c r="C375">
        <v>69.290001000000004</v>
      </c>
      <c r="D375">
        <v>68.769997000000004</v>
      </c>
      <c r="E375">
        <v>68.949996999999996</v>
      </c>
      <c r="F375">
        <v>53.924835000000002</v>
      </c>
      <c r="G375">
        <v>14489200</v>
      </c>
      <c r="I375">
        <f t="shared" si="6"/>
        <v>3.1364212075204369E-5</v>
      </c>
    </row>
    <row r="376" spans="1:9" x14ac:dyDescent="0.3">
      <c r="A376" s="5">
        <v>42184</v>
      </c>
      <c r="B376">
        <v>67.680000000000007</v>
      </c>
      <c r="C376">
        <v>68.260002</v>
      </c>
      <c r="D376">
        <v>67.160004000000001</v>
      </c>
      <c r="E376">
        <v>67.199996999999996</v>
      </c>
      <c r="F376">
        <v>52.556190000000001</v>
      </c>
      <c r="G376">
        <v>19934400</v>
      </c>
      <c r="I376">
        <f t="shared" si="6"/>
        <v>1.3814357884972721E-4</v>
      </c>
    </row>
    <row r="377" spans="1:9" x14ac:dyDescent="0.3">
      <c r="A377" s="5">
        <v>42185</v>
      </c>
      <c r="B377">
        <v>67.889999000000003</v>
      </c>
      <c r="C377">
        <v>68.110000999999997</v>
      </c>
      <c r="D377">
        <v>67.160004000000001</v>
      </c>
      <c r="E377">
        <v>67.760002</v>
      </c>
      <c r="F377">
        <v>52.994179000000003</v>
      </c>
      <c r="G377">
        <v>20677400</v>
      </c>
      <c r="I377">
        <f t="shared" si="6"/>
        <v>1.1282199742945965E-4</v>
      </c>
    </row>
    <row r="378" spans="1:9" x14ac:dyDescent="0.3">
      <c r="A378" s="5">
        <v>42186</v>
      </c>
      <c r="B378">
        <v>68.120002999999997</v>
      </c>
      <c r="C378">
        <v>68.389999000000003</v>
      </c>
      <c r="D378">
        <v>67.779999000000004</v>
      </c>
      <c r="E378">
        <v>68.069999999999993</v>
      </c>
      <c r="F378">
        <v>53.584567999999997</v>
      </c>
      <c r="G378">
        <v>13964400</v>
      </c>
      <c r="I378">
        <f t="shared" si="6"/>
        <v>3.9915471366429321E-5</v>
      </c>
    </row>
    <row r="379" spans="1:9" x14ac:dyDescent="0.3">
      <c r="A379" s="5">
        <v>42187</v>
      </c>
      <c r="B379">
        <v>67.949996999999996</v>
      </c>
      <c r="C379">
        <v>68.129997000000003</v>
      </c>
      <c r="D379">
        <v>67.190002000000007</v>
      </c>
      <c r="E379">
        <v>67.519997000000004</v>
      </c>
      <c r="F379">
        <v>53.151603999999999</v>
      </c>
      <c r="G379">
        <v>12822900</v>
      </c>
      <c r="I379">
        <f t="shared" si="6"/>
        <v>7.8899237447806783E-5</v>
      </c>
    </row>
    <row r="380" spans="1:9" x14ac:dyDescent="0.3">
      <c r="A380" s="5">
        <v>42191</v>
      </c>
      <c r="B380">
        <v>66.879997000000003</v>
      </c>
      <c r="C380">
        <v>67.459998999999996</v>
      </c>
      <c r="D380">
        <v>66.540001000000004</v>
      </c>
      <c r="E380">
        <v>67.330001999999993</v>
      </c>
      <c r="F380">
        <v>53.002048000000002</v>
      </c>
      <c r="G380">
        <v>13527100</v>
      </c>
      <c r="I380">
        <f t="shared" si="6"/>
        <v>7.6809511277599701E-5</v>
      </c>
    </row>
    <row r="381" spans="1:9" x14ac:dyDescent="0.3">
      <c r="A381" s="5">
        <v>42192</v>
      </c>
      <c r="B381">
        <v>67.089995999999999</v>
      </c>
      <c r="C381">
        <v>67.220000999999996</v>
      </c>
      <c r="D381">
        <v>65.300003000000004</v>
      </c>
      <c r="E381">
        <v>66.800003000000004</v>
      </c>
      <c r="F381">
        <v>52.584811999999999</v>
      </c>
      <c r="G381">
        <v>22421500</v>
      </c>
      <c r="I381">
        <f t="shared" si="6"/>
        <v>6.2630518949550941E-4</v>
      </c>
    </row>
    <row r="382" spans="1:9" x14ac:dyDescent="0.3">
      <c r="A382" s="5">
        <v>42193</v>
      </c>
      <c r="B382">
        <v>66</v>
      </c>
      <c r="C382">
        <v>66.160004000000001</v>
      </c>
      <c r="D382">
        <v>65.209998999999996</v>
      </c>
      <c r="E382">
        <v>65.430000000000007</v>
      </c>
      <c r="F382">
        <v>51.506366999999997</v>
      </c>
      <c r="G382">
        <v>17707200</v>
      </c>
      <c r="I382">
        <f t="shared" si="6"/>
        <v>6.7423519958667764E-5</v>
      </c>
    </row>
    <row r="383" spans="1:9" x14ac:dyDescent="0.3">
      <c r="A383" s="5">
        <v>42194</v>
      </c>
      <c r="B383">
        <v>66.489998</v>
      </c>
      <c r="C383">
        <v>66.699996999999996</v>
      </c>
      <c r="D383">
        <v>65.989998</v>
      </c>
      <c r="E383">
        <v>66.110000999999997</v>
      </c>
      <c r="F383">
        <v>52.041668000000001</v>
      </c>
      <c r="G383">
        <v>14984700</v>
      </c>
      <c r="I383">
        <f t="shared" si="6"/>
        <v>4.1731576272643304E-5</v>
      </c>
    </row>
    <row r="384" spans="1:9" x14ac:dyDescent="0.3">
      <c r="A384" s="5">
        <v>42195</v>
      </c>
      <c r="B384">
        <v>67.220000999999996</v>
      </c>
      <c r="C384">
        <v>67.400002000000001</v>
      </c>
      <c r="D384">
        <v>66.830001999999993</v>
      </c>
      <c r="E384">
        <v>67.050003000000004</v>
      </c>
      <c r="F384">
        <v>52.781627999999998</v>
      </c>
      <c r="G384">
        <v>12356100</v>
      </c>
      <c r="I384">
        <f t="shared" si="6"/>
        <v>3.3046483144805022E-5</v>
      </c>
    </row>
    <row r="385" spans="1:9" x14ac:dyDescent="0.3">
      <c r="A385" s="5">
        <v>42198</v>
      </c>
      <c r="B385">
        <v>67.889999000000003</v>
      </c>
      <c r="C385">
        <v>68.139999000000003</v>
      </c>
      <c r="D385">
        <v>67.680000000000007</v>
      </c>
      <c r="E385">
        <v>68.089995999999999</v>
      </c>
      <c r="F385">
        <v>53.600310999999998</v>
      </c>
      <c r="G385">
        <v>16175600</v>
      </c>
      <c r="I385">
        <f t="shared" si="6"/>
        <v>2.1409039357010392E-5</v>
      </c>
    </row>
    <row r="386" spans="1:9" x14ac:dyDescent="0.3">
      <c r="A386" s="5">
        <v>42199</v>
      </c>
      <c r="B386">
        <v>67.980002999999996</v>
      </c>
      <c r="C386">
        <v>69.099997999999999</v>
      </c>
      <c r="D386">
        <v>67.760002</v>
      </c>
      <c r="E386">
        <v>69.040001000000004</v>
      </c>
      <c r="F386">
        <v>54.348151999999999</v>
      </c>
      <c r="G386">
        <v>20185100</v>
      </c>
      <c r="I386">
        <f t="shared" si="6"/>
        <v>7.4856084597741562E-5</v>
      </c>
    </row>
    <row r="387" spans="1:9" x14ac:dyDescent="0.3">
      <c r="A387" s="5">
        <v>42200</v>
      </c>
      <c r="B387">
        <v>69.230002999999996</v>
      </c>
      <c r="C387">
        <v>69.430000000000007</v>
      </c>
      <c r="D387">
        <v>68.849997999999999</v>
      </c>
      <c r="E387">
        <v>69.190002000000007</v>
      </c>
      <c r="F387">
        <v>54.466220999999997</v>
      </c>
      <c r="G387">
        <v>16891600</v>
      </c>
      <c r="I387">
        <f t="shared" si="6"/>
        <v>3.7103205668434913E-5</v>
      </c>
    </row>
    <row r="388" spans="1:9" x14ac:dyDescent="0.3">
      <c r="A388" s="5">
        <v>42201</v>
      </c>
      <c r="B388">
        <v>69.629997000000003</v>
      </c>
      <c r="C388">
        <v>69.949996999999996</v>
      </c>
      <c r="D388">
        <v>69.410004000000001</v>
      </c>
      <c r="E388">
        <v>69.559997999999993</v>
      </c>
      <c r="F388">
        <v>54.757491999999999</v>
      </c>
      <c r="G388">
        <v>18035700</v>
      </c>
      <c r="I388">
        <f t="shared" si="6"/>
        <v>3.2466770002889226E-5</v>
      </c>
    </row>
    <row r="389" spans="1:9" x14ac:dyDescent="0.3">
      <c r="A389" s="5">
        <v>42202</v>
      </c>
      <c r="B389">
        <v>69.349997999999999</v>
      </c>
      <c r="C389">
        <v>69.489998</v>
      </c>
      <c r="D389">
        <v>68.919998000000007</v>
      </c>
      <c r="E389">
        <v>69.209998999999996</v>
      </c>
      <c r="F389">
        <v>54.481976000000003</v>
      </c>
      <c r="G389">
        <v>14040700</v>
      </c>
      <c r="I389">
        <f t="shared" si="6"/>
        <v>3.4258876193531476E-5</v>
      </c>
    </row>
    <row r="390" spans="1:9" x14ac:dyDescent="0.3">
      <c r="A390" s="5">
        <v>42205</v>
      </c>
      <c r="B390">
        <v>69.5</v>
      </c>
      <c r="C390">
        <v>69.769997000000004</v>
      </c>
      <c r="D390">
        <v>69.180000000000007</v>
      </c>
      <c r="E390">
        <v>69.260002</v>
      </c>
      <c r="F390">
        <v>54.521335999999998</v>
      </c>
      <c r="G390">
        <v>11512900</v>
      </c>
      <c r="I390">
        <f t="shared" si="6"/>
        <v>3.3779796756578652E-5</v>
      </c>
    </row>
    <row r="391" spans="1:9" x14ac:dyDescent="0.3">
      <c r="A391" s="5">
        <v>42206</v>
      </c>
      <c r="B391">
        <v>69.160004000000001</v>
      </c>
      <c r="C391">
        <v>69.540001000000004</v>
      </c>
      <c r="D391">
        <v>68.870002999999997</v>
      </c>
      <c r="E391">
        <v>69.099997999999999</v>
      </c>
      <c r="F391">
        <v>54.395386000000002</v>
      </c>
      <c r="G391">
        <v>11659900</v>
      </c>
      <c r="I391">
        <f t="shared" si="6"/>
        <v>4.8789738592828089E-5</v>
      </c>
    </row>
    <row r="392" spans="1:9" x14ac:dyDescent="0.3">
      <c r="A392" s="5">
        <v>42207</v>
      </c>
      <c r="B392">
        <v>69.279999000000004</v>
      </c>
      <c r="C392">
        <v>70.290001000000004</v>
      </c>
      <c r="D392">
        <v>69.199996999999996</v>
      </c>
      <c r="E392">
        <v>70.080001999999993</v>
      </c>
      <c r="F392">
        <v>55.166831999999999</v>
      </c>
      <c r="G392">
        <v>15493000</v>
      </c>
      <c r="I392">
        <f t="shared" si="6"/>
        <v>5.7906070046707988E-5</v>
      </c>
    </row>
    <row r="393" spans="1:9" x14ac:dyDescent="0.3">
      <c r="A393" s="5">
        <v>42208</v>
      </c>
      <c r="B393">
        <v>70.190002000000007</v>
      </c>
      <c r="C393">
        <v>70.610000999999997</v>
      </c>
      <c r="D393">
        <v>69.459998999999996</v>
      </c>
      <c r="E393">
        <v>69.639999000000003</v>
      </c>
      <c r="F393">
        <v>54.820461000000002</v>
      </c>
      <c r="G393">
        <v>14331800</v>
      </c>
      <c r="I393">
        <f t="shared" si="6"/>
        <v>1.095824736458954E-4</v>
      </c>
    </row>
    <row r="394" spans="1:9" x14ac:dyDescent="0.3">
      <c r="A394" s="5">
        <v>42209</v>
      </c>
      <c r="B394">
        <v>69.440002000000007</v>
      </c>
      <c r="C394">
        <v>69.559997999999993</v>
      </c>
      <c r="D394">
        <v>68.680000000000007</v>
      </c>
      <c r="E394">
        <v>68.910004000000001</v>
      </c>
      <c r="F394">
        <v>54.245815</v>
      </c>
      <c r="G394">
        <v>12413900</v>
      </c>
      <c r="I394">
        <f t="shared" si="6"/>
        <v>5.3003002386495597E-5</v>
      </c>
    </row>
    <row r="395" spans="1:9" x14ac:dyDescent="0.3">
      <c r="A395" s="5">
        <v>42212</v>
      </c>
      <c r="B395">
        <v>68.150002000000001</v>
      </c>
      <c r="C395">
        <v>68.220000999999996</v>
      </c>
      <c r="D395">
        <v>67.569999999999993</v>
      </c>
      <c r="E395">
        <v>68.010002</v>
      </c>
      <c r="F395">
        <v>53.537334000000001</v>
      </c>
      <c r="G395">
        <v>16801600</v>
      </c>
      <c r="I395">
        <f t="shared" si="6"/>
        <v>5.8641498555380854E-5</v>
      </c>
    </row>
    <row r="396" spans="1:9" x14ac:dyDescent="0.3">
      <c r="A396" s="5">
        <v>42213</v>
      </c>
      <c r="B396">
        <v>68.550003000000004</v>
      </c>
      <c r="C396">
        <v>68.599997999999999</v>
      </c>
      <c r="D396">
        <v>67.769997000000004</v>
      </c>
      <c r="E396">
        <v>68.050003000000004</v>
      </c>
      <c r="F396">
        <v>53.568824999999997</v>
      </c>
      <c r="G396">
        <v>14932400</v>
      </c>
      <c r="I396">
        <f t="shared" ref="I396:I459" si="7">LN(C396/B396)*(LN(C396/B396)-LN(E396/B396))+LN(D396/B396)*(LN(D396/B396)-LN(E396/B396))</f>
        <v>5.3054069654589406E-5</v>
      </c>
    </row>
    <row r="397" spans="1:9" x14ac:dyDescent="0.3">
      <c r="A397" s="5">
        <v>42214</v>
      </c>
      <c r="B397">
        <v>68.319999999999993</v>
      </c>
      <c r="C397">
        <v>69.099997999999999</v>
      </c>
      <c r="D397">
        <v>68.160004000000001</v>
      </c>
      <c r="E397">
        <v>68.940002000000007</v>
      </c>
      <c r="F397">
        <v>54.269435999999999</v>
      </c>
      <c r="G397">
        <v>13059200</v>
      </c>
      <c r="I397">
        <f t="shared" si="7"/>
        <v>5.299403186881736E-5</v>
      </c>
    </row>
    <row r="398" spans="1:9" x14ac:dyDescent="0.3">
      <c r="A398" s="5">
        <v>42215</v>
      </c>
      <c r="B398">
        <v>68.930000000000007</v>
      </c>
      <c r="C398">
        <v>69.449996999999996</v>
      </c>
      <c r="D398">
        <v>68.540001000000004</v>
      </c>
      <c r="E398">
        <v>69.040001000000004</v>
      </c>
      <c r="F398">
        <v>54.348151999999999</v>
      </c>
      <c r="G398">
        <v>10197200</v>
      </c>
      <c r="I398">
        <f t="shared" si="7"/>
        <v>8.5740575218458832E-5</v>
      </c>
    </row>
    <row r="399" spans="1:9" x14ac:dyDescent="0.3">
      <c r="A399" s="5">
        <v>42216</v>
      </c>
      <c r="B399">
        <v>69.010002</v>
      </c>
      <c r="C399">
        <v>69.040001000000004</v>
      </c>
      <c r="D399">
        <v>68.400002000000001</v>
      </c>
      <c r="E399">
        <v>68.529999000000004</v>
      </c>
      <c r="F399">
        <v>53.946671000000002</v>
      </c>
      <c r="G399">
        <v>11911800</v>
      </c>
      <c r="I399">
        <f t="shared" si="7"/>
        <v>2.0080529072671406E-5</v>
      </c>
    </row>
    <row r="400" spans="1:9" x14ac:dyDescent="0.3">
      <c r="A400" s="5">
        <v>42219</v>
      </c>
      <c r="B400">
        <v>68.589995999999999</v>
      </c>
      <c r="C400">
        <v>68.839995999999999</v>
      </c>
      <c r="D400">
        <v>68</v>
      </c>
      <c r="E400">
        <v>68.529999000000004</v>
      </c>
      <c r="F400">
        <v>53.946671000000002</v>
      </c>
      <c r="G400">
        <v>9980600</v>
      </c>
      <c r="I400">
        <f t="shared" si="7"/>
        <v>8.3492576059750689E-5</v>
      </c>
    </row>
    <row r="401" spans="1:9" x14ac:dyDescent="0.3">
      <c r="A401" s="5">
        <v>42220</v>
      </c>
      <c r="B401">
        <v>68.470000999999996</v>
      </c>
      <c r="C401">
        <v>68.949996999999996</v>
      </c>
      <c r="D401">
        <v>68.309997999999993</v>
      </c>
      <c r="E401">
        <v>68.459998999999996</v>
      </c>
      <c r="F401">
        <v>53.891582</v>
      </c>
      <c r="G401">
        <v>10964000</v>
      </c>
      <c r="I401">
        <f t="shared" si="7"/>
        <v>5.4954493938931107E-5</v>
      </c>
    </row>
    <row r="402" spans="1:9" x14ac:dyDescent="0.3">
      <c r="A402" s="5">
        <v>42221</v>
      </c>
      <c r="B402">
        <v>69.050003000000004</v>
      </c>
      <c r="C402">
        <v>69.419998000000007</v>
      </c>
      <c r="D402">
        <v>68.559997999999993</v>
      </c>
      <c r="E402">
        <v>68.730002999999996</v>
      </c>
      <c r="F402">
        <v>54.104115</v>
      </c>
      <c r="G402">
        <v>11302900</v>
      </c>
      <c r="I402">
        <f t="shared" si="7"/>
        <v>7.1020047218575181E-5</v>
      </c>
    </row>
    <row r="403" spans="1:9" x14ac:dyDescent="0.3">
      <c r="A403" s="5">
        <v>42222</v>
      </c>
      <c r="B403">
        <v>68.75</v>
      </c>
      <c r="C403">
        <v>68.940002000000007</v>
      </c>
      <c r="D403">
        <v>68</v>
      </c>
      <c r="E403">
        <v>68.25</v>
      </c>
      <c r="F403">
        <v>53.726264999999998</v>
      </c>
      <c r="G403">
        <v>10803400</v>
      </c>
      <c r="I403">
        <f t="shared" si="7"/>
        <v>6.8015168823914191E-5</v>
      </c>
    </row>
    <row r="404" spans="1:9" x14ac:dyDescent="0.3">
      <c r="A404" s="5">
        <v>42223</v>
      </c>
      <c r="B404">
        <v>68.330001999999993</v>
      </c>
      <c r="C404">
        <v>68.739998</v>
      </c>
      <c r="D404">
        <v>67.550003000000004</v>
      </c>
      <c r="E404">
        <v>68.050003000000004</v>
      </c>
      <c r="F404">
        <v>53.568824999999997</v>
      </c>
      <c r="G404">
        <v>11453300</v>
      </c>
      <c r="I404">
        <f t="shared" si="7"/>
        <v>1.450195542884746E-4</v>
      </c>
    </row>
    <row r="405" spans="1:9" x14ac:dyDescent="0.3">
      <c r="A405" s="5">
        <v>42226</v>
      </c>
      <c r="B405">
        <v>68.220000999999996</v>
      </c>
      <c r="C405">
        <v>69.010002</v>
      </c>
      <c r="D405">
        <v>68.220000999999996</v>
      </c>
      <c r="E405">
        <v>68.889999000000003</v>
      </c>
      <c r="F405">
        <v>54.230072</v>
      </c>
      <c r="G405">
        <v>12661400</v>
      </c>
      <c r="I405">
        <f t="shared" si="7"/>
        <v>2.0038781080658279E-5</v>
      </c>
    </row>
    <row r="406" spans="1:9" x14ac:dyDescent="0.3">
      <c r="A406" s="5">
        <v>42227</v>
      </c>
      <c r="B406">
        <v>68.230002999999996</v>
      </c>
      <c r="C406">
        <v>68.400002000000001</v>
      </c>
      <c r="D406">
        <v>67.849997999999999</v>
      </c>
      <c r="E406">
        <v>68.230002999999996</v>
      </c>
      <c r="F406">
        <v>53.710521999999997</v>
      </c>
      <c r="G406">
        <v>14800300</v>
      </c>
      <c r="I406">
        <f t="shared" si="7"/>
        <v>3.7385077927043997E-5</v>
      </c>
    </row>
    <row r="407" spans="1:9" x14ac:dyDescent="0.3">
      <c r="A407" s="5">
        <v>42228</v>
      </c>
      <c r="B407">
        <v>67.410004000000001</v>
      </c>
      <c r="C407">
        <v>67.550003000000004</v>
      </c>
      <c r="D407">
        <v>66.069999999999993</v>
      </c>
      <c r="E407">
        <v>67.239998</v>
      </c>
      <c r="F407">
        <v>52.931187000000001</v>
      </c>
      <c r="G407">
        <v>21069000</v>
      </c>
      <c r="I407">
        <f t="shared" si="7"/>
        <v>3.6199355560351243E-4</v>
      </c>
    </row>
    <row r="408" spans="1:9" x14ac:dyDescent="0.3">
      <c r="A408" s="5">
        <v>42229</v>
      </c>
      <c r="B408">
        <v>67.25</v>
      </c>
      <c r="C408">
        <v>67.800003000000004</v>
      </c>
      <c r="D408">
        <v>66.970000999999996</v>
      </c>
      <c r="E408">
        <v>67.550003000000004</v>
      </c>
      <c r="F408">
        <v>53.175235999999998</v>
      </c>
      <c r="G408">
        <v>11930600</v>
      </c>
      <c r="I408">
        <f t="shared" si="7"/>
        <v>6.6068183028111769E-5</v>
      </c>
    </row>
    <row r="409" spans="1:9" x14ac:dyDescent="0.3">
      <c r="A409" s="5">
        <v>42230</v>
      </c>
      <c r="B409">
        <v>67.419998000000007</v>
      </c>
      <c r="C409">
        <v>67.910004000000001</v>
      </c>
      <c r="D409">
        <v>67.400002000000001</v>
      </c>
      <c r="E409">
        <v>67.889999000000003</v>
      </c>
      <c r="F409">
        <v>53.442863000000003</v>
      </c>
      <c r="G409">
        <v>11248800</v>
      </c>
      <c r="I409">
        <f t="shared" si="7"/>
        <v>4.2822883579774113E-6</v>
      </c>
    </row>
    <row r="410" spans="1:9" x14ac:dyDescent="0.3">
      <c r="A410" s="5">
        <v>42233</v>
      </c>
      <c r="B410">
        <v>67.620002999999997</v>
      </c>
      <c r="C410">
        <v>68.239998</v>
      </c>
      <c r="D410">
        <v>67.400002000000001</v>
      </c>
      <c r="E410">
        <v>68.069999999999993</v>
      </c>
      <c r="F410">
        <v>53.584567999999997</v>
      </c>
      <c r="G410">
        <v>10326500</v>
      </c>
      <c r="I410">
        <f t="shared" si="7"/>
        <v>5.4999923803643947E-5</v>
      </c>
    </row>
    <row r="411" spans="1:9" x14ac:dyDescent="0.3">
      <c r="A411" s="5">
        <v>42234</v>
      </c>
      <c r="B411">
        <v>67.980002999999996</v>
      </c>
      <c r="C411">
        <v>68.360000999999997</v>
      </c>
      <c r="D411">
        <v>67.839995999999999</v>
      </c>
      <c r="E411">
        <v>68.209998999999996</v>
      </c>
      <c r="F411">
        <v>53.694771000000003</v>
      </c>
      <c r="G411">
        <v>10617500</v>
      </c>
      <c r="I411">
        <f t="shared" si="7"/>
        <v>2.3458893173908652E-5</v>
      </c>
    </row>
    <row r="412" spans="1:9" x14ac:dyDescent="0.3">
      <c r="A412" s="5">
        <v>42235</v>
      </c>
      <c r="B412">
        <v>67.930000000000007</v>
      </c>
      <c r="C412">
        <v>68.309997999999993</v>
      </c>
      <c r="D412">
        <v>67.360000999999997</v>
      </c>
      <c r="E412">
        <v>67.599997999999999</v>
      </c>
      <c r="F412">
        <v>53.214576999999998</v>
      </c>
      <c r="G412">
        <v>15198200</v>
      </c>
      <c r="I412">
        <f t="shared" si="7"/>
        <v>8.8252906395113324E-5</v>
      </c>
    </row>
    <row r="413" spans="1:9" x14ac:dyDescent="0.3">
      <c r="A413" s="5">
        <v>42236</v>
      </c>
      <c r="B413">
        <v>66.809997999999993</v>
      </c>
      <c r="C413">
        <v>67.040001000000004</v>
      </c>
      <c r="D413">
        <v>65.940002000000007</v>
      </c>
      <c r="E413">
        <v>65.940002000000007</v>
      </c>
      <c r="F413">
        <v>51.907829</v>
      </c>
      <c r="G413">
        <v>20972300</v>
      </c>
      <c r="I413">
        <f t="shared" si="7"/>
        <v>5.6857977184382837E-5</v>
      </c>
    </row>
    <row r="414" spans="1:9" x14ac:dyDescent="0.3">
      <c r="A414" s="5">
        <v>42237</v>
      </c>
      <c r="B414">
        <v>65.089995999999999</v>
      </c>
      <c r="C414">
        <v>65.440002000000007</v>
      </c>
      <c r="D414">
        <v>63.57</v>
      </c>
      <c r="E414">
        <v>63.599997999999999</v>
      </c>
      <c r="F414">
        <v>50.065787999999998</v>
      </c>
      <c r="G414">
        <v>28235500</v>
      </c>
      <c r="I414">
        <f t="shared" si="7"/>
        <v>1.6409793465542785E-4</v>
      </c>
    </row>
    <row r="415" spans="1:9" x14ac:dyDescent="0.3">
      <c r="A415" s="5">
        <v>42240</v>
      </c>
      <c r="B415">
        <v>59.290000999999997</v>
      </c>
      <c r="C415">
        <v>62.919998</v>
      </c>
      <c r="D415">
        <v>50.07</v>
      </c>
      <c r="E415">
        <v>60.25</v>
      </c>
      <c r="F415">
        <v>47.428673000000003</v>
      </c>
      <c r="G415">
        <v>36339100</v>
      </c>
      <c r="I415">
        <f t="shared" si="7"/>
        <v>3.3858748700048742E-2</v>
      </c>
    </row>
    <row r="416" spans="1:9" x14ac:dyDescent="0.3">
      <c r="A416" s="5">
        <v>42241</v>
      </c>
      <c r="B416">
        <v>63.099997999999999</v>
      </c>
      <c r="C416">
        <v>63.32</v>
      </c>
      <c r="D416">
        <v>59.73</v>
      </c>
      <c r="E416">
        <v>59.91</v>
      </c>
      <c r="F416">
        <v>47.161034000000001</v>
      </c>
      <c r="G416">
        <v>31772500</v>
      </c>
      <c r="I416">
        <f t="shared" si="7"/>
        <v>3.5782724329431011E-4</v>
      </c>
    </row>
    <row r="417" spans="1:9" x14ac:dyDescent="0.3">
      <c r="A417" s="5">
        <v>42242</v>
      </c>
      <c r="B417">
        <v>61.799999</v>
      </c>
      <c r="C417">
        <v>62.98</v>
      </c>
      <c r="D417">
        <v>60.549999</v>
      </c>
      <c r="E417">
        <v>62.91</v>
      </c>
      <c r="F417">
        <v>49.522621000000001</v>
      </c>
      <c r="G417">
        <v>33576800</v>
      </c>
      <c r="I417">
        <f t="shared" si="7"/>
        <v>8.0233763787277779E-4</v>
      </c>
    </row>
    <row r="418" spans="1:9" x14ac:dyDescent="0.3">
      <c r="A418" s="5">
        <v>42243</v>
      </c>
      <c r="B418">
        <v>63.98</v>
      </c>
      <c r="C418">
        <v>64.730002999999996</v>
      </c>
      <c r="D418">
        <v>63.139999000000003</v>
      </c>
      <c r="E418">
        <v>64.480002999999996</v>
      </c>
      <c r="F418">
        <v>50.758526000000003</v>
      </c>
      <c r="G418">
        <v>29045700</v>
      </c>
      <c r="I418">
        <f t="shared" si="7"/>
        <v>3.2264464816188931E-4</v>
      </c>
    </row>
    <row r="419" spans="1:9" x14ac:dyDescent="0.3">
      <c r="A419" s="5">
        <v>42244</v>
      </c>
      <c r="B419">
        <v>64.290001000000004</v>
      </c>
      <c r="C419">
        <v>64.459998999999996</v>
      </c>
      <c r="D419">
        <v>63.599997999999999</v>
      </c>
      <c r="E419">
        <v>64.129997000000003</v>
      </c>
      <c r="F419">
        <v>50.482993999999998</v>
      </c>
      <c r="G419">
        <v>16687300</v>
      </c>
      <c r="I419">
        <f t="shared" si="7"/>
        <v>1.0310350700562504E-4</v>
      </c>
    </row>
    <row r="420" spans="1:9" x14ac:dyDescent="0.3">
      <c r="A420" s="5">
        <v>42247</v>
      </c>
      <c r="B420">
        <v>63.610000999999997</v>
      </c>
      <c r="C420">
        <v>64.349997999999999</v>
      </c>
      <c r="D420">
        <v>63.470001000000003</v>
      </c>
      <c r="E420">
        <v>64.099997999999999</v>
      </c>
      <c r="F420">
        <v>50.459381</v>
      </c>
      <c r="G420">
        <v>14223400</v>
      </c>
      <c r="I420">
        <f t="shared" si="7"/>
        <v>6.6784515241073185E-5</v>
      </c>
    </row>
    <row r="421" spans="1:9" x14ac:dyDescent="0.3">
      <c r="A421" s="5">
        <v>42248</v>
      </c>
      <c r="B421">
        <v>62.849997999999999</v>
      </c>
      <c r="C421">
        <v>62.849997999999999</v>
      </c>
      <c r="D421">
        <v>60.990001999999997</v>
      </c>
      <c r="E421">
        <v>61.450001</v>
      </c>
      <c r="F421">
        <v>48.373322000000002</v>
      </c>
      <c r="G421">
        <v>23637300</v>
      </c>
      <c r="I421">
        <f t="shared" si="7"/>
        <v>2.2572482079069678E-4</v>
      </c>
    </row>
    <row r="422" spans="1:9" x14ac:dyDescent="0.3">
      <c r="A422" s="5">
        <v>42249</v>
      </c>
      <c r="B422">
        <v>62.619999</v>
      </c>
      <c r="C422">
        <v>62.91</v>
      </c>
      <c r="D422">
        <v>61.540000999999997</v>
      </c>
      <c r="E422">
        <v>62.57</v>
      </c>
      <c r="F422">
        <v>49.254978000000001</v>
      </c>
      <c r="G422">
        <v>17757900</v>
      </c>
      <c r="I422">
        <f t="shared" si="7"/>
        <v>3.1380914658674444E-4</v>
      </c>
    </row>
    <row r="423" spans="1:9" x14ac:dyDescent="0.3">
      <c r="A423" s="5">
        <v>42250</v>
      </c>
      <c r="B423">
        <v>62.880001</v>
      </c>
      <c r="C423">
        <v>63.66</v>
      </c>
      <c r="D423">
        <v>62.450001</v>
      </c>
      <c r="E423">
        <v>62.68</v>
      </c>
      <c r="F423">
        <v>49.341579000000003</v>
      </c>
      <c r="G423">
        <v>17065400</v>
      </c>
      <c r="I423">
        <f t="shared" si="7"/>
        <v>2.1648616380213212E-4</v>
      </c>
    </row>
    <row r="424" spans="1:9" x14ac:dyDescent="0.3">
      <c r="A424" s="5">
        <v>42251</v>
      </c>
      <c r="B424">
        <v>61.799999</v>
      </c>
      <c r="C424">
        <v>61.919998</v>
      </c>
      <c r="D424">
        <v>60.75</v>
      </c>
      <c r="E424">
        <v>61.5</v>
      </c>
      <c r="F424">
        <v>48.412678</v>
      </c>
      <c r="G424">
        <v>20189000</v>
      </c>
      <c r="I424">
        <f t="shared" si="7"/>
        <v>2.2346622450826689E-4</v>
      </c>
    </row>
    <row r="425" spans="1:9" x14ac:dyDescent="0.3">
      <c r="A425" s="5">
        <v>42255</v>
      </c>
      <c r="B425">
        <v>62.77</v>
      </c>
      <c r="C425">
        <v>63.200001</v>
      </c>
      <c r="D425">
        <v>62.330002</v>
      </c>
      <c r="E425">
        <v>63.16</v>
      </c>
      <c r="F425">
        <v>49.719414</v>
      </c>
      <c r="G425">
        <v>13385100</v>
      </c>
      <c r="I425">
        <f t="shared" si="7"/>
        <v>9.7375197569292247E-5</v>
      </c>
    </row>
    <row r="426" spans="1:9" x14ac:dyDescent="0.3">
      <c r="A426" s="5">
        <v>42256</v>
      </c>
      <c r="B426">
        <v>63.939999</v>
      </c>
      <c r="C426">
        <v>64.339995999999999</v>
      </c>
      <c r="D426">
        <v>62</v>
      </c>
      <c r="E426">
        <v>62.18</v>
      </c>
      <c r="F426">
        <v>48.947971000000003</v>
      </c>
      <c r="G426">
        <v>13889500</v>
      </c>
      <c r="I426">
        <f t="shared" si="7"/>
        <v>3.022795434657156E-4</v>
      </c>
    </row>
    <row r="427" spans="1:9" x14ac:dyDescent="0.3">
      <c r="A427" s="5">
        <v>42257</v>
      </c>
      <c r="B427">
        <v>61.860000999999997</v>
      </c>
      <c r="C427">
        <v>63</v>
      </c>
      <c r="D427">
        <v>61.450001</v>
      </c>
      <c r="E427">
        <v>62.66</v>
      </c>
      <c r="F427">
        <v>49.325825000000002</v>
      </c>
      <c r="G427">
        <v>15751100</v>
      </c>
      <c r="I427">
        <f t="shared" si="7"/>
        <v>2.2848790130940177E-4</v>
      </c>
    </row>
    <row r="428" spans="1:9" x14ac:dyDescent="0.3">
      <c r="A428" s="5">
        <v>42258</v>
      </c>
      <c r="B428">
        <v>62.380001</v>
      </c>
      <c r="C428">
        <v>62.66</v>
      </c>
      <c r="D428">
        <v>61.990001999999997</v>
      </c>
      <c r="E428">
        <v>62.560001</v>
      </c>
      <c r="F428">
        <v>49.247112000000001</v>
      </c>
      <c r="G428">
        <v>12766700</v>
      </c>
      <c r="I428">
        <f t="shared" si="7"/>
        <v>6.4557098687115336E-5</v>
      </c>
    </row>
    <row r="429" spans="1:9" x14ac:dyDescent="0.3">
      <c r="A429" s="5">
        <v>42261</v>
      </c>
      <c r="B429">
        <v>62.639999000000003</v>
      </c>
      <c r="C429">
        <v>62.689999</v>
      </c>
      <c r="D429">
        <v>62.119999</v>
      </c>
      <c r="E429">
        <v>62.380001</v>
      </c>
      <c r="F429">
        <v>49.105415000000001</v>
      </c>
      <c r="G429">
        <v>10202800</v>
      </c>
      <c r="I429">
        <f t="shared" si="7"/>
        <v>3.8772890085120003E-5</v>
      </c>
    </row>
    <row r="430" spans="1:9" x14ac:dyDescent="0.3">
      <c r="A430" s="5">
        <v>42262</v>
      </c>
      <c r="B430">
        <v>62.759998000000003</v>
      </c>
      <c r="C430">
        <v>63.889999000000003</v>
      </c>
      <c r="D430">
        <v>62.509998000000003</v>
      </c>
      <c r="E430">
        <v>63.580002</v>
      </c>
      <c r="F430">
        <v>50.050049000000001</v>
      </c>
      <c r="G430">
        <v>14023500</v>
      </c>
      <c r="I430">
        <f t="shared" si="7"/>
        <v>1.5453882788572139E-4</v>
      </c>
    </row>
    <row r="431" spans="1:9" x14ac:dyDescent="0.3">
      <c r="A431" s="5">
        <v>42263</v>
      </c>
      <c r="B431">
        <v>63.889999000000003</v>
      </c>
      <c r="C431">
        <v>64.290001000000004</v>
      </c>
      <c r="D431">
        <v>63.209999000000003</v>
      </c>
      <c r="E431">
        <v>64.139999000000003</v>
      </c>
      <c r="F431">
        <v>50.490882999999997</v>
      </c>
      <c r="G431">
        <v>12235900</v>
      </c>
      <c r="I431">
        <f t="shared" si="7"/>
        <v>1.7086490812232277E-4</v>
      </c>
    </row>
    <row r="432" spans="1:9" x14ac:dyDescent="0.3">
      <c r="A432" s="5">
        <v>42264</v>
      </c>
      <c r="B432">
        <v>64.139999000000003</v>
      </c>
      <c r="C432">
        <v>64.639999000000003</v>
      </c>
      <c r="D432">
        <v>62.389999000000003</v>
      </c>
      <c r="E432">
        <v>62.650002000000001</v>
      </c>
      <c r="F432">
        <v>49.317954999999998</v>
      </c>
      <c r="G432">
        <v>21249200</v>
      </c>
      <c r="I432">
        <f t="shared" si="7"/>
        <v>3.5785953252926713E-4</v>
      </c>
    </row>
    <row r="433" spans="1:9" x14ac:dyDescent="0.3">
      <c r="A433" s="5">
        <v>42265</v>
      </c>
      <c r="B433">
        <v>61.830002</v>
      </c>
      <c r="C433">
        <v>61.830002</v>
      </c>
      <c r="D433">
        <v>60.779998999999997</v>
      </c>
      <c r="E433">
        <v>60.939999</v>
      </c>
      <c r="F433">
        <v>47.971843999999997</v>
      </c>
      <c r="G433">
        <v>31008000</v>
      </c>
      <c r="I433">
        <f t="shared" si="7"/>
        <v>4.5029129222158322E-5</v>
      </c>
    </row>
    <row r="434" spans="1:9" x14ac:dyDescent="0.3">
      <c r="A434" s="5">
        <v>42268</v>
      </c>
      <c r="B434">
        <v>61.52</v>
      </c>
      <c r="C434">
        <v>61.91</v>
      </c>
      <c r="D434">
        <v>61.080002</v>
      </c>
      <c r="E434">
        <v>61.450001</v>
      </c>
      <c r="F434">
        <v>48.373322000000002</v>
      </c>
      <c r="G434">
        <v>13136400</v>
      </c>
      <c r="I434">
        <f t="shared" si="7"/>
        <v>9.0478418399684999E-5</v>
      </c>
    </row>
    <row r="435" spans="1:9" x14ac:dyDescent="0.3">
      <c r="A435" s="5">
        <v>42269</v>
      </c>
      <c r="B435">
        <v>60.599997999999999</v>
      </c>
      <c r="C435">
        <v>61.09</v>
      </c>
      <c r="D435">
        <v>60.419998</v>
      </c>
      <c r="E435">
        <v>60.91</v>
      </c>
      <c r="F435">
        <v>47.948227000000003</v>
      </c>
      <c r="G435">
        <v>14811900</v>
      </c>
      <c r="I435">
        <f t="shared" si="7"/>
        <v>4.7791383078378139E-5</v>
      </c>
    </row>
    <row r="436" spans="1:9" x14ac:dyDescent="0.3">
      <c r="A436" s="5">
        <v>42270</v>
      </c>
      <c r="B436">
        <v>60.799999</v>
      </c>
      <c r="C436">
        <v>61.150002000000001</v>
      </c>
      <c r="D436">
        <v>60.32</v>
      </c>
      <c r="E436">
        <v>60.639999000000003</v>
      </c>
      <c r="F436">
        <v>47.735675999999998</v>
      </c>
      <c r="G436">
        <v>11712200</v>
      </c>
      <c r="I436">
        <f t="shared" si="7"/>
        <v>9.0011233584655689E-5</v>
      </c>
    </row>
    <row r="437" spans="1:9" x14ac:dyDescent="0.3">
      <c r="A437" s="5">
        <v>42271</v>
      </c>
      <c r="B437">
        <v>60.009998000000003</v>
      </c>
      <c r="C437">
        <v>60.380001</v>
      </c>
      <c r="D437">
        <v>59.459999000000003</v>
      </c>
      <c r="E437">
        <v>60.220001000000003</v>
      </c>
      <c r="F437">
        <v>47.405064000000003</v>
      </c>
      <c r="G437">
        <v>17293400</v>
      </c>
      <c r="I437">
        <f t="shared" si="7"/>
        <v>1.3325035914134347E-4</v>
      </c>
    </row>
    <row r="438" spans="1:9" x14ac:dyDescent="0.3">
      <c r="A438" s="5">
        <v>42272</v>
      </c>
      <c r="B438">
        <v>61.27</v>
      </c>
      <c r="C438">
        <v>61.860000999999997</v>
      </c>
      <c r="D438">
        <v>60.869999</v>
      </c>
      <c r="E438">
        <v>61.470001000000003</v>
      </c>
      <c r="F438">
        <v>48.389057000000001</v>
      </c>
      <c r="G438">
        <v>18384300</v>
      </c>
      <c r="I438">
        <f t="shared" si="7"/>
        <v>1.2485766225493449E-4</v>
      </c>
    </row>
    <row r="439" spans="1:9" x14ac:dyDescent="0.3">
      <c r="A439" s="5">
        <v>42275</v>
      </c>
      <c r="B439">
        <v>60.919998</v>
      </c>
      <c r="C439">
        <v>61.009998000000003</v>
      </c>
      <c r="D439">
        <v>59.689999</v>
      </c>
      <c r="E439">
        <v>59.98</v>
      </c>
      <c r="F439">
        <v>47.216132999999999</v>
      </c>
      <c r="G439">
        <v>17452200</v>
      </c>
      <c r="I439">
        <f t="shared" si="7"/>
        <v>1.2399354999419564E-4</v>
      </c>
    </row>
    <row r="440" spans="1:9" x14ac:dyDescent="0.3">
      <c r="A440" s="5">
        <v>42276</v>
      </c>
      <c r="B440">
        <v>59.98</v>
      </c>
      <c r="C440">
        <v>60.130001</v>
      </c>
      <c r="D440">
        <v>58.73</v>
      </c>
      <c r="E440">
        <v>59.84</v>
      </c>
      <c r="F440">
        <v>47.105922999999997</v>
      </c>
      <c r="G440">
        <v>19334900</v>
      </c>
      <c r="I440">
        <f t="shared" si="7"/>
        <v>4.0640523699124708E-4</v>
      </c>
    </row>
    <row r="441" spans="1:9" x14ac:dyDescent="0.3">
      <c r="A441" s="5">
        <v>42277</v>
      </c>
      <c r="B441">
        <v>60.700001</v>
      </c>
      <c r="C441">
        <v>61</v>
      </c>
      <c r="D441">
        <v>60.110000999999997</v>
      </c>
      <c r="E441">
        <v>60.970001000000003</v>
      </c>
      <c r="F441">
        <v>47.995463999999998</v>
      </c>
      <c r="G441">
        <v>18743800</v>
      </c>
      <c r="I441">
        <f t="shared" si="7"/>
        <v>1.4117930314261576E-4</v>
      </c>
    </row>
    <row r="442" spans="1:9" x14ac:dyDescent="0.3">
      <c r="A442" s="5">
        <v>42278</v>
      </c>
      <c r="B442">
        <v>61.119999</v>
      </c>
      <c r="C442">
        <v>61.869999</v>
      </c>
      <c r="D442">
        <v>60.540000999999997</v>
      </c>
      <c r="E442">
        <v>61.419998</v>
      </c>
      <c r="F442">
        <v>48.349701000000003</v>
      </c>
      <c r="G442">
        <v>16863200</v>
      </c>
      <c r="I442">
        <f t="shared" si="7"/>
        <v>2.266300149999741E-4</v>
      </c>
    </row>
    <row r="443" spans="1:9" x14ac:dyDescent="0.3">
      <c r="A443" s="5">
        <v>42279</v>
      </c>
      <c r="B443">
        <v>59.59</v>
      </c>
      <c r="C443">
        <v>60.860000999999997</v>
      </c>
      <c r="D443">
        <v>58.529998999999997</v>
      </c>
      <c r="E443">
        <v>60.810001</v>
      </c>
      <c r="F443">
        <v>48.214905000000002</v>
      </c>
      <c r="G443">
        <v>20435100</v>
      </c>
      <c r="I443">
        <f t="shared" si="7"/>
        <v>7.032257021959646E-4</v>
      </c>
    </row>
    <row r="444" spans="1:9" x14ac:dyDescent="0.3">
      <c r="A444" s="5">
        <v>42282</v>
      </c>
      <c r="B444">
        <v>61.240001999999997</v>
      </c>
      <c r="C444">
        <v>62.240001999999997</v>
      </c>
      <c r="D444">
        <v>61.220001000000003</v>
      </c>
      <c r="E444">
        <v>62.02</v>
      </c>
      <c r="F444">
        <v>49.174294000000003</v>
      </c>
      <c r="G444">
        <v>13471100</v>
      </c>
      <c r="I444">
        <f t="shared" si="7"/>
        <v>6.1595574391224236E-5</v>
      </c>
    </row>
    <row r="445" spans="1:9" x14ac:dyDescent="0.3">
      <c r="A445" s="5">
        <v>42283</v>
      </c>
      <c r="B445">
        <v>62.110000999999997</v>
      </c>
      <c r="C445">
        <v>62.360000999999997</v>
      </c>
      <c r="D445">
        <v>61.619999</v>
      </c>
      <c r="E445">
        <v>62.049999</v>
      </c>
      <c r="F445">
        <v>49.198086000000004</v>
      </c>
      <c r="G445">
        <v>12134800</v>
      </c>
      <c r="I445">
        <f t="shared" si="7"/>
        <v>7.5098788812241347E-5</v>
      </c>
    </row>
    <row r="446" spans="1:9" x14ac:dyDescent="0.3">
      <c r="A446" s="5">
        <v>42284</v>
      </c>
      <c r="B446">
        <v>62.549999</v>
      </c>
      <c r="C446">
        <v>63.029998999999997</v>
      </c>
      <c r="D446">
        <v>61.759998000000003</v>
      </c>
      <c r="E446">
        <v>62.130001</v>
      </c>
      <c r="F446">
        <v>49.261501000000003</v>
      </c>
      <c r="G446">
        <v>12773100</v>
      </c>
      <c r="I446">
        <f t="shared" si="7"/>
        <v>1.8586295121655126E-4</v>
      </c>
    </row>
    <row r="447" spans="1:9" x14ac:dyDescent="0.3">
      <c r="A447" s="5">
        <v>42285</v>
      </c>
      <c r="B447">
        <v>61.849997999999999</v>
      </c>
      <c r="C447">
        <v>62.25</v>
      </c>
      <c r="D447">
        <v>61.43</v>
      </c>
      <c r="E447">
        <v>62.130001</v>
      </c>
      <c r="F447">
        <v>49.261501000000003</v>
      </c>
      <c r="G447">
        <v>13964600</v>
      </c>
      <c r="I447">
        <f t="shared" si="7"/>
        <v>8.9643150947454062E-5</v>
      </c>
    </row>
    <row r="448" spans="1:9" x14ac:dyDescent="0.3">
      <c r="A448" s="5">
        <v>42286</v>
      </c>
      <c r="B448">
        <v>62.389999000000003</v>
      </c>
      <c r="C448">
        <v>62.549999</v>
      </c>
      <c r="D448">
        <v>61.580002</v>
      </c>
      <c r="E448">
        <v>61.93</v>
      </c>
      <c r="F448">
        <v>49.102939999999997</v>
      </c>
      <c r="G448">
        <v>12112000</v>
      </c>
      <c r="I448">
        <f t="shared" si="7"/>
        <v>9.9576080816347819E-5</v>
      </c>
    </row>
    <row r="449" spans="1:9" x14ac:dyDescent="0.3">
      <c r="A449" s="5">
        <v>42289</v>
      </c>
      <c r="B449">
        <v>61.84</v>
      </c>
      <c r="C449">
        <v>62.009998000000003</v>
      </c>
      <c r="D449">
        <v>61.400002000000001</v>
      </c>
      <c r="E449">
        <v>61.720001000000003</v>
      </c>
      <c r="F449">
        <v>48.936436</v>
      </c>
      <c r="G449">
        <v>10857400</v>
      </c>
      <c r="I449">
        <f t="shared" si="7"/>
        <v>4.998624882390368E-5</v>
      </c>
    </row>
    <row r="450" spans="1:9" x14ac:dyDescent="0.3">
      <c r="A450" s="5">
        <v>42290</v>
      </c>
      <c r="B450">
        <v>61.389999000000003</v>
      </c>
      <c r="C450">
        <v>62.16</v>
      </c>
      <c r="D450">
        <v>61.310001</v>
      </c>
      <c r="E450">
        <v>61.549999</v>
      </c>
      <c r="F450">
        <v>48.801642999999999</v>
      </c>
      <c r="G450">
        <v>15621900</v>
      </c>
      <c r="I450">
        <f t="shared" si="7"/>
        <v>1.2802029790699739E-4</v>
      </c>
    </row>
    <row r="451" spans="1:9" x14ac:dyDescent="0.3">
      <c r="A451" s="5">
        <v>42291</v>
      </c>
      <c r="B451">
        <v>60.759998000000003</v>
      </c>
      <c r="C451">
        <v>60.970001000000003</v>
      </c>
      <c r="D451">
        <v>59.540000999999997</v>
      </c>
      <c r="E451">
        <v>59.990001999999997</v>
      </c>
      <c r="F451">
        <v>47.564751000000001</v>
      </c>
      <c r="G451">
        <v>28989400</v>
      </c>
      <c r="I451">
        <f t="shared" si="7"/>
        <v>2.0863275450402256E-4</v>
      </c>
    </row>
    <row r="452" spans="1:9" x14ac:dyDescent="0.3">
      <c r="A452" s="5">
        <v>42292</v>
      </c>
      <c r="B452">
        <v>60.470001000000003</v>
      </c>
      <c r="C452">
        <v>61.959999000000003</v>
      </c>
      <c r="D452">
        <v>60.099997999999999</v>
      </c>
      <c r="E452">
        <v>61.889999000000003</v>
      </c>
      <c r="F452">
        <v>49.071201000000002</v>
      </c>
      <c r="G452">
        <v>18147900</v>
      </c>
      <c r="I452">
        <f t="shared" si="7"/>
        <v>2.0764637965455979E-4</v>
      </c>
    </row>
    <row r="453" spans="1:9" x14ac:dyDescent="0.3">
      <c r="A453" s="5">
        <v>42293</v>
      </c>
      <c r="B453">
        <v>62.43</v>
      </c>
      <c r="C453">
        <v>62.650002000000001</v>
      </c>
      <c r="D453">
        <v>62.09</v>
      </c>
      <c r="E453">
        <v>62.43</v>
      </c>
      <c r="F453">
        <v>49.499381999999997</v>
      </c>
      <c r="G453">
        <v>17456600</v>
      </c>
      <c r="I453">
        <f t="shared" si="7"/>
        <v>4.2197148557408274E-5</v>
      </c>
    </row>
    <row r="454" spans="1:9" x14ac:dyDescent="0.3">
      <c r="A454" s="5">
        <v>42296</v>
      </c>
      <c r="B454">
        <v>62</v>
      </c>
      <c r="C454">
        <v>62.77</v>
      </c>
      <c r="D454">
        <v>61.91</v>
      </c>
      <c r="E454">
        <v>62.220001000000003</v>
      </c>
      <c r="F454">
        <v>49.332863000000003</v>
      </c>
      <c r="G454">
        <v>14510400</v>
      </c>
      <c r="I454">
        <f t="shared" si="7"/>
        <v>1.1588219410810013E-4</v>
      </c>
    </row>
    <row r="455" spans="1:9" x14ac:dyDescent="0.3">
      <c r="A455" s="5">
        <v>42297</v>
      </c>
      <c r="B455">
        <v>62.360000999999997</v>
      </c>
      <c r="C455">
        <v>62.82</v>
      </c>
      <c r="D455">
        <v>62.080002</v>
      </c>
      <c r="E455">
        <v>62.52</v>
      </c>
      <c r="F455">
        <v>49.570732</v>
      </c>
      <c r="G455">
        <v>11545100</v>
      </c>
      <c r="I455">
        <f t="shared" si="7"/>
        <v>6.6964418949250676E-5</v>
      </c>
    </row>
    <row r="456" spans="1:9" x14ac:dyDescent="0.3">
      <c r="A456" s="5">
        <v>42298</v>
      </c>
      <c r="B456">
        <v>62.880001</v>
      </c>
      <c r="C456">
        <v>62.959999000000003</v>
      </c>
      <c r="D456">
        <v>62.049999</v>
      </c>
      <c r="E456">
        <v>62.060001</v>
      </c>
      <c r="F456">
        <v>49.206004999999998</v>
      </c>
      <c r="G456">
        <v>12113400</v>
      </c>
      <c r="I456">
        <f t="shared" si="7"/>
        <v>2.0447556240923862E-5</v>
      </c>
    </row>
    <row r="457" spans="1:9" x14ac:dyDescent="0.3">
      <c r="A457" s="5">
        <v>42299</v>
      </c>
      <c r="B457">
        <v>62.419998</v>
      </c>
      <c r="C457">
        <v>63.580002</v>
      </c>
      <c r="D457">
        <v>62.419998</v>
      </c>
      <c r="E457">
        <v>63.189999</v>
      </c>
      <c r="F457">
        <v>50.101954999999997</v>
      </c>
      <c r="G457">
        <v>15295700</v>
      </c>
      <c r="I457">
        <f t="shared" si="7"/>
        <v>1.1329585663506172E-4</v>
      </c>
    </row>
    <row r="458" spans="1:9" x14ac:dyDescent="0.3">
      <c r="A458" s="5">
        <v>42300</v>
      </c>
      <c r="B458">
        <v>63.630001</v>
      </c>
      <c r="C458">
        <v>64.190002000000007</v>
      </c>
      <c r="D458">
        <v>63.5</v>
      </c>
      <c r="E458">
        <v>63.869999</v>
      </c>
      <c r="F458">
        <v>50.641117000000001</v>
      </c>
      <c r="G458">
        <v>16985200</v>
      </c>
      <c r="I458">
        <f t="shared" si="7"/>
        <v>5.5674047428760561E-5</v>
      </c>
    </row>
    <row r="459" spans="1:9" x14ac:dyDescent="0.3">
      <c r="A459" s="5">
        <v>42303</v>
      </c>
      <c r="B459">
        <v>63.84</v>
      </c>
      <c r="C459">
        <v>63.990001999999997</v>
      </c>
      <c r="D459">
        <v>63.41</v>
      </c>
      <c r="E459">
        <v>63.900002000000001</v>
      </c>
      <c r="F459">
        <v>50.664898000000001</v>
      </c>
      <c r="G459">
        <v>13880200</v>
      </c>
      <c r="I459">
        <f t="shared" si="7"/>
        <v>5.5327889749034534E-5</v>
      </c>
    </row>
    <row r="460" spans="1:9" x14ac:dyDescent="0.3">
      <c r="A460" s="5">
        <v>42304</v>
      </c>
      <c r="B460">
        <v>63.529998999999997</v>
      </c>
      <c r="C460">
        <v>63.860000999999997</v>
      </c>
      <c r="D460">
        <v>63.310001</v>
      </c>
      <c r="E460">
        <v>63.639999000000003</v>
      </c>
      <c r="F460">
        <v>50.458759000000001</v>
      </c>
      <c r="G460">
        <v>8831900</v>
      </c>
      <c r="I460">
        <f t="shared" ref="I460:I523" si="8">LN(C460/B460)*(LN(C460/B460)-LN(E460/B460))+LN(D460/B460)*(LN(D460/B460)-LN(E460/B460))</f>
        <v>3.5914086028039878E-5</v>
      </c>
    </row>
    <row r="461" spans="1:9" x14ac:dyDescent="0.3">
      <c r="A461" s="5">
        <v>42305</v>
      </c>
      <c r="B461">
        <v>63.700001</v>
      </c>
      <c r="C461">
        <v>65.739998</v>
      </c>
      <c r="D461">
        <v>63.689999</v>
      </c>
      <c r="E461">
        <v>65.5</v>
      </c>
      <c r="F461">
        <v>51.933517000000002</v>
      </c>
      <c r="G461">
        <v>17962000</v>
      </c>
      <c r="I461">
        <f t="shared" si="8"/>
        <v>1.1969229658127502E-4</v>
      </c>
    </row>
    <row r="462" spans="1:9" x14ac:dyDescent="0.3">
      <c r="A462" s="5">
        <v>42306</v>
      </c>
      <c r="B462">
        <v>65.260002</v>
      </c>
      <c r="C462">
        <v>65.830001999999993</v>
      </c>
      <c r="D462">
        <v>64.879997000000003</v>
      </c>
      <c r="E462">
        <v>65.209998999999996</v>
      </c>
      <c r="F462">
        <v>51.703567999999997</v>
      </c>
      <c r="G462">
        <v>12753700</v>
      </c>
      <c r="I462">
        <f t="shared" si="8"/>
        <v>1.1192142037340671E-4</v>
      </c>
    </row>
    <row r="463" spans="1:9" x14ac:dyDescent="0.3">
      <c r="A463" s="5">
        <v>42307</v>
      </c>
      <c r="B463">
        <v>65.300003000000004</v>
      </c>
      <c r="C463">
        <v>65.339995999999999</v>
      </c>
      <c r="D463">
        <v>64.129997000000003</v>
      </c>
      <c r="E463">
        <v>64.25</v>
      </c>
      <c r="F463">
        <v>50.942397999999997</v>
      </c>
      <c r="G463">
        <v>15731400</v>
      </c>
      <c r="I463">
        <f t="shared" si="8"/>
        <v>4.4100107370065985E-5</v>
      </c>
    </row>
    <row r="464" spans="1:9" x14ac:dyDescent="0.3">
      <c r="A464" s="5">
        <v>42310</v>
      </c>
      <c r="B464">
        <v>64.449996999999996</v>
      </c>
      <c r="C464">
        <v>65.75</v>
      </c>
      <c r="D464">
        <v>64.389999000000003</v>
      </c>
      <c r="E464">
        <v>65.540001000000004</v>
      </c>
      <c r="F464">
        <v>51.965221</v>
      </c>
      <c r="G464">
        <v>15253300</v>
      </c>
      <c r="I464">
        <f t="shared" si="8"/>
        <v>8.0371430600161966E-5</v>
      </c>
    </row>
    <row r="465" spans="1:9" x14ac:dyDescent="0.3">
      <c r="A465" s="5">
        <v>42311</v>
      </c>
      <c r="B465">
        <v>65.290001000000004</v>
      </c>
      <c r="C465">
        <v>66.099997999999999</v>
      </c>
      <c r="D465">
        <v>65.169998000000007</v>
      </c>
      <c r="E465">
        <v>65.779999000000004</v>
      </c>
      <c r="F465">
        <v>52.155501999999998</v>
      </c>
      <c r="G465">
        <v>11519500</v>
      </c>
      <c r="I465">
        <f t="shared" si="8"/>
        <v>7.6974947147141355E-5</v>
      </c>
    </row>
    <row r="466" spans="1:9" x14ac:dyDescent="0.3">
      <c r="A466" s="5">
        <v>42312</v>
      </c>
      <c r="B466">
        <v>66.010002</v>
      </c>
      <c r="C466">
        <v>66.150002000000001</v>
      </c>
      <c r="D466">
        <v>65.629997000000003</v>
      </c>
      <c r="E466">
        <v>65.849997999999999</v>
      </c>
      <c r="F466">
        <v>52.211018000000003</v>
      </c>
      <c r="G466">
        <v>11388400</v>
      </c>
      <c r="I466">
        <f t="shared" si="8"/>
        <v>2.8951278272646961E-5</v>
      </c>
    </row>
    <row r="467" spans="1:9" x14ac:dyDescent="0.3">
      <c r="A467" s="5">
        <v>42313</v>
      </c>
      <c r="B467">
        <v>65.790001000000004</v>
      </c>
      <c r="C467">
        <v>66.669998000000007</v>
      </c>
      <c r="D467">
        <v>65.75</v>
      </c>
      <c r="E467">
        <v>66.440002000000007</v>
      </c>
      <c r="F467">
        <v>52.678809999999999</v>
      </c>
      <c r="G467">
        <v>12715900</v>
      </c>
      <c r="I467">
        <f t="shared" si="8"/>
        <v>5.2266273058381953E-5</v>
      </c>
    </row>
    <row r="468" spans="1:9" x14ac:dyDescent="0.3">
      <c r="A468" s="5">
        <v>42314</v>
      </c>
      <c r="B468">
        <v>68.370002999999997</v>
      </c>
      <c r="C468">
        <v>69.029999000000004</v>
      </c>
      <c r="D468">
        <v>68.099997999999999</v>
      </c>
      <c r="E468">
        <v>68.459998999999996</v>
      </c>
      <c r="F468">
        <v>54.280434</v>
      </c>
      <c r="G468">
        <v>23262700</v>
      </c>
      <c r="I468">
        <f t="shared" si="8"/>
        <v>1.0052001651939175E-4</v>
      </c>
    </row>
    <row r="469" spans="1:9" x14ac:dyDescent="0.3">
      <c r="A469" s="5">
        <v>42317</v>
      </c>
      <c r="B469">
        <v>68.699996999999996</v>
      </c>
      <c r="C469">
        <v>68.720000999999996</v>
      </c>
      <c r="D469">
        <v>67.080001999999993</v>
      </c>
      <c r="E469">
        <v>67.389999000000003</v>
      </c>
      <c r="F469">
        <v>53.432040999999998</v>
      </c>
      <c r="G469">
        <v>17143800</v>
      </c>
      <c r="I469">
        <f t="shared" si="8"/>
        <v>1.1571486517102026E-4</v>
      </c>
    </row>
    <row r="470" spans="1:9" x14ac:dyDescent="0.3">
      <c r="A470" s="5">
        <v>42318</v>
      </c>
      <c r="B470">
        <v>67.190002000000007</v>
      </c>
      <c r="C470">
        <v>67.849997999999999</v>
      </c>
      <c r="D470">
        <v>66.930000000000007</v>
      </c>
      <c r="E470">
        <v>67.680000000000007</v>
      </c>
      <c r="F470">
        <v>53.661976000000003</v>
      </c>
      <c r="G470">
        <v>13239700</v>
      </c>
      <c r="I470">
        <f t="shared" si="8"/>
        <v>6.7726530759990003E-5</v>
      </c>
    </row>
    <row r="471" spans="1:9" x14ac:dyDescent="0.3">
      <c r="A471" s="5">
        <v>42319</v>
      </c>
      <c r="B471">
        <v>68.099997999999999</v>
      </c>
      <c r="C471">
        <v>68.169998000000007</v>
      </c>
      <c r="D471">
        <v>67.25</v>
      </c>
      <c r="E471">
        <v>67.349997999999999</v>
      </c>
      <c r="F471">
        <v>53.400317999999999</v>
      </c>
      <c r="G471">
        <v>8513900</v>
      </c>
      <c r="I471">
        <f t="shared" si="8"/>
        <v>3.1095513542063542E-5</v>
      </c>
    </row>
    <row r="472" spans="1:9" x14ac:dyDescent="0.3">
      <c r="A472" s="5">
        <v>42320</v>
      </c>
      <c r="B472">
        <v>66.860000999999997</v>
      </c>
      <c r="C472">
        <v>66.900002000000001</v>
      </c>
      <c r="D472">
        <v>65.949996999999996</v>
      </c>
      <c r="E472">
        <v>66</v>
      </c>
      <c r="F472">
        <v>52.329937000000001</v>
      </c>
      <c r="G472">
        <v>13576900</v>
      </c>
      <c r="I472">
        <f t="shared" si="8"/>
        <v>1.8487256813803416E-5</v>
      </c>
    </row>
    <row r="473" spans="1:9" x14ac:dyDescent="0.3">
      <c r="A473" s="5">
        <v>42321</v>
      </c>
      <c r="B473">
        <v>65.839995999999999</v>
      </c>
      <c r="C473">
        <v>66.169998000000007</v>
      </c>
      <c r="D473">
        <v>65.230002999999996</v>
      </c>
      <c r="E473">
        <v>65.559997999999993</v>
      </c>
      <c r="F473">
        <v>51.981079000000001</v>
      </c>
      <c r="G473">
        <v>11837000</v>
      </c>
      <c r="I473">
        <f t="shared" si="8"/>
        <v>9.3273812025803559E-5</v>
      </c>
    </row>
    <row r="474" spans="1:9" x14ac:dyDescent="0.3">
      <c r="A474" s="5">
        <v>42324</v>
      </c>
      <c r="B474">
        <v>65.459998999999996</v>
      </c>
      <c r="C474">
        <v>66.580001999999993</v>
      </c>
      <c r="D474">
        <v>65.169998000000007</v>
      </c>
      <c r="E474">
        <v>66.510002</v>
      </c>
      <c r="F474">
        <v>52.734305999999997</v>
      </c>
      <c r="G474">
        <v>11041100</v>
      </c>
      <c r="I474">
        <f t="shared" si="8"/>
        <v>1.0821463620488855E-4</v>
      </c>
    </row>
    <row r="475" spans="1:9" x14ac:dyDescent="0.3">
      <c r="A475" s="5">
        <v>42325</v>
      </c>
      <c r="B475">
        <v>66.669998000000007</v>
      </c>
      <c r="C475">
        <v>66.739998</v>
      </c>
      <c r="D475">
        <v>65.889999000000003</v>
      </c>
      <c r="E475">
        <v>66.129997000000003</v>
      </c>
      <c r="F475">
        <v>52.433022000000001</v>
      </c>
      <c r="G475">
        <v>12354800</v>
      </c>
      <c r="I475">
        <f t="shared" si="8"/>
        <v>5.242285377002345E-5</v>
      </c>
    </row>
    <row r="476" spans="1:9" x14ac:dyDescent="0.3">
      <c r="A476" s="5">
        <v>42326</v>
      </c>
      <c r="B476">
        <v>66.480002999999996</v>
      </c>
      <c r="C476">
        <v>67.550003000000004</v>
      </c>
      <c r="D476">
        <v>66.370002999999997</v>
      </c>
      <c r="E476">
        <v>67.449996999999996</v>
      </c>
      <c r="F476">
        <v>53.479607000000001</v>
      </c>
      <c r="G476">
        <v>12911400</v>
      </c>
      <c r="I476">
        <f t="shared" si="8"/>
        <v>5.0386231923128727E-5</v>
      </c>
    </row>
    <row r="477" spans="1:9" x14ac:dyDescent="0.3">
      <c r="A477" s="5">
        <v>42327</v>
      </c>
      <c r="B477">
        <v>67.580001999999993</v>
      </c>
      <c r="C477">
        <v>67.819999999999993</v>
      </c>
      <c r="D477">
        <v>67.040001000000004</v>
      </c>
      <c r="E477">
        <v>67.660004000000001</v>
      </c>
      <c r="F477">
        <v>53.646129999999999</v>
      </c>
      <c r="G477">
        <v>12839500</v>
      </c>
      <c r="I477">
        <f t="shared" si="8"/>
        <v>8.2227474240436117E-5</v>
      </c>
    </row>
    <row r="478" spans="1:9" x14ac:dyDescent="0.3">
      <c r="A478" s="5">
        <v>42328</v>
      </c>
      <c r="B478">
        <v>67.989998</v>
      </c>
      <c r="C478">
        <v>68.110000999999997</v>
      </c>
      <c r="D478">
        <v>67.379997000000003</v>
      </c>
      <c r="E478">
        <v>67.540001000000004</v>
      </c>
      <c r="F478">
        <v>53.550983000000002</v>
      </c>
      <c r="G478">
        <v>11209600</v>
      </c>
      <c r="I478">
        <f t="shared" si="8"/>
        <v>3.6196086645159042E-5</v>
      </c>
    </row>
    <row r="479" spans="1:9" x14ac:dyDescent="0.3">
      <c r="A479" s="5">
        <v>42331</v>
      </c>
      <c r="B479">
        <v>67.309997999999993</v>
      </c>
      <c r="C479">
        <v>67.580001999999993</v>
      </c>
      <c r="D479">
        <v>66.779999000000004</v>
      </c>
      <c r="E479">
        <v>66.879997000000003</v>
      </c>
      <c r="F479">
        <v>53.027678999999999</v>
      </c>
      <c r="G479">
        <v>11339000</v>
      </c>
      <c r="I479">
        <f t="shared" si="8"/>
        <v>5.3511917385440166E-5</v>
      </c>
    </row>
    <row r="480" spans="1:9" x14ac:dyDescent="0.3">
      <c r="A480" s="5">
        <v>42332</v>
      </c>
      <c r="B480">
        <v>66.169998000000007</v>
      </c>
      <c r="C480">
        <v>67.139999000000003</v>
      </c>
      <c r="D480">
        <v>66.040001000000004</v>
      </c>
      <c r="E480">
        <v>66.779999000000004</v>
      </c>
      <c r="F480">
        <v>52.948410000000003</v>
      </c>
      <c r="G480">
        <v>10910000</v>
      </c>
      <c r="I480">
        <f t="shared" si="8"/>
        <v>1.0015409494857592E-4</v>
      </c>
    </row>
    <row r="481" spans="1:9" x14ac:dyDescent="0.3">
      <c r="A481" s="5">
        <v>42333</v>
      </c>
      <c r="B481">
        <v>66.930000000000007</v>
      </c>
      <c r="C481">
        <v>67.120002999999997</v>
      </c>
      <c r="D481">
        <v>66.550003000000004</v>
      </c>
      <c r="E481">
        <v>66.860000999999997</v>
      </c>
      <c r="F481">
        <v>53.011809999999997</v>
      </c>
      <c r="G481">
        <v>7772000</v>
      </c>
      <c r="I481">
        <f t="shared" si="8"/>
        <v>3.7462894250955574E-5</v>
      </c>
    </row>
    <row r="482" spans="1:9" x14ac:dyDescent="0.3">
      <c r="A482" s="5">
        <v>42335</v>
      </c>
      <c r="B482">
        <v>67</v>
      </c>
      <c r="C482">
        <v>67.330001999999993</v>
      </c>
      <c r="D482">
        <v>66.639999000000003</v>
      </c>
      <c r="E482">
        <v>67.169998000000007</v>
      </c>
      <c r="F482">
        <v>53.257618000000001</v>
      </c>
      <c r="G482">
        <v>4052500</v>
      </c>
      <c r="I482">
        <f t="shared" si="8"/>
        <v>5.4369240264797404E-5</v>
      </c>
    </row>
    <row r="483" spans="1:9" x14ac:dyDescent="0.3">
      <c r="A483" s="5">
        <v>42338</v>
      </c>
      <c r="B483">
        <v>67.279999000000004</v>
      </c>
      <c r="C483">
        <v>67.519997000000004</v>
      </c>
      <c r="D483">
        <v>66.680000000000007</v>
      </c>
      <c r="E483">
        <v>66.680000000000007</v>
      </c>
      <c r="F483">
        <v>52.869109999999999</v>
      </c>
      <c r="G483">
        <v>15147500</v>
      </c>
      <c r="I483">
        <f t="shared" si="8"/>
        <v>4.4576821067307299E-5</v>
      </c>
    </row>
    <row r="484" spans="1:9" x14ac:dyDescent="0.3">
      <c r="A484" s="5">
        <v>42339</v>
      </c>
      <c r="B484">
        <v>67.339995999999999</v>
      </c>
      <c r="C484">
        <v>67.830001999999993</v>
      </c>
      <c r="D484">
        <v>66.989998</v>
      </c>
      <c r="E484">
        <v>67.610000999999997</v>
      </c>
      <c r="F484">
        <v>53.606482999999997</v>
      </c>
      <c r="G484">
        <v>12708800</v>
      </c>
      <c r="I484">
        <f t="shared" si="8"/>
        <v>7.1560890729135333E-5</v>
      </c>
    </row>
    <row r="485" spans="1:9" x14ac:dyDescent="0.3">
      <c r="A485" s="5">
        <v>42340</v>
      </c>
      <c r="B485">
        <v>67.830001999999993</v>
      </c>
      <c r="C485">
        <v>67.879997000000003</v>
      </c>
      <c r="D485">
        <v>66.480002999999996</v>
      </c>
      <c r="E485">
        <v>66.660004000000001</v>
      </c>
      <c r="F485">
        <v>52.853237</v>
      </c>
      <c r="G485">
        <v>13440900</v>
      </c>
      <c r="I485">
        <f t="shared" si="8"/>
        <v>6.7721003807442464E-5</v>
      </c>
    </row>
    <row r="486" spans="1:9" x14ac:dyDescent="0.3">
      <c r="A486" s="5">
        <v>42341</v>
      </c>
      <c r="B486">
        <v>66.830001999999993</v>
      </c>
      <c r="C486">
        <v>67.029999000000004</v>
      </c>
      <c r="D486">
        <v>65.580001999999993</v>
      </c>
      <c r="E486">
        <v>65.800003000000004</v>
      </c>
      <c r="F486">
        <v>52.171363999999997</v>
      </c>
      <c r="G486">
        <v>14626900</v>
      </c>
      <c r="I486">
        <f t="shared" si="8"/>
        <v>1.1857680626953216E-4</v>
      </c>
    </row>
    <row r="487" spans="1:9" x14ac:dyDescent="0.3">
      <c r="A487" s="5">
        <v>42342</v>
      </c>
      <c r="B487">
        <v>66.099997999999999</v>
      </c>
      <c r="C487">
        <v>68</v>
      </c>
      <c r="D487">
        <v>66.029999000000004</v>
      </c>
      <c r="E487">
        <v>67.889999000000003</v>
      </c>
      <c r="F487">
        <v>53.828476000000002</v>
      </c>
      <c r="G487">
        <v>17786000</v>
      </c>
      <c r="I487">
        <f t="shared" si="8"/>
        <v>7.5313786670201882E-5</v>
      </c>
    </row>
    <row r="488" spans="1:9" x14ac:dyDescent="0.3">
      <c r="A488" s="5">
        <v>42345</v>
      </c>
      <c r="B488">
        <v>67.660004000000001</v>
      </c>
      <c r="C488">
        <v>67.75</v>
      </c>
      <c r="D488">
        <v>66.400002000000001</v>
      </c>
      <c r="E488">
        <v>67</v>
      </c>
      <c r="F488">
        <v>53.122826000000003</v>
      </c>
      <c r="G488">
        <v>11686000</v>
      </c>
      <c r="I488">
        <f t="shared" si="8"/>
        <v>1.8389610486674478E-4</v>
      </c>
    </row>
    <row r="489" spans="1:9" x14ac:dyDescent="0.3">
      <c r="A489" s="5">
        <v>42346</v>
      </c>
      <c r="B489">
        <v>66.25</v>
      </c>
      <c r="C489">
        <v>66.959998999999996</v>
      </c>
      <c r="D489">
        <v>65.699996999999996</v>
      </c>
      <c r="E489">
        <v>65.959998999999996</v>
      </c>
      <c r="F489">
        <v>52.298228999999999</v>
      </c>
      <c r="G489">
        <v>13084500</v>
      </c>
      <c r="I489">
        <f t="shared" si="8"/>
        <v>1.9332565210071679E-4</v>
      </c>
    </row>
    <row r="490" spans="1:9" x14ac:dyDescent="0.3">
      <c r="A490" s="5">
        <v>42347</v>
      </c>
      <c r="B490">
        <v>65.610000999999997</v>
      </c>
      <c r="C490">
        <v>66.580001999999993</v>
      </c>
      <c r="D490">
        <v>65.040001000000004</v>
      </c>
      <c r="E490">
        <v>65.459998999999996</v>
      </c>
      <c r="F490">
        <v>51.901786999999999</v>
      </c>
      <c r="G490">
        <v>16770200</v>
      </c>
      <c r="I490">
        <f t="shared" si="8"/>
        <v>3.0514564108982613E-4</v>
      </c>
    </row>
    <row r="491" spans="1:9" x14ac:dyDescent="0.3">
      <c r="A491" s="5">
        <v>42348</v>
      </c>
      <c r="B491">
        <v>65.540001000000004</v>
      </c>
      <c r="C491">
        <v>66.5</v>
      </c>
      <c r="D491">
        <v>65.080001999999993</v>
      </c>
      <c r="E491">
        <v>65.610000999999997</v>
      </c>
      <c r="F491">
        <v>52.020729000000003</v>
      </c>
      <c r="G491">
        <v>12839000</v>
      </c>
      <c r="I491">
        <f t="shared" si="8"/>
        <v>2.5305389928273101E-4</v>
      </c>
    </row>
    <row r="492" spans="1:9" x14ac:dyDescent="0.3">
      <c r="A492" s="5">
        <v>42349</v>
      </c>
      <c r="B492">
        <v>64.800003000000004</v>
      </c>
      <c r="C492">
        <v>65.160004000000001</v>
      </c>
      <c r="D492">
        <v>63.509998000000003</v>
      </c>
      <c r="E492">
        <v>64.069999999999993</v>
      </c>
      <c r="F492">
        <v>50.799689999999998</v>
      </c>
      <c r="G492">
        <v>17889300</v>
      </c>
      <c r="I492">
        <f t="shared" si="8"/>
        <v>2.6998961895788288E-4</v>
      </c>
    </row>
    <row r="493" spans="1:9" x14ac:dyDescent="0.3">
      <c r="A493" s="5">
        <v>42352</v>
      </c>
      <c r="B493">
        <v>64.230002999999996</v>
      </c>
      <c r="C493">
        <v>64.760002</v>
      </c>
      <c r="D493">
        <v>63.599997999999999</v>
      </c>
      <c r="E493">
        <v>64.269997000000004</v>
      </c>
      <c r="F493">
        <v>50.958266999999999</v>
      </c>
      <c r="G493">
        <v>17638200</v>
      </c>
      <c r="I493">
        <f t="shared" si="8"/>
        <v>1.6571178973938297E-4</v>
      </c>
    </row>
    <row r="494" spans="1:9" x14ac:dyDescent="0.3">
      <c r="A494" s="5">
        <v>42353</v>
      </c>
      <c r="B494">
        <v>65.069999999999993</v>
      </c>
      <c r="C494">
        <v>66.650002000000001</v>
      </c>
      <c r="D494">
        <v>65.069999999999993</v>
      </c>
      <c r="E494">
        <v>66.099997999999999</v>
      </c>
      <c r="F494">
        <v>52.409233</v>
      </c>
      <c r="G494">
        <v>18126600</v>
      </c>
      <c r="I494">
        <f t="shared" si="8"/>
        <v>1.9880190114527022E-4</v>
      </c>
    </row>
    <row r="495" spans="1:9" x14ac:dyDescent="0.3">
      <c r="A495" s="5">
        <v>42354</v>
      </c>
      <c r="B495">
        <v>66.910004000000001</v>
      </c>
      <c r="C495">
        <v>67.739998</v>
      </c>
      <c r="D495">
        <v>65.910004000000001</v>
      </c>
      <c r="E495">
        <v>67.529999000000004</v>
      </c>
      <c r="F495">
        <v>53.543044999999999</v>
      </c>
      <c r="G495">
        <v>21720000</v>
      </c>
      <c r="I495">
        <f t="shared" si="8"/>
        <v>4.0391805231300296E-4</v>
      </c>
    </row>
    <row r="496" spans="1:9" x14ac:dyDescent="0.3">
      <c r="A496" s="5">
        <v>42355</v>
      </c>
      <c r="B496">
        <v>67.900002000000001</v>
      </c>
      <c r="C496">
        <v>68</v>
      </c>
      <c r="D496">
        <v>66.080001999999993</v>
      </c>
      <c r="E496">
        <v>66.279999000000004</v>
      </c>
      <c r="F496">
        <v>52.551945000000003</v>
      </c>
      <c r="G496">
        <v>18122100</v>
      </c>
      <c r="I496">
        <f t="shared" si="8"/>
        <v>1.1981069173502783E-4</v>
      </c>
    </row>
    <row r="497" spans="1:9" x14ac:dyDescent="0.3">
      <c r="A497" s="5">
        <v>42356</v>
      </c>
      <c r="B497">
        <v>65.970000999999996</v>
      </c>
      <c r="C497">
        <v>65.970000999999996</v>
      </c>
      <c r="D497">
        <v>64.400002000000001</v>
      </c>
      <c r="E497">
        <v>64.400002000000001</v>
      </c>
      <c r="F497">
        <v>51.061343999999998</v>
      </c>
      <c r="G497">
        <v>23819600</v>
      </c>
      <c r="I497">
        <f t="shared" si="8"/>
        <v>0</v>
      </c>
    </row>
    <row r="498" spans="1:9" x14ac:dyDescent="0.3">
      <c r="A498" s="5">
        <v>42359</v>
      </c>
      <c r="B498">
        <v>65.019997000000004</v>
      </c>
      <c r="C498">
        <v>65.559997999999993</v>
      </c>
      <c r="D498">
        <v>64.830001999999993</v>
      </c>
      <c r="E498">
        <v>65.540001000000004</v>
      </c>
      <c r="F498">
        <v>51.965221</v>
      </c>
      <c r="G498">
        <v>18869300</v>
      </c>
      <c r="I498">
        <f t="shared" si="8"/>
        <v>3.4397756814278289E-5</v>
      </c>
    </row>
    <row r="499" spans="1:9" x14ac:dyDescent="0.3">
      <c r="A499" s="5">
        <v>42360</v>
      </c>
      <c r="B499">
        <v>65.919998000000007</v>
      </c>
      <c r="C499">
        <v>66</v>
      </c>
      <c r="D499">
        <v>64.980002999999996</v>
      </c>
      <c r="E499">
        <v>65.680000000000007</v>
      </c>
      <c r="F499">
        <v>52.076225000000001</v>
      </c>
      <c r="G499">
        <v>12149500</v>
      </c>
      <c r="I499">
        <f t="shared" si="8"/>
        <v>1.5978518539177259E-4</v>
      </c>
    </row>
    <row r="500" spans="1:9" x14ac:dyDescent="0.3">
      <c r="A500" s="5">
        <v>42361</v>
      </c>
      <c r="B500">
        <v>66.120002999999997</v>
      </c>
      <c r="C500">
        <v>66.849997999999999</v>
      </c>
      <c r="D500">
        <v>66.050003000000004</v>
      </c>
      <c r="E500">
        <v>66.730002999999996</v>
      </c>
      <c r="F500">
        <v>52.908749</v>
      </c>
      <c r="G500">
        <v>12524500</v>
      </c>
      <c r="I500">
        <f t="shared" si="8"/>
        <v>3.0575993672624392E-5</v>
      </c>
    </row>
    <row r="501" spans="1:9" x14ac:dyDescent="0.3">
      <c r="A501" s="5">
        <v>42362</v>
      </c>
      <c r="B501">
        <v>66.620002999999997</v>
      </c>
      <c r="C501">
        <v>66.889999000000003</v>
      </c>
      <c r="D501">
        <v>66.319999999999993</v>
      </c>
      <c r="E501">
        <v>66.599997999999999</v>
      </c>
      <c r="F501">
        <v>52.805678999999998</v>
      </c>
      <c r="G501">
        <v>4468200</v>
      </c>
      <c r="I501">
        <f t="shared" si="8"/>
        <v>3.6588371413156316E-5</v>
      </c>
    </row>
    <row r="502" spans="1:9" x14ac:dyDescent="0.3">
      <c r="A502" s="5">
        <v>42366</v>
      </c>
      <c r="B502">
        <v>66.290001000000004</v>
      </c>
      <c r="C502">
        <v>66.449996999999996</v>
      </c>
      <c r="D502">
        <v>65.709998999999996</v>
      </c>
      <c r="E502">
        <v>66.379997000000003</v>
      </c>
      <c r="F502">
        <v>52.631233000000002</v>
      </c>
      <c r="G502">
        <v>6610600</v>
      </c>
      <c r="I502">
        <f t="shared" si="8"/>
        <v>9.1691677164390547E-5</v>
      </c>
    </row>
    <row r="503" spans="1:9" x14ac:dyDescent="0.3">
      <c r="A503" s="5">
        <v>42367</v>
      </c>
      <c r="B503">
        <v>66.839995999999999</v>
      </c>
      <c r="C503">
        <v>67.300003000000004</v>
      </c>
      <c r="D503">
        <v>66.739998</v>
      </c>
      <c r="E503">
        <v>67.069999999999993</v>
      </c>
      <c r="F503">
        <v>53.178322000000001</v>
      </c>
      <c r="G503">
        <v>9820800</v>
      </c>
      <c r="I503">
        <f t="shared" si="8"/>
        <v>3.0864874486858701E-5</v>
      </c>
    </row>
    <row r="504" spans="1:9" x14ac:dyDescent="0.3">
      <c r="A504" s="5">
        <v>42368</v>
      </c>
      <c r="B504">
        <v>67.040001000000004</v>
      </c>
      <c r="C504">
        <v>67.050003000000004</v>
      </c>
      <c r="D504">
        <v>66.449996999999996</v>
      </c>
      <c r="E504">
        <v>66.589995999999999</v>
      </c>
      <c r="F504">
        <v>52.797749000000003</v>
      </c>
      <c r="G504">
        <v>7190700</v>
      </c>
      <c r="I504">
        <f t="shared" si="8"/>
        <v>1.9631262731322574E-5</v>
      </c>
    </row>
    <row r="505" spans="1:9" x14ac:dyDescent="0.3">
      <c r="A505" s="5">
        <v>42369</v>
      </c>
      <c r="B505">
        <v>66.190002000000007</v>
      </c>
      <c r="C505">
        <v>66.779999000000004</v>
      </c>
      <c r="D505">
        <v>66</v>
      </c>
      <c r="E505">
        <v>66.029999000000004</v>
      </c>
      <c r="F505">
        <v>52.353718000000001</v>
      </c>
      <c r="G505">
        <v>14654300</v>
      </c>
      <c r="I505">
        <f t="shared" si="8"/>
        <v>1.0153549152631869E-4</v>
      </c>
    </row>
    <row r="506" spans="1:9" x14ac:dyDescent="0.3">
      <c r="A506" s="5">
        <v>42373</v>
      </c>
      <c r="B506">
        <v>63.950001</v>
      </c>
      <c r="C506">
        <v>64.059997999999993</v>
      </c>
      <c r="D506">
        <v>63.009998000000003</v>
      </c>
      <c r="E506">
        <v>63.619999</v>
      </c>
      <c r="F506">
        <v>50.781281</v>
      </c>
      <c r="G506">
        <v>25393200</v>
      </c>
      <c r="I506">
        <f t="shared" si="8"/>
        <v>1.545131223871763E-4</v>
      </c>
    </row>
    <row r="507" spans="1:9" x14ac:dyDescent="0.3">
      <c r="A507" s="5">
        <v>42374</v>
      </c>
      <c r="B507">
        <v>63.700001</v>
      </c>
      <c r="C507">
        <v>64.129997000000003</v>
      </c>
      <c r="D507">
        <v>63.040000999999997</v>
      </c>
      <c r="E507">
        <v>63.73</v>
      </c>
      <c r="F507">
        <v>50.869087</v>
      </c>
      <c r="G507">
        <v>16566700</v>
      </c>
      <c r="I507">
        <f t="shared" si="8"/>
        <v>1.5547208309235231E-4</v>
      </c>
    </row>
    <row r="508" spans="1:9" x14ac:dyDescent="0.3">
      <c r="A508" s="5">
        <v>42375</v>
      </c>
      <c r="B508">
        <v>62.720001000000003</v>
      </c>
      <c r="C508">
        <v>63.130001</v>
      </c>
      <c r="D508">
        <v>62.34</v>
      </c>
      <c r="E508">
        <v>62.810001</v>
      </c>
      <c r="F508">
        <v>50.134743</v>
      </c>
      <c r="G508">
        <v>22961500</v>
      </c>
      <c r="I508">
        <f t="shared" si="8"/>
        <v>7.8757001471494711E-5</v>
      </c>
    </row>
    <row r="509" spans="1:9" x14ac:dyDescent="0.3">
      <c r="A509" s="5">
        <v>42376</v>
      </c>
      <c r="B509">
        <v>61.459999000000003</v>
      </c>
      <c r="C509">
        <v>62</v>
      </c>
      <c r="D509">
        <v>60.080002</v>
      </c>
      <c r="E509">
        <v>60.27</v>
      </c>
      <c r="F509">
        <v>48.107323000000001</v>
      </c>
      <c r="G509">
        <v>27630900</v>
      </c>
      <c r="I509">
        <f t="shared" si="8"/>
        <v>3.1926686309639976E-4</v>
      </c>
    </row>
    <row r="510" spans="1:9" x14ac:dyDescent="0.3">
      <c r="A510" s="5">
        <v>42377</v>
      </c>
      <c r="B510">
        <v>61.130001</v>
      </c>
      <c r="C510">
        <v>61.27</v>
      </c>
      <c r="D510">
        <v>58.849997999999999</v>
      </c>
      <c r="E510">
        <v>58.919998</v>
      </c>
      <c r="F510">
        <v>47.029747</v>
      </c>
      <c r="G510">
        <v>22373300</v>
      </c>
      <c r="I510">
        <f t="shared" si="8"/>
        <v>1.3465202214127864E-4</v>
      </c>
    </row>
    <row r="511" spans="1:9" x14ac:dyDescent="0.3">
      <c r="A511" s="5">
        <v>42380</v>
      </c>
      <c r="B511">
        <v>58.830002</v>
      </c>
      <c r="C511">
        <v>59.220001000000003</v>
      </c>
      <c r="D511">
        <v>58.040000999999997</v>
      </c>
      <c r="E511">
        <v>58.830002</v>
      </c>
      <c r="F511">
        <v>46.957923999999998</v>
      </c>
      <c r="G511">
        <v>20925500</v>
      </c>
      <c r="I511">
        <f t="shared" si="8"/>
        <v>2.2643478355458213E-4</v>
      </c>
    </row>
    <row r="512" spans="1:9" x14ac:dyDescent="0.3">
      <c r="A512" s="5">
        <v>42381</v>
      </c>
      <c r="B512">
        <v>59.450001</v>
      </c>
      <c r="C512">
        <v>59.560001</v>
      </c>
      <c r="D512">
        <v>58.099997999999999</v>
      </c>
      <c r="E512">
        <v>58.959999000000003</v>
      </c>
      <c r="F512">
        <v>47.061686999999999</v>
      </c>
      <c r="G512">
        <v>22971600</v>
      </c>
      <c r="I512">
        <f t="shared" si="8"/>
        <v>3.5622908864338691E-4</v>
      </c>
    </row>
    <row r="513" spans="1:9" x14ac:dyDescent="0.3">
      <c r="A513" s="5">
        <v>42382</v>
      </c>
      <c r="B513">
        <v>59.459999000000003</v>
      </c>
      <c r="C513">
        <v>59.68</v>
      </c>
      <c r="D513">
        <v>56.91</v>
      </c>
      <c r="E513">
        <v>57.34</v>
      </c>
      <c r="F513">
        <v>45.768608</v>
      </c>
      <c r="G513">
        <v>28808100</v>
      </c>
      <c r="I513">
        <f t="shared" si="8"/>
        <v>4.7766659395089256E-4</v>
      </c>
    </row>
    <row r="514" spans="1:9" x14ac:dyDescent="0.3">
      <c r="A514" s="5">
        <v>42383</v>
      </c>
      <c r="B514">
        <v>58.16</v>
      </c>
      <c r="C514">
        <v>59.380001</v>
      </c>
      <c r="D514">
        <v>57.290000999999997</v>
      </c>
      <c r="E514">
        <v>58.200001</v>
      </c>
      <c r="F514">
        <v>46.455050999999997</v>
      </c>
      <c r="G514">
        <v>31296300</v>
      </c>
      <c r="I514">
        <f t="shared" si="8"/>
        <v>6.5420948701095999E-4</v>
      </c>
    </row>
    <row r="515" spans="1:9" x14ac:dyDescent="0.3">
      <c r="A515" s="5">
        <v>42384</v>
      </c>
      <c r="B515">
        <v>56.450001</v>
      </c>
      <c r="C515">
        <v>57.57</v>
      </c>
      <c r="D515">
        <v>56.220001000000003</v>
      </c>
      <c r="E515">
        <v>57.040000999999997</v>
      </c>
      <c r="F515">
        <v>45.529156</v>
      </c>
      <c r="G515">
        <v>38131700</v>
      </c>
      <c r="I515">
        <f t="shared" si="8"/>
        <v>2.4082342719700941E-4</v>
      </c>
    </row>
    <row r="516" spans="1:9" x14ac:dyDescent="0.3">
      <c r="A516" s="5">
        <v>42388</v>
      </c>
      <c r="B516">
        <v>57.73</v>
      </c>
      <c r="C516">
        <v>57.970001000000003</v>
      </c>
      <c r="D516">
        <v>56.509998000000003</v>
      </c>
      <c r="E516">
        <v>57.009998000000003</v>
      </c>
      <c r="F516">
        <v>45.505198999999998</v>
      </c>
      <c r="G516">
        <v>22818900</v>
      </c>
      <c r="I516">
        <f t="shared" si="8"/>
        <v>2.5743538595723295E-4</v>
      </c>
    </row>
    <row r="517" spans="1:9" x14ac:dyDescent="0.3">
      <c r="A517" s="5">
        <v>42389</v>
      </c>
      <c r="B517">
        <v>55.630001</v>
      </c>
      <c r="C517">
        <v>56.18</v>
      </c>
      <c r="D517">
        <v>54.66</v>
      </c>
      <c r="E517">
        <v>55.509998000000003</v>
      </c>
      <c r="F517">
        <v>44.307892000000002</v>
      </c>
      <c r="G517">
        <v>34646100</v>
      </c>
      <c r="I517">
        <f t="shared" si="8"/>
        <v>3.8947311447000665E-4</v>
      </c>
    </row>
    <row r="518" spans="1:9" x14ac:dyDescent="0.3">
      <c r="A518" s="5">
        <v>42390</v>
      </c>
      <c r="B518">
        <v>55.740001999999997</v>
      </c>
      <c r="C518">
        <v>56.52</v>
      </c>
      <c r="D518">
        <v>55.060001</v>
      </c>
      <c r="E518">
        <v>55.25</v>
      </c>
      <c r="F518">
        <v>44.100383999999998</v>
      </c>
      <c r="G518">
        <v>31301100</v>
      </c>
      <c r="I518">
        <f t="shared" si="8"/>
        <v>3.580984896983434E-4</v>
      </c>
    </row>
    <row r="519" spans="1:9" x14ac:dyDescent="0.3">
      <c r="A519" s="5">
        <v>42391</v>
      </c>
      <c r="B519">
        <v>56.439999</v>
      </c>
      <c r="C519">
        <v>57.16</v>
      </c>
      <c r="D519">
        <v>56.299999</v>
      </c>
      <c r="E519">
        <v>56.950001</v>
      </c>
      <c r="F519">
        <v>45.45731</v>
      </c>
      <c r="G519">
        <v>22732200</v>
      </c>
      <c r="I519">
        <f t="shared" si="8"/>
        <v>7.5166384343921318E-5</v>
      </c>
    </row>
    <row r="520" spans="1:9" x14ac:dyDescent="0.3">
      <c r="A520" s="5">
        <v>42394</v>
      </c>
      <c r="B520">
        <v>56.48</v>
      </c>
      <c r="C520">
        <v>56.849997999999999</v>
      </c>
      <c r="D520">
        <v>55.599997999999999</v>
      </c>
      <c r="E520">
        <v>55.66</v>
      </c>
      <c r="F520">
        <v>44.427630999999998</v>
      </c>
      <c r="G520">
        <v>21114400</v>
      </c>
      <c r="I520">
        <f t="shared" si="8"/>
        <v>1.5506735931745814E-4</v>
      </c>
    </row>
    <row r="521" spans="1:9" x14ac:dyDescent="0.3">
      <c r="A521" s="5">
        <v>42395</v>
      </c>
      <c r="B521">
        <v>55.849997999999999</v>
      </c>
      <c r="C521">
        <v>57.150002000000001</v>
      </c>
      <c r="D521">
        <v>55.810001</v>
      </c>
      <c r="E521">
        <v>57.080002</v>
      </c>
      <c r="F521">
        <v>45.561065999999997</v>
      </c>
      <c r="G521">
        <v>17535700</v>
      </c>
      <c r="I521">
        <f t="shared" si="8"/>
        <v>4.4320612390110921E-5</v>
      </c>
    </row>
    <row r="522" spans="1:9" x14ac:dyDescent="0.3">
      <c r="A522" s="5">
        <v>42396</v>
      </c>
      <c r="B522">
        <v>57.080002</v>
      </c>
      <c r="C522">
        <v>58.27</v>
      </c>
      <c r="D522">
        <v>56.560001</v>
      </c>
      <c r="E522">
        <v>57.040000999999997</v>
      </c>
      <c r="F522">
        <v>45.529156</v>
      </c>
      <c r="G522">
        <v>20560000</v>
      </c>
      <c r="I522">
        <f t="shared" si="8"/>
        <v>5.1754786873034106E-4</v>
      </c>
    </row>
    <row r="523" spans="1:9" x14ac:dyDescent="0.3">
      <c r="A523" s="5">
        <v>42397</v>
      </c>
      <c r="B523">
        <v>57.52</v>
      </c>
      <c r="C523">
        <v>57.970001000000003</v>
      </c>
      <c r="D523">
        <v>56.630001</v>
      </c>
      <c r="E523">
        <v>57.279998999999997</v>
      </c>
      <c r="F523">
        <v>45.720714999999998</v>
      </c>
      <c r="G523">
        <v>15497900</v>
      </c>
      <c r="I523">
        <f t="shared" si="8"/>
        <v>2.712798983842629E-4</v>
      </c>
    </row>
    <row r="524" spans="1:9" x14ac:dyDescent="0.3">
      <c r="A524" s="5">
        <v>42398</v>
      </c>
      <c r="B524">
        <v>57.830002</v>
      </c>
      <c r="C524">
        <v>59.540000999999997</v>
      </c>
      <c r="D524">
        <v>57.509998000000003</v>
      </c>
      <c r="E524">
        <v>59.5</v>
      </c>
      <c r="F524">
        <v>47.492718000000004</v>
      </c>
      <c r="G524">
        <v>26992200</v>
      </c>
      <c r="I524">
        <f t="shared" ref="I524:I587" si="9">LN(C524/B524)*(LN(C524/B524)-LN(E524/B524))+LN(D524/B524)*(LN(D524/B524)-LN(E524/B524))</f>
        <v>2.0834384277536091E-4</v>
      </c>
    </row>
    <row r="525" spans="1:9" x14ac:dyDescent="0.3">
      <c r="A525" s="5">
        <v>42401</v>
      </c>
      <c r="B525">
        <v>59.16</v>
      </c>
      <c r="C525">
        <v>59.650002000000001</v>
      </c>
      <c r="D525">
        <v>58.439999</v>
      </c>
      <c r="E525">
        <v>58.860000999999997</v>
      </c>
      <c r="F525">
        <v>46.981873</v>
      </c>
      <c r="G525">
        <v>16807900</v>
      </c>
      <c r="I525">
        <f t="shared" si="9"/>
        <v>1.976623341731279E-4</v>
      </c>
    </row>
    <row r="526" spans="1:9" x14ac:dyDescent="0.3">
      <c r="A526" s="5">
        <v>42402</v>
      </c>
      <c r="B526">
        <v>57.880001</v>
      </c>
      <c r="C526">
        <v>57.98</v>
      </c>
      <c r="D526">
        <v>56.75</v>
      </c>
      <c r="E526">
        <v>57.029998999999997</v>
      </c>
      <c r="F526">
        <v>45.521172</v>
      </c>
      <c r="G526">
        <v>22448200</v>
      </c>
      <c r="I526">
        <f t="shared" si="9"/>
        <v>1.2555703401153037E-4</v>
      </c>
    </row>
    <row r="527" spans="1:9" x14ac:dyDescent="0.3">
      <c r="A527" s="5">
        <v>42403</v>
      </c>
      <c r="B527">
        <v>57.369999</v>
      </c>
      <c r="C527">
        <v>57.799999</v>
      </c>
      <c r="D527">
        <v>55.02</v>
      </c>
      <c r="E527">
        <v>57.41</v>
      </c>
      <c r="F527">
        <v>45.824474000000002</v>
      </c>
      <c r="G527">
        <v>31543200</v>
      </c>
      <c r="I527">
        <f t="shared" si="9"/>
        <v>1.8290165541873836E-3</v>
      </c>
    </row>
    <row r="528" spans="1:9" x14ac:dyDescent="0.3">
      <c r="A528" s="5">
        <v>42404</v>
      </c>
      <c r="B528">
        <v>57.060001</v>
      </c>
      <c r="C528">
        <v>58.52</v>
      </c>
      <c r="D528">
        <v>57.060001</v>
      </c>
      <c r="E528">
        <v>58.400002000000001</v>
      </c>
      <c r="F528">
        <v>46.614697</v>
      </c>
      <c r="G528">
        <v>21651300</v>
      </c>
      <c r="I528">
        <f t="shared" si="9"/>
        <v>5.1860691466888882E-5</v>
      </c>
    </row>
    <row r="529" spans="1:9" x14ac:dyDescent="0.3">
      <c r="A529" s="5">
        <v>42405</v>
      </c>
      <c r="B529">
        <v>58.580002</v>
      </c>
      <c r="C529">
        <v>59.139999000000003</v>
      </c>
      <c r="D529">
        <v>57.419998</v>
      </c>
      <c r="E529">
        <v>57.75</v>
      </c>
      <c r="F529">
        <v>46.095871000000002</v>
      </c>
      <c r="G529">
        <v>22001300</v>
      </c>
      <c r="I529">
        <f t="shared" si="9"/>
        <v>3.4090369297159063E-4</v>
      </c>
    </row>
    <row r="530" spans="1:9" x14ac:dyDescent="0.3">
      <c r="A530" s="5">
        <v>42408</v>
      </c>
      <c r="B530">
        <v>56.689999</v>
      </c>
      <c r="C530">
        <v>56.919998</v>
      </c>
      <c r="D530">
        <v>55.540000999999997</v>
      </c>
      <c r="E530">
        <v>56.540000999999997</v>
      </c>
      <c r="F530">
        <v>45.130046999999998</v>
      </c>
      <c r="G530">
        <v>28267600</v>
      </c>
      <c r="I530">
        <f t="shared" si="9"/>
        <v>3.928395197815041E-4</v>
      </c>
    </row>
    <row r="531" spans="1:9" x14ac:dyDescent="0.3">
      <c r="A531" s="5">
        <v>42409</v>
      </c>
      <c r="B531">
        <v>55.290000999999997</v>
      </c>
      <c r="C531">
        <v>56.689999</v>
      </c>
      <c r="D531">
        <v>55.130001</v>
      </c>
      <c r="E531">
        <v>56.200001</v>
      </c>
      <c r="F531">
        <v>44.858662000000002</v>
      </c>
      <c r="G531">
        <v>26300000</v>
      </c>
      <c r="I531">
        <f t="shared" si="9"/>
        <v>2.7278364843877616E-4</v>
      </c>
    </row>
    <row r="532" spans="1:9" x14ac:dyDescent="0.3">
      <c r="A532" s="5">
        <v>42410</v>
      </c>
      <c r="B532">
        <v>56.57</v>
      </c>
      <c r="C532">
        <v>57.41</v>
      </c>
      <c r="D532">
        <v>55.470001000000003</v>
      </c>
      <c r="E532">
        <v>55.52</v>
      </c>
      <c r="F532">
        <v>44.315899000000002</v>
      </c>
      <c r="G532">
        <v>22389600</v>
      </c>
      <c r="I532">
        <f t="shared" si="9"/>
        <v>5.1110579814614648E-4</v>
      </c>
    </row>
    <row r="533" spans="1:9" x14ac:dyDescent="0.3">
      <c r="A533" s="5">
        <v>42411</v>
      </c>
      <c r="B533">
        <v>53.900002000000001</v>
      </c>
      <c r="C533">
        <v>53.91</v>
      </c>
      <c r="D533">
        <v>52.5</v>
      </c>
      <c r="E533">
        <v>53.07</v>
      </c>
      <c r="F533">
        <v>42.360317000000002</v>
      </c>
      <c r="G533">
        <v>44334700</v>
      </c>
      <c r="I533">
        <f t="shared" si="9"/>
        <v>2.8710392960690749E-4</v>
      </c>
    </row>
    <row r="534" spans="1:9" x14ac:dyDescent="0.3">
      <c r="A534" s="5">
        <v>42412</v>
      </c>
      <c r="B534">
        <v>55.650002000000001</v>
      </c>
      <c r="C534">
        <v>57.57</v>
      </c>
      <c r="D534">
        <v>55.169998</v>
      </c>
      <c r="E534">
        <v>57.490001999999997</v>
      </c>
      <c r="F534">
        <v>45.888339999999999</v>
      </c>
      <c r="G534">
        <v>37011400</v>
      </c>
      <c r="I534">
        <f t="shared" si="9"/>
        <v>4.0400348531727161E-4</v>
      </c>
    </row>
    <row r="535" spans="1:9" x14ac:dyDescent="0.3">
      <c r="A535" s="5">
        <v>42416</v>
      </c>
      <c r="B535">
        <v>58.23</v>
      </c>
      <c r="C535">
        <v>58.599997999999999</v>
      </c>
      <c r="D535">
        <v>57.639999000000003</v>
      </c>
      <c r="E535">
        <v>58.349997999999999</v>
      </c>
      <c r="F535">
        <v>46.574779999999997</v>
      </c>
      <c r="G535">
        <v>23730700</v>
      </c>
      <c r="I535">
        <f t="shared" si="9"/>
        <v>1.5175739891646996E-4</v>
      </c>
    </row>
    <row r="536" spans="1:9" x14ac:dyDescent="0.3">
      <c r="A536" s="5">
        <v>42417</v>
      </c>
      <c r="B536">
        <v>58.849997999999999</v>
      </c>
      <c r="C536">
        <v>59.25</v>
      </c>
      <c r="D536">
        <v>58.389999000000003</v>
      </c>
      <c r="E536">
        <v>58.77</v>
      </c>
      <c r="F536">
        <v>46.910026999999999</v>
      </c>
      <c r="G536">
        <v>21580100</v>
      </c>
      <c r="I536">
        <f t="shared" si="9"/>
        <v>1.0600511375687367E-4</v>
      </c>
    </row>
    <row r="537" spans="1:9" x14ac:dyDescent="0.3">
      <c r="A537" s="5">
        <v>42418</v>
      </c>
      <c r="B537">
        <v>58.84</v>
      </c>
      <c r="C537">
        <v>58.860000999999997</v>
      </c>
      <c r="D537">
        <v>57.25</v>
      </c>
      <c r="E537">
        <v>57.810001</v>
      </c>
      <c r="F537">
        <v>46.143757000000001</v>
      </c>
      <c r="G537">
        <v>17037800</v>
      </c>
      <c r="I537">
        <f t="shared" si="9"/>
        <v>2.7277720341271433E-4</v>
      </c>
    </row>
    <row r="538" spans="1:9" x14ac:dyDescent="0.3">
      <c r="A538" s="5">
        <v>42419</v>
      </c>
      <c r="B538">
        <v>57.5</v>
      </c>
      <c r="C538">
        <v>58.169998</v>
      </c>
      <c r="D538">
        <v>57.080002</v>
      </c>
      <c r="E538">
        <v>57.82</v>
      </c>
      <c r="F538">
        <v>46.151741000000001</v>
      </c>
      <c r="G538">
        <v>15658200</v>
      </c>
      <c r="I538">
        <f t="shared" si="9"/>
        <v>1.6434546158933605E-4</v>
      </c>
    </row>
    <row r="539" spans="1:9" x14ac:dyDescent="0.3">
      <c r="A539" s="5">
        <v>42422</v>
      </c>
      <c r="B539">
        <v>58.509998000000003</v>
      </c>
      <c r="C539">
        <v>58.880001</v>
      </c>
      <c r="D539">
        <v>58.419998</v>
      </c>
      <c r="E539">
        <v>58.57</v>
      </c>
      <c r="F539">
        <v>46.750393000000003</v>
      </c>
      <c r="G539">
        <v>14882800</v>
      </c>
      <c r="I539">
        <f t="shared" si="9"/>
        <v>3.7224718495959365E-5</v>
      </c>
    </row>
    <row r="540" spans="1:9" x14ac:dyDescent="0.3">
      <c r="A540" s="5">
        <v>42423</v>
      </c>
      <c r="B540">
        <v>57.900002000000001</v>
      </c>
      <c r="C540">
        <v>58.09</v>
      </c>
      <c r="D540">
        <v>55.959999000000003</v>
      </c>
      <c r="E540">
        <v>56.119999</v>
      </c>
      <c r="F540">
        <v>44.794803999999999</v>
      </c>
      <c r="G540">
        <v>31772500</v>
      </c>
      <c r="I540">
        <f t="shared" si="9"/>
        <v>2.1033295068721686E-4</v>
      </c>
    </row>
    <row r="541" spans="1:9" x14ac:dyDescent="0.3">
      <c r="A541" s="5">
        <v>42424</v>
      </c>
      <c r="B541">
        <v>55.200001</v>
      </c>
      <c r="C541">
        <v>56.209999000000003</v>
      </c>
      <c r="D541">
        <v>54.330002</v>
      </c>
      <c r="E541">
        <v>56.139999000000003</v>
      </c>
      <c r="F541">
        <v>44.810768000000003</v>
      </c>
      <c r="G541">
        <v>25560100</v>
      </c>
      <c r="I541">
        <f t="shared" si="9"/>
        <v>5.4322155330158856E-4</v>
      </c>
    </row>
    <row r="542" spans="1:9" x14ac:dyDescent="0.3">
      <c r="A542" s="5">
        <v>42425</v>
      </c>
      <c r="B542">
        <v>56.130001</v>
      </c>
      <c r="C542">
        <v>57.029998999999997</v>
      </c>
      <c r="D542">
        <v>56.040000999999997</v>
      </c>
      <c r="E542">
        <v>57.009998000000003</v>
      </c>
      <c r="F542">
        <v>45.505198999999998</v>
      </c>
      <c r="G542">
        <v>14473300</v>
      </c>
      <c r="I542">
        <f t="shared" si="9"/>
        <v>3.311796918221084E-5</v>
      </c>
    </row>
    <row r="543" spans="1:9" x14ac:dyDescent="0.3">
      <c r="A543" s="5">
        <v>42426</v>
      </c>
      <c r="B543">
        <v>57.639999000000003</v>
      </c>
      <c r="C543">
        <v>58.110000999999997</v>
      </c>
      <c r="D543">
        <v>57.139999000000003</v>
      </c>
      <c r="E543">
        <v>57.540000999999997</v>
      </c>
      <c r="F543">
        <v>45.928249000000001</v>
      </c>
      <c r="G543">
        <v>20947500</v>
      </c>
      <c r="I543">
        <f t="shared" si="9"/>
        <v>1.4082979089119116E-4</v>
      </c>
    </row>
    <row r="544" spans="1:9" x14ac:dyDescent="0.3">
      <c r="A544" s="5">
        <v>42429</v>
      </c>
      <c r="B544">
        <v>57.41</v>
      </c>
      <c r="C544">
        <v>57.610000999999997</v>
      </c>
      <c r="D544">
        <v>56.290000999999997</v>
      </c>
      <c r="E544">
        <v>56.299999</v>
      </c>
      <c r="F544">
        <v>44.938473000000002</v>
      </c>
      <c r="G544">
        <v>19554100</v>
      </c>
      <c r="I544">
        <f t="shared" si="9"/>
        <v>8.3491359750885159E-5</v>
      </c>
    </row>
    <row r="545" spans="1:9" x14ac:dyDescent="0.3">
      <c r="A545" s="5">
        <v>42430</v>
      </c>
      <c r="B545">
        <v>56.759998000000003</v>
      </c>
      <c r="C545">
        <v>59.200001</v>
      </c>
      <c r="D545">
        <v>56.669998</v>
      </c>
      <c r="E545">
        <v>59.200001</v>
      </c>
      <c r="F545">
        <v>47.253258000000002</v>
      </c>
      <c r="G545">
        <v>23958100</v>
      </c>
      <c r="I545">
        <f t="shared" si="9"/>
        <v>6.9309655537854207E-5</v>
      </c>
    </row>
    <row r="546" spans="1:9" x14ac:dyDescent="0.3">
      <c r="A546" s="5">
        <v>42431</v>
      </c>
      <c r="B546">
        <v>59.200001</v>
      </c>
      <c r="C546">
        <v>59.900002000000001</v>
      </c>
      <c r="D546">
        <v>58.959999000000003</v>
      </c>
      <c r="E546">
        <v>59.759998000000003</v>
      </c>
      <c r="F546">
        <v>47.700240999999998</v>
      </c>
      <c r="G546">
        <v>20943100</v>
      </c>
      <c r="I546">
        <f t="shared" si="9"/>
        <v>8.2256134333773956E-5</v>
      </c>
    </row>
    <row r="547" spans="1:9" x14ac:dyDescent="0.3">
      <c r="A547" s="5">
        <v>42432</v>
      </c>
      <c r="B547">
        <v>59.580002</v>
      </c>
      <c r="C547">
        <v>59.959999000000003</v>
      </c>
      <c r="D547">
        <v>59.099997999999999</v>
      </c>
      <c r="E547">
        <v>59.959999000000003</v>
      </c>
      <c r="F547">
        <v>47.859886000000003</v>
      </c>
      <c r="G547">
        <v>15790600</v>
      </c>
      <c r="I547">
        <f t="shared" si="9"/>
        <v>1.1686119434464908E-4</v>
      </c>
    </row>
    <row r="548" spans="1:9" x14ac:dyDescent="0.3">
      <c r="A548" s="5">
        <v>42433</v>
      </c>
      <c r="B548">
        <v>60.099997999999999</v>
      </c>
      <c r="C548">
        <v>60.549999</v>
      </c>
      <c r="D548">
        <v>59.529998999999997</v>
      </c>
      <c r="E548">
        <v>60.049999</v>
      </c>
      <c r="F548">
        <v>47.931725</v>
      </c>
      <c r="G548">
        <v>18459000</v>
      </c>
      <c r="I548">
        <f t="shared" si="9"/>
        <v>1.4473385385825482E-4</v>
      </c>
    </row>
    <row r="549" spans="1:9" x14ac:dyDescent="0.3">
      <c r="A549" s="5">
        <v>42436</v>
      </c>
      <c r="B549">
        <v>59.540000999999997</v>
      </c>
      <c r="C549">
        <v>60.049999</v>
      </c>
      <c r="D549">
        <v>59.32</v>
      </c>
      <c r="E549">
        <v>59.939999</v>
      </c>
      <c r="F549">
        <v>47.843918000000002</v>
      </c>
      <c r="G549">
        <v>12832400</v>
      </c>
      <c r="I549">
        <f t="shared" si="9"/>
        <v>5.4128242168515907E-5</v>
      </c>
    </row>
    <row r="550" spans="1:9" x14ac:dyDescent="0.3">
      <c r="A550" s="5">
        <v>42437</v>
      </c>
      <c r="B550">
        <v>59.209999000000003</v>
      </c>
      <c r="C550">
        <v>59.5</v>
      </c>
      <c r="D550">
        <v>58.68</v>
      </c>
      <c r="E550">
        <v>58.779998999999997</v>
      </c>
      <c r="F550">
        <v>46.918002999999999</v>
      </c>
      <c r="G550">
        <v>14132900</v>
      </c>
      <c r="I550">
        <f t="shared" si="9"/>
        <v>7.479370820052241E-5</v>
      </c>
    </row>
    <row r="551" spans="1:9" x14ac:dyDescent="0.3">
      <c r="A551" s="5">
        <v>42438</v>
      </c>
      <c r="B551">
        <v>59.150002000000001</v>
      </c>
      <c r="C551">
        <v>59.540000999999997</v>
      </c>
      <c r="D551">
        <v>58.68</v>
      </c>
      <c r="E551">
        <v>59.119999</v>
      </c>
      <c r="F551">
        <v>47.189391999999998</v>
      </c>
      <c r="G551">
        <v>13238800</v>
      </c>
      <c r="I551">
        <f t="shared" si="9"/>
        <v>1.0611779233334284E-4</v>
      </c>
    </row>
    <row r="552" spans="1:9" x14ac:dyDescent="0.3">
      <c r="A552" s="5">
        <v>42439</v>
      </c>
      <c r="B552">
        <v>59.59</v>
      </c>
      <c r="C552">
        <v>59.669998</v>
      </c>
      <c r="D552">
        <v>57.810001</v>
      </c>
      <c r="E552">
        <v>58.610000999999997</v>
      </c>
      <c r="F552">
        <v>46.782314</v>
      </c>
      <c r="G552">
        <v>21139200</v>
      </c>
      <c r="I552">
        <f t="shared" si="9"/>
        <v>4.4083334733859128E-4</v>
      </c>
    </row>
    <row r="553" spans="1:9" x14ac:dyDescent="0.3">
      <c r="A553" s="5">
        <v>42440</v>
      </c>
      <c r="B553">
        <v>59.389999000000003</v>
      </c>
      <c r="C553">
        <v>59.509998000000003</v>
      </c>
      <c r="D553">
        <v>58.650002000000001</v>
      </c>
      <c r="E553">
        <v>59.34</v>
      </c>
      <c r="F553">
        <v>47.364994000000003</v>
      </c>
      <c r="G553">
        <v>21055000</v>
      </c>
      <c r="I553">
        <f t="shared" si="9"/>
        <v>1.5242159918405128E-4</v>
      </c>
    </row>
    <row r="554" spans="1:9" x14ac:dyDescent="0.3">
      <c r="A554" s="5">
        <v>42443</v>
      </c>
      <c r="B554">
        <v>59.150002000000001</v>
      </c>
      <c r="C554">
        <v>59.310001</v>
      </c>
      <c r="D554">
        <v>58.599997999999999</v>
      </c>
      <c r="E554">
        <v>59.119999</v>
      </c>
      <c r="F554">
        <v>47.189391999999998</v>
      </c>
      <c r="G554">
        <v>13436100</v>
      </c>
      <c r="I554">
        <f t="shared" si="9"/>
        <v>9.1200144715370554E-5</v>
      </c>
    </row>
    <row r="555" spans="1:9" x14ac:dyDescent="0.3">
      <c r="A555" s="5">
        <v>42444</v>
      </c>
      <c r="B555">
        <v>58.540000999999997</v>
      </c>
      <c r="C555">
        <v>59.209999000000003</v>
      </c>
      <c r="D555">
        <v>58.43</v>
      </c>
      <c r="E555">
        <v>59.200001</v>
      </c>
      <c r="F555">
        <v>47.253258000000002</v>
      </c>
      <c r="G555">
        <v>10910500</v>
      </c>
      <c r="I555">
        <f t="shared" si="9"/>
        <v>2.6545945538018221E-5</v>
      </c>
    </row>
    <row r="556" spans="1:9" x14ac:dyDescent="0.3">
      <c r="A556" s="5">
        <v>42445</v>
      </c>
      <c r="B556">
        <v>58.98</v>
      </c>
      <c r="C556">
        <v>59.75</v>
      </c>
      <c r="D556">
        <v>58.470001000000003</v>
      </c>
      <c r="E556">
        <v>58.919998</v>
      </c>
      <c r="F556">
        <v>47.029747</v>
      </c>
      <c r="G556">
        <v>17423900</v>
      </c>
      <c r="I556">
        <f t="shared" si="9"/>
        <v>2.4802602113024148E-4</v>
      </c>
    </row>
    <row r="557" spans="1:9" x14ac:dyDescent="0.3">
      <c r="A557" s="5">
        <v>42446</v>
      </c>
      <c r="B557">
        <v>58.77</v>
      </c>
      <c r="C557">
        <v>59.130001</v>
      </c>
      <c r="D557">
        <v>57.990001999999997</v>
      </c>
      <c r="E557">
        <v>58.75</v>
      </c>
      <c r="F557">
        <v>46.894069999999999</v>
      </c>
      <c r="G557">
        <v>19405700</v>
      </c>
      <c r="I557">
        <f t="shared" si="9"/>
        <v>2.133390387351907E-4</v>
      </c>
    </row>
    <row r="558" spans="1:9" x14ac:dyDescent="0.3">
      <c r="A558" s="5">
        <v>42447</v>
      </c>
      <c r="B558">
        <v>60.049999</v>
      </c>
      <c r="C558">
        <v>60.970001000000003</v>
      </c>
      <c r="D558">
        <v>59.66</v>
      </c>
      <c r="E558">
        <v>60.48</v>
      </c>
      <c r="F558">
        <v>48.274940000000001</v>
      </c>
      <c r="G558">
        <v>29570200</v>
      </c>
      <c r="I558">
        <f t="shared" si="9"/>
        <v>2.1163414715005721E-4</v>
      </c>
    </row>
    <row r="559" spans="1:9" x14ac:dyDescent="0.3">
      <c r="A559" s="5">
        <v>42450</v>
      </c>
      <c r="B559">
        <v>60.220001000000003</v>
      </c>
      <c r="C559">
        <v>60.82</v>
      </c>
      <c r="D559">
        <v>59.959999000000003</v>
      </c>
      <c r="E559">
        <v>60.459999000000003</v>
      </c>
      <c r="F559">
        <v>48.258980000000001</v>
      </c>
      <c r="G559">
        <v>12684400</v>
      </c>
      <c r="I559">
        <f t="shared" si="9"/>
        <v>9.4789189563546924E-5</v>
      </c>
    </row>
    <row r="560" spans="1:9" x14ac:dyDescent="0.3">
      <c r="A560" s="5">
        <v>42451</v>
      </c>
      <c r="B560">
        <v>59.990001999999997</v>
      </c>
      <c r="C560">
        <v>60.580002</v>
      </c>
      <c r="D560">
        <v>59.619999</v>
      </c>
      <c r="E560">
        <v>60.240001999999997</v>
      </c>
      <c r="F560">
        <v>48.083373999999999</v>
      </c>
      <c r="G560">
        <v>12042700</v>
      </c>
      <c r="I560">
        <f t="shared" si="9"/>
        <v>1.1908924744483265E-4</v>
      </c>
    </row>
    <row r="561" spans="1:9" x14ac:dyDescent="0.3">
      <c r="A561" s="5">
        <v>42452</v>
      </c>
      <c r="B561">
        <v>60.34</v>
      </c>
      <c r="C561">
        <v>60.509998000000003</v>
      </c>
      <c r="D561">
        <v>59.860000999999997</v>
      </c>
      <c r="E561">
        <v>59.939999</v>
      </c>
      <c r="F561">
        <v>47.843918000000002</v>
      </c>
      <c r="G561">
        <v>11658700</v>
      </c>
      <c r="I561">
        <f t="shared" si="9"/>
        <v>3.729381790358138E-5</v>
      </c>
    </row>
    <row r="562" spans="1:9" x14ac:dyDescent="0.3">
      <c r="A562" s="5">
        <v>42453</v>
      </c>
      <c r="B562">
        <v>59.299999</v>
      </c>
      <c r="C562">
        <v>59.509998000000003</v>
      </c>
      <c r="D562">
        <v>58.869999</v>
      </c>
      <c r="E562">
        <v>59.48</v>
      </c>
      <c r="F562">
        <v>47.476748999999998</v>
      </c>
      <c r="G562">
        <v>12921200</v>
      </c>
      <c r="I562">
        <f t="shared" si="9"/>
        <v>7.6804514782914448E-5</v>
      </c>
    </row>
    <row r="563" spans="1:9" x14ac:dyDescent="0.3">
      <c r="A563" s="5">
        <v>42457</v>
      </c>
      <c r="B563">
        <v>59.529998999999997</v>
      </c>
      <c r="C563">
        <v>59.75</v>
      </c>
      <c r="D563">
        <v>59.18</v>
      </c>
      <c r="E563">
        <v>59.400002000000001</v>
      </c>
      <c r="F563">
        <v>47.412899000000003</v>
      </c>
      <c r="G563">
        <v>11159700</v>
      </c>
      <c r="I563">
        <f t="shared" si="9"/>
        <v>4.3552023625217673E-5</v>
      </c>
    </row>
    <row r="564" spans="1:9" x14ac:dyDescent="0.3">
      <c r="A564" s="5">
        <v>42458</v>
      </c>
      <c r="B564">
        <v>59.330002</v>
      </c>
      <c r="C564">
        <v>59.330002</v>
      </c>
      <c r="D564">
        <v>58.529998999999997</v>
      </c>
      <c r="E564">
        <v>59.029998999999997</v>
      </c>
      <c r="F564">
        <v>47.117558000000002</v>
      </c>
      <c r="G564">
        <v>15933400</v>
      </c>
      <c r="I564">
        <f t="shared" si="9"/>
        <v>1.1547949857387909E-4</v>
      </c>
    </row>
    <row r="565" spans="1:9" x14ac:dyDescent="0.3">
      <c r="A565" s="5">
        <v>42459</v>
      </c>
      <c r="B565">
        <v>59.459999000000003</v>
      </c>
      <c r="C565">
        <v>60.23</v>
      </c>
      <c r="D565">
        <v>59.380001</v>
      </c>
      <c r="E565">
        <v>59.709999000000003</v>
      </c>
      <c r="F565">
        <v>47.660331999999997</v>
      </c>
      <c r="G565">
        <v>13307100</v>
      </c>
      <c r="I565">
        <f t="shared" si="9"/>
        <v>1.1902995869447038E-4</v>
      </c>
    </row>
    <row r="566" spans="1:9" x14ac:dyDescent="0.3">
      <c r="A566" s="5">
        <v>42460</v>
      </c>
      <c r="B566">
        <v>59.450001</v>
      </c>
      <c r="C566">
        <v>59.93</v>
      </c>
      <c r="D566">
        <v>59.110000999999997</v>
      </c>
      <c r="E566">
        <v>59.220001000000003</v>
      </c>
      <c r="F566">
        <v>47.26923</v>
      </c>
      <c r="G566">
        <v>14904700</v>
      </c>
      <c r="I566">
        <f t="shared" si="9"/>
        <v>1.0650198074481368E-4</v>
      </c>
    </row>
    <row r="567" spans="1:9" x14ac:dyDescent="0.3">
      <c r="A567" s="5">
        <v>42461</v>
      </c>
      <c r="B567">
        <v>59.02</v>
      </c>
      <c r="C567">
        <v>60.060001</v>
      </c>
      <c r="D567">
        <v>58.560001</v>
      </c>
      <c r="E567">
        <v>59.869999</v>
      </c>
      <c r="F567">
        <v>47.788048000000003</v>
      </c>
      <c r="G567">
        <v>15417500</v>
      </c>
      <c r="I567">
        <f t="shared" si="9"/>
        <v>2.2845338059849932E-4</v>
      </c>
    </row>
    <row r="568" spans="1:9" x14ac:dyDescent="0.3">
      <c r="A568" s="5">
        <v>42464</v>
      </c>
      <c r="B568">
        <v>59.439999</v>
      </c>
      <c r="C568">
        <v>59.57</v>
      </c>
      <c r="D568">
        <v>58.959999000000003</v>
      </c>
      <c r="E568">
        <v>59.200001</v>
      </c>
      <c r="F568">
        <v>47.603099999999998</v>
      </c>
      <c r="G568">
        <v>12305000</v>
      </c>
      <c r="I568">
        <f t="shared" si="9"/>
        <v>4.6549869799332688E-5</v>
      </c>
    </row>
    <row r="569" spans="1:9" x14ac:dyDescent="0.3">
      <c r="A569" s="5">
        <v>42465</v>
      </c>
      <c r="B569">
        <v>58.59</v>
      </c>
      <c r="C569">
        <v>58.830002</v>
      </c>
      <c r="D569">
        <v>58.209999000000003</v>
      </c>
      <c r="E569">
        <v>58.360000999999997</v>
      </c>
      <c r="F569">
        <v>46.92765</v>
      </c>
      <c r="G569">
        <v>12886600</v>
      </c>
      <c r="I569">
        <f t="shared" si="9"/>
        <v>4.9536298027581585E-5</v>
      </c>
    </row>
    <row r="570" spans="1:9" x14ac:dyDescent="0.3">
      <c r="A570" s="5">
        <v>42466</v>
      </c>
      <c r="B570">
        <v>58.18</v>
      </c>
      <c r="C570">
        <v>58.880001</v>
      </c>
      <c r="D570">
        <v>57.950001</v>
      </c>
      <c r="E570">
        <v>58.810001</v>
      </c>
      <c r="F570">
        <v>47.289501000000001</v>
      </c>
      <c r="G570">
        <v>12167900</v>
      </c>
      <c r="I570">
        <f t="shared" si="9"/>
        <v>7.2578820370186315E-5</v>
      </c>
    </row>
    <row r="571" spans="1:9" x14ac:dyDescent="0.3">
      <c r="A571" s="5">
        <v>42467</v>
      </c>
      <c r="B571">
        <v>58.259998000000003</v>
      </c>
      <c r="C571">
        <v>58.43</v>
      </c>
      <c r="D571">
        <v>57.07</v>
      </c>
      <c r="E571">
        <v>57.32</v>
      </c>
      <c r="F571">
        <v>46.091372999999997</v>
      </c>
      <c r="G571">
        <v>19226800</v>
      </c>
      <c r="I571">
        <f t="shared" si="9"/>
        <v>1.4609038123460032E-4</v>
      </c>
    </row>
    <row r="572" spans="1:9" x14ac:dyDescent="0.3">
      <c r="A572" s="5">
        <v>42468</v>
      </c>
      <c r="B572">
        <v>57.709999000000003</v>
      </c>
      <c r="C572">
        <v>58.580002</v>
      </c>
      <c r="D572">
        <v>57.689999</v>
      </c>
      <c r="E572">
        <v>57.740001999999997</v>
      </c>
      <c r="F572">
        <v>46.429107999999999</v>
      </c>
      <c r="G572">
        <v>13547700</v>
      </c>
      <c r="I572">
        <f t="shared" si="9"/>
        <v>2.1641231160358254E-4</v>
      </c>
    </row>
    <row r="573" spans="1:9" x14ac:dyDescent="0.3">
      <c r="A573" s="5">
        <v>42471</v>
      </c>
      <c r="B573">
        <v>57.91</v>
      </c>
      <c r="C573">
        <v>58.880001</v>
      </c>
      <c r="D573">
        <v>57.91</v>
      </c>
      <c r="E573">
        <v>58.200001</v>
      </c>
      <c r="F573">
        <v>46.798991999999998</v>
      </c>
      <c r="G573">
        <v>17627800</v>
      </c>
      <c r="I573">
        <f t="shared" si="9"/>
        <v>1.9296012530635337E-4</v>
      </c>
    </row>
    <row r="574" spans="1:9" x14ac:dyDescent="0.3">
      <c r="A574" s="5">
        <v>42472</v>
      </c>
      <c r="B574">
        <v>58.34</v>
      </c>
      <c r="C574">
        <v>59.389999000000003</v>
      </c>
      <c r="D574">
        <v>58.200001</v>
      </c>
      <c r="E574">
        <v>59.279998999999997</v>
      </c>
      <c r="F574">
        <v>47.667422999999999</v>
      </c>
      <c r="G574">
        <v>17779200</v>
      </c>
      <c r="I574">
        <f t="shared" si="9"/>
        <v>7.7244798360149428E-5</v>
      </c>
    </row>
    <row r="575" spans="1:9" x14ac:dyDescent="0.3">
      <c r="A575" s="5">
        <v>42473</v>
      </c>
      <c r="B575">
        <v>60.48</v>
      </c>
      <c r="C575">
        <v>62.16</v>
      </c>
      <c r="D575">
        <v>60.380001</v>
      </c>
      <c r="E575">
        <v>61.790000999999997</v>
      </c>
      <c r="F575">
        <v>49.68573</v>
      </c>
      <c r="G575">
        <v>37516800</v>
      </c>
      <c r="I575">
        <f t="shared" si="9"/>
        <v>2.0177456583580909E-4</v>
      </c>
    </row>
    <row r="576" spans="1:9" x14ac:dyDescent="0.3">
      <c r="A576" s="5">
        <v>42474</v>
      </c>
      <c r="B576">
        <v>61.689999</v>
      </c>
      <c r="C576">
        <v>62.91</v>
      </c>
      <c r="D576">
        <v>61.610000999999997</v>
      </c>
      <c r="E576">
        <v>62.59</v>
      </c>
      <c r="F576">
        <v>50.329025000000001</v>
      </c>
      <c r="G576">
        <v>24249900</v>
      </c>
      <c r="I576">
        <f t="shared" si="9"/>
        <v>1.2034535388004206E-4</v>
      </c>
    </row>
    <row r="577" spans="1:9" x14ac:dyDescent="0.3">
      <c r="A577" s="5">
        <v>42475</v>
      </c>
      <c r="B577">
        <v>62.880001</v>
      </c>
      <c r="C577">
        <v>62.900002000000001</v>
      </c>
      <c r="D577">
        <v>61.450001</v>
      </c>
      <c r="E577">
        <v>61.869999</v>
      </c>
      <c r="F577">
        <v>49.750061000000002</v>
      </c>
      <c r="G577">
        <v>19290700</v>
      </c>
      <c r="I577">
        <f t="shared" si="9"/>
        <v>1.6194576957321064E-4</v>
      </c>
    </row>
    <row r="578" spans="1:9" x14ac:dyDescent="0.3">
      <c r="A578" s="5">
        <v>42478</v>
      </c>
      <c r="B578">
        <v>61.639999000000003</v>
      </c>
      <c r="C578">
        <v>62.580002</v>
      </c>
      <c r="D578">
        <v>61.529998999999997</v>
      </c>
      <c r="E578">
        <v>62.27</v>
      </c>
      <c r="F578">
        <v>50.071711999999998</v>
      </c>
      <c r="G578">
        <v>13813100</v>
      </c>
      <c r="I578">
        <f t="shared" si="9"/>
        <v>9.6512602325308364E-5</v>
      </c>
    </row>
    <row r="579" spans="1:9" x14ac:dyDescent="0.3">
      <c r="A579" s="5">
        <v>42479</v>
      </c>
      <c r="B579">
        <v>62.549999</v>
      </c>
      <c r="C579">
        <v>63.48</v>
      </c>
      <c r="D579">
        <v>62.549999</v>
      </c>
      <c r="E579">
        <v>63.32</v>
      </c>
      <c r="F579">
        <v>50.916018999999999</v>
      </c>
      <c r="G579">
        <v>19255600</v>
      </c>
      <c r="I579">
        <f t="shared" si="9"/>
        <v>3.7245886600621695E-5</v>
      </c>
    </row>
    <row r="580" spans="1:9" x14ac:dyDescent="0.3">
      <c r="A580" s="5">
        <v>42480</v>
      </c>
      <c r="B580">
        <v>63.48</v>
      </c>
      <c r="C580">
        <v>64.309997999999993</v>
      </c>
      <c r="D580">
        <v>63.150002000000001</v>
      </c>
      <c r="E580">
        <v>64.239998</v>
      </c>
      <c r="F580">
        <v>51.655785000000002</v>
      </c>
      <c r="G580">
        <v>14594400</v>
      </c>
      <c r="I580">
        <f t="shared" si="9"/>
        <v>1.0334129840060679E-4</v>
      </c>
    </row>
    <row r="581" spans="1:9" x14ac:dyDescent="0.3">
      <c r="A581" s="5">
        <v>42481</v>
      </c>
      <c r="B581">
        <v>64.260002</v>
      </c>
      <c r="C581">
        <v>64.660004000000001</v>
      </c>
      <c r="D581">
        <v>63.34</v>
      </c>
      <c r="E581">
        <v>63.599997999999999</v>
      </c>
      <c r="F581">
        <v>51.141167000000003</v>
      </c>
      <c r="G581">
        <v>15395800</v>
      </c>
      <c r="I581">
        <f t="shared" si="9"/>
        <v>1.6164378909182725E-4</v>
      </c>
    </row>
    <row r="582" spans="1:9" x14ac:dyDescent="0.3">
      <c r="A582" s="5">
        <v>42482</v>
      </c>
      <c r="B582">
        <v>63.639999000000003</v>
      </c>
      <c r="C582">
        <v>64.379997000000003</v>
      </c>
      <c r="D582">
        <v>63.639999000000003</v>
      </c>
      <c r="E582">
        <v>63.970001000000003</v>
      </c>
      <c r="F582">
        <v>51.438690000000001</v>
      </c>
      <c r="G582">
        <v>12444700</v>
      </c>
      <c r="I582">
        <f t="shared" si="9"/>
        <v>7.3858893248242663E-5</v>
      </c>
    </row>
    <row r="583" spans="1:9" x14ac:dyDescent="0.3">
      <c r="A583" s="5">
        <v>42485</v>
      </c>
      <c r="B583">
        <v>63.599997999999999</v>
      </c>
      <c r="C583">
        <v>63.950001</v>
      </c>
      <c r="D583">
        <v>63.150002000000001</v>
      </c>
      <c r="E583">
        <v>63.599997999999999</v>
      </c>
      <c r="F583">
        <v>51.141167000000003</v>
      </c>
      <c r="G583">
        <v>10687200</v>
      </c>
      <c r="I583">
        <f t="shared" si="9"/>
        <v>8.0537223936606039E-5</v>
      </c>
    </row>
    <row r="584" spans="1:9" x14ac:dyDescent="0.3">
      <c r="A584" s="5">
        <v>42486</v>
      </c>
      <c r="B584">
        <v>63.810001</v>
      </c>
      <c r="C584">
        <v>64.069999999999993</v>
      </c>
      <c r="D584">
        <v>63.330002</v>
      </c>
      <c r="E584">
        <v>63.93</v>
      </c>
      <c r="F584">
        <v>51.406520999999998</v>
      </c>
      <c r="G584">
        <v>12048000</v>
      </c>
      <c r="I584">
        <f t="shared" si="9"/>
        <v>8.0095247814809104E-5</v>
      </c>
    </row>
    <row r="585" spans="1:9" x14ac:dyDescent="0.3">
      <c r="A585" s="5">
        <v>42487</v>
      </c>
      <c r="B585">
        <v>63.860000999999997</v>
      </c>
      <c r="C585">
        <v>64.639999000000003</v>
      </c>
      <c r="D585">
        <v>63.599997999999999</v>
      </c>
      <c r="E585">
        <v>64.110000999999997</v>
      </c>
      <c r="F585">
        <v>51.551265999999998</v>
      </c>
      <c r="G585">
        <v>15284100</v>
      </c>
      <c r="I585">
        <f t="shared" si="9"/>
        <v>1.325353462820855E-4</v>
      </c>
    </row>
    <row r="586" spans="1:9" x14ac:dyDescent="0.3">
      <c r="A586" s="5">
        <v>42488</v>
      </c>
      <c r="B586">
        <v>63.639999000000003</v>
      </c>
      <c r="C586">
        <v>64.419998000000007</v>
      </c>
      <c r="D586">
        <v>63.349997999999999</v>
      </c>
      <c r="E586">
        <v>63.599997999999999</v>
      </c>
      <c r="F586">
        <v>51.141167000000003</v>
      </c>
      <c r="G586">
        <v>12852500</v>
      </c>
      <c r="I586">
        <f t="shared" si="9"/>
        <v>1.7404732210344058E-4</v>
      </c>
    </row>
    <row r="587" spans="1:9" x14ac:dyDescent="0.3">
      <c r="A587" s="5">
        <v>42489</v>
      </c>
      <c r="B587">
        <v>63.09</v>
      </c>
      <c r="C587">
        <v>63.610000999999997</v>
      </c>
      <c r="D587">
        <v>62.700001</v>
      </c>
      <c r="E587">
        <v>63.200001</v>
      </c>
      <c r="F587">
        <v>50.819515000000003</v>
      </c>
      <c r="G587">
        <v>16376400</v>
      </c>
      <c r="I587">
        <f t="shared" si="9"/>
        <v>1.0233105509122885E-4</v>
      </c>
    </row>
    <row r="588" spans="1:9" x14ac:dyDescent="0.3">
      <c r="A588" s="5">
        <v>42492</v>
      </c>
      <c r="B588">
        <v>63.689999</v>
      </c>
      <c r="C588">
        <v>64</v>
      </c>
      <c r="D588">
        <v>63.139999000000003</v>
      </c>
      <c r="E588">
        <v>63.790000999999997</v>
      </c>
      <c r="F588">
        <v>51.293948999999998</v>
      </c>
      <c r="G588">
        <v>10247300</v>
      </c>
      <c r="I588">
        <f t="shared" ref="I588:I651" si="10">LN(C588/B588)*(LN(C588/B588)-LN(E588/B588))+LN(D588/B588)*(LN(D588/B588)-LN(E588/B588))</f>
        <v>1.0478792687732517E-4</v>
      </c>
    </row>
    <row r="589" spans="1:9" x14ac:dyDescent="0.3">
      <c r="A589" s="5">
        <v>42493</v>
      </c>
      <c r="B589">
        <v>62.900002000000001</v>
      </c>
      <c r="C589">
        <v>62.91</v>
      </c>
      <c r="D589">
        <v>61.799999</v>
      </c>
      <c r="E589">
        <v>62.560001</v>
      </c>
      <c r="F589">
        <v>50.304901000000001</v>
      </c>
      <c r="G589">
        <v>19120300</v>
      </c>
      <c r="I589">
        <f t="shared" si="10"/>
        <v>2.1653107573092059E-4</v>
      </c>
    </row>
    <row r="590" spans="1:9" x14ac:dyDescent="0.3">
      <c r="A590" s="5">
        <v>42494</v>
      </c>
      <c r="B590">
        <v>61.75</v>
      </c>
      <c r="C590">
        <v>62.259998000000003</v>
      </c>
      <c r="D590">
        <v>61.27</v>
      </c>
      <c r="E590">
        <v>61.57</v>
      </c>
      <c r="F590">
        <v>49.508842000000001</v>
      </c>
      <c r="G590">
        <v>17030200</v>
      </c>
      <c r="I590">
        <f t="shared" si="10"/>
        <v>1.2978063145227704E-4</v>
      </c>
    </row>
    <row r="591" spans="1:9" x14ac:dyDescent="0.3">
      <c r="A591" s="5">
        <v>42495</v>
      </c>
      <c r="B591">
        <v>61.599997999999999</v>
      </c>
      <c r="C591">
        <v>62</v>
      </c>
      <c r="D591">
        <v>61.060001</v>
      </c>
      <c r="E591">
        <v>61.240001999999997</v>
      </c>
      <c r="F591">
        <v>49.243473000000002</v>
      </c>
      <c r="G591">
        <v>14033900</v>
      </c>
      <c r="I591">
        <f t="shared" si="10"/>
        <v>1.0574888916909632E-4</v>
      </c>
    </row>
    <row r="592" spans="1:9" x14ac:dyDescent="0.3">
      <c r="A592" s="5">
        <v>42496</v>
      </c>
      <c r="B592">
        <v>60.700001</v>
      </c>
      <c r="C592">
        <v>61.68</v>
      </c>
      <c r="D592">
        <v>60.59</v>
      </c>
      <c r="E592">
        <v>61.599997999999999</v>
      </c>
      <c r="F592">
        <v>49.532966999999999</v>
      </c>
      <c r="G592">
        <v>11057900</v>
      </c>
      <c r="I592">
        <f t="shared" si="10"/>
        <v>5.077359352058577E-5</v>
      </c>
    </row>
    <row r="593" spans="1:9" x14ac:dyDescent="0.3">
      <c r="A593" s="5">
        <v>42499</v>
      </c>
      <c r="B593">
        <v>61.369999</v>
      </c>
      <c r="C593">
        <v>61.889999000000003</v>
      </c>
      <c r="D593">
        <v>61.049999</v>
      </c>
      <c r="E593">
        <v>61.209999000000003</v>
      </c>
      <c r="F593">
        <v>49.219357000000002</v>
      </c>
      <c r="G593">
        <v>11197100</v>
      </c>
      <c r="I593">
        <f t="shared" si="10"/>
        <v>1.0690125389730719E-4</v>
      </c>
    </row>
    <row r="594" spans="1:9" x14ac:dyDescent="0.3">
      <c r="A594" s="5">
        <v>42500</v>
      </c>
      <c r="B594">
        <v>61.549999</v>
      </c>
      <c r="C594">
        <v>62.259998000000003</v>
      </c>
      <c r="D594">
        <v>61.349997999999999</v>
      </c>
      <c r="E594">
        <v>62.040000999999997</v>
      </c>
      <c r="F594">
        <v>49.886767999999996</v>
      </c>
      <c r="G594">
        <v>11897200</v>
      </c>
      <c r="I594">
        <f t="shared" si="10"/>
        <v>7.7000011843391015E-5</v>
      </c>
    </row>
    <row r="595" spans="1:9" x14ac:dyDescent="0.3">
      <c r="A595" s="5">
        <v>42501</v>
      </c>
      <c r="B595">
        <v>61.970001000000003</v>
      </c>
      <c r="C595">
        <v>62.599997999999999</v>
      </c>
      <c r="D595">
        <v>61.810001</v>
      </c>
      <c r="E595">
        <v>61.810001</v>
      </c>
      <c r="F595">
        <v>49.701824000000002</v>
      </c>
      <c r="G595">
        <v>11254000</v>
      </c>
      <c r="I595">
        <f t="shared" si="10"/>
        <v>1.2845905037623545E-4</v>
      </c>
    </row>
    <row r="596" spans="1:9" x14ac:dyDescent="0.3">
      <c r="A596" s="5">
        <v>42502</v>
      </c>
      <c r="B596">
        <v>62.27</v>
      </c>
      <c r="C596">
        <v>62.560001</v>
      </c>
      <c r="D596">
        <v>61.369999</v>
      </c>
      <c r="E596">
        <v>61.77</v>
      </c>
      <c r="F596">
        <v>49.669662000000002</v>
      </c>
      <c r="G596">
        <v>11071700</v>
      </c>
      <c r="I596">
        <f t="shared" si="10"/>
        <v>1.5363057994800992E-4</v>
      </c>
    </row>
    <row r="597" spans="1:9" x14ac:dyDescent="0.3">
      <c r="A597" s="5">
        <v>42503</v>
      </c>
      <c r="B597">
        <v>61.700001</v>
      </c>
      <c r="C597">
        <v>62.400002000000001</v>
      </c>
      <c r="D597">
        <v>61.02</v>
      </c>
      <c r="E597">
        <v>61.200001</v>
      </c>
      <c r="F597">
        <v>49.211319000000003</v>
      </c>
      <c r="G597">
        <v>15122300</v>
      </c>
      <c r="I597">
        <f t="shared" si="10"/>
        <v>2.5170571463493138E-4</v>
      </c>
    </row>
    <row r="598" spans="1:9" x14ac:dyDescent="0.3">
      <c r="A598" s="5">
        <v>42506</v>
      </c>
      <c r="B598">
        <v>61.209999000000003</v>
      </c>
      <c r="C598">
        <v>61.990001999999997</v>
      </c>
      <c r="D598">
        <v>61</v>
      </c>
      <c r="E598">
        <v>61.66</v>
      </c>
      <c r="F598">
        <v>49.581200000000003</v>
      </c>
      <c r="G598">
        <v>10951300</v>
      </c>
      <c r="I598">
        <f t="shared" si="10"/>
        <v>1.0457300142327508E-4</v>
      </c>
    </row>
    <row r="599" spans="1:9" x14ac:dyDescent="0.3">
      <c r="A599" s="5">
        <v>42507</v>
      </c>
      <c r="B599">
        <v>61.43</v>
      </c>
      <c r="C599">
        <v>62.16</v>
      </c>
      <c r="D599">
        <v>61.150002000000001</v>
      </c>
      <c r="E599">
        <v>61.66</v>
      </c>
      <c r="F599">
        <v>49.581200000000003</v>
      </c>
      <c r="G599">
        <v>12180900</v>
      </c>
      <c r="I599">
        <f t="shared" si="10"/>
        <v>1.33351436344215E-4</v>
      </c>
    </row>
    <row r="600" spans="1:9" x14ac:dyDescent="0.3">
      <c r="A600" s="5">
        <v>42508</v>
      </c>
      <c r="B600">
        <v>61.700001</v>
      </c>
      <c r="C600">
        <v>64.169998000000007</v>
      </c>
      <c r="D600">
        <v>61.689999</v>
      </c>
      <c r="E600">
        <v>64.040001000000004</v>
      </c>
      <c r="F600">
        <v>51.494979999999998</v>
      </c>
      <c r="G600">
        <v>24007100</v>
      </c>
      <c r="I600">
        <f t="shared" si="10"/>
        <v>8.5658919256661594E-5</v>
      </c>
    </row>
    <row r="601" spans="1:9" x14ac:dyDescent="0.3">
      <c r="A601" s="5">
        <v>42509</v>
      </c>
      <c r="B601">
        <v>63.529998999999997</v>
      </c>
      <c r="C601">
        <v>64.220000999999996</v>
      </c>
      <c r="D601">
        <v>62.900002000000001</v>
      </c>
      <c r="E601">
        <v>63.389999000000003</v>
      </c>
      <c r="F601">
        <v>50.972304999999999</v>
      </c>
      <c r="G601">
        <v>16076200</v>
      </c>
      <c r="I601">
        <f t="shared" si="10"/>
        <v>2.1786063907414414E-4</v>
      </c>
    </row>
    <row r="602" spans="1:9" x14ac:dyDescent="0.3">
      <c r="A602" s="5">
        <v>42510</v>
      </c>
      <c r="B602">
        <v>63.860000999999997</v>
      </c>
      <c r="C602">
        <v>64.190002000000007</v>
      </c>
      <c r="D602">
        <v>63.369999</v>
      </c>
      <c r="E602">
        <v>63.509998000000003</v>
      </c>
      <c r="F602">
        <v>51.06879</v>
      </c>
      <c r="G602">
        <v>11862000</v>
      </c>
      <c r="I602">
        <f t="shared" si="10"/>
        <v>7.1891726212373229E-5</v>
      </c>
    </row>
    <row r="603" spans="1:9" x14ac:dyDescent="0.3">
      <c r="A603" s="5">
        <v>42513</v>
      </c>
      <c r="B603">
        <v>63.450001</v>
      </c>
      <c r="C603">
        <v>63.869999</v>
      </c>
      <c r="D603">
        <v>63.16</v>
      </c>
      <c r="E603">
        <v>63.459999000000003</v>
      </c>
      <c r="F603">
        <v>51.028590999999999</v>
      </c>
      <c r="G603">
        <v>9347500</v>
      </c>
      <c r="I603">
        <f t="shared" si="10"/>
        <v>6.4195585432496959E-5</v>
      </c>
    </row>
    <row r="604" spans="1:9" x14ac:dyDescent="0.3">
      <c r="A604" s="5">
        <v>42514</v>
      </c>
      <c r="B604">
        <v>63.939999</v>
      </c>
      <c r="C604">
        <v>64.769997000000004</v>
      </c>
      <c r="D604">
        <v>63.810001</v>
      </c>
      <c r="E604">
        <v>64.540001000000004</v>
      </c>
      <c r="F604">
        <v>51.897030000000001</v>
      </c>
      <c r="G604">
        <v>13839400</v>
      </c>
      <c r="I604">
        <f t="shared" si="10"/>
        <v>6.903046153569693E-5</v>
      </c>
    </row>
    <row r="605" spans="1:9" x14ac:dyDescent="0.3">
      <c r="A605" s="5">
        <v>42515</v>
      </c>
      <c r="B605">
        <v>64.940002000000007</v>
      </c>
      <c r="C605">
        <v>66.199996999999996</v>
      </c>
      <c r="D605">
        <v>64.919998000000007</v>
      </c>
      <c r="E605">
        <v>65.519997000000004</v>
      </c>
      <c r="F605">
        <v>52.685051000000001</v>
      </c>
      <c r="G605">
        <v>18935200</v>
      </c>
      <c r="I605">
        <f t="shared" si="10"/>
        <v>2.0124635158324004E-4</v>
      </c>
    </row>
    <row r="606" spans="1:9" x14ac:dyDescent="0.3">
      <c r="A606" s="5">
        <v>42516</v>
      </c>
      <c r="B606">
        <v>65.569999999999993</v>
      </c>
      <c r="C606">
        <v>65.580001999999993</v>
      </c>
      <c r="D606">
        <v>64.910004000000001</v>
      </c>
      <c r="E606">
        <v>65.029999000000004</v>
      </c>
      <c r="F606">
        <v>52.291049999999998</v>
      </c>
      <c r="G606">
        <v>9428400</v>
      </c>
      <c r="I606">
        <f t="shared" si="10"/>
        <v>1.9969103558332955E-5</v>
      </c>
    </row>
    <row r="607" spans="1:9" x14ac:dyDescent="0.3">
      <c r="A607" s="5">
        <v>42517</v>
      </c>
      <c r="B607">
        <v>65.209998999999996</v>
      </c>
      <c r="C607">
        <v>65.459998999999996</v>
      </c>
      <c r="D607">
        <v>65.050003000000004</v>
      </c>
      <c r="E607">
        <v>65.430000000000007</v>
      </c>
      <c r="F607">
        <v>52.612698000000002</v>
      </c>
      <c r="G607">
        <v>10116000</v>
      </c>
      <c r="I607">
        <f t="shared" si="10"/>
        <v>1.6062533529252702E-5</v>
      </c>
    </row>
    <row r="608" spans="1:9" x14ac:dyDescent="0.3">
      <c r="A608" s="5">
        <v>42521</v>
      </c>
      <c r="B608">
        <v>65.730002999999996</v>
      </c>
      <c r="C608">
        <v>65.819999999999993</v>
      </c>
      <c r="D608">
        <v>64.959998999999996</v>
      </c>
      <c r="E608">
        <v>65.269997000000004</v>
      </c>
      <c r="F608">
        <v>52.484015999999997</v>
      </c>
      <c r="G608">
        <v>15139400</v>
      </c>
      <c r="I608">
        <f t="shared" si="10"/>
        <v>6.758159972188568E-5</v>
      </c>
    </row>
    <row r="609" spans="1:9" x14ac:dyDescent="0.3">
      <c r="A609" s="5">
        <v>42522</v>
      </c>
      <c r="B609">
        <v>64.760002</v>
      </c>
      <c r="C609">
        <v>65.919998000000007</v>
      </c>
      <c r="D609">
        <v>64.260002</v>
      </c>
      <c r="E609">
        <v>65.690002000000007</v>
      </c>
      <c r="F609">
        <v>52.821753999999999</v>
      </c>
      <c r="G609">
        <v>14031000</v>
      </c>
      <c r="I609">
        <f t="shared" si="10"/>
        <v>2.3264079618532491E-4</v>
      </c>
    </row>
    <row r="610" spans="1:9" x14ac:dyDescent="0.3">
      <c r="A610" s="5">
        <v>42523</v>
      </c>
      <c r="B610">
        <v>65.519997000000004</v>
      </c>
      <c r="C610">
        <v>65.809997999999993</v>
      </c>
      <c r="D610">
        <v>65.160004000000001</v>
      </c>
      <c r="E610">
        <v>65.809997999999993</v>
      </c>
      <c r="F610">
        <v>52.918224000000002</v>
      </c>
      <c r="G610">
        <v>10637600</v>
      </c>
      <c r="I610">
        <f t="shared" si="10"/>
        <v>5.468737732388477E-5</v>
      </c>
    </row>
    <row r="611" spans="1:9" x14ac:dyDescent="0.3">
      <c r="A611" s="5">
        <v>42524</v>
      </c>
      <c r="B611">
        <v>64.25</v>
      </c>
      <c r="C611">
        <v>64.860000999999997</v>
      </c>
      <c r="D611">
        <v>63.549999</v>
      </c>
      <c r="E611">
        <v>64.639999000000003</v>
      </c>
      <c r="F611">
        <v>51.977440000000001</v>
      </c>
      <c r="G611">
        <v>20261700</v>
      </c>
      <c r="I611">
        <f t="shared" si="10"/>
        <v>2.1840727358906142E-4</v>
      </c>
    </row>
    <row r="612" spans="1:9" x14ac:dyDescent="0.3">
      <c r="A612" s="5">
        <v>42527</v>
      </c>
      <c r="B612">
        <v>64.639999000000003</v>
      </c>
      <c r="C612">
        <v>65.760002</v>
      </c>
      <c r="D612">
        <v>64.599997999999999</v>
      </c>
      <c r="E612">
        <v>65.279999000000004</v>
      </c>
      <c r="F612">
        <v>52.492054000000003</v>
      </c>
      <c r="G612">
        <v>13193500</v>
      </c>
      <c r="I612">
        <f t="shared" si="10"/>
        <v>1.323322462761663E-4</v>
      </c>
    </row>
    <row r="613" spans="1:9" x14ac:dyDescent="0.3">
      <c r="A613" s="5">
        <v>42528</v>
      </c>
      <c r="B613">
        <v>65.449996999999996</v>
      </c>
      <c r="C613">
        <v>65.739998</v>
      </c>
      <c r="D613">
        <v>65.040001000000004</v>
      </c>
      <c r="E613">
        <v>65.059997999999993</v>
      </c>
      <c r="F613">
        <v>52.315170000000002</v>
      </c>
      <c r="G613">
        <v>9924100</v>
      </c>
      <c r="I613">
        <f t="shared" si="10"/>
        <v>4.7900700885867098E-5</v>
      </c>
    </row>
    <row r="614" spans="1:9" x14ac:dyDescent="0.3">
      <c r="A614" s="5">
        <v>42529</v>
      </c>
      <c r="B614">
        <v>64.930000000000007</v>
      </c>
      <c r="C614">
        <v>65.480002999999996</v>
      </c>
      <c r="D614">
        <v>64.919998000000007</v>
      </c>
      <c r="E614">
        <v>65.25</v>
      </c>
      <c r="F614">
        <v>52.467948999999997</v>
      </c>
      <c r="G614">
        <v>9428000</v>
      </c>
      <c r="I614">
        <f t="shared" si="10"/>
        <v>3.0461894728662614E-5</v>
      </c>
    </row>
    <row r="615" spans="1:9" x14ac:dyDescent="0.3">
      <c r="A615" s="5">
        <v>42530</v>
      </c>
      <c r="B615">
        <v>64.790001000000004</v>
      </c>
      <c r="C615">
        <v>64.900002000000001</v>
      </c>
      <c r="D615">
        <v>64.269997000000004</v>
      </c>
      <c r="E615">
        <v>64.75</v>
      </c>
      <c r="F615">
        <v>52.065899000000002</v>
      </c>
      <c r="G615">
        <v>10817800</v>
      </c>
      <c r="I615">
        <f t="shared" si="10"/>
        <v>6.3885964417542438E-5</v>
      </c>
    </row>
    <row r="616" spans="1:9" x14ac:dyDescent="0.3">
      <c r="A616" s="5">
        <v>42531</v>
      </c>
      <c r="B616">
        <v>63.93</v>
      </c>
      <c r="C616">
        <v>64.069999999999993</v>
      </c>
      <c r="D616">
        <v>63.580002</v>
      </c>
      <c r="E616">
        <v>63.84</v>
      </c>
      <c r="F616">
        <v>51.334164000000001</v>
      </c>
      <c r="G616">
        <v>16678400</v>
      </c>
      <c r="I616">
        <f t="shared" si="10"/>
        <v>3.0270346519520096E-5</v>
      </c>
    </row>
    <row r="617" spans="1:9" x14ac:dyDescent="0.3">
      <c r="A617" s="5">
        <v>42534</v>
      </c>
      <c r="B617">
        <v>63.48</v>
      </c>
      <c r="C617">
        <v>64.339995999999999</v>
      </c>
      <c r="D617">
        <v>63.259998000000003</v>
      </c>
      <c r="E617">
        <v>63.27</v>
      </c>
      <c r="F617">
        <v>50.875816</v>
      </c>
      <c r="G617">
        <v>14314900</v>
      </c>
      <c r="I617">
        <f t="shared" si="10"/>
        <v>2.2621781932251377E-4</v>
      </c>
    </row>
    <row r="618" spans="1:9" x14ac:dyDescent="0.3">
      <c r="A618" s="5">
        <v>42535</v>
      </c>
      <c r="B618">
        <v>62.68</v>
      </c>
      <c r="C618">
        <v>63.470001000000003</v>
      </c>
      <c r="D618">
        <v>61.68</v>
      </c>
      <c r="E618">
        <v>62.080002</v>
      </c>
      <c r="F618">
        <v>49.918930000000003</v>
      </c>
      <c r="G618">
        <v>19509300</v>
      </c>
      <c r="I618">
        <f t="shared" si="10"/>
        <v>3.8130714965800859E-4</v>
      </c>
    </row>
    <row r="619" spans="1:9" x14ac:dyDescent="0.3">
      <c r="A619" s="5">
        <v>42536</v>
      </c>
      <c r="B619">
        <v>62.41</v>
      </c>
      <c r="C619">
        <v>62.98</v>
      </c>
      <c r="D619">
        <v>61.91</v>
      </c>
      <c r="E619">
        <v>61.970001000000003</v>
      </c>
      <c r="F619">
        <v>49.830475</v>
      </c>
      <c r="G619">
        <v>16982100</v>
      </c>
      <c r="I619">
        <f t="shared" si="10"/>
        <v>1.5477566081264775E-4</v>
      </c>
    </row>
    <row r="620" spans="1:9" x14ac:dyDescent="0.3">
      <c r="A620" s="5">
        <v>42537</v>
      </c>
      <c r="B620">
        <v>61.450001</v>
      </c>
      <c r="C620">
        <v>62.299999</v>
      </c>
      <c r="D620">
        <v>60.900002000000001</v>
      </c>
      <c r="E620">
        <v>62.220001000000003</v>
      </c>
      <c r="F620">
        <v>50.031509</v>
      </c>
      <c r="G620">
        <v>16791200</v>
      </c>
      <c r="I620">
        <f t="shared" si="10"/>
        <v>2.1044050978502655E-4</v>
      </c>
    </row>
    <row r="621" spans="1:9" x14ac:dyDescent="0.3">
      <c r="A621" s="5">
        <v>42538</v>
      </c>
      <c r="B621">
        <v>62.299999</v>
      </c>
      <c r="C621">
        <v>62.709999000000003</v>
      </c>
      <c r="D621">
        <v>61.93</v>
      </c>
      <c r="E621">
        <v>62.279998999999997</v>
      </c>
      <c r="F621">
        <v>50.079746</v>
      </c>
      <c r="G621">
        <v>15751500</v>
      </c>
      <c r="I621">
        <f t="shared" si="10"/>
        <v>7.8702785853680571E-5</v>
      </c>
    </row>
    <row r="622" spans="1:9" x14ac:dyDescent="0.3">
      <c r="A622" s="5">
        <v>42541</v>
      </c>
      <c r="B622">
        <v>63.450001</v>
      </c>
      <c r="C622">
        <v>63.849997999999999</v>
      </c>
      <c r="D622">
        <v>62.34</v>
      </c>
      <c r="E622">
        <v>62.369999</v>
      </c>
      <c r="F622">
        <v>50.152118999999999</v>
      </c>
      <c r="G622">
        <v>12213200</v>
      </c>
      <c r="I622">
        <f t="shared" si="10"/>
        <v>1.5587238658748315E-4</v>
      </c>
    </row>
    <row r="623" spans="1:9" x14ac:dyDescent="0.3">
      <c r="A623" s="5">
        <v>42542</v>
      </c>
      <c r="B623">
        <v>62.73</v>
      </c>
      <c r="C623">
        <v>63</v>
      </c>
      <c r="D623">
        <v>62.139999000000003</v>
      </c>
      <c r="E623">
        <v>62.950001</v>
      </c>
      <c r="F623">
        <v>50.618496</v>
      </c>
      <c r="G623">
        <v>11611600</v>
      </c>
      <c r="I623">
        <f t="shared" si="10"/>
        <v>1.2579474084759701E-4</v>
      </c>
    </row>
    <row r="624" spans="1:9" x14ac:dyDescent="0.3">
      <c r="A624" s="5">
        <v>42543</v>
      </c>
      <c r="B624">
        <v>62.950001</v>
      </c>
      <c r="C624">
        <v>63.709999000000003</v>
      </c>
      <c r="D624">
        <v>62.68</v>
      </c>
      <c r="E624">
        <v>62.709999000000003</v>
      </c>
      <c r="F624">
        <v>50.425517999999997</v>
      </c>
      <c r="G624">
        <v>12643500</v>
      </c>
      <c r="I624">
        <f t="shared" si="10"/>
        <v>1.9191583987249528E-4</v>
      </c>
    </row>
    <row r="625" spans="1:9" x14ac:dyDescent="0.3">
      <c r="A625" s="5">
        <v>42544</v>
      </c>
      <c r="B625">
        <v>63.700001</v>
      </c>
      <c r="C625">
        <v>64.150002000000001</v>
      </c>
      <c r="D625">
        <v>63.529998999999997</v>
      </c>
      <c r="E625">
        <v>64.050003000000004</v>
      </c>
      <c r="F625">
        <v>51.503025000000001</v>
      </c>
      <c r="G625">
        <v>16583600</v>
      </c>
      <c r="I625">
        <f t="shared" si="10"/>
        <v>3.2766702509612729E-5</v>
      </c>
    </row>
    <row r="626" spans="1:9" x14ac:dyDescent="0.3">
      <c r="A626" s="5">
        <v>42545</v>
      </c>
      <c r="B626">
        <v>60.48</v>
      </c>
      <c r="C626">
        <v>61.700001</v>
      </c>
      <c r="D626">
        <v>59.34</v>
      </c>
      <c r="E626">
        <v>59.599997999999999</v>
      </c>
      <c r="F626">
        <v>47.924731999999999</v>
      </c>
      <c r="G626">
        <v>44108700</v>
      </c>
      <c r="I626">
        <f t="shared" si="10"/>
        <v>7.7476524675476719E-4</v>
      </c>
    </row>
    <row r="627" spans="1:9" x14ac:dyDescent="0.3">
      <c r="A627" s="5">
        <v>42548</v>
      </c>
      <c r="B627">
        <v>58.709999000000003</v>
      </c>
      <c r="C627">
        <v>58.75</v>
      </c>
      <c r="D627">
        <v>57.049999</v>
      </c>
      <c r="E627">
        <v>57.610000999999997</v>
      </c>
      <c r="F627">
        <v>46.324570000000001</v>
      </c>
      <c r="G627">
        <v>37300700</v>
      </c>
      <c r="I627">
        <f t="shared" si="10"/>
        <v>2.935153634331713E-4</v>
      </c>
    </row>
    <row r="628" spans="1:9" x14ac:dyDescent="0.3">
      <c r="A628" s="5">
        <v>42549</v>
      </c>
      <c r="B628">
        <v>59.189999</v>
      </c>
      <c r="C628">
        <v>59.549999</v>
      </c>
      <c r="D628">
        <v>58.259998000000003</v>
      </c>
      <c r="E628">
        <v>59.52</v>
      </c>
      <c r="F628">
        <v>47.860424000000002</v>
      </c>
      <c r="G628">
        <v>29088700</v>
      </c>
      <c r="I628">
        <f t="shared" si="10"/>
        <v>3.4191185453158875E-4</v>
      </c>
    </row>
    <row r="629" spans="1:9" x14ac:dyDescent="0.3">
      <c r="A629" s="5">
        <v>42550</v>
      </c>
      <c r="B629">
        <v>60.360000999999997</v>
      </c>
      <c r="C629">
        <v>61.209999000000003</v>
      </c>
      <c r="D629">
        <v>60</v>
      </c>
      <c r="E629">
        <v>61.200001</v>
      </c>
      <c r="F629">
        <v>49.211319000000003</v>
      </c>
      <c r="G629">
        <v>21483000</v>
      </c>
      <c r="I629">
        <f t="shared" si="10"/>
        <v>1.2074547039666964E-4</v>
      </c>
    </row>
    <row r="630" spans="1:9" x14ac:dyDescent="0.3">
      <c r="A630" s="5">
        <v>42551</v>
      </c>
      <c r="B630">
        <v>61.630001</v>
      </c>
      <c r="C630">
        <v>62.189999</v>
      </c>
      <c r="D630">
        <v>61.02</v>
      </c>
      <c r="E630">
        <v>62.139999000000003</v>
      </c>
      <c r="F630">
        <v>49.967182000000001</v>
      </c>
      <c r="G630">
        <v>21343600</v>
      </c>
      <c r="I630">
        <f t="shared" si="10"/>
        <v>1.8819529491644315E-4</v>
      </c>
    </row>
    <row r="631" spans="1:9" x14ac:dyDescent="0.3">
      <c r="A631" s="5">
        <v>42552</v>
      </c>
      <c r="B631">
        <v>61.66</v>
      </c>
      <c r="C631">
        <v>62.009998000000003</v>
      </c>
      <c r="D631">
        <v>61.16</v>
      </c>
      <c r="E631">
        <v>61.259998000000003</v>
      </c>
      <c r="F631">
        <v>49.643017</v>
      </c>
      <c r="G631">
        <v>14217800</v>
      </c>
      <c r="I631">
        <f t="shared" si="10"/>
        <v>8.217813691655032E-5</v>
      </c>
    </row>
    <row r="632" spans="1:9" x14ac:dyDescent="0.3">
      <c r="A632" s="5">
        <v>42556</v>
      </c>
      <c r="B632">
        <v>60.450001</v>
      </c>
      <c r="C632">
        <v>60.599997999999999</v>
      </c>
      <c r="D632">
        <v>59.099997999999999</v>
      </c>
      <c r="E632">
        <v>59.549999</v>
      </c>
      <c r="F632">
        <v>48.257297999999999</v>
      </c>
      <c r="G632">
        <v>23357700</v>
      </c>
      <c r="I632">
        <f t="shared" si="10"/>
        <v>2.1463791200335464E-4</v>
      </c>
    </row>
    <row r="633" spans="1:9" x14ac:dyDescent="0.3">
      <c r="A633" s="5">
        <v>42557</v>
      </c>
      <c r="B633">
        <v>59.009998000000003</v>
      </c>
      <c r="C633">
        <v>60.290000999999997</v>
      </c>
      <c r="D633">
        <v>58.759998000000003</v>
      </c>
      <c r="E633">
        <v>60.189999</v>
      </c>
      <c r="F633">
        <v>48.775931999999997</v>
      </c>
      <c r="G633">
        <v>20429800</v>
      </c>
      <c r="I633">
        <f t="shared" si="10"/>
        <v>1.3770813312107705E-4</v>
      </c>
    </row>
    <row r="634" spans="1:9" x14ac:dyDescent="0.3">
      <c r="A634" s="5">
        <v>42558</v>
      </c>
      <c r="B634">
        <v>60.52</v>
      </c>
      <c r="C634">
        <v>61.139999000000003</v>
      </c>
      <c r="D634">
        <v>60.16</v>
      </c>
      <c r="E634">
        <v>60.580002</v>
      </c>
      <c r="F634">
        <v>49.09198</v>
      </c>
      <c r="G634">
        <v>13771400</v>
      </c>
      <c r="I634">
        <f t="shared" si="10"/>
        <v>1.3529294546911743E-4</v>
      </c>
    </row>
    <row r="635" spans="1:9" x14ac:dyDescent="0.3">
      <c r="A635" s="5">
        <v>42559</v>
      </c>
      <c r="B635">
        <v>61.330002</v>
      </c>
      <c r="C635">
        <v>62.169998</v>
      </c>
      <c r="D635">
        <v>61.330002</v>
      </c>
      <c r="E635">
        <v>61.830002</v>
      </c>
      <c r="F635">
        <v>50.104950000000002</v>
      </c>
      <c r="G635">
        <v>16998800</v>
      </c>
      <c r="I635">
        <f t="shared" si="10"/>
        <v>7.4598511136917303E-5</v>
      </c>
    </row>
    <row r="636" spans="1:9" x14ac:dyDescent="0.3">
      <c r="A636" s="5">
        <v>42562</v>
      </c>
      <c r="B636">
        <v>62.419998</v>
      </c>
      <c r="C636">
        <v>62.950001</v>
      </c>
      <c r="D636">
        <v>62.139999000000003</v>
      </c>
      <c r="E636">
        <v>62.27</v>
      </c>
      <c r="F636">
        <v>50.461491000000002</v>
      </c>
      <c r="G636">
        <v>13151400</v>
      </c>
      <c r="I636">
        <f t="shared" si="10"/>
        <v>1.0122631814618557E-4</v>
      </c>
    </row>
    <row r="637" spans="1:9" x14ac:dyDescent="0.3">
      <c r="A637" s="5">
        <v>42563</v>
      </c>
      <c r="B637">
        <v>63.029998999999997</v>
      </c>
      <c r="C637">
        <v>63.560001</v>
      </c>
      <c r="D637">
        <v>62.889999000000003</v>
      </c>
      <c r="E637">
        <v>63.200001</v>
      </c>
      <c r="F637">
        <v>51.215130000000002</v>
      </c>
      <c r="G637">
        <v>16588100</v>
      </c>
      <c r="I637">
        <f t="shared" si="10"/>
        <v>5.849619335495713E-5</v>
      </c>
    </row>
    <row r="638" spans="1:9" x14ac:dyDescent="0.3">
      <c r="A638" s="5">
        <v>42564</v>
      </c>
      <c r="B638">
        <v>63.080002</v>
      </c>
      <c r="C638">
        <v>63.43</v>
      </c>
      <c r="D638">
        <v>62.639999000000003</v>
      </c>
      <c r="E638">
        <v>63.16</v>
      </c>
      <c r="F638">
        <v>51.182720000000003</v>
      </c>
      <c r="G638">
        <v>18526900</v>
      </c>
      <c r="I638">
        <f t="shared" si="10"/>
        <v>8.1471054836289189E-5</v>
      </c>
    </row>
    <row r="639" spans="1:9" x14ac:dyDescent="0.3">
      <c r="A639" s="5">
        <v>42565</v>
      </c>
      <c r="B639">
        <v>64.739998</v>
      </c>
      <c r="C639">
        <v>64.980002999999996</v>
      </c>
      <c r="D639">
        <v>64.050003000000004</v>
      </c>
      <c r="E639">
        <v>64.120002999999997</v>
      </c>
      <c r="F639">
        <v>51.960673999999997</v>
      </c>
      <c r="G639">
        <v>28985900</v>
      </c>
      <c r="I639">
        <f t="shared" si="10"/>
        <v>6.1004770449656189E-5</v>
      </c>
    </row>
    <row r="640" spans="1:9" x14ac:dyDescent="0.3">
      <c r="A640" s="5">
        <v>42566</v>
      </c>
      <c r="B640">
        <v>64.75</v>
      </c>
      <c r="C640">
        <v>64.800003000000004</v>
      </c>
      <c r="D640">
        <v>63.610000999999997</v>
      </c>
      <c r="E640">
        <v>64.180000000000007</v>
      </c>
      <c r="F640">
        <v>52.009295999999999</v>
      </c>
      <c r="G640">
        <v>17607100</v>
      </c>
      <c r="I640">
        <f t="shared" si="10"/>
        <v>1.6588394379307817E-4</v>
      </c>
    </row>
    <row r="641" spans="1:9" x14ac:dyDescent="0.3">
      <c r="A641" s="5">
        <v>42569</v>
      </c>
      <c r="B641">
        <v>64.129997000000003</v>
      </c>
      <c r="C641">
        <v>64.400002000000001</v>
      </c>
      <c r="D641">
        <v>63.900002000000001</v>
      </c>
      <c r="E641">
        <v>63.959999000000003</v>
      </c>
      <c r="F641">
        <v>51.831012999999999</v>
      </c>
      <c r="G641">
        <v>10824400</v>
      </c>
      <c r="I641">
        <f t="shared" si="10"/>
        <v>3.2175984172176138E-5</v>
      </c>
    </row>
    <row r="642" spans="1:9" x14ac:dyDescent="0.3">
      <c r="A642" s="5">
        <v>42570</v>
      </c>
      <c r="B642">
        <v>63.610000999999997</v>
      </c>
      <c r="C642">
        <v>64.099997999999999</v>
      </c>
      <c r="D642">
        <v>63.459999000000003</v>
      </c>
      <c r="E642">
        <v>63.860000999999997</v>
      </c>
      <c r="F642">
        <v>51.749980999999998</v>
      </c>
      <c r="G642">
        <v>9737400</v>
      </c>
      <c r="I642">
        <f t="shared" si="10"/>
        <v>4.3619550381214118E-5</v>
      </c>
    </row>
    <row r="643" spans="1:9" x14ac:dyDescent="0.3">
      <c r="A643" s="5">
        <v>42571</v>
      </c>
      <c r="B643">
        <v>64.110000999999997</v>
      </c>
      <c r="C643">
        <v>64.230002999999996</v>
      </c>
      <c r="D643">
        <v>63.709999000000003</v>
      </c>
      <c r="E643">
        <v>63.93</v>
      </c>
      <c r="F643">
        <v>51.806702000000001</v>
      </c>
      <c r="G643">
        <v>10411100</v>
      </c>
      <c r="I643">
        <f t="shared" si="10"/>
        <v>3.0330694808762279E-5</v>
      </c>
    </row>
    <row r="644" spans="1:9" x14ac:dyDescent="0.3">
      <c r="A644" s="5">
        <v>42572</v>
      </c>
      <c r="B644">
        <v>64</v>
      </c>
      <c r="C644">
        <v>64.180000000000007</v>
      </c>
      <c r="D644">
        <v>63.630001</v>
      </c>
      <c r="E644">
        <v>63.689999</v>
      </c>
      <c r="F644">
        <v>51.612209</v>
      </c>
      <c r="G644">
        <v>9808700</v>
      </c>
      <c r="I644">
        <f t="shared" si="10"/>
        <v>2.6989473373845529E-5</v>
      </c>
    </row>
    <row r="645" spans="1:9" x14ac:dyDescent="0.3">
      <c r="A645" s="5">
        <v>42573</v>
      </c>
      <c r="B645">
        <v>63.900002000000001</v>
      </c>
      <c r="C645">
        <v>64.089995999999999</v>
      </c>
      <c r="D645">
        <v>63.599997999999999</v>
      </c>
      <c r="E645">
        <v>64.040001000000004</v>
      </c>
      <c r="F645">
        <v>51.895851</v>
      </c>
      <c r="G645">
        <v>8195700</v>
      </c>
      <c r="I645">
        <f t="shared" si="10"/>
        <v>3.476189372191575E-5</v>
      </c>
    </row>
    <row r="646" spans="1:9" x14ac:dyDescent="0.3">
      <c r="A646" s="5">
        <v>42576</v>
      </c>
      <c r="B646">
        <v>63.98</v>
      </c>
      <c r="C646">
        <v>64.169998000000007</v>
      </c>
      <c r="D646">
        <v>63.68</v>
      </c>
      <c r="E646">
        <v>63.869999</v>
      </c>
      <c r="F646">
        <v>51.75808</v>
      </c>
      <c r="G646">
        <v>8168300</v>
      </c>
      <c r="I646">
        <f t="shared" si="10"/>
        <v>2.7897496031104298E-5</v>
      </c>
    </row>
    <row r="647" spans="1:9" x14ac:dyDescent="0.3">
      <c r="A647" s="5">
        <v>42577</v>
      </c>
      <c r="B647">
        <v>63.98</v>
      </c>
      <c r="C647">
        <v>64.260002</v>
      </c>
      <c r="D647">
        <v>63.709999000000003</v>
      </c>
      <c r="E647">
        <v>64.129997000000003</v>
      </c>
      <c r="F647">
        <v>51.968772999999999</v>
      </c>
      <c r="G647">
        <v>8067800</v>
      </c>
      <c r="I647">
        <f t="shared" si="10"/>
        <v>3.6631171710843293E-5</v>
      </c>
    </row>
    <row r="648" spans="1:9" x14ac:dyDescent="0.3">
      <c r="A648" s="5">
        <v>42578</v>
      </c>
      <c r="B648">
        <v>64.080001999999993</v>
      </c>
      <c r="C648">
        <v>64.690002000000007</v>
      </c>
      <c r="D648">
        <v>64.059997999999993</v>
      </c>
      <c r="E648">
        <v>64.330001999999993</v>
      </c>
      <c r="F648">
        <v>52.130844000000003</v>
      </c>
      <c r="G648">
        <v>11806800</v>
      </c>
      <c r="I648">
        <f t="shared" si="10"/>
        <v>5.4185105740655974E-5</v>
      </c>
    </row>
    <row r="649" spans="1:9" x14ac:dyDescent="0.3">
      <c r="A649" s="5">
        <v>42579</v>
      </c>
      <c r="B649">
        <v>64</v>
      </c>
      <c r="C649">
        <v>64.190002000000007</v>
      </c>
      <c r="D649">
        <v>63.720001000000003</v>
      </c>
      <c r="E649">
        <v>64.099997999999999</v>
      </c>
      <c r="F649">
        <v>51.944465999999998</v>
      </c>
      <c r="G649">
        <v>10013400</v>
      </c>
      <c r="I649">
        <f t="shared" si="10"/>
        <v>3.0229417651934861E-5</v>
      </c>
    </row>
    <row r="650" spans="1:9" x14ac:dyDescent="0.3">
      <c r="A650" s="5">
        <v>42580</v>
      </c>
      <c r="B650">
        <v>63.799999</v>
      </c>
      <c r="C650">
        <v>64.290001000000004</v>
      </c>
      <c r="D650">
        <v>63.75</v>
      </c>
      <c r="E650">
        <v>63.970001000000003</v>
      </c>
      <c r="F650">
        <v>51.839123000000001</v>
      </c>
      <c r="G650">
        <v>13210400</v>
      </c>
      <c r="I650">
        <f t="shared" si="10"/>
        <v>4.0878117355766324E-5</v>
      </c>
    </row>
    <row r="651" spans="1:9" x14ac:dyDescent="0.3">
      <c r="A651" s="5">
        <v>42583</v>
      </c>
      <c r="B651">
        <v>64.150002000000001</v>
      </c>
      <c r="C651">
        <v>64.309997999999993</v>
      </c>
      <c r="D651">
        <v>63.610000999999997</v>
      </c>
      <c r="E651">
        <v>63.799999</v>
      </c>
      <c r="F651">
        <v>51.701355</v>
      </c>
      <c r="G651">
        <v>11422600</v>
      </c>
      <c r="I651">
        <f t="shared" si="10"/>
        <v>4.5045117927275611E-5</v>
      </c>
    </row>
    <row r="652" spans="1:9" x14ac:dyDescent="0.3">
      <c r="A652" s="5">
        <v>42584</v>
      </c>
      <c r="B652">
        <v>63.59</v>
      </c>
      <c r="C652">
        <v>64.010002</v>
      </c>
      <c r="D652">
        <v>63.380001</v>
      </c>
      <c r="E652">
        <v>63.650002000000001</v>
      </c>
      <c r="F652">
        <v>51.579802999999998</v>
      </c>
      <c r="G652">
        <v>13550000</v>
      </c>
      <c r="I652">
        <f t="shared" ref="I652:I715" si="11">LN(C652/B652)*(LN(C652/B652)-LN(E652/B652))+LN(D652/B652)*(LN(D652/B652)-LN(E652/B652))</f>
        <v>5.1190458032055348E-5</v>
      </c>
    </row>
    <row r="653" spans="1:9" x14ac:dyDescent="0.3">
      <c r="A653" s="5">
        <v>42585</v>
      </c>
      <c r="B653">
        <v>63.689999</v>
      </c>
      <c r="C653">
        <v>64.669998000000007</v>
      </c>
      <c r="D653">
        <v>63.650002000000001</v>
      </c>
      <c r="E653">
        <v>64.660004000000001</v>
      </c>
      <c r="F653">
        <v>52.398277</v>
      </c>
      <c r="G653">
        <v>13122300</v>
      </c>
      <c r="I653">
        <f t="shared" si="11"/>
        <v>1.2249889635480417E-5</v>
      </c>
    </row>
    <row r="654" spans="1:9" x14ac:dyDescent="0.3">
      <c r="A654" s="5">
        <v>42586</v>
      </c>
      <c r="B654">
        <v>64.489998</v>
      </c>
      <c r="C654">
        <v>64.819999999999993</v>
      </c>
      <c r="D654">
        <v>64.269997000000004</v>
      </c>
      <c r="E654">
        <v>64.559997999999993</v>
      </c>
      <c r="F654">
        <v>52.317230000000002</v>
      </c>
      <c r="G654">
        <v>9873000</v>
      </c>
      <c r="I654">
        <f t="shared" si="11"/>
        <v>3.5898885486135006E-5</v>
      </c>
    </row>
    <row r="655" spans="1:9" x14ac:dyDescent="0.3">
      <c r="A655" s="5">
        <v>42587</v>
      </c>
      <c r="B655">
        <v>65.139999000000003</v>
      </c>
      <c r="C655">
        <v>66.370002999999997</v>
      </c>
      <c r="D655">
        <v>65.069999999999993</v>
      </c>
      <c r="E655">
        <v>66.300003000000004</v>
      </c>
      <c r="F655">
        <v>53.727268000000002</v>
      </c>
      <c r="G655">
        <v>20752700</v>
      </c>
      <c r="I655">
        <f t="shared" si="11"/>
        <v>3.9873940980547892E-5</v>
      </c>
    </row>
    <row r="656" spans="1:9" x14ac:dyDescent="0.3">
      <c r="A656" s="5">
        <v>42590</v>
      </c>
      <c r="B656">
        <v>66.069999999999993</v>
      </c>
      <c r="C656">
        <v>66.489998</v>
      </c>
      <c r="D656">
        <v>65.839995999999999</v>
      </c>
      <c r="E656">
        <v>66.099997999999999</v>
      </c>
      <c r="F656">
        <v>53.565207999999998</v>
      </c>
      <c r="G656">
        <v>11359200</v>
      </c>
      <c r="I656">
        <f t="shared" si="11"/>
        <v>5.1022068565077133E-5</v>
      </c>
    </row>
    <row r="657" spans="1:9" x14ac:dyDescent="0.3">
      <c r="A657" s="5">
        <v>42591</v>
      </c>
      <c r="B657">
        <v>66.180000000000007</v>
      </c>
      <c r="C657">
        <v>66.279999000000004</v>
      </c>
      <c r="D657">
        <v>65.690002000000007</v>
      </c>
      <c r="E657">
        <v>65.870002999999997</v>
      </c>
      <c r="F657">
        <v>53.378819</v>
      </c>
      <c r="G657">
        <v>10097000</v>
      </c>
      <c r="I657">
        <f t="shared" si="11"/>
        <v>2.9704633898235422E-5</v>
      </c>
    </row>
    <row r="658" spans="1:9" x14ac:dyDescent="0.3">
      <c r="A658" s="5">
        <v>42592</v>
      </c>
      <c r="B658">
        <v>65.919998000000007</v>
      </c>
      <c r="C658">
        <v>66.069999999999993</v>
      </c>
      <c r="D658">
        <v>65.160004000000001</v>
      </c>
      <c r="E658">
        <v>65.279999000000004</v>
      </c>
      <c r="F658">
        <v>52.900688000000002</v>
      </c>
      <c r="G658">
        <v>11556100</v>
      </c>
      <c r="I658">
        <f t="shared" si="11"/>
        <v>4.8676212283976523E-5</v>
      </c>
    </row>
    <row r="659" spans="1:9" x14ac:dyDescent="0.3">
      <c r="A659" s="5">
        <v>42593</v>
      </c>
      <c r="B659">
        <v>65.269997000000004</v>
      </c>
      <c r="C659">
        <v>65.690002000000007</v>
      </c>
      <c r="D659">
        <v>65.019997000000004</v>
      </c>
      <c r="E659">
        <v>65.459998999999996</v>
      </c>
      <c r="F659">
        <v>53.046565999999999</v>
      </c>
      <c r="G659">
        <v>9604500</v>
      </c>
      <c r="I659">
        <f t="shared" si="11"/>
        <v>4.8380187140937533E-5</v>
      </c>
    </row>
    <row r="660" spans="1:9" x14ac:dyDescent="0.3">
      <c r="A660" s="5">
        <v>42594</v>
      </c>
      <c r="B660">
        <v>64.970000999999996</v>
      </c>
      <c r="C660">
        <v>65.349997999999999</v>
      </c>
      <c r="D660">
        <v>64.860000999999997</v>
      </c>
      <c r="E660">
        <v>65.319999999999993</v>
      </c>
      <c r="F660">
        <v>52.933112999999999</v>
      </c>
      <c r="G660">
        <v>7685400</v>
      </c>
      <c r="I660">
        <f t="shared" si="11"/>
        <v>1.4653064708798344E-5</v>
      </c>
    </row>
    <row r="661" spans="1:9" x14ac:dyDescent="0.3">
      <c r="A661" s="5">
        <v>42597</v>
      </c>
      <c r="B661">
        <v>65.559997999999993</v>
      </c>
      <c r="C661">
        <v>65.830001999999993</v>
      </c>
      <c r="D661">
        <v>65.459998999999996</v>
      </c>
      <c r="E661">
        <v>65.720000999999996</v>
      </c>
      <c r="F661">
        <v>53.257271000000003</v>
      </c>
      <c r="G661">
        <v>8371600</v>
      </c>
      <c r="I661">
        <f t="shared" si="11"/>
        <v>1.2924452106377469E-5</v>
      </c>
    </row>
    <row r="662" spans="1:9" x14ac:dyDescent="0.3">
      <c r="A662" s="5">
        <v>42598</v>
      </c>
      <c r="B662">
        <v>65.360000999999997</v>
      </c>
      <c r="C662">
        <v>65.959998999999996</v>
      </c>
      <c r="D662">
        <v>65.239998</v>
      </c>
      <c r="E662">
        <v>65.709998999999996</v>
      </c>
      <c r="F662">
        <v>53.249161000000001</v>
      </c>
      <c r="G662">
        <v>10128900</v>
      </c>
      <c r="I662">
        <f t="shared" si="11"/>
        <v>4.7892297112634369E-5</v>
      </c>
    </row>
    <row r="663" spans="1:9" x14ac:dyDescent="0.3">
      <c r="A663" s="5">
        <v>42599</v>
      </c>
      <c r="B663">
        <v>65.800003000000004</v>
      </c>
      <c r="C663">
        <v>65.980002999999996</v>
      </c>
      <c r="D663">
        <v>65.540001000000004</v>
      </c>
      <c r="E663">
        <v>65.889999000000003</v>
      </c>
      <c r="F663">
        <v>53.395020000000002</v>
      </c>
      <c r="G663">
        <v>11868100</v>
      </c>
      <c r="I663">
        <f t="shared" si="11"/>
        <v>2.4815936630886774E-5</v>
      </c>
    </row>
    <row r="664" spans="1:9" x14ac:dyDescent="0.3">
      <c r="A664" s="5">
        <v>42600</v>
      </c>
      <c r="B664">
        <v>65.620002999999997</v>
      </c>
      <c r="C664">
        <v>65.989998</v>
      </c>
      <c r="D664">
        <v>65.529999000000004</v>
      </c>
      <c r="E664">
        <v>65.949996999999996</v>
      </c>
      <c r="F664">
        <v>53.443641999999997</v>
      </c>
      <c r="G664">
        <v>9313600</v>
      </c>
      <c r="I664">
        <f t="shared" si="11"/>
        <v>1.2178127527391829E-5</v>
      </c>
    </row>
    <row r="665" spans="1:9" x14ac:dyDescent="0.3">
      <c r="A665" s="5">
        <v>42601</v>
      </c>
      <c r="B665">
        <v>65.720000999999996</v>
      </c>
      <c r="C665">
        <v>65.910004000000001</v>
      </c>
      <c r="D665">
        <v>65.220000999999996</v>
      </c>
      <c r="E665">
        <v>65.860000999999997</v>
      </c>
      <c r="F665">
        <v>53.370716000000002</v>
      </c>
      <c r="G665">
        <v>9084900</v>
      </c>
      <c r="I665">
        <f t="shared" si="11"/>
        <v>7.6768331072336966E-5</v>
      </c>
    </row>
    <row r="666" spans="1:9" x14ac:dyDescent="0.3">
      <c r="A666" s="5">
        <v>42604</v>
      </c>
      <c r="B666">
        <v>65.75</v>
      </c>
      <c r="C666">
        <v>65.879997000000003</v>
      </c>
      <c r="D666">
        <v>65.410004000000001</v>
      </c>
      <c r="E666">
        <v>65.800003000000004</v>
      </c>
      <c r="F666">
        <v>53.322082999999999</v>
      </c>
      <c r="G666">
        <v>9055600</v>
      </c>
      <c r="I666">
        <f t="shared" si="11"/>
        <v>3.3219702255897363E-5</v>
      </c>
    </row>
    <row r="667" spans="1:9" x14ac:dyDescent="0.3">
      <c r="A667" s="5">
        <v>42605</v>
      </c>
      <c r="B667">
        <v>66.069999999999993</v>
      </c>
      <c r="C667">
        <v>66.339995999999999</v>
      </c>
      <c r="D667">
        <v>65.760002</v>
      </c>
      <c r="E667">
        <v>65.769997000000004</v>
      </c>
      <c r="F667">
        <v>53.297767999999998</v>
      </c>
      <c r="G667">
        <v>8949600</v>
      </c>
      <c r="I667">
        <f t="shared" si="11"/>
        <v>3.5906305036700012E-5</v>
      </c>
    </row>
    <row r="668" spans="1:9" x14ac:dyDescent="0.3">
      <c r="A668" s="5">
        <v>42606</v>
      </c>
      <c r="B668">
        <v>65.989998</v>
      </c>
      <c r="C668">
        <v>66.230002999999996</v>
      </c>
      <c r="D668">
        <v>65.769997000000004</v>
      </c>
      <c r="E668">
        <v>65.949996999999996</v>
      </c>
      <c r="F668">
        <v>53.443641999999997</v>
      </c>
      <c r="G668">
        <v>10167200</v>
      </c>
      <c r="I668">
        <f t="shared" si="11"/>
        <v>2.4507929420020283E-5</v>
      </c>
    </row>
    <row r="669" spans="1:9" x14ac:dyDescent="0.3">
      <c r="A669" s="5">
        <v>42607</v>
      </c>
      <c r="B669">
        <v>65.910004000000001</v>
      </c>
      <c r="C669">
        <v>66.139999000000003</v>
      </c>
      <c r="D669">
        <v>65.790001000000004</v>
      </c>
      <c r="E669">
        <v>66.069999999999993</v>
      </c>
      <c r="F669">
        <v>53.540894000000002</v>
      </c>
      <c r="G669">
        <v>9978700</v>
      </c>
      <c r="I669">
        <f t="shared" si="11"/>
        <v>1.1428111369055667E-5</v>
      </c>
    </row>
    <row r="670" spans="1:9" x14ac:dyDescent="0.3">
      <c r="A670" s="5">
        <v>42608</v>
      </c>
      <c r="B670">
        <v>66.330001999999993</v>
      </c>
      <c r="C670">
        <v>66.879997000000003</v>
      </c>
      <c r="D670">
        <v>65.849997999999999</v>
      </c>
      <c r="E670">
        <v>66.220000999999996</v>
      </c>
      <c r="F670">
        <v>53.662449000000002</v>
      </c>
      <c r="G670">
        <v>14038600</v>
      </c>
      <c r="I670">
        <f t="shared" si="11"/>
        <v>1.2258903402815886E-4</v>
      </c>
    </row>
    <row r="671" spans="1:9" x14ac:dyDescent="0.3">
      <c r="A671" s="5">
        <v>42611</v>
      </c>
      <c r="B671">
        <v>66.489998</v>
      </c>
      <c r="C671">
        <v>67.099997999999999</v>
      </c>
      <c r="D671">
        <v>66.459998999999996</v>
      </c>
      <c r="E671">
        <v>66.949996999999996</v>
      </c>
      <c r="F671">
        <v>54.254016999999997</v>
      </c>
      <c r="G671">
        <v>14583100</v>
      </c>
      <c r="I671">
        <f t="shared" si="11"/>
        <v>2.3753400059383469E-5</v>
      </c>
    </row>
    <row r="672" spans="1:9" x14ac:dyDescent="0.3">
      <c r="A672" s="5">
        <v>42612</v>
      </c>
      <c r="B672">
        <v>66.949996999999996</v>
      </c>
      <c r="C672">
        <v>67.599997999999999</v>
      </c>
      <c r="D672">
        <v>66.949996999999996</v>
      </c>
      <c r="E672">
        <v>67.5</v>
      </c>
      <c r="F672">
        <v>54.699706999999997</v>
      </c>
      <c r="G672">
        <v>13791200</v>
      </c>
      <c r="I672">
        <f t="shared" si="11"/>
        <v>1.43030863130147E-5</v>
      </c>
    </row>
    <row r="673" spans="1:9" x14ac:dyDescent="0.3">
      <c r="A673" s="5">
        <v>42613</v>
      </c>
      <c r="B673">
        <v>67.459998999999996</v>
      </c>
      <c r="C673">
        <v>67.769997000000004</v>
      </c>
      <c r="D673">
        <v>66.860000999999997</v>
      </c>
      <c r="E673">
        <v>67.5</v>
      </c>
      <c r="F673">
        <v>54.699706999999997</v>
      </c>
      <c r="G673">
        <v>14952300</v>
      </c>
      <c r="I673">
        <f t="shared" si="11"/>
        <v>1.034130388206493E-4</v>
      </c>
    </row>
    <row r="674" spans="1:9" x14ac:dyDescent="0.3">
      <c r="A674" s="5">
        <v>42614</v>
      </c>
      <c r="B674">
        <v>67.639999000000003</v>
      </c>
      <c r="C674">
        <v>67.720000999999996</v>
      </c>
      <c r="D674">
        <v>66.650002000000001</v>
      </c>
      <c r="E674">
        <v>67.209998999999996</v>
      </c>
      <c r="F674">
        <v>54.464699000000003</v>
      </c>
      <c r="G674">
        <v>12226500</v>
      </c>
      <c r="I674">
        <f t="shared" si="11"/>
        <v>1.323018483871284E-4</v>
      </c>
    </row>
    <row r="675" spans="1:9" x14ac:dyDescent="0.3">
      <c r="A675" s="5">
        <v>42615</v>
      </c>
      <c r="B675">
        <v>67.400002000000001</v>
      </c>
      <c r="C675">
        <v>67.580001999999993</v>
      </c>
      <c r="D675">
        <v>66.980002999999996</v>
      </c>
      <c r="E675">
        <v>67.489998</v>
      </c>
      <c r="F675">
        <v>54.691611999999999</v>
      </c>
      <c r="G675">
        <v>13720700</v>
      </c>
      <c r="I675">
        <f t="shared" si="11"/>
        <v>5.0969601535573203E-5</v>
      </c>
    </row>
    <row r="676" spans="1:9" x14ac:dyDescent="0.3">
      <c r="A676" s="5">
        <v>42619</v>
      </c>
      <c r="B676">
        <v>67.5</v>
      </c>
      <c r="C676">
        <v>67.550003000000004</v>
      </c>
      <c r="D676">
        <v>66.709998999999996</v>
      </c>
      <c r="E676">
        <v>67.440002000000007</v>
      </c>
      <c r="F676">
        <v>54.6511</v>
      </c>
      <c r="G676">
        <v>16649400</v>
      </c>
      <c r="I676">
        <f t="shared" si="11"/>
        <v>1.2933544317775711E-4</v>
      </c>
    </row>
    <row r="677" spans="1:9" x14ac:dyDescent="0.3">
      <c r="A677" s="5">
        <v>42620</v>
      </c>
      <c r="B677">
        <v>67.160004000000001</v>
      </c>
      <c r="C677">
        <v>67.589995999999999</v>
      </c>
      <c r="D677">
        <v>66.959998999999996</v>
      </c>
      <c r="E677">
        <v>67.160004000000001</v>
      </c>
      <c r="F677">
        <v>54.424197999999997</v>
      </c>
      <c r="G677">
        <v>10070400</v>
      </c>
      <c r="I677">
        <f t="shared" si="11"/>
        <v>4.9626290443105942E-5</v>
      </c>
    </row>
    <row r="678" spans="1:9" x14ac:dyDescent="0.3">
      <c r="A678" s="5">
        <v>42621</v>
      </c>
      <c r="B678">
        <v>67.220000999999996</v>
      </c>
      <c r="C678">
        <v>67.680000000000007</v>
      </c>
      <c r="D678">
        <v>67</v>
      </c>
      <c r="E678">
        <v>67.25</v>
      </c>
      <c r="F678">
        <v>54.497115999999998</v>
      </c>
      <c r="G678">
        <v>12253000</v>
      </c>
      <c r="I678">
        <f t="shared" si="11"/>
        <v>5.5677226816915384E-5</v>
      </c>
    </row>
    <row r="679" spans="1:9" x14ac:dyDescent="0.3">
      <c r="A679" s="5">
        <v>42622</v>
      </c>
      <c r="B679">
        <v>67.029999000000004</v>
      </c>
      <c r="C679">
        <v>67.430000000000007</v>
      </c>
      <c r="D679">
        <v>66.639999000000003</v>
      </c>
      <c r="E679">
        <v>66.650002000000001</v>
      </c>
      <c r="F679">
        <v>54.010891000000001</v>
      </c>
      <c r="G679">
        <v>19686900</v>
      </c>
      <c r="I679">
        <f t="shared" si="11"/>
        <v>7.0100945144472231E-5</v>
      </c>
    </row>
    <row r="680" spans="1:9" x14ac:dyDescent="0.3">
      <c r="A680" s="5">
        <v>42625</v>
      </c>
      <c r="B680">
        <v>66.139999000000003</v>
      </c>
      <c r="C680">
        <v>67.300003000000004</v>
      </c>
      <c r="D680">
        <v>65.760002</v>
      </c>
      <c r="E680">
        <v>67.059997999999993</v>
      </c>
      <c r="F680">
        <v>54.343147000000002</v>
      </c>
      <c r="G680">
        <v>16453000</v>
      </c>
      <c r="I680">
        <f t="shared" si="11"/>
        <v>1.7490957779517629E-4</v>
      </c>
    </row>
    <row r="681" spans="1:9" x14ac:dyDescent="0.3">
      <c r="A681" s="5">
        <v>42626</v>
      </c>
      <c r="B681">
        <v>66.110000999999997</v>
      </c>
      <c r="C681">
        <v>66.860000999999997</v>
      </c>
      <c r="D681">
        <v>65.819999999999993</v>
      </c>
      <c r="E681">
        <v>66.529999000000004</v>
      </c>
      <c r="F681">
        <v>53.913646999999997</v>
      </c>
      <c r="G681">
        <v>18876100</v>
      </c>
      <c r="I681">
        <f t="shared" si="11"/>
        <v>1.0298575778972377E-4</v>
      </c>
    </row>
    <row r="682" spans="1:9" x14ac:dyDescent="0.3">
      <c r="A682" s="5">
        <v>42627</v>
      </c>
      <c r="B682">
        <v>66.269997000000004</v>
      </c>
      <c r="C682">
        <v>67.25</v>
      </c>
      <c r="D682">
        <v>66.209998999999996</v>
      </c>
      <c r="E682">
        <v>66.400002000000001</v>
      </c>
      <c r="F682">
        <v>53.808292000000002</v>
      </c>
      <c r="G682">
        <v>12648600</v>
      </c>
      <c r="I682">
        <f t="shared" si="11"/>
        <v>1.8932107668314101E-4</v>
      </c>
    </row>
    <row r="683" spans="1:9" x14ac:dyDescent="0.3">
      <c r="A683" s="5">
        <v>42628</v>
      </c>
      <c r="B683">
        <v>66.290001000000004</v>
      </c>
      <c r="C683">
        <v>66.930000000000007</v>
      </c>
      <c r="D683">
        <v>66.089995999999999</v>
      </c>
      <c r="E683">
        <v>66.639999000000003</v>
      </c>
      <c r="F683">
        <v>54.002791999999999</v>
      </c>
      <c r="G683">
        <v>12531300</v>
      </c>
      <c r="I683">
        <f t="shared" si="11"/>
        <v>6.6764412230366826E-5</v>
      </c>
    </row>
    <row r="684" spans="1:9" x14ac:dyDescent="0.3">
      <c r="A684" s="5">
        <v>42629</v>
      </c>
      <c r="B684">
        <v>66.089995999999999</v>
      </c>
      <c r="C684">
        <v>66.260002</v>
      </c>
      <c r="D684">
        <v>65.440002000000007</v>
      </c>
      <c r="E684">
        <v>65.819999999999993</v>
      </c>
      <c r="F684">
        <v>53.338303000000003</v>
      </c>
      <c r="G684">
        <v>25161500</v>
      </c>
      <c r="I684">
        <f t="shared" si="11"/>
        <v>7.4343318755358659E-5</v>
      </c>
    </row>
    <row r="685" spans="1:9" x14ac:dyDescent="0.3">
      <c r="A685" s="5">
        <v>42632</v>
      </c>
      <c r="B685">
        <v>66.150002000000001</v>
      </c>
      <c r="C685">
        <v>66.639999000000003</v>
      </c>
      <c r="D685">
        <v>65.849997999999999</v>
      </c>
      <c r="E685">
        <v>66.190002000000007</v>
      </c>
      <c r="F685">
        <v>53.638123</v>
      </c>
      <c r="G685">
        <v>13466900</v>
      </c>
      <c r="I685">
        <f t="shared" si="11"/>
        <v>7.3413606173084557E-5</v>
      </c>
    </row>
    <row r="686" spans="1:9" x14ac:dyDescent="0.3">
      <c r="A686" s="5">
        <v>42633</v>
      </c>
      <c r="B686">
        <v>66.75</v>
      </c>
      <c r="C686">
        <v>66.849997999999999</v>
      </c>
      <c r="D686">
        <v>66.239998</v>
      </c>
      <c r="E686">
        <v>66.459998999999996</v>
      </c>
      <c r="F686">
        <v>53.856934000000003</v>
      </c>
      <c r="G686">
        <v>10092200</v>
      </c>
      <c r="I686">
        <f t="shared" si="11"/>
        <v>3.41901822299048E-5</v>
      </c>
    </row>
    <row r="687" spans="1:9" x14ac:dyDescent="0.3">
      <c r="A687" s="5">
        <v>42634</v>
      </c>
      <c r="B687">
        <v>66.839995999999999</v>
      </c>
      <c r="C687">
        <v>67.129997000000003</v>
      </c>
      <c r="D687">
        <v>66.309997999999993</v>
      </c>
      <c r="E687">
        <v>66.839995999999999</v>
      </c>
      <c r="F687">
        <v>54.164870999999998</v>
      </c>
      <c r="G687">
        <v>14116800</v>
      </c>
      <c r="I687">
        <f t="shared" si="11"/>
        <v>8.212012888075895E-5</v>
      </c>
    </row>
    <row r="688" spans="1:9" x14ac:dyDescent="0.3">
      <c r="A688" s="5">
        <v>42635</v>
      </c>
      <c r="B688">
        <v>66.989998</v>
      </c>
      <c r="C688">
        <v>67.419998000000007</v>
      </c>
      <c r="D688">
        <v>66.839995999999999</v>
      </c>
      <c r="E688">
        <v>67.389999000000003</v>
      </c>
      <c r="F688">
        <v>54.610565000000001</v>
      </c>
      <c r="G688">
        <v>12781700</v>
      </c>
      <c r="I688">
        <f t="shared" si="11"/>
        <v>2.1218156341754805E-5</v>
      </c>
    </row>
    <row r="689" spans="1:9" x14ac:dyDescent="0.3">
      <c r="A689" s="5">
        <v>42636</v>
      </c>
      <c r="B689">
        <v>67.389999000000003</v>
      </c>
      <c r="C689">
        <v>67.900002000000001</v>
      </c>
      <c r="D689">
        <v>67.180000000000007</v>
      </c>
      <c r="E689">
        <v>67.25</v>
      </c>
      <c r="F689">
        <v>54.497115999999998</v>
      </c>
      <c r="G689">
        <v>13967400</v>
      </c>
      <c r="I689">
        <f t="shared" si="11"/>
        <v>7.5772573766368692E-5</v>
      </c>
    </row>
    <row r="690" spans="1:9" x14ac:dyDescent="0.3">
      <c r="A690" s="5">
        <v>42639</v>
      </c>
      <c r="B690">
        <v>66.599997999999999</v>
      </c>
      <c r="C690">
        <v>66.800003000000004</v>
      </c>
      <c r="D690">
        <v>65.540001000000004</v>
      </c>
      <c r="E690">
        <v>65.779999000000004</v>
      </c>
      <c r="F690">
        <v>53.305866000000002</v>
      </c>
      <c r="G690">
        <v>16408100</v>
      </c>
      <c r="I690">
        <f t="shared" si="11"/>
        <v>1.0478311202837409E-4</v>
      </c>
    </row>
    <row r="691" spans="1:9" x14ac:dyDescent="0.3">
      <c r="A691" s="5">
        <v>42640</v>
      </c>
      <c r="B691">
        <v>65.410004000000001</v>
      </c>
      <c r="C691">
        <v>66.410004000000001</v>
      </c>
      <c r="D691">
        <v>65.110000999999997</v>
      </c>
      <c r="E691">
        <v>66.360000999999997</v>
      </c>
      <c r="F691">
        <v>53.775894000000001</v>
      </c>
      <c r="G691">
        <v>13711400</v>
      </c>
      <c r="I691">
        <f t="shared" si="11"/>
        <v>9.8847312125099825E-5</v>
      </c>
    </row>
    <row r="692" spans="1:9" x14ac:dyDescent="0.3">
      <c r="A692" s="5">
        <v>42641</v>
      </c>
      <c r="B692">
        <v>66.580001999999993</v>
      </c>
      <c r="C692">
        <v>66.769997000000004</v>
      </c>
      <c r="D692">
        <v>65.989998</v>
      </c>
      <c r="E692">
        <v>66.709998999999996</v>
      </c>
      <c r="F692">
        <v>54.059517</v>
      </c>
      <c r="G692">
        <v>11278000</v>
      </c>
      <c r="I692">
        <f t="shared" si="11"/>
        <v>9.9153231996606446E-5</v>
      </c>
    </row>
    <row r="693" spans="1:9" x14ac:dyDescent="0.3">
      <c r="A693" s="5">
        <v>42642</v>
      </c>
      <c r="B693">
        <v>66.699996999999996</v>
      </c>
      <c r="C693">
        <v>67.209998999999996</v>
      </c>
      <c r="D693">
        <v>65.349997999999999</v>
      </c>
      <c r="E693">
        <v>65.650002000000001</v>
      </c>
      <c r="F693">
        <v>53.200522999999997</v>
      </c>
      <c r="G693">
        <v>18727200</v>
      </c>
      <c r="I693">
        <f t="shared" si="11"/>
        <v>2.7253764349119381E-4</v>
      </c>
    </row>
    <row r="694" spans="1:9" x14ac:dyDescent="0.3">
      <c r="A694" s="5">
        <v>42643</v>
      </c>
      <c r="B694">
        <v>66.080001999999993</v>
      </c>
      <c r="C694">
        <v>67.059997999999993</v>
      </c>
      <c r="D694">
        <v>66.080001999999993</v>
      </c>
      <c r="E694">
        <v>66.589995999999999</v>
      </c>
      <c r="F694">
        <v>53.962276000000003</v>
      </c>
      <c r="G694">
        <v>21680100</v>
      </c>
      <c r="I694">
        <f t="shared" si="11"/>
        <v>1.0354190186715907E-4</v>
      </c>
    </row>
    <row r="695" spans="1:9" x14ac:dyDescent="0.3">
      <c r="A695" s="5">
        <v>42646</v>
      </c>
      <c r="B695">
        <v>66.349997999999999</v>
      </c>
      <c r="C695">
        <v>66.919998000000007</v>
      </c>
      <c r="D695">
        <v>66.260002</v>
      </c>
      <c r="E695">
        <v>66.510002</v>
      </c>
      <c r="F695">
        <v>53.897452999999999</v>
      </c>
      <c r="G695">
        <v>14901700</v>
      </c>
      <c r="I695">
        <f t="shared" si="11"/>
        <v>5.7680840796263704E-5</v>
      </c>
    </row>
    <row r="696" spans="1:9" x14ac:dyDescent="0.3">
      <c r="A696" s="5">
        <v>42647</v>
      </c>
      <c r="B696">
        <v>66.209998999999996</v>
      </c>
      <c r="C696">
        <v>67.180000000000007</v>
      </c>
      <c r="D696">
        <v>66.099997999999999</v>
      </c>
      <c r="E696">
        <v>66.599997999999999</v>
      </c>
      <c r="F696">
        <v>54.362724</v>
      </c>
      <c r="G696">
        <v>17226900</v>
      </c>
      <c r="I696">
        <f t="shared" si="11"/>
        <v>1.3864274880995487E-4</v>
      </c>
    </row>
    <row r="697" spans="1:9" x14ac:dyDescent="0.3">
      <c r="A697" s="5">
        <v>42648</v>
      </c>
      <c r="B697">
        <v>66.889999000000003</v>
      </c>
      <c r="C697">
        <v>68.069999999999993</v>
      </c>
      <c r="D697">
        <v>66.800003000000004</v>
      </c>
      <c r="E697">
        <v>67.690002000000007</v>
      </c>
      <c r="F697">
        <v>55.252437999999998</v>
      </c>
      <c r="G697">
        <v>16280000</v>
      </c>
      <c r="I697">
        <f t="shared" si="11"/>
        <v>1.1571393547560249E-4</v>
      </c>
    </row>
    <row r="698" spans="1:9" x14ac:dyDescent="0.3">
      <c r="A698" s="5">
        <v>42649</v>
      </c>
      <c r="B698">
        <v>67.730002999999996</v>
      </c>
      <c r="C698">
        <v>67.970000999999996</v>
      </c>
      <c r="D698">
        <v>67.050003000000004</v>
      </c>
      <c r="E698">
        <v>67.870002999999997</v>
      </c>
      <c r="F698">
        <v>55.399368000000003</v>
      </c>
      <c r="G698">
        <v>17485000</v>
      </c>
      <c r="I698">
        <f t="shared" si="11"/>
        <v>1.278641012976654E-4</v>
      </c>
    </row>
    <row r="699" spans="1:9" x14ac:dyDescent="0.3">
      <c r="A699" s="5">
        <v>42650</v>
      </c>
      <c r="B699">
        <v>67.790001000000004</v>
      </c>
      <c r="C699">
        <v>68.180000000000007</v>
      </c>
      <c r="D699">
        <v>67.400002000000001</v>
      </c>
      <c r="E699">
        <v>68.110000999999997</v>
      </c>
      <c r="F699">
        <v>55.595264</v>
      </c>
      <c r="G699">
        <v>18497000</v>
      </c>
      <c r="I699">
        <f t="shared" si="11"/>
        <v>6.6352957536222802E-5</v>
      </c>
    </row>
    <row r="700" spans="1:9" x14ac:dyDescent="0.3">
      <c r="A700" s="5">
        <v>42653</v>
      </c>
      <c r="B700">
        <v>68.339995999999999</v>
      </c>
      <c r="C700">
        <v>69.059997999999993</v>
      </c>
      <c r="D700">
        <v>68.230002999999996</v>
      </c>
      <c r="E700">
        <v>68.639999000000003</v>
      </c>
      <c r="F700">
        <v>56.02787</v>
      </c>
      <c r="G700">
        <v>13027500</v>
      </c>
      <c r="I700">
        <f t="shared" si="11"/>
        <v>7.3583564132710398E-5</v>
      </c>
    </row>
    <row r="701" spans="1:9" x14ac:dyDescent="0.3">
      <c r="A701" s="5">
        <v>42654</v>
      </c>
      <c r="B701">
        <v>68.5</v>
      </c>
      <c r="C701">
        <v>68.819999999999993</v>
      </c>
      <c r="D701">
        <v>67.930000000000007</v>
      </c>
      <c r="E701">
        <v>68.309997999999993</v>
      </c>
      <c r="F701">
        <v>55.758495000000003</v>
      </c>
      <c r="G701">
        <v>15657100</v>
      </c>
      <c r="I701">
        <f t="shared" si="11"/>
        <v>8.1279980624391712E-5</v>
      </c>
    </row>
    <row r="702" spans="1:9" x14ac:dyDescent="0.3">
      <c r="A702" s="5">
        <v>42655</v>
      </c>
      <c r="B702">
        <v>68.260002</v>
      </c>
      <c r="C702">
        <v>68.589995999999999</v>
      </c>
      <c r="D702">
        <v>68.050003000000004</v>
      </c>
      <c r="E702">
        <v>68.129997000000003</v>
      </c>
      <c r="F702">
        <v>55.611584000000001</v>
      </c>
      <c r="G702">
        <v>11899800</v>
      </c>
      <c r="I702">
        <f t="shared" si="11"/>
        <v>3.6072409726803581E-5</v>
      </c>
    </row>
    <row r="703" spans="1:9" x14ac:dyDescent="0.3">
      <c r="A703" s="5">
        <v>42656</v>
      </c>
      <c r="B703">
        <v>67.459998999999996</v>
      </c>
      <c r="C703">
        <v>67.870002999999997</v>
      </c>
      <c r="D703">
        <v>66.819999999999993</v>
      </c>
      <c r="E703">
        <v>67.739998</v>
      </c>
      <c r="F703">
        <v>55.293232000000003</v>
      </c>
      <c r="G703">
        <v>17890000</v>
      </c>
      <c r="I703">
        <f t="shared" si="11"/>
        <v>1.4196716368285948E-4</v>
      </c>
    </row>
    <row r="704" spans="1:9" x14ac:dyDescent="0.3">
      <c r="A704" s="5">
        <v>42657</v>
      </c>
      <c r="B704">
        <v>68.800003000000004</v>
      </c>
      <c r="C704">
        <v>69.029999000000004</v>
      </c>
      <c r="D704">
        <v>67.300003000000004</v>
      </c>
      <c r="E704">
        <v>67.519997000000004</v>
      </c>
      <c r="F704">
        <v>55.113658999999998</v>
      </c>
      <c r="G704">
        <v>24163800</v>
      </c>
      <c r="I704">
        <f t="shared" si="11"/>
        <v>1.4575381945740697E-4</v>
      </c>
    </row>
    <row r="705" spans="1:9" x14ac:dyDescent="0.3">
      <c r="A705" s="5">
        <v>42660</v>
      </c>
      <c r="B705">
        <v>67.419998000000007</v>
      </c>
      <c r="C705">
        <v>67.790001000000004</v>
      </c>
      <c r="D705">
        <v>66.739998</v>
      </c>
      <c r="E705">
        <v>67.169998000000007</v>
      </c>
      <c r="F705">
        <v>54.827987999999998</v>
      </c>
      <c r="G705">
        <v>14963400</v>
      </c>
      <c r="I705">
        <f t="shared" si="11"/>
        <v>1.153900846126843E-4</v>
      </c>
    </row>
    <row r="706" spans="1:9" x14ac:dyDescent="0.3">
      <c r="A706" s="5">
        <v>42661</v>
      </c>
      <c r="B706">
        <v>67.849997999999999</v>
      </c>
      <c r="C706">
        <v>68.209998999999996</v>
      </c>
      <c r="D706">
        <v>67.540001000000004</v>
      </c>
      <c r="E706">
        <v>67.699996999999996</v>
      </c>
      <c r="F706">
        <v>55.260586000000004</v>
      </c>
      <c r="G706">
        <v>11870300</v>
      </c>
      <c r="I706">
        <f t="shared" si="11"/>
        <v>5.0550374194811403E-5</v>
      </c>
    </row>
    <row r="707" spans="1:9" x14ac:dyDescent="0.3">
      <c r="A707" s="5">
        <v>42662</v>
      </c>
      <c r="B707">
        <v>67.809997999999993</v>
      </c>
      <c r="C707">
        <v>68.5</v>
      </c>
      <c r="D707">
        <v>67.809997999999993</v>
      </c>
      <c r="E707">
        <v>68.349997999999999</v>
      </c>
      <c r="F707">
        <v>55.791153000000001</v>
      </c>
      <c r="G707">
        <v>12705800</v>
      </c>
      <c r="I707">
        <f t="shared" si="11"/>
        <v>2.2194162785060379E-5</v>
      </c>
    </row>
    <row r="708" spans="1:9" x14ac:dyDescent="0.3">
      <c r="A708" s="5">
        <v>42663</v>
      </c>
      <c r="B708">
        <v>68.080001999999993</v>
      </c>
      <c r="C708">
        <v>68.680000000000007</v>
      </c>
      <c r="D708">
        <v>67.940002000000007</v>
      </c>
      <c r="E708">
        <v>68.260002</v>
      </c>
      <c r="F708">
        <v>55.717708999999999</v>
      </c>
      <c r="G708">
        <v>14122000</v>
      </c>
      <c r="I708">
        <f t="shared" si="11"/>
        <v>6.3496427797702526E-5</v>
      </c>
    </row>
    <row r="709" spans="1:9" x14ac:dyDescent="0.3">
      <c r="A709" s="5">
        <v>42664</v>
      </c>
      <c r="B709">
        <v>67.809997999999993</v>
      </c>
      <c r="C709">
        <v>68.529999000000004</v>
      </c>
      <c r="D709">
        <v>67.699996999999996</v>
      </c>
      <c r="E709">
        <v>68.489998</v>
      </c>
      <c r="F709">
        <v>55.905434</v>
      </c>
      <c r="G709">
        <v>12175700</v>
      </c>
      <c r="I709">
        <f t="shared" si="11"/>
        <v>2.5002119476891073E-5</v>
      </c>
    </row>
    <row r="710" spans="1:9" x14ac:dyDescent="0.3">
      <c r="A710" s="5">
        <v>42667</v>
      </c>
      <c r="B710">
        <v>68.970000999999996</v>
      </c>
      <c r="C710">
        <v>69.050003000000004</v>
      </c>
      <c r="D710">
        <v>68.5</v>
      </c>
      <c r="E710">
        <v>68.870002999999997</v>
      </c>
      <c r="F710">
        <v>56.215611000000003</v>
      </c>
      <c r="G710">
        <v>10197100</v>
      </c>
      <c r="I710">
        <f t="shared" si="11"/>
        <v>3.9861497549229874E-5</v>
      </c>
    </row>
    <row r="711" spans="1:9" x14ac:dyDescent="0.3">
      <c r="A711" s="5">
        <v>42668</v>
      </c>
      <c r="B711">
        <v>68.879997000000003</v>
      </c>
      <c r="C711">
        <v>68.930000000000007</v>
      </c>
      <c r="D711">
        <v>68.379997000000003</v>
      </c>
      <c r="E711">
        <v>68.800003000000004</v>
      </c>
      <c r="F711">
        <v>56.158465999999997</v>
      </c>
      <c r="G711">
        <v>9945100</v>
      </c>
      <c r="I711">
        <f t="shared" si="11"/>
        <v>4.5982109150431885E-5</v>
      </c>
    </row>
    <row r="712" spans="1:9" x14ac:dyDescent="0.3">
      <c r="A712" s="5">
        <v>42669</v>
      </c>
      <c r="B712">
        <v>68.370002999999997</v>
      </c>
      <c r="C712">
        <v>69.25</v>
      </c>
      <c r="D712">
        <v>68.370002999999997</v>
      </c>
      <c r="E712">
        <v>69.129997000000003</v>
      </c>
      <c r="F712">
        <v>56.427841000000001</v>
      </c>
      <c r="G712">
        <v>9801300</v>
      </c>
      <c r="I712">
        <f t="shared" si="11"/>
        <v>2.2181169192676925E-5</v>
      </c>
    </row>
    <row r="713" spans="1:9" x14ac:dyDescent="0.3">
      <c r="A713" s="5">
        <v>42670</v>
      </c>
      <c r="B713">
        <v>69.489998</v>
      </c>
      <c r="C713">
        <v>69.769997000000004</v>
      </c>
      <c r="D713">
        <v>69.099997999999999</v>
      </c>
      <c r="E713">
        <v>69.230002999999996</v>
      </c>
      <c r="F713">
        <v>56.509464000000001</v>
      </c>
      <c r="G713">
        <v>14210700</v>
      </c>
      <c r="I713">
        <f t="shared" si="11"/>
        <v>4.1822857389921207E-5</v>
      </c>
    </row>
    <row r="714" spans="1:9" x14ac:dyDescent="0.3">
      <c r="A714" s="5">
        <v>42671</v>
      </c>
      <c r="B714">
        <v>69.529999000000004</v>
      </c>
      <c r="C714">
        <v>69.550003000000004</v>
      </c>
      <c r="D714">
        <v>68.470000999999996</v>
      </c>
      <c r="E714">
        <v>69.110000999999997</v>
      </c>
      <c r="F714">
        <v>56.411521999999998</v>
      </c>
      <c r="G714">
        <v>12766500</v>
      </c>
      <c r="I714">
        <f t="shared" si="11"/>
        <v>1.4475528391292829E-4</v>
      </c>
    </row>
    <row r="715" spans="1:9" x14ac:dyDescent="0.3">
      <c r="A715" s="5">
        <v>42674</v>
      </c>
      <c r="B715">
        <v>69.430000000000007</v>
      </c>
      <c r="C715">
        <v>69.580001999999993</v>
      </c>
      <c r="D715">
        <v>69.230002999999996</v>
      </c>
      <c r="E715">
        <v>69.260002</v>
      </c>
      <c r="F715">
        <v>56.533974000000001</v>
      </c>
      <c r="G715">
        <v>14336300</v>
      </c>
      <c r="I715">
        <f t="shared" si="11"/>
        <v>1.1198007327424832E-5</v>
      </c>
    </row>
    <row r="716" spans="1:9" x14ac:dyDescent="0.3">
      <c r="A716" s="5">
        <v>42675</v>
      </c>
      <c r="B716">
        <v>69.480002999999996</v>
      </c>
      <c r="C716">
        <v>69.779999000000004</v>
      </c>
      <c r="D716">
        <v>68.330001999999993</v>
      </c>
      <c r="E716">
        <v>68.970000999999996</v>
      </c>
      <c r="F716">
        <v>56.297234000000003</v>
      </c>
      <c r="G716">
        <v>15564500</v>
      </c>
      <c r="I716">
        <f t="shared" ref="I716:I779" si="12">LN(C716/B716)*(LN(C716/B716)-LN(E716/B716))+LN(D716/B716)*(LN(D716/B716)-LN(E716/B716))</f>
        <v>2.0590072005665668E-4</v>
      </c>
    </row>
    <row r="717" spans="1:9" x14ac:dyDescent="0.3">
      <c r="A717" s="5">
        <v>42676</v>
      </c>
      <c r="B717">
        <v>68.650002000000001</v>
      </c>
      <c r="C717">
        <v>68.849997999999999</v>
      </c>
      <c r="D717">
        <v>68.010002</v>
      </c>
      <c r="E717">
        <v>68.680000000000007</v>
      </c>
      <c r="F717">
        <v>56.060527999999998</v>
      </c>
      <c r="G717">
        <v>12449800</v>
      </c>
      <c r="I717">
        <f t="shared" si="12"/>
        <v>9.9012584370117827E-5</v>
      </c>
    </row>
    <row r="718" spans="1:9" x14ac:dyDescent="0.3">
      <c r="A718" s="5">
        <v>42677</v>
      </c>
      <c r="B718">
        <v>68.860000999999997</v>
      </c>
      <c r="C718">
        <v>69.190002000000007</v>
      </c>
      <c r="D718">
        <v>68.220000999999996</v>
      </c>
      <c r="E718">
        <v>68.379997000000003</v>
      </c>
      <c r="F718">
        <v>55.815646999999998</v>
      </c>
      <c r="G718">
        <v>10369700</v>
      </c>
      <c r="I718">
        <f t="shared" si="12"/>
        <v>7.8174003458207706E-5</v>
      </c>
    </row>
    <row r="719" spans="1:9" x14ac:dyDescent="0.3">
      <c r="A719" s="5">
        <v>42678</v>
      </c>
      <c r="B719">
        <v>68.489998</v>
      </c>
      <c r="C719">
        <v>68.559997999999993</v>
      </c>
      <c r="D719">
        <v>67.639999000000003</v>
      </c>
      <c r="E719">
        <v>67.760002</v>
      </c>
      <c r="F719">
        <v>55.309581999999999</v>
      </c>
      <c r="G719">
        <v>13571300</v>
      </c>
      <c r="I719">
        <f t="shared" si="12"/>
        <v>3.4126044438414108E-5</v>
      </c>
    </row>
    <row r="720" spans="1:9" x14ac:dyDescent="0.3">
      <c r="A720" s="5">
        <v>42681</v>
      </c>
      <c r="B720">
        <v>69.080001999999993</v>
      </c>
      <c r="C720">
        <v>69.970000999999996</v>
      </c>
      <c r="D720">
        <v>69</v>
      </c>
      <c r="E720">
        <v>69.879997000000003</v>
      </c>
      <c r="F720">
        <v>57.040035000000003</v>
      </c>
      <c r="G720">
        <v>16515100</v>
      </c>
      <c r="I720">
        <f t="shared" si="12"/>
        <v>3.1162333164894338E-5</v>
      </c>
    </row>
    <row r="721" spans="1:9" x14ac:dyDescent="0.3">
      <c r="A721" s="5">
        <v>42682</v>
      </c>
      <c r="B721">
        <v>69.699996999999996</v>
      </c>
      <c r="C721">
        <v>70.550003000000004</v>
      </c>
      <c r="D721">
        <v>69.239998</v>
      </c>
      <c r="E721">
        <v>70.029999000000004</v>
      </c>
      <c r="F721">
        <v>57.162467999999997</v>
      </c>
      <c r="G721">
        <v>17531700</v>
      </c>
      <c r="I721">
        <f t="shared" si="12"/>
        <v>1.6479640967211143E-4</v>
      </c>
    </row>
    <row r="722" spans="1:9" x14ac:dyDescent="0.3">
      <c r="A722" s="5">
        <v>42683</v>
      </c>
      <c r="B722">
        <v>71.459998999999996</v>
      </c>
      <c r="C722">
        <v>74.150002000000001</v>
      </c>
      <c r="D722">
        <v>71.319999999999993</v>
      </c>
      <c r="E722">
        <v>73.25</v>
      </c>
      <c r="F722">
        <v>59.790821000000001</v>
      </c>
      <c r="G722">
        <v>50948400</v>
      </c>
      <c r="I722">
        <f t="shared" si="12"/>
        <v>5.0361810341616414E-4</v>
      </c>
    </row>
    <row r="723" spans="1:9" x14ac:dyDescent="0.3">
      <c r="A723" s="5">
        <v>42684</v>
      </c>
      <c r="B723">
        <v>74.220000999999996</v>
      </c>
      <c r="C723">
        <v>77.25</v>
      </c>
      <c r="D723">
        <v>74.220000999999996</v>
      </c>
      <c r="E723">
        <v>76.650002000000001</v>
      </c>
      <c r="F723">
        <v>62.566101000000003</v>
      </c>
      <c r="G723">
        <v>56192300</v>
      </c>
      <c r="I723">
        <f t="shared" si="12"/>
        <v>3.1199466276421347E-4</v>
      </c>
    </row>
    <row r="724" spans="1:9" x14ac:dyDescent="0.3">
      <c r="A724" s="5">
        <v>42685</v>
      </c>
      <c r="B724">
        <v>76.300003000000004</v>
      </c>
      <c r="C724">
        <v>76.720000999999996</v>
      </c>
      <c r="D724">
        <v>75.769997000000004</v>
      </c>
      <c r="E724">
        <v>76.690002000000007</v>
      </c>
      <c r="F724">
        <v>62.598751</v>
      </c>
      <c r="G724">
        <v>27574300</v>
      </c>
      <c r="I724">
        <f t="shared" si="12"/>
        <v>8.6274514028525251E-5</v>
      </c>
    </row>
    <row r="725" spans="1:9" x14ac:dyDescent="0.3">
      <c r="A725" s="5">
        <v>42688</v>
      </c>
      <c r="B725">
        <v>77.25</v>
      </c>
      <c r="C725">
        <v>80.440002000000007</v>
      </c>
      <c r="D725">
        <v>77.25</v>
      </c>
      <c r="E725">
        <v>79.510002</v>
      </c>
      <c r="F725">
        <v>64.900581000000003</v>
      </c>
      <c r="G725">
        <v>46130700</v>
      </c>
      <c r="I725">
        <f t="shared" si="12"/>
        <v>4.7055417249997929E-4</v>
      </c>
    </row>
    <row r="726" spans="1:9" x14ac:dyDescent="0.3">
      <c r="A726" s="5">
        <v>42689</v>
      </c>
      <c r="B726">
        <v>78.370002999999997</v>
      </c>
      <c r="C726">
        <v>79.410004000000001</v>
      </c>
      <c r="D726">
        <v>77.779999000000004</v>
      </c>
      <c r="E726">
        <v>79.360000999999997</v>
      </c>
      <c r="F726">
        <v>64.778152000000006</v>
      </c>
      <c r="G726">
        <v>28126300</v>
      </c>
      <c r="I726">
        <f t="shared" si="12"/>
        <v>1.6027471507579563E-4</v>
      </c>
    </row>
    <row r="727" spans="1:9" x14ac:dyDescent="0.3">
      <c r="A727" s="5">
        <v>42690</v>
      </c>
      <c r="B727">
        <v>78.220000999999996</v>
      </c>
      <c r="C727">
        <v>78.349997999999999</v>
      </c>
      <c r="D727">
        <v>76.879997000000003</v>
      </c>
      <c r="E727">
        <v>77.400002000000001</v>
      </c>
      <c r="F727">
        <v>63.178283999999998</v>
      </c>
      <c r="G727">
        <v>26054900</v>
      </c>
      <c r="I727">
        <f t="shared" si="12"/>
        <v>1.3674097325774886E-4</v>
      </c>
    </row>
    <row r="728" spans="1:9" x14ac:dyDescent="0.3">
      <c r="A728" s="5">
        <v>42691</v>
      </c>
      <c r="B728">
        <v>77.930000000000007</v>
      </c>
      <c r="C728">
        <v>78.459998999999996</v>
      </c>
      <c r="D728">
        <v>77.599997999999999</v>
      </c>
      <c r="E728">
        <v>78.019997000000004</v>
      </c>
      <c r="F728">
        <v>63.684364000000002</v>
      </c>
      <c r="G728">
        <v>19306700</v>
      </c>
      <c r="I728">
        <f t="shared" si="12"/>
        <v>6.1023404208348475E-5</v>
      </c>
    </row>
    <row r="729" spans="1:9" x14ac:dyDescent="0.3">
      <c r="A729" s="5">
        <v>42692</v>
      </c>
      <c r="B729">
        <v>77.959998999999996</v>
      </c>
      <c r="C729">
        <v>78.419998000000007</v>
      </c>
      <c r="D729">
        <v>77.550003000000004</v>
      </c>
      <c r="E729">
        <v>77.709998999999996</v>
      </c>
      <c r="F729">
        <v>63.431313000000003</v>
      </c>
      <c r="G729">
        <v>19770000</v>
      </c>
      <c r="I729">
        <f t="shared" si="12"/>
        <v>6.4374645672480451E-5</v>
      </c>
    </row>
    <row r="730" spans="1:9" x14ac:dyDescent="0.3">
      <c r="A730" s="5">
        <v>42695</v>
      </c>
      <c r="B730">
        <v>78</v>
      </c>
      <c r="C730">
        <v>78.169998000000007</v>
      </c>
      <c r="D730">
        <v>77.290001000000004</v>
      </c>
      <c r="E730">
        <v>78.050003000000004</v>
      </c>
      <c r="F730">
        <v>63.708857999999999</v>
      </c>
      <c r="G730">
        <v>11983500</v>
      </c>
      <c r="I730">
        <f t="shared" si="12"/>
        <v>9.2821665178786412E-5</v>
      </c>
    </row>
    <row r="731" spans="1:9" x14ac:dyDescent="0.3">
      <c r="A731" s="5">
        <v>42696</v>
      </c>
      <c r="B731">
        <v>78.349997999999999</v>
      </c>
      <c r="C731">
        <v>78.559997999999993</v>
      </c>
      <c r="D731">
        <v>77.760002</v>
      </c>
      <c r="E731">
        <v>78.529999000000004</v>
      </c>
      <c r="F731">
        <v>64.100646999999995</v>
      </c>
      <c r="G731">
        <v>14410100</v>
      </c>
      <c r="I731">
        <f t="shared" si="12"/>
        <v>7.5502678803172563E-5</v>
      </c>
    </row>
    <row r="732" spans="1:9" x14ac:dyDescent="0.3">
      <c r="A732" s="5">
        <v>42697</v>
      </c>
      <c r="B732">
        <v>78.870002999999997</v>
      </c>
      <c r="C732">
        <v>79.239998</v>
      </c>
      <c r="D732">
        <v>77.889999000000003</v>
      </c>
      <c r="E732">
        <v>78.860000999999997</v>
      </c>
      <c r="F732">
        <v>64.370009999999994</v>
      </c>
      <c r="G732">
        <v>13373700</v>
      </c>
      <c r="I732">
        <f t="shared" si="12"/>
        <v>1.7724749051452538E-4</v>
      </c>
    </row>
    <row r="733" spans="1:9" x14ac:dyDescent="0.3">
      <c r="A733" s="5">
        <v>42699</v>
      </c>
      <c r="B733">
        <v>79.099997999999999</v>
      </c>
      <c r="C733">
        <v>79.449996999999996</v>
      </c>
      <c r="D733">
        <v>78.470000999999996</v>
      </c>
      <c r="E733">
        <v>78.830001999999993</v>
      </c>
      <c r="F733">
        <v>64.345519999999993</v>
      </c>
      <c r="G733">
        <v>6185700</v>
      </c>
      <c r="I733">
        <f t="shared" si="12"/>
        <v>7.1189860849498956E-5</v>
      </c>
    </row>
    <row r="734" spans="1:9" x14ac:dyDescent="0.3">
      <c r="A734" s="5">
        <v>42702</v>
      </c>
      <c r="B734">
        <v>78.180000000000007</v>
      </c>
      <c r="C734">
        <v>78.870002999999997</v>
      </c>
      <c r="D734">
        <v>78.019997000000004</v>
      </c>
      <c r="E734">
        <v>78.319999999999993</v>
      </c>
      <c r="F734">
        <v>63.929240999999998</v>
      </c>
      <c r="G734">
        <v>13007200</v>
      </c>
      <c r="I734">
        <f t="shared" si="12"/>
        <v>6.9354420811818782E-5</v>
      </c>
    </row>
    <row r="735" spans="1:9" x14ac:dyDescent="0.3">
      <c r="A735" s="5">
        <v>42703</v>
      </c>
      <c r="B735">
        <v>78.389999000000003</v>
      </c>
      <c r="C735">
        <v>79.160004000000001</v>
      </c>
      <c r="D735">
        <v>78.389999000000003</v>
      </c>
      <c r="E735">
        <v>78.919998000000007</v>
      </c>
      <c r="F735">
        <v>64.419005999999996</v>
      </c>
      <c r="G735">
        <v>14144100</v>
      </c>
      <c r="I735">
        <f t="shared" si="12"/>
        <v>2.9681379287267666E-5</v>
      </c>
    </row>
    <row r="736" spans="1:9" x14ac:dyDescent="0.3">
      <c r="A736" s="5">
        <v>42704</v>
      </c>
      <c r="B736">
        <v>79.919998000000007</v>
      </c>
      <c r="C736">
        <v>80.529999000000004</v>
      </c>
      <c r="D736">
        <v>79.699996999999996</v>
      </c>
      <c r="E736">
        <v>80.169998000000007</v>
      </c>
      <c r="F736">
        <v>65.439323000000002</v>
      </c>
      <c r="G736">
        <v>25351900</v>
      </c>
      <c r="I736">
        <f t="shared" si="12"/>
        <v>5.0275643004259662E-5</v>
      </c>
    </row>
    <row r="737" spans="1:9" x14ac:dyDescent="0.3">
      <c r="A737" s="5">
        <v>42705</v>
      </c>
      <c r="B737">
        <v>80.650002000000001</v>
      </c>
      <c r="C737">
        <v>82.279999000000004</v>
      </c>
      <c r="D737">
        <v>80.650002000000001</v>
      </c>
      <c r="E737">
        <v>81.790001000000004</v>
      </c>
      <c r="F737">
        <v>66.761650000000003</v>
      </c>
      <c r="G737">
        <v>23823600</v>
      </c>
      <c r="I737">
        <f t="shared" si="12"/>
        <v>1.1951616419163731E-4</v>
      </c>
    </row>
    <row r="738" spans="1:9" x14ac:dyDescent="0.3">
      <c r="A738" s="5">
        <v>42706</v>
      </c>
      <c r="B738">
        <v>81.800003000000004</v>
      </c>
      <c r="C738">
        <v>81.830001999999993</v>
      </c>
      <c r="D738">
        <v>80.900002000000001</v>
      </c>
      <c r="E738">
        <v>81.599997999999999</v>
      </c>
      <c r="F738">
        <v>66.606551999999994</v>
      </c>
      <c r="G738">
        <v>16931500</v>
      </c>
      <c r="I738">
        <f t="shared" si="12"/>
        <v>9.6347829020311645E-5</v>
      </c>
    </row>
    <row r="739" spans="1:9" x14ac:dyDescent="0.3">
      <c r="A739" s="5">
        <v>42709</v>
      </c>
      <c r="B739">
        <v>82.300003000000004</v>
      </c>
      <c r="C739">
        <v>83.290001000000004</v>
      </c>
      <c r="D739">
        <v>82.290001000000004</v>
      </c>
      <c r="E739">
        <v>83.260002</v>
      </c>
      <c r="F739">
        <v>67.961555000000004</v>
      </c>
      <c r="G739">
        <v>18529800</v>
      </c>
      <c r="I739">
        <f t="shared" si="12"/>
        <v>5.7317887823957762E-6</v>
      </c>
    </row>
    <row r="740" spans="1:9" x14ac:dyDescent="0.3">
      <c r="A740" s="5">
        <v>42710</v>
      </c>
      <c r="B740">
        <v>83.599997999999999</v>
      </c>
      <c r="C740">
        <v>83.809997999999993</v>
      </c>
      <c r="D740">
        <v>82.43</v>
      </c>
      <c r="E740">
        <v>83.690002000000007</v>
      </c>
      <c r="F740">
        <v>68.312531000000007</v>
      </c>
      <c r="G740">
        <v>16130000</v>
      </c>
      <c r="I740">
        <f t="shared" si="12"/>
        <v>2.1740231175017288E-4</v>
      </c>
    </row>
    <row r="741" spans="1:9" x14ac:dyDescent="0.3">
      <c r="A741" s="5">
        <v>42711</v>
      </c>
      <c r="B741">
        <v>83.550003000000004</v>
      </c>
      <c r="C741">
        <v>84.089995999999999</v>
      </c>
      <c r="D741">
        <v>82.849997999999999</v>
      </c>
      <c r="E741">
        <v>84.07</v>
      </c>
      <c r="F741">
        <v>68.622719000000004</v>
      </c>
      <c r="G741">
        <v>18996900</v>
      </c>
      <c r="I741">
        <f t="shared" si="12"/>
        <v>1.2452225310692429E-4</v>
      </c>
    </row>
    <row r="742" spans="1:9" x14ac:dyDescent="0.3">
      <c r="A742" s="5">
        <v>42712</v>
      </c>
      <c r="B742">
        <v>84.230002999999996</v>
      </c>
      <c r="C742">
        <v>85.5</v>
      </c>
      <c r="D742">
        <v>83.940002000000007</v>
      </c>
      <c r="E742">
        <v>85.120002999999997</v>
      </c>
      <c r="F742">
        <v>69.479789999999994</v>
      </c>
      <c r="G742">
        <v>20844900</v>
      </c>
      <c r="I742">
        <f t="shared" si="12"/>
        <v>1.148056318284724E-4</v>
      </c>
    </row>
    <row r="743" spans="1:9" x14ac:dyDescent="0.3">
      <c r="A743" s="5">
        <v>42713</v>
      </c>
      <c r="B743">
        <v>85.019997000000004</v>
      </c>
      <c r="C743">
        <v>85.5</v>
      </c>
      <c r="D743">
        <v>84.139999000000003</v>
      </c>
      <c r="E743">
        <v>85.489998</v>
      </c>
      <c r="F743">
        <v>69.781799000000007</v>
      </c>
      <c r="G743">
        <v>14567200</v>
      </c>
      <c r="I743">
        <f t="shared" si="12"/>
        <v>1.6626914481576686E-4</v>
      </c>
    </row>
    <row r="744" spans="1:9" x14ac:dyDescent="0.3">
      <c r="A744" s="5">
        <v>42716</v>
      </c>
      <c r="B744">
        <v>85.360000999999997</v>
      </c>
      <c r="C744">
        <v>85.790001000000004</v>
      </c>
      <c r="D744">
        <v>84.290001000000004</v>
      </c>
      <c r="E744">
        <v>84.730002999999996</v>
      </c>
      <c r="F744">
        <v>69.161445999999998</v>
      </c>
      <c r="G744">
        <v>14511300</v>
      </c>
      <c r="I744">
        <f t="shared" si="12"/>
        <v>1.2814931899115663E-4</v>
      </c>
    </row>
    <row r="745" spans="1:9" x14ac:dyDescent="0.3">
      <c r="A745" s="5">
        <v>42717</v>
      </c>
      <c r="B745">
        <v>84.980002999999996</v>
      </c>
      <c r="C745">
        <v>85.669998000000007</v>
      </c>
      <c r="D745">
        <v>83.82</v>
      </c>
      <c r="E745">
        <v>84.760002</v>
      </c>
      <c r="F745">
        <v>69.185935999999998</v>
      </c>
      <c r="G745">
        <v>16669000</v>
      </c>
      <c r="I745">
        <f t="shared" si="12"/>
        <v>2.3963571683241941E-4</v>
      </c>
    </row>
    <row r="746" spans="1:9" x14ac:dyDescent="0.3">
      <c r="A746" s="5">
        <v>42718</v>
      </c>
      <c r="B746">
        <v>83.879997000000003</v>
      </c>
      <c r="C746">
        <v>86.120002999999997</v>
      </c>
      <c r="D746">
        <v>83.760002</v>
      </c>
      <c r="E746">
        <v>84.730002999999996</v>
      </c>
      <c r="F746">
        <v>69.161445999999998</v>
      </c>
      <c r="G746">
        <v>22622600</v>
      </c>
      <c r="I746">
        <f t="shared" si="12"/>
        <v>4.453229519188724E-4</v>
      </c>
    </row>
    <row r="747" spans="1:9" x14ac:dyDescent="0.3">
      <c r="A747" s="5">
        <v>42719</v>
      </c>
      <c r="B747">
        <v>85.400002000000001</v>
      </c>
      <c r="C747">
        <v>86.489998</v>
      </c>
      <c r="D747">
        <v>84.900002000000001</v>
      </c>
      <c r="E747">
        <v>86</v>
      </c>
      <c r="F747">
        <v>70.198089999999993</v>
      </c>
      <c r="G747">
        <v>19438900</v>
      </c>
      <c r="I747">
        <f t="shared" si="12"/>
        <v>1.4764765498298944E-4</v>
      </c>
    </row>
    <row r="748" spans="1:9" x14ac:dyDescent="0.3">
      <c r="A748" s="5">
        <v>42720</v>
      </c>
      <c r="B748">
        <v>86.290001000000004</v>
      </c>
      <c r="C748">
        <v>86.290001000000004</v>
      </c>
      <c r="D748">
        <v>84.889999000000003</v>
      </c>
      <c r="E748">
        <v>84.940002000000007</v>
      </c>
      <c r="F748">
        <v>69.33287</v>
      </c>
      <c r="G748">
        <v>23008500</v>
      </c>
      <c r="I748">
        <f t="shared" si="12"/>
        <v>9.6322327985885884E-6</v>
      </c>
    </row>
    <row r="749" spans="1:9" x14ac:dyDescent="0.3">
      <c r="A749" s="5">
        <v>42723</v>
      </c>
      <c r="B749">
        <v>84.800003000000004</v>
      </c>
      <c r="C749">
        <v>85.440002000000007</v>
      </c>
      <c r="D749">
        <v>84.190002000000007</v>
      </c>
      <c r="E749">
        <v>85.43</v>
      </c>
      <c r="F749">
        <v>69.732840999999993</v>
      </c>
      <c r="G749">
        <v>21685100</v>
      </c>
      <c r="I749">
        <f t="shared" si="12"/>
        <v>1.0643627299598257E-4</v>
      </c>
    </row>
    <row r="750" spans="1:9" x14ac:dyDescent="0.3">
      <c r="A750" s="5">
        <v>42724</v>
      </c>
      <c r="B750">
        <v>85.790001000000004</v>
      </c>
      <c r="C750">
        <v>86.540001000000004</v>
      </c>
      <c r="D750">
        <v>85.550003000000004</v>
      </c>
      <c r="E750">
        <v>86.529999000000004</v>
      </c>
      <c r="F750">
        <v>70.630699000000007</v>
      </c>
      <c r="G750">
        <v>14587300</v>
      </c>
      <c r="I750">
        <f t="shared" si="12"/>
        <v>3.2914667801770707E-5</v>
      </c>
    </row>
    <row r="751" spans="1:9" x14ac:dyDescent="0.3">
      <c r="A751" s="5">
        <v>42725</v>
      </c>
      <c r="B751">
        <v>86.43</v>
      </c>
      <c r="C751">
        <v>86.809997999999993</v>
      </c>
      <c r="D751">
        <v>86.029999000000004</v>
      </c>
      <c r="E751">
        <v>86.75</v>
      </c>
      <c r="F751">
        <v>70.810294999999996</v>
      </c>
      <c r="G751">
        <v>11400500</v>
      </c>
      <c r="I751">
        <f t="shared" si="12"/>
        <v>4.1694285184269433E-5</v>
      </c>
    </row>
    <row r="752" spans="1:9" x14ac:dyDescent="0.3">
      <c r="A752" s="5">
        <v>42726</v>
      </c>
      <c r="B752">
        <v>86.440002000000007</v>
      </c>
      <c r="C752">
        <v>87.169998000000007</v>
      </c>
      <c r="D752">
        <v>86.209998999999996</v>
      </c>
      <c r="E752">
        <v>86.889999000000003</v>
      </c>
      <c r="F752">
        <v>70.924560999999997</v>
      </c>
      <c r="G752">
        <v>13924200</v>
      </c>
      <c r="I752">
        <f t="shared" si="12"/>
        <v>4.7989632295545468E-5</v>
      </c>
    </row>
    <row r="753" spans="1:9" x14ac:dyDescent="0.3">
      <c r="A753" s="5">
        <v>42727</v>
      </c>
      <c r="B753">
        <v>87</v>
      </c>
      <c r="C753">
        <v>87.150002000000001</v>
      </c>
      <c r="D753">
        <v>86.400002000000001</v>
      </c>
      <c r="E753">
        <v>87.050003000000004</v>
      </c>
      <c r="F753">
        <v>71.055167999999995</v>
      </c>
      <c r="G753">
        <v>10759400</v>
      </c>
      <c r="I753">
        <f t="shared" si="12"/>
        <v>5.384635220903208E-5</v>
      </c>
    </row>
    <row r="754" spans="1:9" x14ac:dyDescent="0.3">
      <c r="A754" s="5">
        <v>42731</v>
      </c>
      <c r="B754">
        <v>87.050003000000004</v>
      </c>
      <c r="C754">
        <v>87.160004000000001</v>
      </c>
      <c r="D754">
        <v>86.75</v>
      </c>
      <c r="E754">
        <v>87.129997000000003</v>
      </c>
      <c r="F754">
        <v>71.120452999999998</v>
      </c>
      <c r="G754">
        <v>6946400</v>
      </c>
      <c r="I754">
        <f t="shared" si="12"/>
        <v>1.5524088028070062E-5</v>
      </c>
    </row>
    <row r="755" spans="1:9" x14ac:dyDescent="0.3">
      <c r="A755" s="5">
        <v>42732</v>
      </c>
      <c r="B755">
        <v>87.160004000000001</v>
      </c>
      <c r="C755">
        <v>87.389999000000003</v>
      </c>
      <c r="D755">
        <v>86.349997999999999</v>
      </c>
      <c r="E755">
        <v>86.5</v>
      </c>
      <c r="F755">
        <v>70.606216000000003</v>
      </c>
      <c r="G755">
        <v>9455600</v>
      </c>
      <c r="I755">
        <f t="shared" si="12"/>
        <v>4.3181205034507553E-5</v>
      </c>
    </row>
    <row r="756" spans="1:9" x14ac:dyDescent="0.3">
      <c r="A756" s="5">
        <v>42733</v>
      </c>
      <c r="B756">
        <v>86.580001999999993</v>
      </c>
      <c r="C756">
        <v>86.669998000000007</v>
      </c>
      <c r="D756">
        <v>85.040001000000004</v>
      </c>
      <c r="E756">
        <v>85.889999000000003</v>
      </c>
      <c r="F756">
        <v>70.108306999999996</v>
      </c>
      <c r="G756">
        <v>14689000</v>
      </c>
      <c r="I756">
        <f t="shared" si="12"/>
        <v>1.8788796350236977E-4</v>
      </c>
    </row>
    <row r="757" spans="1:9" x14ac:dyDescent="0.3">
      <c r="A757" s="5">
        <v>42734</v>
      </c>
      <c r="B757">
        <v>86.099997999999999</v>
      </c>
      <c r="C757">
        <v>86.419998000000007</v>
      </c>
      <c r="D757">
        <v>85.660004000000001</v>
      </c>
      <c r="E757">
        <v>86.290001000000004</v>
      </c>
      <c r="F757">
        <v>70.434807000000006</v>
      </c>
      <c r="G757">
        <v>13617800</v>
      </c>
      <c r="I757">
        <f t="shared" si="12"/>
        <v>4.3127094890776737E-5</v>
      </c>
    </row>
    <row r="758" spans="1:9" x14ac:dyDescent="0.3">
      <c r="A758" s="5">
        <v>42738</v>
      </c>
      <c r="B758">
        <v>87.339995999999999</v>
      </c>
      <c r="C758">
        <v>87.760002</v>
      </c>
      <c r="D758">
        <v>85.980002999999996</v>
      </c>
      <c r="E758">
        <v>87.230002999999996</v>
      </c>
      <c r="F758">
        <v>71.202087000000006</v>
      </c>
      <c r="G758">
        <v>20550700</v>
      </c>
      <c r="I758">
        <f t="shared" si="12"/>
        <v>2.5557719816635789E-4</v>
      </c>
    </row>
    <row r="759" spans="1:9" x14ac:dyDescent="0.3">
      <c r="A759" s="5">
        <v>42739</v>
      </c>
      <c r="B759">
        <v>86.959998999999996</v>
      </c>
      <c r="C759">
        <v>87.18</v>
      </c>
      <c r="D759">
        <v>86.400002000000001</v>
      </c>
      <c r="E759">
        <v>86.910004000000001</v>
      </c>
      <c r="F759">
        <v>71.333427</v>
      </c>
      <c r="G759">
        <v>15266600</v>
      </c>
      <c r="I759">
        <f t="shared" si="12"/>
        <v>4.5860491078898572E-5</v>
      </c>
    </row>
    <row r="760" spans="1:9" x14ac:dyDescent="0.3">
      <c r="A760" s="5">
        <v>42740</v>
      </c>
      <c r="B760">
        <v>86.809997999999993</v>
      </c>
      <c r="C760">
        <v>87.110000999999997</v>
      </c>
      <c r="D760">
        <v>85.260002</v>
      </c>
      <c r="E760">
        <v>86.110000999999997</v>
      </c>
      <c r="F760">
        <v>70.676788000000002</v>
      </c>
      <c r="G760">
        <v>14300800</v>
      </c>
      <c r="I760">
        <f t="shared" si="12"/>
        <v>2.1855762233752871E-4</v>
      </c>
    </row>
    <row r="761" spans="1:9" x14ac:dyDescent="0.3">
      <c r="A761" s="5">
        <v>42741</v>
      </c>
      <c r="B761">
        <v>86.389999000000003</v>
      </c>
      <c r="C761">
        <v>86.620002999999997</v>
      </c>
      <c r="D761">
        <v>85.940002000000007</v>
      </c>
      <c r="E761">
        <v>86.120002999999997</v>
      </c>
      <c r="F761">
        <v>70.685019999999994</v>
      </c>
      <c r="G761">
        <v>12893300</v>
      </c>
      <c r="I761">
        <f t="shared" si="12"/>
        <v>2.6319369717674298E-5</v>
      </c>
    </row>
    <row r="762" spans="1:9" x14ac:dyDescent="0.3">
      <c r="A762" s="5">
        <v>42744</v>
      </c>
      <c r="B762">
        <v>85.730002999999996</v>
      </c>
      <c r="C762">
        <v>86.769997000000004</v>
      </c>
      <c r="D762">
        <v>85.519997000000004</v>
      </c>
      <c r="E762">
        <v>86.18</v>
      </c>
      <c r="F762">
        <v>70.734245000000001</v>
      </c>
      <c r="G762">
        <v>12806600</v>
      </c>
      <c r="I762">
        <f t="shared" si="12"/>
        <v>1.0112486689784739E-4</v>
      </c>
    </row>
    <row r="763" spans="1:9" x14ac:dyDescent="0.3">
      <c r="A763" s="5">
        <v>42745</v>
      </c>
      <c r="B763">
        <v>86.07</v>
      </c>
      <c r="C763">
        <v>86.900002000000001</v>
      </c>
      <c r="D763">
        <v>85.720000999999996</v>
      </c>
      <c r="E763">
        <v>86.43</v>
      </c>
      <c r="F763">
        <v>70.939453</v>
      </c>
      <c r="G763">
        <v>13989000</v>
      </c>
      <c r="I763">
        <f t="shared" si="12"/>
        <v>8.5658456211016107E-5</v>
      </c>
    </row>
    <row r="764" spans="1:9" x14ac:dyDescent="0.3">
      <c r="A764" s="5">
        <v>42746</v>
      </c>
      <c r="B764">
        <v>86.43</v>
      </c>
      <c r="C764">
        <v>87.080001999999993</v>
      </c>
      <c r="D764">
        <v>85.910004000000001</v>
      </c>
      <c r="E764">
        <v>87.080001999999993</v>
      </c>
      <c r="F764">
        <v>71.472945999999993</v>
      </c>
      <c r="G764">
        <v>14713100</v>
      </c>
      <c r="I764">
        <f t="shared" si="12"/>
        <v>8.162927537049854E-5</v>
      </c>
    </row>
    <row r="765" spans="1:9" x14ac:dyDescent="0.3">
      <c r="A765" s="5">
        <v>42747</v>
      </c>
      <c r="B765">
        <v>86.760002</v>
      </c>
      <c r="C765">
        <v>87.269997000000004</v>
      </c>
      <c r="D765">
        <v>86.019997000000004</v>
      </c>
      <c r="E765">
        <v>86.239998</v>
      </c>
      <c r="F765">
        <v>70.783507999999998</v>
      </c>
      <c r="G765">
        <v>21337400</v>
      </c>
      <c r="I765">
        <f t="shared" si="12"/>
        <v>9.1465618514356735E-5</v>
      </c>
    </row>
    <row r="766" spans="1:9" x14ac:dyDescent="0.3">
      <c r="A766" s="5">
        <v>42748</v>
      </c>
      <c r="B766">
        <v>87.110000999999997</v>
      </c>
      <c r="C766">
        <v>88.169998000000007</v>
      </c>
      <c r="D766">
        <v>86.099997999999999</v>
      </c>
      <c r="E766">
        <v>86.699996999999996</v>
      </c>
      <c r="F766">
        <v>71.161049000000006</v>
      </c>
      <c r="G766">
        <v>28296000</v>
      </c>
      <c r="I766">
        <f t="shared" si="12"/>
        <v>2.8434124838477886E-4</v>
      </c>
    </row>
    <row r="767" spans="1:9" x14ac:dyDescent="0.3">
      <c r="A767" s="5">
        <v>42752</v>
      </c>
      <c r="B767">
        <v>84.93</v>
      </c>
      <c r="C767">
        <v>85.220000999999996</v>
      </c>
      <c r="D767">
        <v>83.279999000000004</v>
      </c>
      <c r="E767">
        <v>83.550003000000004</v>
      </c>
      <c r="F767">
        <v>68.575630000000004</v>
      </c>
      <c r="G767">
        <v>30024600</v>
      </c>
      <c r="I767">
        <f t="shared" si="12"/>
        <v>1.3096680278820705E-4</v>
      </c>
    </row>
    <row r="768" spans="1:9" x14ac:dyDescent="0.3">
      <c r="A768" s="5">
        <v>42753</v>
      </c>
      <c r="B768">
        <v>83.629997000000003</v>
      </c>
      <c r="C768">
        <v>84.230002999999996</v>
      </c>
      <c r="D768">
        <v>83.029999000000004</v>
      </c>
      <c r="E768">
        <v>83.940002000000007</v>
      </c>
      <c r="F768">
        <v>68.895713999999998</v>
      </c>
      <c r="G768">
        <v>21270100</v>
      </c>
      <c r="I768">
        <f t="shared" si="12"/>
        <v>1.0314136063647195E-4</v>
      </c>
    </row>
    <row r="769" spans="1:9" x14ac:dyDescent="0.3">
      <c r="A769" s="5">
        <v>42754</v>
      </c>
      <c r="B769">
        <v>84.059997999999993</v>
      </c>
      <c r="C769">
        <v>84.669998000000007</v>
      </c>
      <c r="D769">
        <v>83.120002999999997</v>
      </c>
      <c r="E769">
        <v>83.300003000000004</v>
      </c>
      <c r="F769">
        <v>68.370429999999999</v>
      </c>
      <c r="G769">
        <v>16555600</v>
      </c>
      <c r="I769">
        <f t="shared" si="12"/>
        <v>1.4227568063731767E-4</v>
      </c>
    </row>
    <row r="770" spans="1:9" x14ac:dyDescent="0.3">
      <c r="A770" s="5">
        <v>42755</v>
      </c>
      <c r="B770">
        <v>83.43</v>
      </c>
      <c r="C770">
        <v>83.830001999999993</v>
      </c>
      <c r="D770">
        <v>83.290001000000004</v>
      </c>
      <c r="E770">
        <v>83.669998000000007</v>
      </c>
      <c r="F770">
        <v>68.674103000000002</v>
      </c>
      <c r="G770">
        <v>18436800</v>
      </c>
      <c r="I770">
        <f t="shared" si="12"/>
        <v>1.6782707900404727E-5</v>
      </c>
    </row>
    <row r="771" spans="1:9" x14ac:dyDescent="0.3">
      <c r="A771" s="5">
        <v>42758</v>
      </c>
      <c r="B771">
        <v>83.300003000000004</v>
      </c>
      <c r="C771">
        <v>84</v>
      </c>
      <c r="D771">
        <v>83.209998999999996</v>
      </c>
      <c r="E771">
        <v>83.709998999999996</v>
      </c>
      <c r="F771">
        <v>68.706931999999995</v>
      </c>
      <c r="G771">
        <v>12179200</v>
      </c>
      <c r="I771">
        <f t="shared" si="12"/>
        <v>3.5416907432416793E-5</v>
      </c>
    </row>
    <row r="772" spans="1:9" x14ac:dyDescent="0.3">
      <c r="A772" s="5">
        <v>42759</v>
      </c>
      <c r="B772">
        <v>83.919998000000007</v>
      </c>
      <c r="C772">
        <v>85</v>
      </c>
      <c r="D772">
        <v>83.559997999999993</v>
      </c>
      <c r="E772">
        <v>84.720000999999996</v>
      </c>
      <c r="F772">
        <v>69.535927000000001</v>
      </c>
      <c r="G772">
        <v>15175300</v>
      </c>
      <c r="I772">
        <f t="shared" si="12"/>
        <v>1.0146213864828439E-4</v>
      </c>
    </row>
    <row r="773" spans="1:9" x14ac:dyDescent="0.3">
      <c r="A773" s="5">
        <v>42760</v>
      </c>
      <c r="B773">
        <v>85.839995999999999</v>
      </c>
      <c r="C773">
        <v>86.169998000000007</v>
      </c>
      <c r="D773">
        <v>85.169998000000007</v>
      </c>
      <c r="E773">
        <v>86.029999000000004</v>
      </c>
      <c r="F773">
        <v>70.611121999999995</v>
      </c>
      <c r="G773">
        <v>17551000</v>
      </c>
      <c r="I773">
        <f t="shared" si="12"/>
        <v>8.4964079867342417E-5</v>
      </c>
    </row>
    <row r="774" spans="1:9" x14ac:dyDescent="0.3">
      <c r="A774" s="5">
        <v>42761</v>
      </c>
      <c r="B774">
        <v>85.949996999999996</v>
      </c>
      <c r="C774">
        <v>86.949996999999996</v>
      </c>
      <c r="D774">
        <v>85.949996999999996</v>
      </c>
      <c r="E774">
        <v>86.75</v>
      </c>
      <c r="F774">
        <v>71.202087000000006</v>
      </c>
      <c r="G774">
        <v>15962800</v>
      </c>
      <c r="I774">
        <f t="shared" si="12"/>
        <v>2.6637515651434606E-5</v>
      </c>
    </row>
    <row r="775" spans="1:9" x14ac:dyDescent="0.3">
      <c r="A775" s="5">
        <v>42762</v>
      </c>
      <c r="B775">
        <v>86.660004000000001</v>
      </c>
      <c r="C775">
        <v>86.980002999999996</v>
      </c>
      <c r="D775">
        <v>86.269997000000004</v>
      </c>
      <c r="E775">
        <v>86.93</v>
      </c>
      <c r="F775">
        <v>71.349830999999995</v>
      </c>
      <c r="G775">
        <v>12535400</v>
      </c>
      <c r="I775">
        <f t="shared" si="12"/>
        <v>3.6496087024625507E-5</v>
      </c>
    </row>
    <row r="776" spans="1:9" x14ac:dyDescent="0.3">
      <c r="A776" s="5">
        <v>42765</v>
      </c>
      <c r="B776">
        <v>86.190002000000007</v>
      </c>
      <c r="C776">
        <v>86.5</v>
      </c>
      <c r="D776">
        <v>85.32</v>
      </c>
      <c r="E776">
        <v>86.029999000000004</v>
      </c>
      <c r="F776">
        <v>70.611121999999995</v>
      </c>
      <c r="G776">
        <v>13661900</v>
      </c>
      <c r="I776">
        <f t="shared" si="12"/>
        <v>1.0363656215162292E-4</v>
      </c>
    </row>
    <row r="777" spans="1:9" x14ac:dyDescent="0.3">
      <c r="A777" s="5">
        <v>42766</v>
      </c>
      <c r="B777">
        <v>85.599997999999999</v>
      </c>
      <c r="C777">
        <v>86.150002000000001</v>
      </c>
      <c r="D777">
        <v>84.089995999999999</v>
      </c>
      <c r="E777">
        <v>84.629997000000003</v>
      </c>
      <c r="F777">
        <v>69.462067000000005</v>
      </c>
      <c r="G777">
        <v>15655100</v>
      </c>
      <c r="I777">
        <f t="shared" si="12"/>
        <v>2.2793770717703589E-4</v>
      </c>
    </row>
    <row r="778" spans="1:9" x14ac:dyDescent="0.3">
      <c r="A778" s="5">
        <v>42767</v>
      </c>
      <c r="B778">
        <v>85.540001000000004</v>
      </c>
      <c r="C778">
        <v>86.099997999999999</v>
      </c>
      <c r="D778">
        <v>84.68</v>
      </c>
      <c r="E778">
        <v>84.949996999999996</v>
      </c>
      <c r="F778">
        <v>69.724700999999996</v>
      </c>
      <c r="G778">
        <v>15430900</v>
      </c>
      <c r="I778">
        <f t="shared" si="12"/>
        <v>1.1990944771638783E-4</v>
      </c>
    </row>
    <row r="779" spans="1:9" x14ac:dyDescent="0.3">
      <c r="A779" s="5">
        <v>42768</v>
      </c>
      <c r="B779">
        <v>84.339995999999999</v>
      </c>
      <c r="C779">
        <v>84.910004000000001</v>
      </c>
      <c r="D779">
        <v>84.160004000000001</v>
      </c>
      <c r="E779">
        <v>84.589995999999999</v>
      </c>
      <c r="F779">
        <v>69.429230000000004</v>
      </c>
      <c r="G779">
        <v>11081400</v>
      </c>
      <c r="I779">
        <f t="shared" si="12"/>
        <v>3.6321037125989389E-5</v>
      </c>
    </row>
    <row r="780" spans="1:9" x14ac:dyDescent="0.3">
      <c r="A780" s="5">
        <v>42769</v>
      </c>
      <c r="B780">
        <v>86.190002000000007</v>
      </c>
      <c r="C780">
        <v>87.309997999999993</v>
      </c>
      <c r="D780">
        <v>85.870002999999997</v>
      </c>
      <c r="E780">
        <v>87.18</v>
      </c>
      <c r="F780">
        <v>71.555037999999996</v>
      </c>
      <c r="G780">
        <v>17885200</v>
      </c>
      <c r="I780">
        <f t="shared" ref="I780:I843" si="13">LN(C780/B780)*(LN(C780/B780)-LN(E780/B780))+LN(D780/B780)*(LN(D780/B780)-LN(E780/B780))</f>
        <v>7.5554092824859699E-5</v>
      </c>
    </row>
    <row r="781" spans="1:9" x14ac:dyDescent="0.3">
      <c r="A781" s="5">
        <v>42772</v>
      </c>
      <c r="B781">
        <v>86.790001000000004</v>
      </c>
      <c r="C781">
        <v>87.449996999999996</v>
      </c>
      <c r="D781">
        <v>86.610000999999997</v>
      </c>
      <c r="E781">
        <v>86.769997000000004</v>
      </c>
      <c r="F781">
        <v>71.218513000000002</v>
      </c>
      <c r="G781">
        <v>11828400</v>
      </c>
      <c r="I781">
        <f t="shared" si="13"/>
        <v>6.2969993423044604E-5</v>
      </c>
    </row>
    <row r="782" spans="1:9" x14ac:dyDescent="0.3">
      <c r="A782" s="5">
        <v>42773</v>
      </c>
      <c r="B782">
        <v>87.139999000000003</v>
      </c>
      <c r="C782">
        <v>87.400002000000001</v>
      </c>
      <c r="D782">
        <v>86.480002999999996</v>
      </c>
      <c r="E782">
        <v>86.720000999999996</v>
      </c>
      <c r="F782">
        <v>71.177490000000006</v>
      </c>
      <c r="G782">
        <v>9392800</v>
      </c>
      <c r="I782">
        <f t="shared" si="13"/>
        <v>4.4340513847450862E-5</v>
      </c>
    </row>
    <row r="783" spans="1:9" x14ac:dyDescent="0.3">
      <c r="A783" s="5">
        <v>42774</v>
      </c>
      <c r="B783">
        <v>86.18</v>
      </c>
      <c r="C783">
        <v>86.309997999999993</v>
      </c>
      <c r="D783">
        <v>85.370002999999997</v>
      </c>
      <c r="E783">
        <v>85.959998999999996</v>
      </c>
      <c r="F783">
        <v>70.553702999999999</v>
      </c>
      <c r="G783">
        <v>13970900</v>
      </c>
      <c r="I783">
        <f t="shared" si="13"/>
        <v>7.1163692583238708E-5</v>
      </c>
    </row>
    <row r="784" spans="1:9" x14ac:dyDescent="0.3">
      <c r="A784" s="5">
        <v>42775</v>
      </c>
      <c r="B784">
        <v>85.959998999999996</v>
      </c>
      <c r="C784">
        <v>87.330001999999993</v>
      </c>
      <c r="D784">
        <v>85.959998999999996</v>
      </c>
      <c r="E784">
        <v>87.199996999999996</v>
      </c>
      <c r="F784">
        <v>71.571433999999996</v>
      </c>
      <c r="G784">
        <v>13749100</v>
      </c>
      <c r="I784">
        <f t="shared" si="13"/>
        <v>2.3556301452309932E-5</v>
      </c>
    </row>
    <row r="785" spans="1:9" x14ac:dyDescent="0.3">
      <c r="A785" s="5">
        <v>42776</v>
      </c>
      <c r="B785">
        <v>87.480002999999996</v>
      </c>
      <c r="C785">
        <v>87.480002999999996</v>
      </c>
      <c r="D785">
        <v>86.889999000000003</v>
      </c>
      <c r="E785">
        <v>87</v>
      </c>
      <c r="F785">
        <v>71.407295000000005</v>
      </c>
      <c r="G785">
        <v>10992500</v>
      </c>
      <c r="I785">
        <f t="shared" si="13"/>
        <v>8.5618362694489157E-6</v>
      </c>
    </row>
    <row r="786" spans="1:9" x14ac:dyDescent="0.3">
      <c r="A786" s="5">
        <v>42779</v>
      </c>
      <c r="B786">
        <v>87.440002000000007</v>
      </c>
      <c r="C786">
        <v>88.739998</v>
      </c>
      <c r="D786">
        <v>87.43</v>
      </c>
      <c r="E786">
        <v>88.150002000000001</v>
      </c>
      <c r="F786">
        <v>72.351180999999997</v>
      </c>
      <c r="G786">
        <v>18739100</v>
      </c>
      <c r="I786">
        <f t="shared" si="13"/>
        <v>9.9384784381815206E-5</v>
      </c>
    </row>
    <row r="787" spans="1:9" x14ac:dyDescent="0.3">
      <c r="A787" s="5">
        <v>42780</v>
      </c>
      <c r="B787">
        <v>88.300003000000004</v>
      </c>
      <c r="C787">
        <v>89.699996999999996</v>
      </c>
      <c r="D787">
        <v>88.110000999999997</v>
      </c>
      <c r="E787">
        <v>89.559997999999993</v>
      </c>
      <c r="F787">
        <v>73.508460999999997</v>
      </c>
      <c r="G787">
        <v>17932100</v>
      </c>
      <c r="I787">
        <f t="shared" si="13"/>
        <v>5.9731377187100199E-5</v>
      </c>
    </row>
    <row r="788" spans="1:9" x14ac:dyDescent="0.3">
      <c r="A788" s="5">
        <v>42781</v>
      </c>
      <c r="B788">
        <v>90.080001999999993</v>
      </c>
      <c r="C788">
        <v>90.870002999999997</v>
      </c>
      <c r="D788">
        <v>89.349997999999999</v>
      </c>
      <c r="E788">
        <v>90.589995999999999</v>
      </c>
      <c r="F788">
        <v>74.353851000000006</v>
      </c>
      <c r="G788">
        <v>17381800</v>
      </c>
      <c r="I788">
        <f t="shared" si="13"/>
        <v>1.3909591041005878E-4</v>
      </c>
    </row>
    <row r="789" spans="1:9" x14ac:dyDescent="0.3">
      <c r="A789" s="5">
        <v>42782</v>
      </c>
      <c r="B789">
        <v>90.400002000000001</v>
      </c>
      <c r="C789">
        <v>91.040001000000004</v>
      </c>
      <c r="D789">
        <v>89.769997000000004</v>
      </c>
      <c r="E789">
        <v>90.529999000000004</v>
      </c>
      <c r="F789">
        <v>74.304619000000002</v>
      </c>
      <c r="G789">
        <v>17672700</v>
      </c>
      <c r="I789">
        <f t="shared" si="13"/>
        <v>9.8589466088159632E-5</v>
      </c>
    </row>
    <row r="790" spans="1:9" x14ac:dyDescent="0.3">
      <c r="A790" s="5">
        <v>42783</v>
      </c>
      <c r="B790">
        <v>89.82</v>
      </c>
      <c r="C790">
        <v>90.470000999999996</v>
      </c>
      <c r="D790">
        <v>89.690002000000007</v>
      </c>
      <c r="E790">
        <v>90.230002999999996</v>
      </c>
      <c r="F790">
        <v>74.058395000000004</v>
      </c>
      <c r="G790">
        <v>15776600</v>
      </c>
      <c r="I790">
        <f t="shared" si="13"/>
        <v>2.7847854334538375E-5</v>
      </c>
    </row>
    <row r="791" spans="1:9" x14ac:dyDescent="0.3">
      <c r="A791" s="5">
        <v>42787</v>
      </c>
      <c r="B791">
        <v>90.510002</v>
      </c>
      <c r="C791">
        <v>91.150002000000001</v>
      </c>
      <c r="D791">
        <v>90.459998999999996</v>
      </c>
      <c r="E791">
        <v>91.010002</v>
      </c>
      <c r="F791">
        <v>74.698586000000006</v>
      </c>
      <c r="G791">
        <v>14068300</v>
      </c>
      <c r="I791">
        <f t="shared" si="13"/>
        <v>1.4180464594597941E-5</v>
      </c>
    </row>
    <row r="792" spans="1:9" x14ac:dyDescent="0.3">
      <c r="A792" s="5">
        <v>42788</v>
      </c>
      <c r="B792">
        <v>90.519997000000004</v>
      </c>
      <c r="C792">
        <v>91.300003000000004</v>
      </c>
      <c r="D792">
        <v>90.419998000000007</v>
      </c>
      <c r="E792">
        <v>91.059997999999993</v>
      </c>
      <c r="F792">
        <v>74.739615999999998</v>
      </c>
      <c r="G792">
        <v>11839000</v>
      </c>
      <c r="I792">
        <f t="shared" si="13"/>
        <v>3.0380511137978579E-5</v>
      </c>
    </row>
    <row r="793" spans="1:9" x14ac:dyDescent="0.3">
      <c r="A793" s="5">
        <v>42789</v>
      </c>
      <c r="B793">
        <v>91.18</v>
      </c>
      <c r="C793">
        <v>91.339995999999999</v>
      </c>
      <c r="D793">
        <v>90.519997000000004</v>
      </c>
      <c r="E793">
        <v>91.129997000000003</v>
      </c>
      <c r="F793">
        <v>74.797066000000001</v>
      </c>
      <c r="G793">
        <v>11067000</v>
      </c>
      <c r="I793">
        <f t="shared" si="13"/>
        <v>5.2827422155132216E-5</v>
      </c>
    </row>
    <row r="794" spans="1:9" x14ac:dyDescent="0.3">
      <c r="A794" s="5">
        <v>42790</v>
      </c>
      <c r="B794">
        <v>90.18</v>
      </c>
      <c r="C794">
        <v>90.540001000000004</v>
      </c>
      <c r="D794">
        <v>89.730002999999996</v>
      </c>
      <c r="E794">
        <v>90.330001999999993</v>
      </c>
      <c r="F794">
        <v>74.140465000000006</v>
      </c>
      <c r="G794">
        <v>15062300</v>
      </c>
      <c r="I794">
        <f t="shared" si="13"/>
        <v>4.2590240296071958E-5</v>
      </c>
    </row>
    <row r="795" spans="1:9" x14ac:dyDescent="0.3">
      <c r="A795" s="5">
        <v>42793</v>
      </c>
      <c r="B795">
        <v>90.32</v>
      </c>
      <c r="C795">
        <v>90.730002999999996</v>
      </c>
      <c r="D795">
        <v>90.019997000000004</v>
      </c>
      <c r="E795">
        <v>90.43</v>
      </c>
      <c r="F795">
        <v>74.222533999999996</v>
      </c>
      <c r="G795">
        <v>12361000</v>
      </c>
      <c r="I795">
        <f t="shared" si="13"/>
        <v>3.011980923971436E-5</v>
      </c>
    </row>
    <row r="796" spans="1:9" x14ac:dyDescent="0.3">
      <c r="A796" s="5">
        <v>42794</v>
      </c>
      <c r="B796">
        <v>89.849997999999999</v>
      </c>
      <c r="C796">
        <v>90.82</v>
      </c>
      <c r="D796">
        <v>89.589995999999999</v>
      </c>
      <c r="E796">
        <v>90.620002999999997</v>
      </c>
      <c r="F796">
        <v>74.378494000000003</v>
      </c>
      <c r="G796">
        <v>15183500</v>
      </c>
      <c r="I796">
        <f t="shared" si="13"/>
        <v>5.6799475615443984E-5</v>
      </c>
    </row>
    <row r="797" spans="1:9" x14ac:dyDescent="0.3">
      <c r="A797" s="5">
        <v>42795</v>
      </c>
      <c r="B797">
        <v>92.790001000000004</v>
      </c>
      <c r="C797">
        <v>93.980002999999996</v>
      </c>
      <c r="D797">
        <v>92.610000999999997</v>
      </c>
      <c r="E797">
        <v>93.599997999999999</v>
      </c>
      <c r="F797">
        <v>76.824402000000006</v>
      </c>
      <c r="G797">
        <v>24451400</v>
      </c>
      <c r="I797">
        <f t="shared" si="13"/>
        <v>7.2277956173096537E-5</v>
      </c>
    </row>
    <row r="798" spans="1:9" x14ac:dyDescent="0.3">
      <c r="A798" s="5">
        <v>42796</v>
      </c>
      <c r="B798">
        <v>93.870002999999997</v>
      </c>
      <c r="C798">
        <v>93.919998000000007</v>
      </c>
      <c r="D798">
        <v>92.029999000000004</v>
      </c>
      <c r="E798">
        <v>92.139999000000003</v>
      </c>
      <c r="F798">
        <v>75.626068000000004</v>
      </c>
      <c r="G798">
        <v>16862500</v>
      </c>
      <c r="I798">
        <f t="shared" si="13"/>
        <v>3.3835739280204339E-5</v>
      </c>
    </row>
    <row r="799" spans="1:9" x14ac:dyDescent="0.3">
      <c r="A799" s="5">
        <v>42797</v>
      </c>
      <c r="B799">
        <v>92.139999000000003</v>
      </c>
      <c r="C799">
        <v>93.110000999999997</v>
      </c>
      <c r="D799">
        <v>92.139999000000003</v>
      </c>
      <c r="E799">
        <v>92.800003000000004</v>
      </c>
      <c r="F799">
        <v>76.167770000000004</v>
      </c>
      <c r="G799">
        <v>12817500</v>
      </c>
      <c r="I799">
        <f t="shared" si="13"/>
        <v>3.4924878808597399E-5</v>
      </c>
    </row>
    <row r="800" spans="1:9" x14ac:dyDescent="0.3">
      <c r="A800" s="5">
        <v>42800</v>
      </c>
      <c r="B800">
        <v>92.25</v>
      </c>
      <c r="C800">
        <v>92.32</v>
      </c>
      <c r="D800">
        <v>91.099997999999999</v>
      </c>
      <c r="E800">
        <v>91.919998000000007</v>
      </c>
      <c r="F800">
        <v>75.445510999999996</v>
      </c>
      <c r="G800">
        <v>15059200</v>
      </c>
      <c r="I800">
        <f t="shared" si="13"/>
        <v>1.1570276874731014E-4</v>
      </c>
    </row>
    <row r="801" spans="1:9" x14ac:dyDescent="0.3">
      <c r="A801" s="5">
        <v>42801</v>
      </c>
      <c r="B801">
        <v>91.639999000000003</v>
      </c>
      <c r="C801">
        <v>92.089995999999999</v>
      </c>
      <c r="D801">
        <v>91.209998999999996</v>
      </c>
      <c r="E801">
        <v>91.410004000000001</v>
      </c>
      <c r="F801">
        <v>75.026909000000003</v>
      </c>
      <c r="G801">
        <v>11156800</v>
      </c>
      <c r="I801">
        <f t="shared" si="13"/>
        <v>4.6606601706576404E-5</v>
      </c>
    </row>
    <row r="802" spans="1:9" x14ac:dyDescent="0.3">
      <c r="A802" s="5">
        <v>42802</v>
      </c>
      <c r="B802">
        <v>92.68</v>
      </c>
      <c r="C802">
        <v>92.849997999999999</v>
      </c>
      <c r="D802">
        <v>91.099997999999999</v>
      </c>
      <c r="E802">
        <v>91.209998999999996</v>
      </c>
      <c r="F802">
        <v>74.862755000000007</v>
      </c>
      <c r="G802">
        <v>17378400</v>
      </c>
      <c r="I802">
        <f t="shared" si="13"/>
        <v>5.3407602522433163E-5</v>
      </c>
    </row>
    <row r="803" spans="1:9" x14ac:dyDescent="0.3">
      <c r="A803" s="5">
        <v>42803</v>
      </c>
      <c r="B803">
        <v>91.599997999999999</v>
      </c>
      <c r="C803">
        <v>92.139999000000003</v>
      </c>
      <c r="D803">
        <v>91.150002000000001</v>
      </c>
      <c r="E803">
        <v>91.57</v>
      </c>
      <c r="F803">
        <v>75.158210999999994</v>
      </c>
      <c r="G803">
        <v>13726200</v>
      </c>
      <c r="I803">
        <f t="shared" si="13"/>
        <v>5.9114832823146821E-5</v>
      </c>
    </row>
    <row r="804" spans="1:9" x14ac:dyDescent="0.3">
      <c r="A804" s="5">
        <v>42804</v>
      </c>
      <c r="B804">
        <v>91.949996999999996</v>
      </c>
      <c r="C804">
        <v>92</v>
      </c>
      <c r="D804">
        <v>90.529999000000004</v>
      </c>
      <c r="E804">
        <v>91.279999000000004</v>
      </c>
      <c r="F804">
        <v>74.920188999999993</v>
      </c>
      <c r="G804">
        <v>13729900</v>
      </c>
      <c r="I804">
        <f t="shared" si="13"/>
        <v>1.3267801631693544E-4</v>
      </c>
    </row>
    <row r="805" spans="1:9" x14ac:dyDescent="0.3">
      <c r="A805" s="5">
        <v>42807</v>
      </c>
      <c r="B805">
        <v>91.309997999999993</v>
      </c>
      <c r="C805">
        <v>91.779999000000004</v>
      </c>
      <c r="D805">
        <v>90.93</v>
      </c>
      <c r="E805">
        <v>91.360000999999997</v>
      </c>
      <c r="F805">
        <v>74.985862999999995</v>
      </c>
      <c r="G805">
        <v>10004300</v>
      </c>
      <c r="I805">
        <f t="shared" si="13"/>
        <v>4.3222905847257753E-5</v>
      </c>
    </row>
    <row r="806" spans="1:9" x14ac:dyDescent="0.3">
      <c r="A806" s="5">
        <v>42808</v>
      </c>
      <c r="B806">
        <v>91.019997000000004</v>
      </c>
      <c r="C806">
        <v>91.650002000000001</v>
      </c>
      <c r="D806">
        <v>90.769997000000004</v>
      </c>
      <c r="E806">
        <v>91.510002</v>
      </c>
      <c r="F806">
        <v>75.108986000000002</v>
      </c>
      <c r="G806">
        <v>10237700</v>
      </c>
      <c r="I806">
        <f t="shared" si="13"/>
        <v>3.2876778107967586E-5</v>
      </c>
    </row>
    <row r="807" spans="1:9" x14ac:dyDescent="0.3">
      <c r="A807" s="5">
        <v>42809</v>
      </c>
      <c r="B807">
        <v>91.800003000000004</v>
      </c>
      <c r="C807">
        <v>92.550003000000004</v>
      </c>
      <c r="D807">
        <v>91.129997000000003</v>
      </c>
      <c r="E807">
        <v>91.730002999999996</v>
      </c>
      <c r="F807">
        <v>75.289558</v>
      </c>
      <c r="G807">
        <v>16601400</v>
      </c>
      <c r="I807">
        <f t="shared" si="13"/>
        <v>1.2048562376601342E-4</v>
      </c>
    </row>
    <row r="808" spans="1:9" x14ac:dyDescent="0.3">
      <c r="A808" s="5">
        <v>42810</v>
      </c>
      <c r="B808">
        <v>92.029999000000004</v>
      </c>
      <c r="C808">
        <v>92.809997999999993</v>
      </c>
      <c r="D808">
        <v>91.57</v>
      </c>
      <c r="E808">
        <v>91.639999000000003</v>
      </c>
      <c r="F808">
        <v>75.215675000000005</v>
      </c>
      <c r="G808">
        <v>14492000</v>
      </c>
      <c r="I808">
        <f t="shared" si="13"/>
        <v>1.1090038295832651E-4</v>
      </c>
    </row>
    <row r="809" spans="1:9" x14ac:dyDescent="0.3">
      <c r="A809" s="5">
        <v>42811</v>
      </c>
      <c r="B809">
        <v>91.830001999999993</v>
      </c>
      <c r="C809">
        <v>92.040001000000004</v>
      </c>
      <c r="D809">
        <v>90.650002000000001</v>
      </c>
      <c r="E809">
        <v>90.68</v>
      </c>
      <c r="F809">
        <v>74.427727000000004</v>
      </c>
      <c r="G809">
        <v>21734700</v>
      </c>
      <c r="I809">
        <f t="shared" si="13"/>
        <v>3.8282947253428925E-5</v>
      </c>
    </row>
    <row r="810" spans="1:9" x14ac:dyDescent="0.3">
      <c r="A810" s="5">
        <v>42814</v>
      </c>
      <c r="B810">
        <v>90.269997000000004</v>
      </c>
      <c r="C810">
        <v>91.169998000000007</v>
      </c>
      <c r="D810">
        <v>89.790001000000004</v>
      </c>
      <c r="E810">
        <v>90.029999000000004</v>
      </c>
      <c r="F810">
        <v>73.894226000000003</v>
      </c>
      <c r="G810">
        <v>14623600</v>
      </c>
      <c r="I810">
        <f t="shared" si="13"/>
        <v>1.390634065722858E-4</v>
      </c>
    </row>
    <row r="811" spans="1:9" x14ac:dyDescent="0.3">
      <c r="A811" s="5">
        <v>42815</v>
      </c>
      <c r="B811">
        <v>90.360000999999997</v>
      </c>
      <c r="C811">
        <v>90.639999000000003</v>
      </c>
      <c r="D811">
        <v>87.059997999999993</v>
      </c>
      <c r="E811">
        <v>87.389999000000003</v>
      </c>
      <c r="F811">
        <v>71.727378999999999</v>
      </c>
      <c r="G811">
        <v>33089200</v>
      </c>
      <c r="I811">
        <f t="shared" si="13"/>
        <v>2.5372903250487917E-4</v>
      </c>
    </row>
    <row r="812" spans="1:9" x14ac:dyDescent="0.3">
      <c r="A812" s="5">
        <v>42816</v>
      </c>
      <c r="B812">
        <v>86.889999000000003</v>
      </c>
      <c r="C812">
        <v>88.07</v>
      </c>
      <c r="D812">
        <v>86.010002</v>
      </c>
      <c r="E812">
        <v>87.529999000000004</v>
      </c>
      <c r="F812">
        <v>71.842292999999998</v>
      </c>
      <c r="G812">
        <v>21741000</v>
      </c>
      <c r="I812">
        <f t="shared" si="13"/>
        <v>2.6128415042497144E-4</v>
      </c>
    </row>
    <row r="813" spans="1:9" x14ac:dyDescent="0.3">
      <c r="A813" s="5">
        <v>42817</v>
      </c>
      <c r="B813">
        <v>87.209998999999996</v>
      </c>
      <c r="C813">
        <v>88.5</v>
      </c>
      <c r="D813">
        <v>87.089995999999999</v>
      </c>
      <c r="E813">
        <v>87.389999000000003</v>
      </c>
      <c r="F813">
        <v>71.727378999999999</v>
      </c>
      <c r="G813">
        <v>16090100</v>
      </c>
      <c r="I813">
        <f t="shared" si="13"/>
        <v>1.9006671397726668E-4</v>
      </c>
    </row>
    <row r="814" spans="1:9" x14ac:dyDescent="0.3">
      <c r="A814" s="5">
        <v>42818</v>
      </c>
      <c r="B814">
        <v>87.790001000000004</v>
      </c>
      <c r="C814">
        <v>88.089995999999999</v>
      </c>
      <c r="D814">
        <v>86.769997000000004</v>
      </c>
      <c r="E814">
        <v>87.290001000000004</v>
      </c>
      <c r="F814">
        <v>71.645325</v>
      </c>
      <c r="G814">
        <v>16093200</v>
      </c>
      <c r="I814">
        <f t="shared" si="13"/>
        <v>1.0095028863439414E-4</v>
      </c>
    </row>
    <row r="815" spans="1:9" x14ac:dyDescent="0.3">
      <c r="A815" s="5">
        <v>42821</v>
      </c>
      <c r="B815">
        <v>85.529999000000004</v>
      </c>
      <c r="C815">
        <v>87.400002000000001</v>
      </c>
      <c r="D815">
        <v>85.230002999999996</v>
      </c>
      <c r="E815">
        <v>87.239998</v>
      </c>
      <c r="F815">
        <v>71.604270999999997</v>
      </c>
      <c r="G815">
        <v>16689300</v>
      </c>
      <c r="I815">
        <f t="shared" si="13"/>
        <v>1.215324048792667E-4</v>
      </c>
    </row>
    <row r="816" spans="1:9" x14ac:dyDescent="0.3">
      <c r="A816" s="5">
        <v>42822</v>
      </c>
      <c r="B816">
        <v>87.019997000000004</v>
      </c>
      <c r="C816">
        <v>89.019997000000004</v>
      </c>
      <c r="D816">
        <v>86.980002999999996</v>
      </c>
      <c r="E816">
        <v>88.599997999999999</v>
      </c>
      <c r="F816">
        <v>72.720534999999998</v>
      </c>
      <c r="G816">
        <v>16264400</v>
      </c>
      <c r="I816">
        <f t="shared" si="13"/>
        <v>1.1594504457643863E-4</v>
      </c>
    </row>
    <row r="817" spans="1:9" x14ac:dyDescent="0.3">
      <c r="A817" s="5">
        <v>42823</v>
      </c>
      <c r="B817">
        <v>88.599997999999999</v>
      </c>
      <c r="C817">
        <v>88.82</v>
      </c>
      <c r="D817">
        <v>88.080001999999993</v>
      </c>
      <c r="E817">
        <v>88.269997000000004</v>
      </c>
      <c r="F817">
        <v>72.449669</v>
      </c>
      <c r="G817">
        <v>10207600</v>
      </c>
      <c r="I817">
        <f t="shared" si="13"/>
        <v>2.8088369840118992E-5</v>
      </c>
    </row>
    <row r="818" spans="1:9" x14ac:dyDescent="0.3">
      <c r="A818" s="5">
        <v>42824</v>
      </c>
      <c r="B818">
        <v>88.199996999999996</v>
      </c>
      <c r="C818">
        <v>89.459998999999996</v>
      </c>
      <c r="D818">
        <v>88.120002999999997</v>
      </c>
      <c r="E818">
        <v>89.029999000000004</v>
      </c>
      <c r="F818">
        <v>73.073455999999993</v>
      </c>
      <c r="G818">
        <v>11631000</v>
      </c>
      <c r="I818">
        <f t="shared" si="13"/>
        <v>7.7666801217923697E-5</v>
      </c>
    </row>
    <row r="819" spans="1:9" x14ac:dyDescent="0.3">
      <c r="A819" s="5">
        <v>42825</v>
      </c>
      <c r="B819">
        <v>88.709998999999996</v>
      </c>
      <c r="C819">
        <v>88.739998</v>
      </c>
      <c r="D819">
        <v>87.75</v>
      </c>
      <c r="E819">
        <v>87.839995999999999</v>
      </c>
      <c r="F819">
        <v>72.096725000000006</v>
      </c>
      <c r="G819">
        <v>16987600</v>
      </c>
      <c r="I819">
        <f t="shared" si="13"/>
        <v>1.460017264886687E-5</v>
      </c>
    </row>
    <row r="820" spans="1:9" x14ac:dyDescent="0.3">
      <c r="A820" s="5">
        <v>42828</v>
      </c>
      <c r="B820">
        <v>87.989998</v>
      </c>
      <c r="C820">
        <v>88.169998000000007</v>
      </c>
      <c r="D820">
        <v>86.599997999999999</v>
      </c>
      <c r="E820">
        <v>87.519997000000004</v>
      </c>
      <c r="F820">
        <v>71.834084000000004</v>
      </c>
      <c r="G820">
        <v>19831800</v>
      </c>
      <c r="I820">
        <f t="shared" si="13"/>
        <v>1.8339174028948965E-4</v>
      </c>
    </row>
    <row r="821" spans="1:9" x14ac:dyDescent="0.3">
      <c r="A821" s="5">
        <v>42829</v>
      </c>
      <c r="B821">
        <v>86.889999000000003</v>
      </c>
      <c r="C821">
        <v>87.669998000000007</v>
      </c>
      <c r="D821">
        <v>86.720000999999996</v>
      </c>
      <c r="E821">
        <v>87.309997999999993</v>
      </c>
      <c r="F821">
        <v>72.073486000000003</v>
      </c>
      <c r="G821">
        <v>14280800</v>
      </c>
      <c r="I821">
        <f t="shared" si="13"/>
        <v>5.0051548507627094E-5</v>
      </c>
    </row>
    <row r="822" spans="1:9" x14ac:dyDescent="0.3">
      <c r="A822" s="5">
        <v>42830</v>
      </c>
      <c r="B822">
        <v>88.419998000000007</v>
      </c>
      <c r="C822">
        <v>88.540001000000004</v>
      </c>
      <c r="D822">
        <v>86.129997000000003</v>
      </c>
      <c r="E822">
        <v>86.190002000000007</v>
      </c>
      <c r="F822">
        <v>71.148926000000003</v>
      </c>
      <c r="G822">
        <v>17635500</v>
      </c>
      <c r="I822">
        <f t="shared" si="13"/>
        <v>5.4758878050822006E-5</v>
      </c>
    </row>
    <row r="823" spans="1:9" x14ac:dyDescent="0.3">
      <c r="A823" s="5">
        <v>42831</v>
      </c>
      <c r="B823">
        <v>85.980002999999996</v>
      </c>
      <c r="C823">
        <v>86.910004000000001</v>
      </c>
      <c r="D823">
        <v>85.25</v>
      </c>
      <c r="E823">
        <v>86.480002999999996</v>
      </c>
      <c r="F823">
        <v>71.388335999999995</v>
      </c>
      <c r="G823">
        <v>14379600</v>
      </c>
      <c r="I823">
        <f t="shared" si="13"/>
        <v>1.7550575946849521E-4</v>
      </c>
    </row>
    <row r="824" spans="1:9" x14ac:dyDescent="0.3">
      <c r="A824" s="5">
        <v>42832</v>
      </c>
      <c r="B824">
        <v>85.93</v>
      </c>
      <c r="C824">
        <v>86.809997999999993</v>
      </c>
      <c r="D824">
        <v>85.709998999999996</v>
      </c>
      <c r="E824">
        <v>86.18</v>
      </c>
      <c r="F824">
        <v>71.140686000000002</v>
      </c>
      <c r="G824">
        <v>13097100</v>
      </c>
      <c r="I824">
        <f t="shared" si="13"/>
        <v>8.8230695835737622E-5</v>
      </c>
    </row>
    <row r="825" spans="1:9" x14ac:dyDescent="0.3">
      <c r="A825" s="5">
        <v>42835</v>
      </c>
      <c r="B825">
        <v>86.080001999999993</v>
      </c>
      <c r="C825">
        <v>86.690002000000007</v>
      </c>
      <c r="D825">
        <v>85.400002000000001</v>
      </c>
      <c r="E825">
        <v>85.879997000000003</v>
      </c>
      <c r="F825">
        <v>70.893035999999995</v>
      </c>
      <c r="G825">
        <v>15081600</v>
      </c>
      <c r="I825">
        <f t="shared" si="13"/>
        <v>1.1074188461643398E-4</v>
      </c>
    </row>
    <row r="826" spans="1:9" x14ac:dyDescent="0.3">
      <c r="A826" s="5">
        <v>42836</v>
      </c>
      <c r="B826">
        <v>85.540001000000004</v>
      </c>
      <c r="C826">
        <v>85.790001000000004</v>
      </c>
      <c r="D826">
        <v>84.800003000000004</v>
      </c>
      <c r="E826">
        <v>85.730002999999996</v>
      </c>
      <c r="F826">
        <v>70.769217999999995</v>
      </c>
      <c r="G826">
        <v>14690500</v>
      </c>
      <c r="I826">
        <f t="shared" si="13"/>
        <v>9.680997986928936E-5</v>
      </c>
    </row>
    <row r="827" spans="1:9" x14ac:dyDescent="0.3">
      <c r="A827" s="5">
        <v>42837</v>
      </c>
      <c r="B827">
        <v>85.93</v>
      </c>
      <c r="C827">
        <v>85.949996999999996</v>
      </c>
      <c r="D827">
        <v>85.029999000000004</v>
      </c>
      <c r="E827">
        <v>85.400002000000001</v>
      </c>
      <c r="F827">
        <v>70.496803</v>
      </c>
      <c r="G827">
        <v>14730600</v>
      </c>
      <c r="I827">
        <f t="shared" si="13"/>
        <v>4.7210178538177627E-5</v>
      </c>
    </row>
    <row r="828" spans="1:9" x14ac:dyDescent="0.3">
      <c r="A828" s="5">
        <v>42838</v>
      </c>
      <c r="B828">
        <v>85.5</v>
      </c>
      <c r="C828">
        <v>86.989998</v>
      </c>
      <c r="D828">
        <v>84.400002000000001</v>
      </c>
      <c r="E828">
        <v>84.400002000000001</v>
      </c>
      <c r="F828">
        <v>69.671317999999999</v>
      </c>
      <c r="G828">
        <v>30529800</v>
      </c>
      <c r="I828">
        <f t="shared" si="13"/>
        <v>5.222028514695298E-4</v>
      </c>
    </row>
    <row r="829" spans="1:9" x14ac:dyDescent="0.3">
      <c r="A829" s="5">
        <v>42842</v>
      </c>
      <c r="B829">
        <v>84.440002000000007</v>
      </c>
      <c r="C829">
        <v>86.080001999999993</v>
      </c>
      <c r="D829">
        <v>84.370002999999997</v>
      </c>
      <c r="E829">
        <v>85.860000999999997</v>
      </c>
      <c r="F829">
        <v>70.876525999999998</v>
      </c>
      <c r="G829">
        <v>19071700</v>
      </c>
      <c r="I829">
        <f t="shared" si="13"/>
        <v>6.3743720712047472E-5</v>
      </c>
    </row>
    <row r="830" spans="1:9" x14ac:dyDescent="0.3">
      <c r="A830" s="5">
        <v>42843</v>
      </c>
      <c r="B830">
        <v>85.360000999999997</v>
      </c>
      <c r="C830">
        <v>85.629997000000003</v>
      </c>
      <c r="D830">
        <v>84.739998</v>
      </c>
      <c r="E830">
        <v>85.160004000000001</v>
      </c>
      <c r="F830">
        <v>70.298682999999997</v>
      </c>
      <c r="G830">
        <v>14127000</v>
      </c>
      <c r="I830">
        <f t="shared" si="13"/>
        <v>5.3423547528388615E-5</v>
      </c>
    </row>
    <row r="831" spans="1:9" x14ac:dyDescent="0.3">
      <c r="A831" s="5">
        <v>42844</v>
      </c>
      <c r="B831">
        <v>85.5</v>
      </c>
      <c r="C831">
        <v>85.919998000000007</v>
      </c>
      <c r="D831">
        <v>84.360000999999997</v>
      </c>
      <c r="E831">
        <v>84.459998999999996</v>
      </c>
      <c r="F831">
        <v>69.720817999999994</v>
      </c>
      <c r="G831">
        <v>17588500</v>
      </c>
      <c r="I831">
        <f t="shared" si="13"/>
        <v>9.9884798531624851E-5</v>
      </c>
    </row>
    <row r="832" spans="1:9" x14ac:dyDescent="0.3">
      <c r="A832" s="5">
        <v>42845</v>
      </c>
      <c r="B832">
        <v>84.980002999999996</v>
      </c>
      <c r="C832">
        <v>85.779999000000004</v>
      </c>
      <c r="D832">
        <v>84.550003000000004</v>
      </c>
      <c r="E832">
        <v>85.550003000000004</v>
      </c>
      <c r="F832">
        <v>70.620613000000006</v>
      </c>
      <c r="G832">
        <v>15635800</v>
      </c>
      <c r="I832">
        <f t="shared" si="13"/>
        <v>8.4802896160861535E-5</v>
      </c>
    </row>
    <row r="833" spans="1:9" x14ac:dyDescent="0.3">
      <c r="A833" s="5">
        <v>42846</v>
      </c>
      <c r="B833">
        <v>85.5</v>
      </c>
      <c r="C833">
        <v>85.68</v>
      </c>
      <c r="D833">
        <v>84.510002</v>
      </c>
      <c r="E833">
        <v>84.519997000000004</v>
      </c>
      <c r="F833">
        <v>69.77037</v>
      </c>
      <c r="G833">
        <v>19820600</v>
      </c>
      <c r="I833">
        <f t="shared" si="13"/>
        <v>3.0044590943012662E-5</v>
      </c>
    </row>
    <row r="834" spans="1:9" x14ac:dyDescent="0.3">
      <c r="A834" s="5">
        <v>42849</v>
      </c>
      <c r="B834">
        <v>86.550003000000004</v>
      </c>
      <c r="C834">
        <v>88.050003000000004</v>
      </c>
      <c r="D834">
        <v>86.419998000000007</v>
      </c>
      <c r="E834">
        <v>87.5</v>
      </c>
      <c r="F834">
        <v>72.230323999999996</v>
      </c>
      <c r="G834">
        <v>25468300</v>
      </c>
      <c r="I834">
        <f t="shared" si="13"/>
        <v>1.263365580897818E-4</v>
      </c>
    </row>
    <row r="835" spans="1:9" x14ac:dyDescent="0.3">
      <c r="A835" s="5">
        <v>42850</v>
      </c>
      <c r="B835">
        <v>88.550003000000004</v>
      </c>
      <c r="C835">
        <v>89.129997000000003</v>
      </c>
      <c r="D835">
        <v>88.260002</v>
      </c>
      <c r="E835">
        <v>88.260002</v>
      </c>
      <c r="F835">
        <v>72.857688999999993</v>
      </c>
      <c r="G835">
        <v>18253800</v>
      </c>
      <c r="I835">
        <f t="shared" si="13"/>
        <v>6.403797594438646E-5</v>
      </c>
    </row>
    <row r="836" spans="1:9" x14ac:dyDescent="0.3">
      <c r="A836" s="5">
        <v>42851</v>
      </c>
      <c r="B836">
        <v>88.349997999999999</v>
      </c>
      <c r="C836">
        <v>89.050003000000004</v>
      </c>
      <c r="D836">
        <v>88.139999000000003</v>
      </c>
      <c r="E836">
        <v>88.43</v>
      </c>
      <c r="F836">
        <v>72.998031999999995</v>
      </c>
      <c r="G836">
        <v>12832200</v>
      </c>
      <c r="I836">
        <f t="shared" si="13"/>
        <v>6.2955624282714197E-5</v>
      </c>
    </row>
    <row r="837" spans="1:9" x14ac:dyDescent="0.3">
      <c r="A837" s="5">
        <v>42852</v>
      </c>
      <c r="B837">
        <v>88.370002999999997</v>
      </c>
      <c r="C837">
        <v>88.370002999999997</v>
      </c>
      <c r="D837">
        <v>87.010002</v>
      </c>
      <c r="E837">
        <v>87.610000999999997</v>
      </c>
      <c r="F837">
        <v>72.321121000000005</v>
      </c>
      <c r="G837">
        <v>13329000</v>
      </c>
      <c r="I837">
        <f t="shared" si="13"/>
        <v>1.06582546114987E-4</v>
      </c>
    </row>
    <row r="838" spans="1:9" x14ac:dyDescent="0.3">
      <c r="A838" s="5">
        <v>42853</v>
      </c>
      <c r="B838">
        <v>87.599997999999999</v>
      </c>
      <c r="C838">
        <v>87.849997999999999</v>
      </c>
      <c r="D838">
        <v>86.949996999999996</v>
      </c>
      <c r="E838">
        <v>87</v>
      </c>
      <c r="F838">
        <v>71.817573999999993</v>
      </c>
      <c r="G838">
        <v>10755600</v>
      </c>
      <c r="I838">
        <f t="shared" si="13"/>
        <v>3.1989651353449924E-5</v>
      </c>
    </row>
    <row r="839" spans="1:9" x14ac:dyDescent="0.3">
      <c r="A839" s="5">
        <v>42856</v>
      </c>
      <c r="B839">
        <v>87.360000999999997</v>
      </c>
      <c r="C839">
        <v>87.739998</v>
      </c>
      <c r="D839">
        <v>86.559997999999993</v>
      </c>
      <c r="E839">
        <v>87.059997999999993</v>
      </c>
      <c r="F839">
        <v>71.867110999999994</v>
      </c>
      <c r="G839">
        <v>15712300</v>
      </c>
      <c r="I839">
        <f t="shared" si="13"/>
        <v>8.6757368623166262E-5</v>
      </c>
    </row>
    <row r="840" spans="1:9" x14ac:dyDescent="0.3">
      <c r="A840" s="5">
        <v>42857</v>
      </c>
      <c r="B840">
        <v>86.709998999999996</v>
      </c>
      <c r="C840">
        <v>86.879997000000003</v>
      </c>
      <c r="D840">
        <v>86.019997000000004</v>
      </c>
      <c r="E840">
        <v>86.5</v>
      </c>
      <c r="F840">
        <v>71.404822999999993</v>
      </c>
      <c r="G840">
        <v>14414200</v>
      </c>
      <c r="I840">
        <f t="shared" si="13"/>
        <v>5.3043472718123733E-5</v>
      </c>
    </row>
    <row r="841" spans="1:9" x14ac:dyDescent="0.3">
      <c r="A841" s="5">
        <v>42858</v>
      </c>
      <c r="B841">
        <v>86.059997999999993</v>
      </c>
      <c r="C841">
        <v>87.099997999999999</v>
      </c>
      <c r="D841">
        <v>86.019997000000004</v>
      </c>
      <c r="E841">
        <v>87</v>
      </c>
      <c r="F841">
        <v>71.817573999999993</v>
      </c>
      <c r="G841">
        <v>11540500</v>
      </c>
      <c r="I841">
        <f t="shared" si="13"/>
        <v>1.906554312182535E-5</v>
      </c>
    </row>
    <row r="842" spans="1:9" x14ac:dyDescent="0.3">
      <c r="A842" s="5">
        <v>42859</v>
      </c>
      <c r="B842">
        <v>87.690002000000007</v>
      </c>
      <c r="C842">
        <v>87.730002999999996</v>
      </c>
      <c r="D842">
        <v>86.57</v>
      </c>
      <c r="E842">
        <v>87.099997999999999</v>
      </c>
      <c r="F842">
        <v>71.900108000000003</v>
      </c>
      <c r="G842">
        <v>11540100</v>
      </c>
      <c r="I842">
        <f t="shared" si="13"/>
        <v>8.1744971983509489E-5</v>
      </c>
    </row>
    <row r="843" spans="1:9" x14ac:dyDescent="0.3">
      <c r="A843" s="5">
        <v>42860</v>
      </c>
      <c r="B843">
        <v>87.25</v>
      </c>
      <c r="C843">
        <v>87.339995999999999</v>
      </c>
      <c r="D843">
        <v>86.419998000000007</v>
      </c>
      <c r="E843">
        <v>87</v>
      </c>
      <c r="F843">
        <v>71.817573999999993</v>
      </c>
      <c r="G843">
        <v>9436000</v>
      </c>
      <c r="I843">
        <f t="shared" si="13"/>
        <v>6.7957670956307996E-5</v>
      </c>
    </row>
    <row r="844" spans="1:9" x14ac:dyDescent="0.3">
      <c r="A844" s="5">
        <v>42863</v>
      </c>
      <c r="B844">
        <v>87.040001000000004</v>
      </c>
      <c r="C844">
        <v>87.32</v>
      </c>
      <c r="D844">
        <v>86.650002000000001</v>
      </c>
      <c r="E844">
        <v>87.099997999999999</v>
      </c>
      <c r="F844">
        <v>71.900108000000003</v>
      </c>
      <c r="G844">
        <v>8162200</v>
      </c>
      <c r="I844">
        <f t="shared" ref="I844:I907" si="14">LN(C844/B844)*(LN(C844/B844)-LN(E844/B844))+LN(D844/B844)*(LN(D844/B844)-LN(E844/B844))</f>
        <v>3.1363467135755809E-5</v>
      </c>
    </row>
    <row r="845" spans="1:9" x14ac:dyDescent="0.3">
      <c r="A845" s="5">
        <v>42864</v>
      </c>
      <c r="B845">
        <v>87.260002</v>
      </c>
      <c r="C845">
        <v>87.839995999999999</v>
      </c>
      <c r="D845">
        <v>86.5</v>
      </c>
      <c r="E845">
        <v>86.75</v>
      </c>
      <c r="F845">
        <v>71.611205999999996</v>
      </c>
      <c r="G845">
        <v>10273900</v>
      </c>
      <c r="I845">
        <f t="shared" si="14"/>
        <v>1.0796605110516023E-4</v>
      </c>
    </row>
    <row r="846" spans="1:9" x14ac:dyDescent="0.3">
      <c r="A846" s="5">
        <v>42865</v>
      </c>
      <c r="B846">
        <v>86.529999000000004</v>
      </c>
      <c r="C846">
        <v>87.480002999999996</v>
      </c>
      <c r="D846">
        <v>86.470000999999996</v>
      </c>
      <c r="E846">
        <v>87.43</v>
      </c>
      <c r="F846">
        <v>72.172539</v>
      </c>
      <c r="G846">
        <v>8334900</v>
      </c>
      <c r="I846">
        <f t="shared" si="14"/>
        <v>1.3901244671471114E-5</v>
      </c>
    </row>
    <row r="847" spans="1:9" x14ac:dyDescent="0.3">
      <c r="A847" s="5">
        <v>42866</v>
      </c>
      <c r="B847">
        <v>87.089995999999999</v>
      </c>
      <c r="C847">
        <v>87.480002999999996</v>
      </c>
      <c r="D847">
        <v>86.349997999999999</v>
      </c>
      <c r="E847">
        <v>87.160004000000001</v>
      </c>
      <c r="F847">
        <v>71.949669</v>
      </c>
      <c r="G847">
        <v>10907400</v>
      </c>
      <c r="I847">
        <f t="shared" si="14"/>
        <v>9.6047462974719106E-5</v>
      </c>
    </row>
    <row r="848" spans="1:9" x14ac:dyDescent="0.3">
      <c r="A848" s="5">
        <v>42867</v>
      </c>
      <c r="B848">
        <v>86.68</v>
      </c>
      <c r="C848">
        <v>87.050003000000004</v>
      </c>
      <c r="D848">
        <v>86.339995999999999</v>
      </c>
      <c r="E848">
        <v>86.919998000000007</v>
      </c>
      <c r="F848">
        <v>71.751555999999994</v>
      </c>
      <c r="G848">
        <v>8738800</v>
      </c>
      <c r="I848">
        <f t="shared" si="14"/>
        <v>3.2679799772991428E-5</v>
      </c>
    </row>
    <row r="849" spans="1:9" x14ac:dyDescent="0.3">
      <c r="A849" s="5">
        <v>42870</v>
      </c>
      <c r="B849">
        <v>87.099997999999999</v>
      </c>
      <c r="C849">
        <v>87.489998</v>
      </c>
      <c r="D849">
        <v>86.860000999999997</v>
      </c>
      <c r="E849">
        <v>87.339995999999999</v>
      </c>
      <c r="F849">
        <v>72.098243999999994</v>
      </c>
      <c r="G849">
        <v>8835600</v>
      </c>
      <c r="I849">
        <f t="shared" si="14"/>
        <v>2.287202188637728E-5</v>
      </c>
    </row>
    <row r="850" spans="1:9" x14ac:dyDescent="0.3">
      <c r="A850" s="5">
        <v>42871</v>
      </c>
      <c r="B850">
        <v>87.360000999999997</v>
      </c>
      <c r="C850">
        <v>88.089995999999999</v>
      </c>
      <c r="D850">
        <v>87.339995999999999</v>
      </c>
      <c r="E850">
        <v>87.610000999999997</v>
      </c>
      <c r="F850">
        <v>72.321121000000005</v>
      </c>
      <c r="G850">
        <v>9795000</v>
      </c>
      <c r="I850">
        <f t="shared" si="14"/>
        <v>4.6173779549900123E-5</v>
      </c>
    </row>
    <row r="851" spans="1:9" x14ac:dyDescent="0.3">
      <c r="A851" s="5">
        <v>42872</v>
      </c>
      <c r="B851">
        <v>87.610000999999997</v>
      </c>
      <c r="C851">
        <v>87.610000999999997</v>
      </c>
      <c r="D851">
        <v>83.970000999999996</v>
      </c>
      <c r="E851">
        <v>84.269997000000004</v>
      </c>
      <c r="F851">
        <v>69.563995000000006</v>
      </c>
      <c r="G851">
        <v>24679700</v>
      </c>
      <c r="I851">
        <f t="shared" si="14"/>
        <v>1.5133749522321154E-4</v>
      </c>
    </row>
    <row r="852" spans="1:9" x14ac:dyDescent="0.3">
      <c r="A852" s="5">
        <v>42873</v>
      </c>
      <c r="B852">
        <v>84.07</v>
      </c>
      <c r="C852">
        <v>84.800003000000004</v>
      </c>
      <c r="D852">
        <v>83.360000999999997</v>
      </c>
      <c r="E852">
        <v>83.959998999999996</v>
      </c>
      <c r="F852">
        <v>69.308090000000007</v>
      </c>
      <c r="G852">
        <v>23350100</v>
      </c>
      <c r="I852">
        <f t="shared" si="14"/>
        <v>1.4689591654094966E-4</v>
      </c>
    </row>
    <row r="853" spans="1:9" x14ac:dyDescent="0.3">
      <c r="A853" s="5">
        <v>42874</v>
      </c>
      <c r="B853">
        <v>84.209998999999996</v>
      </c>
      <c r="C853">
        <v>85.339995999999999</v>
      </c>
      <c r="D853">
        <v>84.150002000000001</v>
      </c>
      <c r="E853">
        <v>84.779999000000004</v>
      </c>
      <c r="F853">
        <v>69.984993000000003</v>
      </c>
      <c r="G853">
        <v>13412900</v>
      </c>
      <c r="I853">
        <f t="shared" si="14"/>
        <v>9.3072198132504617E-5</v>
      </c>
    </row>
    <row r="854" spans="1:9" x14ac:dyDescent="0.3">
      <c r="A854" s="5">
        <v>42877</v>
      </c>
      <c r="B854">
        <v>85.18</v>
      </c>
      <c r="C854">
        <v>85.290001000000004</v>
      </c>
      <c r="D854">
        <v>84.209998999999996</v>
      </c>
      <c r="E854">
        <v>84.699996999999996</v>
      </c>
      <c r="F854">
        <v>69.918953000000002</v>
      </c>
      <c r="G854">
        <v>11636000</v>
      </c>
      <c r="I854">
        <f t="shared" si="14"/>
        <v>7.5407773897725327E-5</v>
      </c>
    </row>
    <row r="855" spans="1:9" x14ac:dyDescent="0.3">
      <c r="A855" s="5">
        <v>42878</v>
      </c>
      <c r="B855">
        <v>84.75</v>
      </c>
      <c r="C855">
        <v>86.07</v>
      </c>
      <c r="D855">
        <v>84.510002</v>
      </c>
      <c r="E855">
        <v>85.760002</v>
      </c>
      <c r="F855">
        <v>70.793991000000005</v>
      </c>
      <c r="G855">
        <v>11753000</v>
      </c>
      <c r="I855">
        <f t="shared" si="14"/>
        <v>9.7403645659331043E-5</v>
      </c>
    </row>
    <row r="856" spans="1:9" x14ac:dyDescent="0.3">
      <c r="A856" s="5">
        <v>42879</v>
      </c>
      <c r="B856">
        <v>85.879997000000003</v>
      </c>
      <c r="C856">
        <v>85.970000999999996</v>
      </c>
      <c r="D856">
        <v>85.239998</v>
      </c>
      <c r="E856">
        <v>85.709998999999996</v>
      </c>
      <c r="F856">
        <v>70.752692999999994</v>
      </c>
      <c r="G856">
        <v>9833800</v>
      </c>
      <c r="I856">
        <f t="shared" si="14"/>
        <v>4.4303899908742264E-5</v>
      </c>
    </row>
    <row r="857" spans="1:9" x14ac:dyDescent="0.3">
      <c r="A857" s="5">
        <v>42880</v>
      </c>
      <c r="B857">
        <v>85.989998</v>
      </c>
      <c r="C857">
        <v>86.080001999999993</v>
      </c>
      <c r="D857">
        <v>85.080001999999993</v>
      </c>
      <c r="E857">
        <v>85.349997999999999</v>
      </c>
      <c r="F857">
        <v>70.455528000000001</v>
      </c>
      <c r="G857">
        <v>12238500</v>
      </c>
      <c r="I857">
        <f t="shared" si="14"/>
        <v>4.261824048945492E-5</v>
      </c>
    </row>
    <row r="858" spans="1:9" x14ac:dyDescent="0.3">
      <c r="A858" s="5">
        <v>42881</v>
      </c>
      <c r="B858">
        <v>85.110000999999997</v>
      </c>
      <c r="C858">
        <v>85.559997999999993</v>
      </c>
      <c r="D858">
        <v>85.019997000000004</v>
      </c>
      <c r="E858">
        <v>85.360000999999997</v>
      </c>
      <c r="F858">
        <v>70.463791000000001</v>
      </c>
      <c r="G858">
        <v>8113500</v>
      </c>
      <c r="I858">
        <f t="shared" si="14"/>
        <v>1.6563688466387924E-5</v>
      </c>
    </row>
    <row r="859" spans="1:9" x14ac:dyDescent="0.3">
      <c r="A859" s="5">
        <v>42885</v>
      </c>
      <c r="B859">
        <v>85.129997000000003</v>
      </c>
      <c r="C859">
        <v>85.150002000000001</v>
      </c>
      <c r="D859">
        <v>83.779999000000004</v>
      </c>
      <c r="E859">
        <v>83.900002000000001</v>
      </c>
      <c r="F859">
        <v>69.258574999999993</v>
      </c>
      <c r="G859">
        <v>12603200</v>
      </c>
      <c r="I859">
        <f t="shared" si="14"/>
        <v>2.6354962923617462E-5</v>
      </c>
    </row>
    <row r="860" spans="1:9" x14ac:dyDescent="0.3">
      <c r="A860" s="5">
        <v>42886</v>
      </c>
      <c r="B860">
        <v>83.730002999999996</v>
      </c>
      <c r="C860">
        <v>83.82</v>
      </c>
      <c r="D860">
        <v>81.639999000000003</v>
      </c>
      <c r="E860">
        <v>82.150002000000001</v>
      </c>
      <c r="F860">
        <v>67.813957000000002</v>
      </c>
      <c r="G860">
        <v>28327900</v>
      </c>
      <c r="I860">
        <f t="shared" si="14"/>
        <v>1.7903957375067171E-4</v>
      </c>
    </row>
    <row r="861" spans="1:9" x14ac:dyDescent="0.3">
      <c r="A861" s="5">
        <v>42887</v>
      </c>
      <c r="B861">
        <v>82.459998999999996</v>
      </c>
      <c r="C861">
        <v>83.080001999999993</v>
      </c>
      <c r="D861">
        <v>81.650002000000001</v>
      </c>
      <c r="E861">
        <v>83.059997999999993</v>
      </c>
      <c r="F861">
        <v>68.565146999999996</v>
      </c>
      <c r="G861">
        <v>17123500</v>
      </c>
      <c r="I861">
        <f t="shared" si="14"/>
        <v>1.7081694321459683E-4</v>
      </c>
    </row>
    <row r="862" spans="1:9" x14ac:dyDescent="0.3">
      <c r="A862" s="5">
        <v>42888</v>
      </c>
      <c r="B862">
        <v>82.290001000000004</v>
      </c>
      <c r="C862">
        <v>82.989998</v>
      </c>
      <c r="D862">
        <v>81.980002999999996</v>
      </c>
      <c r="E862">
        <v>82.639999000000003</v>
      </c>
      <c r="F862">
        <v>68.218445000000003</v>
      </c>
      <c r="G862">
        <v>14998500</v>
      </c>
      <c r="I862">
        <f t="shared" si="14"/>
        <v>6.6062381858543516E-5</v>
      </c>
    </row>
    <row r="863" spans="1:9" x14ac:dyDescent="0.3">
      <c r="A863" s="5">
        <v>42891</v>
      </c>
      <c r="B863">
        <v>82.639999000000003</v>
      </c>
      <c r="C863">
        <v>83.510002</v>
      </c>
      <c r="D863">
        <v>82.580001999999993</v>
      </c>
      <c r="E863">
        <v>82.790001000000004</v>
      </c>
      <c r="F863">
        <v>68.342277999999993</v>
      </c>
      <c r="G863">
        <v>9080200</v>
      </c>
      <c r="I863">
        <f t="shared" si="14"/>
        <v>9.2527964062742252E-5</v>
      </c>
    </row>
    <row r="864" spans="1:9" x14ac:dyDescent="0.3">
      <c r="A864" s="5">
        <v>42892</v>
      </c>
      <c r="B864">
        <v>82.290001000000004</v>
      </c>
      <c r="C864">
        <v>83.220000999999996</v>
      </c>
      <c r="D864">
        <v>82.129997000000003</v>
      </c>
      <c r="E864">
        <v>82.959998999999996</v>
      </c>
      <c r="F864">
        <v>68.482613000000001</v>
      </c>
      <c r="G864">
        <v>12196800</v>
      </c>
      <c r="I864">
        <f t="shared" si="14"/>
        <v>5.473622528791333E-5</v>
      </c>
    </row>
    <row r="865" spans="1:9" x14ac:dyDescent="0.3">
      <c r="A865" s="5">
        <v>42893</v>
      </c>
      <c r="B865">
        <v>83.309997999999993</v>
      </c>
      <c r="C865">
        <v>84.110000999999997</v>
      </c>
      <c r="D865">
        <v>83.099997999999999</v>
      </c>
      <c r="E865">
        <v>83.910004000000001</v>
      </c>
      <c r="F865">
        <v>69.266829999999999</v>
      </c>
      <c r="G865">
        <v>13711100</v>
      </c>
      <c r="I865">
        <f t="shared" si="14"/>
        <v>4.7233646100992965E-5</v>
      </c>
    </row>
    <row r="866" spans="1:9" x14ac:dyDescent="0.3">
      <c r="A866" s="5">
        <v>42894</v>
      </c>
      <c r="B866">
        <v>83.910004000000001</v>
      </c>
      <c r="C866">
        <v>85.730002999999996</v>
      </c>
      <c r="D866">
        <v>83.889999000000003</v>
      </c>
      <c r="E866">
        <v>84.949996999999996</v>
      </c>
      <c r="F866">
        <v>70.125327999999996</v>
      </c>
      <c r="G866">
        <v>17951000</v>
      </c>
      <c r="I866">
        <f t="shared" si="14"/>
        <v>1.9912114472081264E-4</v>
      </c>
    </row>
    <row r="867" spans="1:9" x14ac:dyDescent="0.3">
      <c r="A867" s="5">
        <v>42895</v>
      </c>
      <c r="B867">
        <v>85.510002</v>
      </c>
      <c r="C867">
        <v>87.050003000000004</v>
      </c>
      <c r="D867">
        <v>85.389999000000003</v>
      </c>
      <c r="E867">
        <v>86.959998999999996</v>
      </c>
      <c r="F867">
        <v>71.784576000000001</v>
      </c>
      <c r="G867">
        <v>19120200</v>
      </c>
      <c r="I867">
        <f t="shared" si="14"/>
        <v>4.4051081326762872E-5</v>
      </c>
    </row>
    <row r="868" spans="1:9" x14ac:dyDescent="0.3">
      <c r="A868" s="5">
        <v>42898</v>
      </c>
      <c r="B868">
        <v>86.959998999999996</v>
      </c>
      <c r="C868">
        <v>87.739998</v>
      </c>
      <c r="D868">
        <v>86.889999000000003</v>
      </c>
      <c r="E868">
        <v>86.980002999999996</v>
      </c>
      <c r="F868">
        <v>71.801070999999993</v>
      </c>
      <c r="G868">
        <v>16053400</v>
      </c>
      <c r="I868">
        <f t="shared" si="14"/>
        <v>7.8518310317253376E-5</v>
      </c>
    </row>
    <row r="869" spans="1:9" x14ac:dyDescent="0.3">
      <c r="A869" s="5">
        <v>42899</v>
      </c>
      <c r="B869">
        <v>87.550003000000004</v>
      </c>
      <c r="C869">
        <v>87.849997999999999</v>
      </c>
      <c r="D869">
        <v>86.980002999999996</v>
      </c>
      <c r="E869">
        <v>87.269997000000004</v>
      </c>
      <c r="F869">
        <v>72.040481999999997</v>
      </c>
      <c r="G869">
        <v>12557200</v>
      </c>
      <c r="I869">
        <f t="shared" si="14"/>
        <v>4.440010199396088E-5</v>
      </c>
    </row>
    <row r="870" spans="1:9" x14ac:dyDescent="0.3">
      <c r="A870" s="5">
        <v>42900</v>
      </c>
      <c r="B870">
        <v>86.769997000000004</v>
      </c>
      <c r="C870">
        <v>87.309997999999993</v>
      </c>
      <c r="D870">
        <v>85.82</v>
      </c>
      <c r="E870">
        <v>87.089995999999999</v>
      </c>
      <c r="F870">
        <v>71.891869</v>
      </c>
      <c r="G870">
        <v>16175700</v>
      </c>
      <c r="I870">
        <f t="shared" si="14"/>
        <v>1.7737163753347635E-4</v>
      </c>
    </row>
    <row r="871" spans="1:9" x14ac:dyDescent="0.3">
      <c r="A871" s="5">
        <v>42901</v>
      </c>
      <c r="B871">
        <v>86.25</v>
      </c>
      <c r="C871">
        <v>87.080001999999993</v>
      </c>
      <c r="D871">
        <v>86.239998</v>
      </c>
      <c r="E871">
        <v>86.57</v>
      </c>
      <c r="F871">
        <v>71.462615999999997</v>
      </c>
      <c r="G871">
        <v>12509700</v>
      </c>
      <c r="I871">
        <f t="shared" si="14"/>
        <v>5.6698692035498308E-5</v>
      </c>
    </row>
    <row r="872" spans="1:9" x14ac:dyDescent="0.3">
      <c r="A872" s="5">
        <v>42902</v>
      </c>
      <c r="B872">
        <v>86.849997999999999</v>
      </c>
      <c r="C872">
        <v>86.959998999999996</v>
      </c>
      <c r="D872">
        <v>86.019997000000004</v>
      </c>
      <c r="E872">
        <v>86.18</v>
      </c>
      <c r="F872">
        <v>71.140686000000002</v>
      </c>
      <c r="G872">
        <v>16936600</v>
      </c>
      <c r="I872">
        <f t="shared" si="14"/>
        <v>2.92496742786136E-5</v>
      </c>
    </row>
    <row r="873" spans="1:9" x14ac:dyDescent="0.3">
      <c r="A873" s="5">
        <v>42905</v>
      </c>
      <c r="B873">
        <v>86.970000999999996</v>
      </c>
      <c r="C873">
        <v>88.230002999999996</v>
      </c>
      <c r="D873">
        <v>86.849997999999999</v>
      </c>
      <c r="E873">
        <v>88.07</v>
      </c>
      <c r="F873">
        <v>72.700858999999994</v>
      </c>
      <c r="G873">
        <v>15972300</v>
      </c>
      <c r="I873">
        <f t="shared" si="14"/>
        <v>4.5369492037653614E-5</v>
      </c>
    </row>
    <row r="874" spans="1:9" x14ac:dyDescent="0.3">
      <c r="A874" s="5">
        <v>42906</v>
      </c>
      <c r="B874">
        <v>87.75</v>
      </c>
      <c r="C874">
        <v>87.919998000000007</v>
      </c>
      <c r="D874">
        <v>87.370002999999997</v>
      </c>
      <c r="E874">
        <v>87.519997000000004</v>
      </c>
      <c r="F874">
        <v>72.246848999999997</v>
      </c>
      <c r="G874">
        <v>11197800</v>
      </c>
      <c r="I874">
        <f t="shared" si="14"/>
        <v>1.6269637612553362E-5</v>
      </c>
    </row>
    <row r="875" spans="1:9" x14ac:dyDescent="0.3">
      <c r="A875" s="5">
        <v>42907</v>
      </c>
      <c r="B875">
        <v>87.480002999999996</v>
      </c>
      <c r="C875">
        <v>87.550003000000004</v>
      </c>
      <c r="D875">
        <v>86.760002</v>
      </c>
      <c r="E875">
        <v>87.120002999999997</v>
      </c>
      <c r="F875">
        <v>71.916634000000002</v>
      </c>
      <c r="G875">
        <v>10005900</v>
      </c>
      <c r="I875">
        <f t="shared" si="14"/>
        <v>3.8159951307013956E-5</v>
      </c>
    </row>
    <row r="876" spans="1:9" x14ac:dyDescent="0.3">
      <c r="A876" s="5">
        <v>42908</v>
      </c>
      <c r="B876">
        <v>86.93</v>
      </c>
      <c r="C876">
        <v>87.360000999999997</v>
      </c>
      <c r="D876">
        <v>86.650002000000001</v>
      </c>
      <c r="E876">
        <v>87.019997000000004</v>
      </c>
      <c r="F876">
        <v>71.834075999999996</v>
      </c>
      <c r="G876">
        <v>12180600</v>
      </c>
      <c r="I876">
        <f t="shared" si="14"/>
        <v>3.298815095267182E-5</v>
      </c>
    </row>
    <row r="877" spans="1:9" x14ac:dyDescent="0.3">
      <c r="A877" s="5">
        <v>42909</v>
      </c>
      <c r="B877">
        <v>87.660004000000001</v>
      </c>
      <c r="C877">
        <v>88</v>
      </c>
      <c r="D877">
        <v>86.610000999999997</v>
      </c>
      <c r="E877">
        <v>86.860000999999997</v>
      </c>
      <c r="F877">
        <v>71.702026000000004</v>
      </c>
      <c r="G877">
        <v>18812000</v>
      </c>
      <c r="I877">
        <f t="shared" si="14"/>
        <v>8.5209154419307707E-5</v>
      </c>
    </row>
    <row r="878" spans="1:9" x14ac:dyDescent="0.3">
      <c r="A878" s="5">
        <v>42912</v>
      </c>
      <c r="B878">
        <v>87.010002</v>
      </c>
      <c r="C878">
        <v>87.669998000000007</v>
      </c>
      <c r="D878">
        <v>86.620002999999997</v>
      </c>
      <c r="E878">
        <v>87.239998</v>
      </c>
      <c r="F878">
        <v>72.015709000000001</v>
      </c>
      <c r="G878">
        <v>10082400</v>
      </c>
      <c r="I878">
        <f t="shared" si="14"/>
        <v>6.9194595152416026E-5</v>
      </c>
    </row>
    <row r="879" spans="1:9" x14ac:dyDescent="0.3">
      <c r="A879" s="5">
        <v>42913</v>
      </c>
      <c r="B879">
        <v>87.709998999999996</v>
      </c>
      <c r="C879">
        <v>88.940002000000007</v>
      </c>
      <c r="D879">
        <v>87.5</v>
      </c>
      <c r="E879">
        <v>88.050003000000004</v>
      </c>
      <c r="F879">
        <v>72.684348999999997</v>
      </c>
      <c r="G879">
        <v>15415200</v>
      </c>
      <c r="I879">
        <f t="shared" si="14"/>
        <v>1.5507722001961854E-4</v>
      </c>
    </row>
    <row r="880" spans="1:9" x14ac:dyDescent="0.3">
      <c r="A880" s="5">
        <v>42914</v>
      </c>
      <c r="B880">
        <v>88.599997999999999</v>
      </c>
      <c r="C880">
        <v>90.07</v>
      </c>
      <c r="D880">
        <v>88.599997999999999</v>
      </c>
      <c r="E880">
        <v>89.82</v>
      </c>
      <c r="F880">
        <v>74.145461999999995</v>
      </c>
      <c r="G880">
        <v>17466200</v>
      </c>
      <c r="I880">
        <f t="shared" si="14"/>
        <v>4.573717647386927E-5</v>
      </c>
    </row>
    <row r="881" spans="1:9" x14ac:dyDescent="0.3">
      <c r="A881" s="5">
        <v>42915</v>
      </c>
      <c r="B881">
        <v>92.339995999999999</v>
      </c>
      <c r="C881">
        <v>92.650002000000001</v>
      </c>
      <c r="D881">
        <v>90.309997999999993</v>
      </c>
      <c r="E881">
        <v>91.150002000000001</v>
      </c>
      <c r="F881">
        <v>75.243362000000005</v>
      </c>
      <c r="G881">
        <v>27697800</v>
      </c>
      <c r="I881">
        <f t="shared" si="14"/>
        <v>2.6051202388830026E-4</v>
      </c>
    </row>
    <row r="882" spans="1:9" x14ac:dyDescent="0.3">
      <c r="A882" s="5">
        <v>42916</v>
      </c>
      <c r="B882">
        <v>91.959998999999996</v>
      </c>
      <c r="C882">
        <v>92</v>
      </c>
      <c r="D882">
        <v>91.160004000000001</v>
      </c>
      <c r="E882">
        <v>91.400002000000001</v>
      </c>
      <c r="F882">
        <v>75.449721999999994</v>
      </c>
      <c r="G882">
        <v>16892700</v>
      </c>
      <c r="I882">
        <f t="shared" si="14"/>
        <v>2.5818440080579501E-5</v>
      </c>
    </row>
    <row r="883" spans="1:9" x14ac:dyDescent="0.3">
      <c r="A883" s="5">
        <v>42919</v>
      </c>
      <c r="B883">
        <v>91.559997999999993</v>
      </c>
      <c r="C883">
        <v>93.480002999999996</v>
      </c>
      <c r="D883">
        <v>91.410004000000001</v>
      </c>
      <c r="E883">
        <v>92.75</v>
      </c>
      <c r="F883">
        <v>76.985291000000004</v>
      </c>
      <c r="G883">
        <v>13208100</v>
      </c>
      <c r="I883">
        <f t="shared" si="14"/>
        <v>1.8656071465517803E-4</v>
      </c>
    </row>
    <row r="884" spans="1:9" x14ac:dyDescent="0.3">
      <c r="A884" s="5">
        <v>42921</v>
      </c>
      <c r="B884">
        <v>93.120002999999997</v>
      </c>
      <c r="C884">
        <v>93.790001000000004</v>
      </c>
      <c r="D884">
        <v>92.610000999999997</v>
      </c>
      <c r="E884">
        <v>93.68</v>
      </c>
      <c r="F884">
        <v>77.757202000000007</v>
      </c>
      <c r="G884">
        <v>17535400</v>
      </c>
      <c r="I884">
        <f t="shared" si="14"/>
        <v>7.1501723492034029E-5</v>
      </c>
    </row>
    <row r="885" spans="1:9" x14ac:dyDescent="0.3">
      <c r="A885" s="5">
        <v>42922</v>
      </c>
      <c r="B885">
        <v>93.540001000000004</v>
      </c>
      <c r="C885">
        <v>94.510002</v>
      </c>
      <c r="D885">
        <v>92.879997000000003</v>
      </c>
      <c r="E885">
        <v>93.379997000000003</v>
      </c>
      <c r="F885">
        <v>77.508194000000003</v>
      </c>
      <c r="G885">
        <v>16596100</v>
      </c>
      <c r="I885">
        <f t="shared" si="14"/>
        <v>1.6210831858213279E-4</v>
      </c>
    </row>
    <row r="886" spans="1:9" x14ac:dyDescent="0.3">
      <c r="A886" s="5">
        <v>42923</v>
      </c>
      <c r="B886">
        <v>93.959998999999996</v>
      </c>
      <c r="C886">
        <v>94.169998000000007</v>
      </c>
      <c r="D886">
        <v>93.230002999999996</v>
      </c>
      <c r="E886">
        <v>93.849997999999999</v>
      </c>
      <c r="F886">
        <v>77.898314999999997</v>
      </c>
      <c r="G886">
        <v>12817800</v>
      </c>
      <c r="I886">
        <f t="shared" si="14"/>
        <v>5.9295816462818016E-5</v>
      </c>
    </row>
    <row r="887" spans="1:9" x14ac:dyDescent="0.3">
      <c r="A887" s="5">
        <v>42926</v>
      </c>
      <c r="B887">
        <v>93.5</v>
      </c>
      <c r="C887">
        <v>93.68</v>
      </c>
      <c r="D887">
        <v>93.089995999999999</v>
      </c>
      <c r="E887">
        <v>93.190002000000007</v>
      </c>
      <c r="F887">
        <v>77.350479000000007</v>
      </c>
      <c r="G887">
        <v>13987200</v>
      </c>
      <c r="I887">
        <f t="shared" si="14"/>
        <v>1.4804908324700095E-5</v>
      </c>
    </row>
    <row r="888" spans="1:9" x14ac:dyDescent="0.3">
      <c r="A888" s="5">
        <v>42927</v>
      </c>
      <c r="B888">
        <v>93.330001999999993</v>
      </c>
      <c r="C888">
        <v>93.330001999999993</v>
      </c>
      <c r="D888">
        <v>92.279999000000004</v>
      </c>
      <c r="E888">
        <v>92.830001999999993</v>
      </c>
      <c r="F888">
        <v>77.051697000000004</v>
      </c>
      <c r="G888">
        <v>13262300</v>
      </c>
      <c r="I888">
        <f t="shared" si="14"/>
        <v>6.7234200389817628E-5</v>
      </c>
    </row>
    <row r="889" spans="1:9" x14ac:dyDescent="0.3">
      <c r="A889" s="5">
        <v>42928</v>
      </c>
      <c r="B889">
        <v>92.610000999999997</v>
      </c>
      <c r="C889">
        <v>92.830001999999993</v>
      </c>
      <c r="D889">
        <v>92.07</v>
      </c>
      <c r="E889">
        <v>92.510002</v>
      </c>
      <c r="F889">
        <v>76.786072000000004</v>
      </c>
      <c r="G889">
        <v>13540100</v>
      </c>
      <c r="I889">
        <f t="shared" si="14"/>
        <v>3.6074269483603117E-5</v>
      </c>
    </row>
    <row r="890" spans="1:9" x14ac:dyDescent="0.3">
      <c r="A890" s="5">
        <v>42929</v>
      </c>
      <c r="B890">
        <v>92.690002000000007</v>
      </c>
      <c r="C890">
        <v>93.379997000000003</v>
      </c>
      <c r="D890">
        <v>92.339995999999999</v>
      </c>
      <c r="E890">
        <v>93.099997999999999</v>
      </c>
      <c r="F890">
        <v>77.275802999999996</v>
      </c>
      <c r="G890">
        <v>12820100</v>
      </c>
      <c r="I890">
        <f t="shared" si="14"/>
        <v>5.3282259293271434E-5</v>
      </c>
    </row>
    <row r="891" spans="1:9" x14ac:dyDescent="0.3">
      <c r="A891" s="5">
        <v>42930</v>
      </c>
      <c r="B891">
        <v>90.809997999999993</v>
      </c>
      <c r="C891">
        <v>92.610000999999997</v>
      </c>
      <c r="D891">
        <v>90.580001999999993</v>
      </c>
      <c r="E891">
        <v>92.25</v>
      </c>
      <c r="F891">
        <v>76.57029</v>
      </c>
      <c r="G891">
        <v>22235200</v>
      </c>
      <c r="I891">
        <f t="shared" si="14"/>
        <v>1.2277568067679861E-4</v>
      </c>
    </row>
    <row r="892" spans="1:9" x14ac:dyDescent="0.3">
      <c r="A892" s="5">
        <v>42933</v>
      </c>
      <c r="B892">
        <v>91.82</v>
      </c>
      <c r="C892">
        <v>91.989998</v>
      </c>
      <c r="D892">
        <v>91.25</v>
      </c>
      <c r="E892">
        <v>91.389999000000003</v>
      </c>
      <c r="F892">
        <v>75.856444999999994</v>
      </c>
      <c r="G892">
        <v>14374200</v>
      </c>
      <c r="I892">
        <f t="shared" si="14"/>
        <v>2.1650755381211382E-5</v>
      </c>
    </row>
    <row r="893" spans="1:9" x14ac:dyDescent="0.3">
      <c r="A893" s="5">
        <v>42934</v>
      </c>
      <c r="B893">
        <v>90.449996999999996</v>
      </c>
      <c r="C893">
        <v>91.580001999999993</v>
      </c>
      <c r="D893">
        <v>90.32</v>
      </c>
      <c r="E893">
        <v>91.07</v>
      </c>
      <c r="F893">
        <v>75.590843000000007</v>
      </c>
      <c r="G893">
        <v>14719400</v>
      </c>
      <c r="I893">
        <f t="shared" si="14"/>
        <v>8.1229315409771209E-5</v>
      </c>
    </row>
    <row r="894" spans="1:9" x14ac:dyDescent="0.3">
      <c r="A894" s="5">
        <v>42935</v>
      </c>
      <c r="B894">
        <v>91.339995999999999</v>
      </c>
      <c r="C894">
        <v>91.620002999999997</v>
      </c>
      <c r="D894">
        <v>91</v>
      </c>
      <c r="E894">
        <v>91.199996999999996</v>
      </c>
      <c r="F894">
        <v>75.698738000000006</v>
      </c>
      <c r="G894">
        <v>11651200</v>
      </c>
      <c r="I894">
        <f t="shared" si="14"/>
        <v>2.2250949208899322E-5</v>
      </c>
    </row>
    <row r="895" spans="1:9" x14ac:dyDescent="0.3">
      <c r="A895" s="5">
        <v>42936</v>
      </c>
      <c r="B895">
        <v>91.150002000000001</v>
      </c>
      <c r="C895">
        <v>91.720000999999996</v>
      </c>
      <c r="D895">
        <v>90.900002000000001</v>
      </c>
      <c r="E895">
        <v>91.199996999999996</v>
      </c>
      <c r="F895">
        <v>75.698738000000006</v>
      </c>
      <c r="G895">
        <v>11561700</v>
      </c>
      <c r="I895">
        <f t="shared" si="14"/>
        <v>4.4493032144286414E-5</v>
      </c>
    </row>
    <row r="896" spans="1:9" x14ac:dyDescent="0.3">
      <c r="A896" s="5">
        <v>42937</v>
      </c>
      <c r="B896">
        <v>91.059997999999993</v>
      </c>
      <c r="C896">
        <v>91.360000999999997</v>
      </c>
      <c r="D896">
        <v>90.519997000000004</v>
      </c>
      <c r="E896">
        <v>90.889999000000003</v>
      </c>
      <c r="F896">
        <v>75.441444000000004</v>
      </c>
      <c r="G896">
        <v>10971300</v>
      </c>
      <c r="I896">
        <f t="shared" si="14"/>
        <v>4.1226981152217904E-5</v>
      </c>
    </row>
    <row r="897" spans="1:9" x14ac:dyDescent="0.3">
      <c r="A897" s="5">
        <v>42940</v>
      </c>
      <c r="B897">
        <v>90.959998999999996</v>
      </c>
      <c r="C897">
        <v>91.540001000000004</v>
      </c>
      <c r="D897">
        <v>90.910004000000001</v>
      </c>
      <c r="E897">
        <v>91.279999000000004</v>
      </c>
      <c r="F897">
        <v>75.765144000000006</v>
      </c>
      <c r="G897">
        <v>10725100</v>
      </c>
      <c r="I897">
        <f t="shared" si="14"/>
        <v>2.0312333901658243E-5</v>
      </c>
    </row>
    <row r="898" spans="1:9" x14ac:dyDescent="0.3">
      <c r="A898" s="5">
        <v>42941</v>
      </c>
      <c r="B898">
        <v>92.370002999999997</v>
      </c>
      <c r="C898">
        <v>93.519997000000004</v>
      </c>
      <c r="D898">
        <v>92.269997000000004</v>
      </c>
      <c r="E898">
        <v>92.800003000000004</v>
      </c>
      <c r="F898">
        <v>77.026793999999995</v>
      </c>
      <c r="G898">
        <v>16447700</v>
      </c>
      <c r="I898">
        <f t="shared" si="14"/>
        <v>1.0183063596462237E-4</v>
      </c>
    </row>
    <row r="899" spans="1:9" x14ac:dyDescent="0.3">
      <c r="A899" s="5">
        <v>42942</v>
      </c>
      <c r="B899">
        <v>93.099997999999999</v>
      </c>
      <c r="C899">
        <v>93.190002000000007</v>
      </c>
      <c r="D899">
        <v>91.68</v>
      </c>
      <c r="E899">
        <v>91.93</v>
      </c>
      <c r="F899">
        <v>76.304648999999998</v>
      </c>
      <c r="G899">
        <v>11815500</v>
      </c>
      <c r="I899">
        <f t="shared" si="14"/>
        <v>5.5008770367318276E-5</v>
      </c>
    </row>
    <row r="900" spans="1:9" x14ac:dyDescent="0.3">
      <c r="A900" s="5">
        <v>42943</v>
      </c>
      <c r="B900">
        <v>91.830001999999993</v>
      </c>
      <c r="C900">
        <v>92.059997999999993</v>
      </c>
      <c r="D900">
        <v>91.160004000000001</v>
      </c>
      <c r="E900">
        <v>91.550003000000004</v>
      </c>
      <c r="F900">
        <v>75.989243000000002</v>
      </c>
      <c r="G900">
        <v>12332400</v>
      </c>
      <c r="I900">
        <f t="shared" si="14"/>
        <v>4.5157610361073357E-5</v>
      </c>
    </row>
    <row r="901" spans="1:9" x14ac:dyDescent="0.3">
      <c r="A901" s="5">
        <v>42944</v>
      </c>
      <c r="B901">
        <v>91.449996999999996</v>
      </c>
      <c r="C901">
        <v>91.75</v>
      </c>
      <c r="D901">
        <v>90.910004000000001</v>
      </c>
      <c r="E901">
        <v>91.279999000000004</v>
      </c>
      <c r="F901">
        <v>75.765144000000006</v>
      </c>
      <c r="G901">
        <v>9351900</v>
      </c>
      <c r="I901">
        <f t="shared" si="14"/>
        <v>4.0874708202434463E-5</v>
      </c>
    </row>
    <row r="902" spans="1:9" x14ac:dyDescent="0.3">
      <c r="A902" s="5">
        <v>42947</v>
      </c>
      <c r="B902">
        <v>91.510002</v>
      </c>
      <c r="C902">
        <v>92.360000999999997</v>
      </c>
      <c r="D902">
        <v>91.5</v>
      </c>
      <c r="E902">
        <v>91.800003000000004</v>
      </c>
      <c r="F902">
        <v>76.196747000000002</v>
      </c>
      <c r="G902">
        <v>11520300</v>
      </c>
      <c r="I902">
        <f t="shared" si="14"/>
        <v>5.6587152813724252E-5</v>
      </c>
    </row>
    <row r="903" spans="1:9" x14ac:dyDescent="0.3">
      <c r="A903" s="5">
        <v>42948</v>
      </c>
      <c r="B903">
        <v>92.489998</v>
      </c>
      <c r="C903">
        <v>93.139999000000003</v>
      </c>
      <c r="D903">
        <v>92.279999000000004</v>
      </c>
      <c r="E903">
        <v>93.029999000000004</v>
      </c>
      <c r="F903">
        <v>77.217681999999996</v>
      </c>
      <c r="G903">
        <v>12523700</v>
      </c>
      <c r="I903">
        <f t="shared" si="14"/>
        <v>2.6675512886845798E-5</v>
      </c>
    </row>
    <row r="904" spans="1:9" x14ac:dyDescent="0.3">
      <c r="A904" s="5">
        <v>42949</v>
      </c>
      <c r="B904">
        <v>92.870002999999997</v>
      </c>
      <c r="C904">
        <v>93.209998999999996</v>
      </c>
      <c r="D904">
        <v>92.510002</v>
      </c>
      <c r="E904">
        <v>93.110000999999997</v>
      </c>
      <c r="F904">
        <v>77.284087999999997</v>
      </c>
      <c r="G904">
        <v>10165600</v>
      </c>
      <c r="I904">
        <f t="shared" si="14"/>
        <v>2.9031485546360958E-5</v>
      </c>
    </row>
    <row r="905" spans="1:9" x14ac:dyDescent="0.3">
      <c r="A905" s="5">
        <v>42950</v>
      </c>
      <c r="B905">
        <v>92.699996999999996</v>
      </c>
      <c r="C905">
        <v>93.129997000000003</v>
      </c>
      <c r="D905">
        <v>92.239998</v>
      </c>
      <c r="E905">
        <v>92.5</v>
      </c>
      <c r="F905">
        <v>76.777778999999995</v>
      </c>
      <c r="G905">
        <v>11078800</v>
      </c>
      <c r="I905">
        <f t="shared" si="14"/>
        <v>4.5415125591550883E-5</v>
      </c>
    </row>
    <row r="906" spans="1:9" x14ac:dyDescent="0.3">
      <c r="A906" s="5">
        <v>42951</v>
      </c>
      <c r="B906">
        <v>93.5</v>
      </c>
      <c r="C906">
        <v>94.400002000000001</v>
      </c>
      <c r="D906">
        <v>93.470000999999996</v>
      </c>
      <c r="E906">
        <v>93.660004000000001</v>
      </c>
      <c r="F906">
        <v>77.740630999999993</v>
      </c>
      <c r="G906">
        <v>14324000</v>
      </c>
      <c r="I906">
        <f t="shared" si="14"/>
        <v>7.604209792420347E-5</v>
      </c>
    </row>
    <row r="907" spans="1:9" x14ac:dyDescent="0.3">
      <c r="A907" s="5">
        <v>42954</v>
      </c>
      <c r="B907">
        <v>93.889999000000003</v>
      </c>
      <c r="C907">
        <v>94.190002000000007</v>
      </c>
      <c r="D907">
        <v>93.709998999999996</v>
      </c>
      <c r="E907">
        <v>94.019997000000004</v>
      </c>
      <c r="F907">
        <v>78.039428999999998</v>
      </c>
      <c r="G907">
        <v>7978300</v>
      </c>
      <c r="I907">
        <f t="shared" si="14"/>
        <v>1.2100792275586761E-5</v>
      </c>
    </row>
    <row r="908" spans="1:9" x14ac:dyDescent="0.3">
      <c r="A908" s="5">
        <v>42955</v>
      </c>
      <c r="B908">
        <v>93.949996999999996</v>
      </c>
      <c r="C908">
        <v>95.220000999999996</v>
      </c>
      <c r="D908">
        <v>93.599997999999999</v>
      </c>
      <c r="E908">
        <v>93.68</v>
      </c>
      <c r="F908">
        <v>77.757202000000007</v>
      </c>
      <c r="G908">
        <v>13745400</v>
      </c>
      <c r="I908">
        <f t="shared" ref="I908:I971" si="15">LN(C908/B908)*(LN(C908/B908)-LN(E908/B908))+LN(D908/B908)*(LN(D908/B908)-LN(E908/B908))</f>
        <v>2.2212516338942815E-4</v>
      </c>
    </row>
    <row r="909" spans="1:9" x14ac:dyDescent="0.3">
      <c r="A909" s="5">
        <v>42956</v>
      </c>
      <c r="B909">
        <v>92.980002999999996</v>
      </c>
      <c r="C909">
        <v>93.68</v>
      </c>
      <c r="D909">
        <v>92.830001999999993</v>
      </c>
      <c r="E909">
        <v>93.529999000000004</v>
      </c>
      <c r="F909">
        <v>77.632712999999995</v>
      </c>
      <c r="G909">
        <v>11214400</v>
      </c>
      <c r="I909">
        <f t="shared" si="15"/>
        <v>2.4148263646611124E-5</v>
      </c>
    </row>
    <row r="910" spans="1:9" x14ac:dyDescent="0.3">
      <c r="A910" s="5">
        <v>42957</v>
      </c>
      <c r="B910">
        <v>92.900002000000001</v>
      </c>
      <c r="C910">
        <v>93.07</v>
      </c>
      <c r="D910">
        <v>92.07</v>
      </c>
      <c r="E910">
        <v>92.190002000000007</v>
      </c>
      <c r="F910">
        <v>76.520470000000003</v>
      </c>
      <c r="G910">
        <v>13252300</v>
      </c>
      <c r="I910">
        <f t="shared" si="15"/>
        <v>2.9058141531146088E-5</v>
      </c>
    </row>
    <row r="911" spans="1:9" x14ac:dyDescent="0.3">
      <c r="A911" s="5">
        <v>42958</v>
      </c>
      <c r="B911">
        <v>92.129997000000003</v>
      </c>
      <c r="C911">
        <v>92.669998000000007</v>
      </c>
      <c r="D911">
        <v>91.239998</v>
      </c>
      <c r="E911">
        <v>91.419998000000007</v>
      </c>
      <c r="F911">
        <v>75.881348000000003</v>
      </c>
      <c r="G911">
        <v>10679500</v>
      </c>
      <c r="I911">
        <f t="shared" si="15"/>
        <v>9.8498780452332024E-5</v>
      </c>
    </row>
    <row r="912" spans="1:9" x14ac:dyDescent="0.3">
      <c r="A912" s="5">
        <v>42961</v>
      </c>
      <c r="B912">
        <v>92.370002999999997</v>
      </c>
      <c r="C912">
        <v>92.900002000000001</v>
      </c>
      <c r="D912">
        <v>92.330001999999993</v>
      </c>
      <c r="E912">
        <v>92.489998</v>
      </c>
      <c r="F912">
        <v>76.769478000000007</v>
      </c>
      <c r="G912">
        <v>10994800</v>
      </c>
      <c r="I912">
        <f t="shared" si="15"/>
        <v>2.605652491848624E-5</v>
      </c>
    </row>
    <row r="913" spans="1:9" x14ac:dyDescent="0.3">
      <c r="A913" s="5">
        <v>42962</v>
      </c>
      <c r="B913">
        <v>93.309997999999993</v>
      </c>
      <c r="C913">
        <v>93.559997999999993</v>
      </c>
      <c r="D913">
        <v>92.650002000000001</v>
      </c>
      <c r="E913">
        <v>92.730002999999996</v>
      </c>
      <c r="F913">
        <v>76.968681000000004</v>
      </c>
      <c r="G913">
        <v>8812700</v>
      </c>
      <c r="I913">
        <f t="shared" si="15"/>
        <v>2.9968925666134115E-5</v>
      </c>
    </row>
    <row r="914" spans="1:9" x14ac:dyDescent="0.3">
      <c r="A914" s="5">
        <v>42963</v>
      </c>
      <c r="B914">
        <v>93.040001000000004</v>
      </c>
      <c r="C914">
        <v>93.230002999999996</v>
      </c>
      <c r="D914">
        <v>91.879997000000003</v>
      </c>
      <c r="E914">
        <v>92.089995999999999</v>
      </c>
      <c r="F914">
        <v>76.437454000000002</v>
      </c>
      <c r="G914">
        <v>11085400</v>
      </c>
      <c r="I914">
        <f t="shared" si="15"/>
        <v>5.3742111908347662E-5</v>
      </c>
    </row>
    <row r="915" spans="1:9" x14ac:dyDescent="0.3">
      <c r="A915" s="5">
        <v>42964</v>
      </c>
      <c r="B915">
        <v>91.760002</v>
      </c>
      <c r="C915">
        <v>91.959998999999996</v>
      </c>
      <c r="D915">
        <v>90.5</v>
      </c>
      <c r="E915">
        <v>90.650002000000001</v>
      </c>
      <c r="F915">
        <v>75.242217999999994</v>
      </c>
      <c r="G915">
        <v>13837500</v>
      </c>
      <c r="I915">
        <f t="shared" si="15"/>
        <v>5.4136220238790717E-5</v>
      </c>
    </row>
    <row r="916" spans="1:9" x14ac:dyDescent="0.3">
      <c r="A916" s="5">
        <v>42965</v>
      </c>
      <c r="B916">
        <v>90.309997999999993</v>
      </c>
      <c r="C916">
        <v>91.540001000000004</v>
      </c>
      <c r="D916">
        <v>90.190002000000007</v>
      </c>
      <c r="E916">
        <v>90.739998</v>
      </c>
      <c r="F916">
        <v>75.316924999999998</v>
      </c>
      <c r="G916">
        <v>13040700</v>
      </c>
      <c r="I916">
        <f t="shared" si="15"/>
        <v>1.2682838193765276E-4</v>
      </c>
    </row>
    <row r="917" spans="1:9" x14ac:dyDescent="0.3">
      <c r="A917" s="5">
        <v>42968</v>
      </c>
      <c r="B917">
        <v>90.849997999999999</v>
      </c>
      <c r="C917">
        <v>90.940002000000007</v>
      </c>
      <c r="D917">
        <v>90.160004000000001</v>
      </c>
      <c r="E917">
        <v>90.629997000000003</v>
      </c>
      <c r="F917">
        <v>75.225609000000006</v>
      </c>
      <c r="G917">
        <v>11502100</v>
      </c>
      <c r="I917">
        <f t="shared" si="15"/>
        <v>4.3020256622396976E-5</v>
      </c>
    </row>
    <row r="918" spans="1:9" x14ac:dyDescent="0.3">
      <c r="A918" s="5">
        <v>42969</v>
      </c>
      <c r="B918">
        <v>91.07</v>
      </c>
      <c r="C918">
        <v>91.709998999999996</v>
      </c>
      <c r="D918">
        <v>91</v>
      </c>
      <c r="E918">
        <v>91.559997999999993</v>
      </c>
      <c r="F918">
        <v>75.997542999999993</v>
      </c>
      <c r="G918">
        <v>9211800</v>
      </c>
      <c r="I918">
        <f t="shared" si="15"/>
        <v>1.6180839136327086E-5</v>
      </c>
    </row>
    <row r="919" spans="1:9" x14ac:dyDescent="0.3">
      <c r="A919" s="5">
        <v>42970</v>
      </c>
      <c r="B919">
        <v>90.870002999999997</v>
      </c>
      <c r="C919">
        <v>92.339995999999999</v>
      </c>
      <c r="D919">
        <v>90.839995999999999</v>
      </c>
      <c r="E919">
        <v>91.669998000000007</v>
      </c>
      <c r="F919">
        <v>76.088866999999993</v>
      </c>
      <c r="G919">
        <v>8811300</v>
      </c>
      <c r="I919">
        <f t="shared" si="15"/>
        <v>1.1986494714142763E-4</v>
      </c>
    </row>
    <row r="920" spans="1:9" x14ac:dyDescent="0.3">
      <c r="A920" s="5">
        <v>42971</v>
      </c>
      <c r="B920">
        <v>91.93</v>
      </c>
      <c r="C920">
        <v>92.120002999999997</v>
      </c>
      <c r="D920">
        <v>91.410004000000001</v>
      </c>
      <c r="E920">
        <v>91.519997000000004</v>
      </c>
      <c r="F920">
        <v>75.964371</v>
      </c>
      <c r="G920">
        <v>8623200</v>
      </c>
      <c r="I920">
        <f t="shared" si="15"/>
        <v>2.0313513092071245E-5</v>
      </c>
    </row>
    <row r="921" spans="1:9" x14ac:dyDescent="0.3">
      <c r="A921" s="5">
        <v>42972</v>
      </c>
      <c r="B921">
        <v>91.879997000000003</v>
      </c>
      <c r="C921">
        <v>92.480002999999996</v>
      </c>
      <c r="D921">
        <v>91.800003000000004</v>
      </c>
      <c r="E921">
        <v>91.889999000000003</v>
      </c>
      <c r="F921">
        <v>76.271461000000002</v>
      </c>
      <c r="G921">
        <v>11794600</v>
      </c>
      <c r="I921">
        <f t="shared" si="15"/>
        <v>4.2513223852438848E-5</v>
      </c>
    </row>
    <row r="922" spans="1:9" x14ac:dyDescent="0.3">
      <c r="A922" s="5">
        <v>42975</v>
      </c>
      <c r="B922">
        <v>92.160004000000001</v>
      </c>
      <c r="C922">
        <v>92.190002000000007</v>
      </c>
      <c r="D922">
        <v>91.129997000000003</v>
      </c>
      <c r="E922">
        <v>91.599997999999999</v>
      </c>
      <c r="F922">
        <v>76.030754000000002</v>
      </c>
      <c r="G922">
        <v>7292900</v>
      </c>
      <c r="I922">
        <f t="shared" si="15"/>
        <v>5.9906547641791269E-5</v>
      </c>
    </row>
    <row r="923" spans="1:9" x14ac:dyDescent="0.3">
      <c r="A923" s="5">
        <v>42976</v>
      </c>
      <c r="B923">
        <v>90.449996999999996</v>
      </c>
      <c r="C923">
        <v>91.309997999999993</v>
      </c>
      <c r="D923">
        <v>90.309997999999993</v>
      </c>
      <c r="E923">
        <v>91.099997999999999</v>
      </c>
      <c r="F923">
        <v>75.615737999999993</v>
      </c>
      <c r="G923">
        <v>10886100</v>
      </c>
      <c r="I923">
        <f t="shared" si="15"/>
        <v>3.5280094362290138E-5</v>
      </c>
    </row>
    <row r="924" spans="1:9" x14ac:dyDescent="0.3">
      <c r="A924" s="5">
        <v>42977</v>
      </c>
      <c r="B924">
        <v>91.25</v>
      </c>
      <c r="C924">
        <v>91.879997000000003</v>
      </c>
      <c r="D924">
        <v>91.190002000000007</v>
      </c>
      <c r="E924">
        <v>91.309997999999993</v>
      </c>
      <c r="F924">
        <v>75.790047000000001</v>
      </c>
      <c r="G924">
        <v>9165300</v>
      </c>
      <c r="I924">
        <f t="shared" si="15"/>
        <v>4.3681752687278049E-5</v>
      </c>
    </row>
    <row r="925" spans="1:9" x14ac:dyDescent="0.3">
      <c r="A925" s="5">
        <v>42978</v>
      </c>
      <c r="B925">
        <v>91.809997999999993</v>
      </c>
      <c r="C925">
        <v>91.849997999999999</v>
      </c>
      <c r="D925">
        <v>90.800003000000004</v>
      </c>
      <c r="E925">
        <v>90.889999000000003</v>
      </c>
      <c r="F925">
        <v>75.441444000000004</v>
      </c>
      <c r="G925">
        <v>13217400</v>
      </c>
      <c r="I925">
        <f t="shared" si="15"/>
        <v>1.5535142887682466E-5</v>
      </c>
    </row>
    <row r="926" spans="1:9" x14ac:dyDescent="0.3">
      <c r="A926" s="5">
        <v>42979</v>
      </c>
      <c r="B926">
        <v>91.25</v>
      </c>
      <c r="C926">
        <v>92.360000999999997</v>
      </c>
      <c r="D926">
        <v>90.949996999999996</v>
      </c>
      <c r="E926">
        <v>91.699996999999996</v>
      </c>
      <c r="F926">
        <v>76.113754</v>
      </c>
      <c r="G926">
        <v>9815800</v>
      </c>
      <c r="I926">
        <f t="shared" si="15"/>
        <v>1.1375709390211044E-4</v>
      </c>
    </row>
    <row r="927" spans="1:9" x14ac:dyDescent="0.3">
      <c r="A927" s="5">
        <v>42983</v>
      </c>
      <c r="B927">
        <v>91.019997000000004</v>
      </c>
      <c r="C927">
        <v>91.110000999999997</v>
      </c>
      <c r="D927">
        <v>89.019997000000004</v>
      </c>
      <c r="E927">
        <v>89.510002</v>
      </c>
      <c r="F927">
        <v>74.295990000000003</v>
      </c>
      <c r="G927">
        <v>16897300</v>
      </c>
      <c r="I927">
        <f t="shared" si="15"/>
        <v>1.3947411036486978E-4</v>
      </c>
    </row>
    <row r="928" spans="1:9" x14ac:dyDescent="0.3">
      <c r="A928" s="5">
        <v>42984</v>
      </c>
      <c r="B928">
        <v>90</v>
      </c>
      <c r="C928">
        <v>90.519997000000004</v>
      </c>
      <c r="D928">
        <v>89.639999000000003</v>
      </c>
      <c r="E928">
        <v>90.110000999999997</v>
      </c>
      <c r="F928">
        <v>74.794021999999998</v>
      </c>
      <c r="G928">
        <v>11845700</v>
      </c>
      <c r="I928">
        <f t="shared" si="15"/>
        <v>4.7113427169686485E-5</v>
      </c>
    </row>
    <row r="929" spans="1:9" x14ac:dyDescent="0.3">
      <c r="A929" s="5">
        <v>42985</v>
      </c>
      <c r="B929">
        <v>90.110000999999997</v>
      </c>
      <c r="C929">
        <v>90.129997000000003</v>
      </c>
      <c r="D929">
        <v>88.080001999999993</v>
      </c>
      <c r="E929">
        <v>88.529999000000004</v>
      </c>
      <c r="F929">
        <v>73.482574</v>
      </c>
      <c r="G929">
        <v>14592300</v>
      </c>
      <c r="I929">
        <f t="shared" si="15"/>
        <v>1.2008877550503765E-4</v>
      </c>
    </row>
    <row r="930" spans="1:9" x14ac:dyDescent="0.3">
      <c r="A930" s="5">
        <v>42986</v>
      </c>
      <c r="B930">
        <v>88.309997999999993</v>
      </c>
      <c r="C930">
        <v>89.419998000000007</v>
      </c>
      <c r="D930">
        <v>88.239998</v>
      </c>
      <c r="E930">
        <v>88.419998000000007</v>
      </c>
      <c r="F930">
        <v>73.391257999999993</v>
      </c>
      <c r="G930">
        <v>14242200</v>
      </c>
      <c r="I930">
        <f t="shared" si="15"/>
        <v>1.4209222643520736E-4</v>
      </c>
    </row>
    <row r="931" spans="1:9" x14ac:dyDescent="0.3">
      <c r="A931" s="5">
        <v>42989</v>
      </c>
      <c r="B931">
        <v>89.389999000000003</v>
      </c>
      <c r="C931">
        <v>90.25</v>
      </c>
      <c r="D931">
        <v>88.949996999999996</v>
      </c>
      <c r="E931">
        <v>89.790001000000004</v>
      </c>
      <c r="F931">
        <v>74.528396999999998</v>
      </c>
      <c r="G931">
        <v>13219000</v>
      </c>
      <c r="I931">
        <f t="shared" si="15"/>
        <v>9.5306814090932387E-5</v>
      </c>
    </row>
    <row r="932" spans="1:9" x14ac:dyDescent="0.3">
      <c r="A932" s="5">
        <v>42990</v>
      </c>
      <c r="B932">
        <v>90.169998000000007</v>
      </c>
      <c r="C932">
        <v>91.25</v>
      </c>
      <c r="D932">
        <v>90.099997999999999</v>
      </c>
      <c r="E932">
        <v>90.889999000000003</v>
      </c>
      <c r="F932">
        <v>75.441444000000004</v>
      </c>
      <c r="G932">
        <v>14003800</v>
      </c>
      <c r="I932">
        <f t="shared" si="15"/>
        <v>5.3845284851526532E-5</v>
      </c>
    </row>
    <row r="933" spans="1:9" x14ac:dyDescent="0.3">
      <c r="A933" s="5">
        <v>42991</v>
      </c>
      <c r="B933">
        <v>90.610000999999997</v>
      </c>
      <c r="C933">
        <v>91.5</v>
      </c>
      <c r="D933">
        <v>90.32</v>
      </c>
      <c r="E933">
        <v>91.150002000000001</v>
      </c>
      <c r="F933">
        <v>75.657248999999993</v>
      </c>
      <c r="G933">
        <v>12485400</v>
      </c>
      <c r="I933">
        <f t="shared" si="15"/>
        <v>6.678403976471446E-5</v>
      </c>
    </row>
    <row r="934" spans="1:9" x14ac:dyDescent="0.3">
      <c r="A934" s="5">
        <v>42992</v>
      </c>
      <c r="B934">
        <v>91.199996999999996</v>
      </c>
      <c r="C934">
        <v>91.529999000000004</v>
      </c>
      <c r="D934">
        <v>90.739998</v>
      </c>
      <c r="E934">
        <v>90.970000999999996</v>
      </c>
      <c r="F934">
        <v>75.507842999999994</v>
      </c>
      <c r="G934">
        <v>10562800</v>
      </c>
      <c r="I934">
        <f t="shared" si="15"/>
        <v>3.4967265337500946E-5</v>
      </c>
    </row>
    <row r="935" spans="1:9" x14ac:dyDescent="0.3">
      <c r="A935" s="5">
        <v>42993</v>
      </c>
      <c r="B935">
        <v>91.080001999999993</v>
      </c>
      <c r="C935">
        <v>91.709998999999996</v>
      </c>
      <c r="D935">
        <v>90.760002</v>
      </c>
      <c r="E935">
        <v>91.620002999999997</v>
      </c>
      <c r="F935">
        <v>76.047363000000004</v>
      </c>
      <c r="G935">
        <v>18171800</v>
      </c>
      <c r="I935">
        <f t="shared" si="15"/>
        <v>3.9960599789621341E-5</v>
      </c>
    </row>
    <row r="936" spans="1:9" x14ac:dyDescent="0.3">
      <c r="A936" s="5">
        <v>42996</v>
      </c>
      <c r="B936">
        <v>91.93</v>
      </c>
      <c r="C936">
        <v>93.139999000000003</v>
      </c>
      <c r="D936">
        <v>91.849997999999999</v>
      </c>
      <c r="E936">
        <v>92.919998000000007</v>
      </c>
      <c r="F936">
        <v>77.126389000000003</v>
      </c>
      <c r="G936">
        <v>11318700</v>
      </c>
      <c r="I936">
        <f t="shared" si="15"/>
        <v>4.1007081563024112E-5</v>
      </c>
    </row>
    <row r="937" spans="1:9" x14ac:dyDescent="0.3">
      <c r="A937" s="5">
        <v>42997</v>
      </c>
      <c r="B937">
        <v>92.709998999999996</v>
      </c>
      <c r="C937">
        <v>94.360000999999997</v>
      </c>
      <c r="D937">
        <v>92.519997000000004</v>
      </c>
      <c r="E937">
        <v>93.940002000000007</v>
      </c>
      <c r="F937">
        <v>77.973022</v>
      </c>
      <c r="G937">
        <v>12626100</v>
      </c>
      <c r="I937">
        <f t="shared" si="15"/>
        <v>1.0994337000719365E-4</v>
      </c>
    </row>
    <row r="938" spans="1:9" x14ac:dyDescent="0.3">
      <c r="A938" s="5">
        <v>42998</v>
      </c>
      <c r="B938">
        <v>94.099997999999999</v>
      </c>
      <c r="C938">
        <v>95.290001000000004</v>
      </c>
      <c r="D938">
        <v>93.709998999999996</v>
      </c>
      <c r="E938">
        <v>94.599997999999999</v>
      </c>
      <c r="F938">
        <v>78.520843999999997</v>
      </c>
      <c r="G938">
        <v>15311600</v>
      </c>
      <c r="I938">
        <f t="shared" si="15"/>
        <v>1.3058644467665105E-4</v>
      </c>
    </row>
    <row r="939" spans="1:9" x14ac:dyDescent="0.3">
      <c r="A939" s="5">
        <v>42999</v>
      </c>
      <c r="B939">
        <v>94.459998999999996</v>
      </c>
      <c r="C939">
        <v>95.370002999999997</v>
      </c>
      <c r="D939">
        <v>94.190002000000007</v>
      </c>
      <c r="E939">
        <v>95.029999000000004</v>
      </c>
      <c r="F939">
        <v>78.877746999999999</v>
      </c>
      <c r="G939">
        <v>10851500</v>
      </c>
      <c r="I939">
        <f t="shared" si="15"/>
        <v>5.9656186313082942E-5</v>
      </c>
    </row>
    <row r="940" spans="1:9" x14ac:dyDescent="0.3">
      <c r="A940" s="5">
        <v>43000</v>
      </c>
      <c r="B940">
        <v>94.699996999999996</v>
      </c>
      <c r="C940">
        <v>94.980002999999996</v>
      </c>
      <c r="D940">
        <v>94.43</v>
      </c>
      <c r="E940">
        <v>94.830001999999993</v>
      </c>
      <c r="F940">
        <v>78.711753999999999</v>
      </c>
      <c r="G940">
        <v>8358300</v>
      </c>
      <c r="I940">
        <f t="shared" si="15"/>
        <v>1.6735155849500573E-5</v>
      </c>
    </row>
    <row r="941" spans="1:9" x14ac:dyDescent="0.3">
      <c r="A941" s="5">
        <v>43003</v>
      </c>
      <c r="B941">
        <v>94.510002</v>
      </c>
      <c r="C941">
        <v>94.879997000000003</v>
      </c>
      <c r="D941">
        <v>93.449996999999996</v>
      </c>
      <c r="E941">
        <v>94.120002999999997</v>
      </c>
      <c r="F941">
        <v>78.122428999999997</v>
      </c>
      <c r="G941">
        <v>10463400</v>
      </c>
      <c r="I941">
        <f t="shared" si="15"/>
        <v>1.1200261286362763E-4</v>
      </c>
    </row>
    <row r="942" spans="1:9" x14ac:dyDescent="0.3">
      <c r="A942" s="5">
        <v>43004</v>
      </c>
      <c r="B942">
        <v>93.779999000000004</v>
      </c>
      <c r="C942">
        <v>94.029999000000004</v>
      </c>
      <c r="D942">
        <v>93.339995999999999</v>
      </c>
      <c r="E942">
        <v>93.699996999999996</v>
      </c>
      <c r="F942">
        <v>77.773826999999997</v>
      </c>
      <c r="G942">
        <v>9358100</v>
      </c>
      <c r="I942">
        <f t="shared" si="15"/>
        <v>2.7463407848840967E-5</v>
      </c>
    </row>
    <row r="943" spans="1:9" x14ac:dyDescent="0.3">
      <c r="A943" s="5">
        <v>43005</v>
      </c>
      <c r="B943">
        <v>94.970000999999996</v>
      </c>
      <c r="C943">
        <v>95.720000999999996</v>
      </c>
      <c r="D943">
        <v>94.580001999999993</v>
      </c>
      <c r="E943">
        <v>95.18</v>
      </c>
      <c r="F943">
        <v>79.002274</v>
      </c>
      <c r="G943">
        <v>15090200</v>
      </c>
      <c r="I943">
        <f t="shared" si="15"/>
        <v>7.0524969413760885E-5</v>
      </c>
    </row>
    <row r="944" spans="1:9" x14ac:dyDescent="0.3">
      <c r="A944" s="5">
        <v>43006</v>
      </c>
      <c r="B944">
        <v>95.589995999999999</v>
      </c>
      <c r="C944">
        <v>95.879997000000003</v>
      </c>
      <c r="D944">
        <v>94.910004000000001</v>
      </c>
      <c r="E944">
        <v>95.379997000000003</v>
      </c>
      <c r="F944">
        <v>79.168273999999997</v>
      </c>
      <c r="G944">
        <v>10270400</v>
      </c>
      <c r="I944">
        <f t="shared" si="15"/>
        <v>5.1103454483991946E-5</v>
      </c>
    </row>
    <row r="945" spans="1:9" x14ac:dyDescent="0.3">
      <c r="A945" s="5">
        <v>43007</v>
      </c>
      <c r="B945">
        <v>95.300003000000004</v>
      </c>
      <c r="C945">
        <v>95.519997000000004</v>
      </c>
      <c r="D945">
        <v>95.019997000000004</v>
      </c>
      <c r="E945">
        <v>95.510002</v>
      </c>
      <c r="F945">
        <v>79.276176000000007</v>
      </c>
      <c r="G945">
        <v>11438400</v>
      </c>
      <c r="I945">
        <f t="shared" si="15"/>
        <v>1.537624528561542E-5</v>
      </c>
    </row>
    <row r="946" spans="1:9" x14ac:dyDescent="0.3">
      <c r="A946" s="5">
        <v>43010</v>
      </c>
      <c r="B946">
        <v>95.769997000000004</v>
      </c>
      <c r="C946">
        <v>96.879997000000003</v>
      </c>
      <c r="D946">
        <v>95.459998999999996</v>
      </c>
      <c r="E946">
        <v>96.839995999999999</v>
      </c>
      <c r="F946">
        <v>80.380104000000003</v>
      </c>
      <c r="G946">
        <v>13797200</v>
      </c>
      <c r="I946">
        <f t="shared" si="15"/>
        <v>5.1292907200795954E-5</v>
      </c>
    </row>
    <row r="947" spans="1:9" x14ac:dyDescent="0.3">
      <c r="A947" s="5">
        <v>43011</v>
      </c>
      <c r="B947">
        <v>96.830001999999993</v>
      </c>
      <c r="C947">
        <v>97.43</v>
      </c>
      <c r="D947">
        <v>96.769997000000004</v>
      </c>
      <c r="E947">
        <v>97.349997999999999</v>
      </c>
      <c r="F947">
        <v>80.803428999999994</v>
      </c>
      <c r="G947">
        <v>9633500</v>
      </c>
      <c r="I947">
        <f t="shared" si="15"/>
        <v>8.7786586958904122E-6</v>
      </c>
    </row>
    <row r="948" spans="1:9" x14ac:dyDescent="0.3">
      <c r="A948" s="5">
        <v>43012</v>
      </c>
      <c r="B948">
        <v>97.300003000000004</v>
      </c>
      <c r="C948">
        <v>97.440002000000007</v>
      </c>
      <c r="D948">
        <v>96.279999000000004</v>
      </c>
      <c r="E948">
        <v>96.360000999999997</v>
      </c>
      <c r="F948">
        <v>79.981696999999997</v>
      </c>
      <c r="G948">
        <v>12166600</v>
      </c>
      <c r="I948">
        <f t="shared" si="15"/>
        <v>2.4778303476660115E-5</v>
      </c>
    </row>
    <row r="949" spans="1:9" x14ac:dyDescent="0.3">
      <c r="A949" s="5">
        <v>43013</v>
      </c>
      <c r="B949">
        <v>96</v>
      </c>
      <c r="C949">
        <v>97.400002000000001</v>
      </c>
      <c r="D949">
        <v>95.550003000000004</v>
      </c>
      <c r="E949">
        <v>97.089995999999999</v>
      </c>
      <c r="F949">
        <v>81.058700999999999</v>
      </c>
      <c r="G949">
        <v>14236200</v>
      </c>
      <c r="I949">
        <f t="shared" si="15"/>
        <v>1.2127683931517825E-4</v>
      </c>
    </row>
    <row r="950" spans="1:9" x14ac:dyDescent="0.3">
      <c r="A950" s="5">
        <v>43014</v>
      </c>
      <c r="B950">
        <v>97.550003000000004</v>
      </c>
      <c r="C950">
        <v>97.639999000000003</v>
      </c>
      <c r="D950">
        <v>96.470000999999996</v>
      </c>
      <c r="E950">
        <v>96.919998000000007</v>
      </c>
      <c r="F950">
        <v>80.916756000000007</v>
      </c>
      <c r="G950">
        <v>10231900</v>
      </c>
      <c r="I950">
        <f t="shared" si="15"/>
        <v>5.8635706708170903E-5</v>
      </c>
    </row>
    <row r="951" spans="1:9" x14ac:dyDescent="0.3">
      <c r="A951" s="5">
        <v>43017</v>
      </c>
      <c r="B951">
        <v>96.959998999999996</v>
      </c>
      <c r="C951">
        <v>97.07</v>
      </c>
      <c r="D951">
        <v>96.139999000000003</v>
      </c>
      <c r="E951">
        <v>96.410004000000001</v>
      </c>
      <c r="F951">
        <v>80.490982000000002</v>
      </c>
      <c r="G951">
        <v>7765100</v>
      </c>
      <c r="I951">
        <f t="shared" si="15"/>
        <v>3.1554569538537849E-5</v>
      </c>
    </row>
    <row r="952" spans="1:9" x14ac:dyDescent="0.3">
      <c r="A952" s="5">
        <v>43018</v>
      </c>
      <c r="B952">
        <v>96.459998999999996</v>
      </c>
      <c r="C952">
        <v>97.18</v>
      </c>
      <c r="D952">
        <v>96.239998</v>
      </c>
      <c r="E952">
        <v>97.129997000000003</v>
      </c>
      <c r="F952">
        <v>81.092094000000003</v>
      </c>
      <c r="G952">
        <v>10631500</v>
      </c>
      <c r="I952">
        <f t="shared" si="15"/>
        <v>2.4846111887450791E-5</v>
      </c>
    </row>
    <row r="953" spans="1:9" x14ac:dyDescent="0.3">
      <c r="A953" s="5">
        <v>43019</v>
      </c>
      <c r="B953">
        <v>96.830001999999993</v>
      </c>
      <c r="C953">
        <v>97.010002</v>
      </c>
      <c r="D953">
        <v>96.139999000000003</v>
      </c>
      <c r="E953">
        <v>96.839995999999999</v>
      </c>
      <c r="F953">
        <v>80.849959999999996</v>
      </c>
      <c r="G953">
        <v>14283600</v>
      </c>
      <c r="I953">
        <f t="shared" si="15"/>
        <v>5.5138582001781376E-5</v>
      </c>
    </row>
    <row r="954" spans="1:9" x14ac:dyDescent="0.3">
      <c r="A954" s="5">
        <v>43020</v>
      </c>
      <c r="B954">
        <v>97.300003000000004</v>
      </c>
      <c r="C954">
        <v>97.5</v>
      </c>
      <c r="D954">
        <v>95.620002999999997</v>
      </c>
      <c r="E954">
        <v>95.989998</v>
      </c>
      <c r="F954">
        <v>80.140320000000003</v>
      </c>
      <c r="G954">
        <v>18251600</v>
      </c>
      <c r="I954">
        <f t="shared" si="15"/>
        <v>9.931336076144428E-5</v>
      </c>
    </row>
    <row r="955" spans="1:9" x14ac:dyDescent="0.3">
      <c r="A955" s="5">
        <v>43021</v>
      </c>
      <c r="B955">
        <v>95.480002999999996</v>
      </c>
      <c r="C955">
        <v>96.709998999999996</v>
      </c>
      <c r="D955">
        <v>94.959998999999996</v>
      </c>
      <c r="E955">
        <v>95.860000999999997</v>
      </c>
      <c r="F955">
        <v>80.031775999999994</v>
      </c>
      <c r="G955">
        <v>13190600</v>
      </c>
      <c r="I955">
        <f t="shared" si="15"/>
        <v>1.6451288618427574E-4</v>
      </c>
    </row>
    <row r="956" spans="1:9" x14ac:dyDescent="0.3">
      <c r="A956" s="5">
        <v>43024</v>
      </c>
      <c r="B956">
        <v>96.339995999999999</v>
      </c>
      <c r="C956">
        <v>97.949996999999996</v>
      </c>
      <c r="D956">
        <v>96.339995999999999</v>
      </c>
      <c r="E956">
        <v>97.839995999999999</v>
      </c>
      <c r="F956">
        <v>81.684844999999996</v>
      </c>
      <c r="G956">
        <v>12434000</v>
      </c>
      <c r="I956">
        <f t="shared" si="15"/>
        <v>1.8623093920869655E-5</v>
      </c>
    </row>
    <row r="957" spans="1:9" x14ac:dyDescent="0.3">
      <c r="A957" s="5">
        <v>43025</v>
      </c>
      <c r="B957">
        <v>98.07</v>
      </c>
      <c r="C957">
        <v>98.18</v>
      </c>
      <c r="D957">
        <v>97.32</v>
      </c>
      <c r="E957">
        <v>97.620002999999997</v>
      </c>
      <c r="F957">
        <v>81.501182999999997</v>
      </c>
      <c r="G957">
        <v>10335700</v>
      </c>
      <c r="I957">
        <f t="shared" si="15"/>
        <v>3.0041387659138384E-5</v>
      </c>
    </row>
    <row r="958" spans="1:9" x14ac:dyDescent="0.3">
      <c r="A958" s="5">
        <v>43026</v>
      </c>
      <c r="B958">
        <v>98.150002000000001</v>
      </c>
      <c r="C958">
        <v>98.550003000000004</v>
      </c>
      <c r="D958">
        <v>97.629997000000003</v>
      </c>
      <c r="E958">
        <v>97.989998</v>
      </c>
      <c r="F958">
        <v>81.810089000000005</v>
      </c>
      <c r="G958">
        <v>10158600</v>
      </c>
      <c r="I958">
        <f t="shared" si="15"/>
        <v>4.272911637726134E-5</v>
      </c>
    </row>
    <row r="959" spans="1:9" x14ac:dyDescent="0.3">
      <c r="A959" s="5">
        <v>43027</v>
      </c>
      <c r="B959">
        <v>97.190002000000007</v>
      </c>
      <c r="C959">
        <v>98.199996999999996</v>
      </c>
      <c r="D959">
        <v>97.089995999999999</v>
      </c>
      <c r="E959">
        <v>98.110000999999997</v>
      </c>
      <c r="F959">
        <v>81.910278000000005</v>
      </c>
      <c r="G959">
        <v>9133900</v>
      </c>
      <c r="I959">
        <f t="shared" si="15"/>
        <v>2.0238289780285981E-5</v>
      </c>
    </row>
    <row r="960" spans="1:9" x14ac:dyDescent="0.3">
      <c r="A960" s="5">
        <v>43028</v>
      </c>
      <c r="B960">
        <v>99.279999000000004</v>
      </c>
      <c r="C960">
        <v>99.889999000000003</v>
      </c>
      <c r="D960">
        <v>98.730002999999996</v>
      </c>
      <c r="E960">
        <v>99.510002</v>
      </c>
      <c r="F960">
        <v>83.079109000000003</v>
      </c>
      <c r="G960">
        <v>15326600</v>
      </c>
      <c r="I960">
        <f t="shared" si="15"/>
        <v>6.7062361672947372E-5</v>
      </c>
    </row>
    <row r="961" spans="1:9" x14ac:dyDescent="0.3">
      <c r="A961" s="5">
        <v>43031</v>
      </c>
      <c r="B961">
        <v>99.510002</v>
      </c>
      <c r="C961">
        <v>99.989998</v>
      </c>
      <c r="D961">
        <v>99.239998</v>
      </c>
      <c r="E961">
        <v>99.339995999999999</v>
      </c>
      <c r="F961">
        <v>82.937172000000004</v>
      </c>
      <c r="G961">
        <v>9238600</v>
      </c>
      <c r="I961">
        <f t="shared" si="15"/>
        <v>3.4119734869365138E-5</v>
      </c>
    </row>
    <row r="962" spans="1:9" x14ac:dyDescent="0.3">
      <c r="A962" s="5">
        <v>43032</v>
      </c>
      <c r="B962">
        <v>99.879997000000003</v>
      </c>
      <c r="C962">
        <v>101.19000200000001</v>
      </c>
      <c r="D962">
        <v>99.760002</v>
      </c>
      <c r="E962">
        <v>100.91999800000001</v>
      </c>
      <c r="F962">
        <v>84.256279000000006</v>
      </c>
      <c r="G962">
        <v>13000800</v>
      </c>
      <c r="I962">
        <f t="shared" si="15"/>
        <v>4.871302485437931E-5</v>
      </c>
    </row>
    <row r="963" spans="1:9" x14ac:dyDescent="0.3">
      <c r="A963" s="5">
        <v>43033</v>
      </c>
      <c r="B963">
        <v>101.25</v>
      </c>
      <c r="C963">
        <v>101.449997</v>
      </c>
      <c r="D963">
        <v>100.19000200000001</v>
      </c>
      <c r="E963">
        <v>101.019997</v>
      </c>
      <c r="F963">
        <v>84.339775000000003</v>
      </c>
      <c r="G963">
        <v>14632700</v>
      </c>
      <c r="I963">
        <f t="shared" si="15"/>
        <v>9.5208202516975859E-5</v>
      </c>
    </row>
    <row r="964" spans="1:9" x14ac:dyDescent="0.3">
      <c r="A964" s="5">
        <v>43034</v>
      </c>
      <c r="B964">
        <v>101.349998</v>
      </c>
      <c r="C964">
        <v>102.41999800000001</v>
      </c>
      <c r="D964">
        <v>101.32</v>
      </c>
      <c r="E964">
        <v>101.739998</v>
      </c>
      <c r="F964">
        <v>84.940910000000002</v>
      </c>
      <c r="G964">
        <v>13054400</v>
      </c>
      <c r="I964">
        <f t="shared" si="15"/>
        <v>7.1184189836680299E-5</v>
      </c>
    </row>
    <row r="965" spans="1:9" x14ac:dyDescent="0.3">
      <c r="A965" s="5">
        <v>43035</v>
      </c>
      <c r="B965">
        <v>101.43</v>
      </c>
      <c r="C965">
        <v>102.230003</v>
      </c>
      <c r="D965">
        <v>101.050003</v>
      </c>
      <c r="E965">
        <v>101.769997</v>
      </c>
      <c r="F965">
        <v>84.965941999999998</v>
      </c>
      <c r="G965">
        <v>10400400</v>
      </c>
      <c r="I965">
        <f t="shared" si="15"/>
        <v>6.2079746879265316E-5</v>
      </c>
    </row>
    <row r="966" spans="1:9" x14ac:dyDescent="0.3">
      <c r="A966" s="5">
        <v>43038</v>
      </c>
      <c r="B966">
        <v>101.129997</v>
      </c>
      <c r="C966">
        <v>101.93</v>
      </c>
      <c r="D966">
        <v>100.870003</v>
      </c>
      <c r="E966">
        <v>101.410004</v>
      </c>
      <c r="F966">
        <v>84.665413000000001</v>
      </c>
      <c r="G966">
        <v>8839500</v>
      </c>
      <c r="I966">
        <f t="shared" si="15"/>
        <v>5.4044290074506678E-5</v>
      </c>
    </row>
    <row r="967" spans="1:9" x14ac:dyDescent="0.3">
      <c r="A967" s="5">
        <v>43039</v>
      </c>
      <c r="B967">
        <v>101.370003</v>
      </c>
      <c r="C967">
        <v>101.699997</v>
      </c>
      <c r="D967">
        <v>100.57</v>
      </c>
      <c r="E967">
        <v>100.610001</v>
      </c>
      <c r="F967">
        <v>83.997489999999999</v>
      </c>
      <c r="G967">
        <v>8690200</v>
      </c>
      <c r="I967">
        <f t="shared" si="15"/>
        <v>3.8172088051119144E-5</v>
      </c>
    </row>
    <row r="968" spans="1:9" x14ac:dyDescent="0.3">
      <c r="A968" s="5">
        <v>43040</v>
      </c>
      <c r="B968">
        <v>101.099998</v>
      </c>
      <c r="C968">
        <v>101.699997</v>
      </c>
      <c r="D968">
        <v>100.730003</v>
      </c>
      <c r="E968">
        <v>100.91999800000001</v>
      </c>
      <c r="F968">
        <v>84.256279000000006</v>
      </c>
      <c r="G968">
        <v>8418200</v>
      </c>
      <c r="I968">
        <f t="shared" si="15"/>
        <v>5.2466266577551153E-5</v>
      </c>
    </row>
    <row r="969" spans="1:9" x14ac:dyDescent="0.3">
      <c r="A969" s="5">
        <v>43041</v>
      </c>
      <c r="B969">
        <v>100.870003</v>
      </c>
      <c r="C969">
        <v>101.769997</v>
      </c>
      <c r="D969">
        <v>100.160004</v>
      </c>
      <c r="E969">
        <v>101.589996</v>
      </c>
      <c r="F969">
        <v>84.815658999999997</v>
      </c>
      <c r="G969">
        <v>8731800</v>
      </c>
      <c r="I969">
        <f t="shared" si="15"/>
        <v>1.1585987916931863E-4</v>
      </c>
    </row>
    <row r="970" spans="1:9" x14ac:dyDescent="0.3">
      <c r="A970" s="5">
        <v>43042</v>
      </c>
      <c r="B970">
        <v>101.099998</v>
      </c>
      <c r="C970">
        <v>101.529999</v>
      </c>
      <c r="D970">
        <v>100.730003</v>
      </c>
      <c r="E970">
        <v>101.410004</v>
      </c>
      <c r="F970">
        <v>84.665413000000001</v>
      </c>
      <c r="G970">
        <v>7103500</v>
      </c>
      <c r="I970">
        <f t="shared" si="15"/>
        <v>2.9686803649413035E-5</v>
      </c>
    </row>
    <row r="971" spans="1:9" x14ac:dyDescent="0.3">
      <c r="A971" s="5">
        <v>43045</v>
      </c>
      <c r="B971">
        <v>101.339996</v>
      </c>
      <c r="C971">
        <v>101.69000200000001</v>
      </c>
      <c r="D971">
        <v>100.660004</v>
      </c>
      <c r="E971">
        <v>100.779999</v>
      </c>
      <c r="F971">
        <v>84.139411999999993</v>
      </c>
      <c r="G971">
        <v>8121500</v>
      </c>
      <c r="I971">
        <f t="shared" si="15"/>
        <v>3.9013852438581379E-5</v>
      </c>
    </row>
    <row r="972" spans="1:9" x14ac:dyDescent="0.3">
      <c r="A972" s="5">
        <v>43046</v>
      </c>
      <c r="B972">
        <v>100.55999799999999</v>
      </c>
      <c r="C972">
        <v>100.75</v>
      </c>
      <c r="D972">
        <v>98.25</v>
      </c>
      <c r="E972">
        <v>98.75</v>
      </c>
      <c r="F972">
        <v>82.444603000000001</v>
      </c>
      <c r="G972">
        <v>18822600</v>
      </c>
      <c r="I972">
        <f t="shared" ref="I972:I1035" si="16">LN(C972/B972)*(LN(C972/B972)-LN(E972/B972))+LN(D972/B972)*(LN(D972/B972)-LN(E972/B972))</f>
        <v>1.5581522692761492E-4</v>
      </c>
    </row>
    <row r="973" spans="1:9" x14ac:dyDescent="0.3">
      <c r="A973" s="5">
        <v>43047</v>
      </c>
      <c r="B973">
        <v>98.269997000000004</v>
      </c>
      <c r="C973">
        <v>98.370002999999997</v>
      </c>
      <c r="D973">
        <v>97.150002000000001</v>
      </c>
      <c r="E973">
        <v>97.639999000000003</v>
      </c>
      <c r="F973">
        <v>81.517859999999999</v>
      </c>
      <c r="G973">
        <v>18524700</v>
      </c>
      <c r="I973">
        <f t="shared" si="16"/>
        <v>6.5245018212540393E-5</v>
      </c>
    </row>
    <row r="974" spans="1:9" x14ac:dyDescent="0.3">
      <c r="A974" s="5">
        <v>43048</v>
      </c>
      <c r="B974">
        <v>97.120002999999997</v>
      </c>
      <c r="C974">
        <v>98.220000999999996</v>
      </c>
      <c r="D974">
        <v>96.809997999999993</v>
      </c>
      <c r="E974">
        <v>97.629997000000003</v>
      </c>
      <c r="F974">
        <v>81.509521000000007</v>
      </c>
      <c r="G974">
        <v>13697800</v>
      </c>
      <c r="I974">
        <f t="shared" si="16"/>
        <v>9.4823385046172609E-5</v>
      </c>
    </row>
    <row r="975" spans="1:9" x14ac:dyDescent="0.3">
      <c r="A975" s="5">
        <v>43049</v>
      </c>
      <c r="B975">
        <v>97.809997999999993</v>
      </c>
      <c r="C975">
        <v>98.339995999999999</v>
      </c>
      <c r="D975">
        <v>97.5</v>
      </c>
      <c r="E975">
        <v>97.510002</v>
      </c>
      <c r="F975">
        <v>81.409355000000005</v>
      </c>
      <c r="G975">
        <v>9314000</v>
      </c>
      <c r="I975">
        <f t="shared" si="16"/>
        <v>4.6129372400746584E-5</v>
      </c>
    </row>
    <row r="976" spans="1:9" x14ac:dyDescent="0.3">
      <c r="A976" s="5">
        <v>43052</v>
      </c>
      <c r="B976">
        <v>96.690002000000007</v>
      </c>
      <c r="C976">
        <v>98.050003000000004</v>
      </c>
      <c r="D976">
        <v>96.620002999999997</v>
      </c>
      <c r="E976">
        <v>97.860000999999997</v>
      </c>
      <c r="F976">
        <v>81.701537999999999</v>
      </c>
      <c r="G976">
        <v>9303100</v>
      </c>
      <c r="I976">
        <f t="shared" si="16"/>
        <v>3.6327998240901777E-5</v>
      </c>
    </row>
    <row r="977" spans="1:9" x14ac:dyDescent="0.3">
      <c r="A977" s="5">
        <v>43053</v>
      </c>
      <c r="B977">
        <v>97.339995999999999</v>
      </c>
      <c r="C977">
        <v>97.779999000000004</v>
      </c>
      <c r="D977">
        <v>96.849997999999999</v>
      </c>
      <c r="E977">
        <v>97.269997000000004</v>
      </c>
      <c r="F977">
        <v>81.208968999999996</v>
      </c>
      <c r="G977">
        <v>11043800</v>
      </c>
      <c r="I977">
        <f t="shared" si="16"/>
        <v>4.5423012829229245E-5</v>
      </c>
    </row>
    <row r="978" spans="1:9" x14ac:dyDescent="0.3">
      <c r="A978" s="5">
        <v>43054</v>
      </c>
      <c r="B978">
        <v>96.389999000000003</v>
      </c>
      <c r="C978">
        <v>98.739998</v>
      </c>
      <c r="D978">
        <v>95.949996999999996</v>
      </c>
      <c r="E978">
        <v>98.190002000000007</v>
      </c>
      <c r="F978">
        <v>81.977089000000007</v>
      </c>
      <c r="G978">
        <v>15384100</v>
      </c>
      <c r="I978">
        <f t="shared" si="16"/>
        <v>2.4013103542133555E-4</v>
      </c>
    </row>
    <row r="979" spans="1:9" x14ac:dyDescent="0.3">
      <c r="A979" s="5">
        <v>43055</v>
      </c>
      <c r="B979">
        <v>98.529999000000004</v>
      </c>
      <c r="C979">
        <v>99.059997999999993</v>
      </c>
      <c r="D979">
        <v>98.309997999999993</v>
      </c>
      <c r="E979">
        <v>98.470000999999996</v>
      </c>
      <c r="F979">
        <v>82.210814999999997</v>
      </c>
      <c r="G979">
        <v>9808000</v>
      </c>
      <c r="I979">
        <f t="shared" si="16"/>
        <v>3.5682251389083942E-5</v>
      </c>
    </row>
    <row r="980" spans="1:9" x14ac:dyDescent="0.3">
      <c r="A980" s="5">
        <v>43056</v>
      </c>
      <c r="B980">
        <v>97.82</v>
      </c>
      <c r="C980">
        <v>98.410004000000001</v>
      </c>
      <c r="D980">
        <v>97.57</v>
      </c>
      <c r="E980">
        <v>98.139999000000003</v>
      </c>
      <c r="F980">
        <v>81.935317999999995</v>
      </c>
      <c r="G980">
        <v>9017900</v>
      </c>
      <c r="I980">
        <f t="shared" si="16"/>
        <v>3.1427483884489385E-5</v>
      </c>
    </row>
    <row r="981" spans="1:9" x14ac:dyDescent="0.3">
      <c r="A981" s="5">
        <v>43059</v>
      </c>
      <c r="B981">
        <v>98.449996999999996</v>
      </c>
      <c r="C981">
        <v>99.150002000000001</v>
      </c>
      <c r="D981">
        <v>97.760002</v>
      </c>
      <c r="E981">
        <v>99.010002</v>
      </c>
      <c r="F981">
        <v>82.661674000000005</v>
      </c>
      <c r="G981">
        <v>9483200</v>
      </c>
      <c r="I981">
        <f t="shared" si="16"/>
        <v>9.9371325949897398E-5</v>
      </c>
    </row>
    <row r="982" spans="1:9" x14ac:dyDescent="0.3">
      <c r="A982" s="5">
        <v>43060</v>
      </c>
      <c r="B982">
        <v>99.5</v>
      </c>
      <c r="C982">
        <v>99.550003000000004</v>
      </c>
      <c r="D982">
        <v>98.910004000000001</v>
      </c>
      <c r="E982">
        <v>98.93</v>
      </c>
      <c r="F982">
        <v>82.594879000000006</v>
      </c>
      <c r="G982">
        <v>13389400</v>
      </c>
      <c r="I982">
        <f t="shared" si="16"/>
        <v>4.341060113906262E-6</v>
      </c>
    </row>
    <row r="983" spans="1:9" x14ac:dyDescent="0.3">
      <c r="A983" s="5">
        <v>43061</v>
      </c>
      <c r="B983">
        <v>99.029999000000004</v>
      </c>
      <c r="C983">
        <v>99.519997000000004</v>
      </c>
      <c r="D983">
        <v>98.589995999999999</v>
      </c>
      <c r="E983">
        <v>98.639999000000003</v>
      </c>
      <c r="F983">
        <v>82.352760000000004</v>
      </c>
      <c r="G983">
        <v>7342200</v>
      </c>
      <c r="I983">
        <f t="shared" si="16"/>
        <v>4.609623510427291E-5</v>
      </c>
    </row>
    <row r="984" spans="1:9" x14ac:dyDescent="0.3">
      <c r="A984" s="5">
        <v>43063</v>
      </c>
      <c r="B984">
        <v>98.830001999999993</v>
      </c>
      <c r="C984">
        <v>98.900002000000001</v>
      </c>
      <c r="D984">
        <v>98.260002</v>
      </c>
      <c r="E984">
        <v>98.32</v>
      </c>
      <c r="F984">
        <v>82.085616999999999</v>
      </c>
      <c r="G984">
        <v>3680000</v>
      </c>
      <c r="I984">
        <f t="shared" si="16"/>
        <v>7.6952887416862868E-6</v>
      </c>
    </row>
    <row r="985" spans="1:9" x14ac:dyDescent="0.3">
      <c r="A985" s="5">
        <v>43066</v>
      </c>
      <c r="B985">
        <v>98.309997999999993</v>
      </c>
      <c r="C985">
        <v>99.129997000000003</v>
      </c>
      <c r="D985">
        <v>97.93</v>
      </c>
      <c r="E985">
        <v>97.93</v>
      </c>
      <c r="F985">
        <v>81.759986999999995</v>
      </c>
      <c r="G985">
        <v>13076200</v>
      </c>
      <c r="I985">
        <f t="shared" si="16"/>
        <v>1.0116440614551305E-4</v>
      </c>
    </row>
    <row r="986" spans="1:9" x14ac:dyDescent="0.3">
      <c r="A986" s="5">
        <v>43067</v>
      </c>
      <c r="B986">
        <v>98.209998999999996</v>
      </c>
      <c r="C986">
        <v>101.699997</v>
      </c>
      <c r="D986">
        <v>97.970000999999996</v>
      </c>
      <c r="E986">
        <v>101.360001</v>
      </c>
      <c r="F986">
        <v>84.623649999999998</v>
      </c>
      <c r="G986">
        <v>16773000</v>
      </c>
      <c r="I986">
        <f t="shared" si="16"/>
        <v>2.0016543162215653E-4</v>
      </c>
    </row>
    <row r="987" spans="1:9" x14ac:dyDescent="0.3">
      <c r="A987" s="5">
        <v>43068</v>
      </c>
      <c r="B987">
        <v>102.410004</v>
      </c>
      <c r="C987">
        <v>104.220001</v>
      </c>
      <c r="D987">
        <v>101.959999</v>
      </c>
      <c r="E987">
        <v>103.730003</v>
      </c>
      <c r="F987">
        <v>86.602294999999998</v>
      </c>
      <c r="G987">
        <v>21105500</v>
      </c>
      <c r="I987">
        <f t="shared" si="16"/>
        <v>1.5835781708087353E-4</v>
      </c>
    </row>
    <row r="988" spans="1:9" x14ac:dyDescent="0.3">
      <c r="A988" s="5">
        <v>43069</v>
      </c>
      <c r="B988">
        <v>104.739998</v>
      </c>
      <c r="C988">
        <v>106.660004</v>
      </c>
      <c r="D988">
        <v>104.040001</v>
      </c>
      <c r="E988">
        <v>104.519997</v>
      </c>
      <c r="F988">
        <v>87.261848000000001</v>
      </c>
      <c r="G988">
        <v>23945900</v>
      </c>
      <c r="I988">
        <f t="shared" si="16"/>
        <v>3.9903436021589231E-4</v>
      </c>
    </row>
    <row r="989" spans="1:9" x14ac:dyDescent="0.3">
      <c r="A989" s="5">
        <v>43070</v>
      </c>
      <c r="B989">
        <v>104.900002</v>
      </c>
      <c r="C989">
        <v>105.32</v>
      </c>
      <c r="D989">
        <v>102.199997</v>
      </c>
      <c r="E989">
        <v>104.790001</v>
      </c>
      <c r="F989">
        <v>87.487289000000004</v>
      </c>
      <c r="G989">
        <v>19683500</v>
      </c>
      <c r="I989">
        <f t="shared" si="16"/>
        <v>6.7275232439534033E-4</v>
      </c>
    </row>
    <row r="990" spans="1:9" x14ac:dyDescent="0.3">
      <c r="A990" s="5">
        <v>43073</v>
      </c>
      <c r="B990">
        <v>107.730003</v>
      </c>
      <c r="C990">
        <v>108.400002</v>
      </c>
      <c r="D990">
        <v>106.769997</v>
      </c>
      <c r="E990">
        <v>106.949997</v>
      </c>
      <c r="F990">
        <v>89.290633999999997</v>
      </c>
      <c r="G990">
        <v>23576600</v>
      </c>
      <c r="I990">
        <f t="shared" si="16"/>
        <v>9.8571072829019415E-5</v>
      </c>
    </row>
    <row r="991" spans="1:9" x14ac:dyDescent="0.3">
      <c r="A991" s="5">
        <v>43074</v>
      </c>
      <c r="B991">
        <v>105.58000199999999</v>
      </c>
      <c r="C991">
        <v>107.410004</v>
      </c>
      <c r="D991">
        <v>104.120003</v>
      </c>
      <c r="E991">
        <v>105.720001</v>
      </c>
      <c r="F991">
        <v>88.263724999999994</v>
      </c>
      <c r="G991">
        <v>17193900</v>
      </c>
      <c r="I991">
        <f t="shared" si="16"/>
        <v>4.8488455172438817E-4</v>
      </c>
    </row>
    <row r="992" spans="1:9" x14ac:dyDescent="0.3">
      <c r="A992" s="5">
        <v>43075</v>
      </c>
      <c r="B992">
        <v>105.550003</v>
      </c>
      <c r="C992">
        <v>105.760002</v>
      </c>
      <c r="D992">
        <v>104.529999</v>
      </c>
      <c r="E992">
        <v>104.93</v>
      </c>
      <c r="F992">
        <v>87.604156000000003</v>
      </c>
      <c r="G992">
        <v>15476200</v>
      </c>
      <c r="I992">
        <f t="shared" si="16"/>
        <v>5.2748762345641899E-5</v>
      </c>
    </row>
    <row r="993" spans="1:9" x14ac:dyDescent="0.3">
      <c r="A993" s="5">
        <v>43076</v>
      </c>
      <c r="B993">
        <v>103.949997</v>
      </c>
      <c r="C993">
        <v>105.19000200000001</v>
      </c>
      <c r="D993">
        <v>103.730003</v>
      </c>
      <c r="E993">
        <v>104.620003</v>
      </c>
      <c r="F993">
        <v>87.345375000000004</v>
      </c>
      <c r="G993">
        <v>13371800</v>
      </c>
      <c r="I993">
        <f t="shared" si="16"/>
        <v>8.2531687259849982E-5</v>
      </c>
    </row>
    <row r="994" spans="1:9" x14ac:dyDescent="0.3">
      <c r="A994" s="5">
        <v>43077</v>
      </c>
      <c r="B994">
        <v>104.75</v>
      </c>
      <c r="C994">
        <v>105.94000200000001</v>
      </c>
      <c r="D994">
        <v>104.339996</v>
      </c>
      <c r="E994">
        <v>105.93</v>
      </c>
      <c r="F994">
        <v>88.439055999999994</v>
      </c>
      <c r="G994">
        <v>13506900</v>
      </c>
      <c r="I994">
        <f t="shared" si="16"/>
        <v>6.0378835224327157E-5</v>
      </c>
    </row>
    <row r="995" spans="1:9" x14ac:dyDescent="0.3">
      <c r="A995" s="5">
        <v>43080</v>
      </c>
      <c r="B995">
        <v>105.720001</v>
      </c>
      <c r="C995">
        <v>106.05999799999999</v>
      </c>
      <c r="D995">
        <v>105.30999799999999</v>
      </c>
      <c r="E995">
        <v>105.620003</v>
      </c>
      <c r="F995">
        <v>88.180228999999997</v>
      </c>
      <c r="G995">
        <v>10591200</v>
      </c>
      <c r="I995">
        <f t="shared" si="16"/>
        <v>2.4769873856464833E-5</v>
      </c>
    </row>
    <row r="996" spans="1:9" x14ac:dyDescent="0.3">
      <c r="A996" s="5">
        <v>43081</v>
      </c>
      <c r="B996">
        <v>106.910004</v>
      </c>
      <c r="C996">
        <v>107.370003</v>
      </c>
      <c r="D996">
        <v>105.540001</v>
      </c>
      <c r="E996">
        <v>106.849998</v>
      </c>
      <c r="F996">
        <v>89.207145999999995</v>
      </c>
      <c r="G996">
        <v>15508800</v>
      </c>
      <c r="I996">
        <f t="shared" si="16"/>
        <v>1.7994501371143911E-4</v>
      </c>
    </row>
    <row r="997" spans="1:9" x14ac:dyDescent="0.3">
      <c r="A997" s="5">
        <v>43082</v>
      </c>
      <c r="B997">
        <v>106.699997</v>
      </c>
      <c r="C997">
        <v>107.110001</v>
      </c>
      <c r="D997">
        <v>105.480003</v>
      </c>
      <c r="E997">
        <v>105.510002</v>
      </c>
      <c r="F997">
        <v>88.088393999999994</v>
      </c>
      <c r="G997">
        <v>15020300</v>
      </c>
      <c r="I997">
        <f t="shared" si="16"/>
        <v>6.0992516521206802E-5</v>
      </c>
    </row>
    <row r="998" spans="1:9" x14ac:dyDescent="0.3">
      <c r="A998" s="5">
        <v>43083</v>
      </c>
      <c r="B998">
        <v>106.120003</v>
      </c>
      <c r="C998">
        <v>106.449997</v>
      </c>
      <c r="D998">
        <v>104.639999</v>
      </c>
      <c r="E998">
        <v>104.660004</v>
      </c>
      <c r="F998">
        <v>87.378769000000005</v>
      </c>
      <c r="G998">
        <v>13034200</v>
      </c>
      <c r="I998">
        <f t="shared" si="16"/>
        <v>5.5337094713176371E-5</v>
      </c>
    </row>
    <row r="999" spans="1:9" x14ac:dyDescent="0.3">
      <c r="A999" s="5">
        <v>43084</v>
      </c>
      <c r="B999">
        <v>105.790001</v>
      </c>
      <c r="C999">
        <v>106.519997</v>
      </c>
      <c r="D999">
        <v>105.199997</v>
      </c>
      <c r="E999">
        <v>106.139999</v>
      </c>
      <c r="F999">
        <v>88.614356999999998</v>
      </c>
      <c r="G999">
        <v>29350600</v>
      </c>
      <c r="I999">
        <f t="shared" si="16"/>
        <v>7.4327070985298133E-5</v>
      </c>
    </row>
    <row r="1000" spans="1:9" x14ac:dyDescent="0.3">
      <c r="A1000" s="5">
        <v>43087</v>
      </c>
      <c r="B1000">
        <v>107.19000200000001</v>
      </c>
      <c r="C1000">
        <v>107.629997</v>
      </c>
      <c r="D1000">
        <v>106.480003</v>
      </c>
      <c r="E1000">
        <v>106.959999</v>
      </c>
      <c r="F1000">
        <v>89.298980999999998</v>
      </c>
      <c r="G1000">
        <v>12713100</v>
      </c>
      <c r="I1000">
        <f t="shared" si="16"/>
        <v>5.5470766180322369E-5</v>
      </c>
    </row>
    <row r="1001" spans="1:9" x14ac:dyDescent="0.3">
      <c r="A1001" s="5">
        <v>43088</v>
      </c>
      <c r="B1001">
        <v>107.349998</v>
      </c>
      <c r="C1001">
        <v>107.489998</v>
      </c>
      <c r="D1001">
        <v>106.44000200000001</v>
      </c>
      <c r="E1001">
        <v>106.510002</v>
      </c>
      <c r="F1001">
        <v>88.923278999999994</v>
      </c>
      <c r="G1001">
        <v>12149900</v>
      </c>
      <c r="I1001">
        <f t="shared" si="16"/>
        <v>1.7533501310537976E-5</v>
      </c>
    </row>
    <row r="1002" spans="1:9" x14ac:dyDescent="0.3">
      <c r="A1002" s="5">
        <v>43089</v>
      </c>
      <c r="B1002">
        <v>107.599998</v>
      </c>
      <c r="C1002">
        <v>107.730003</v>
      </c>
      <c r="D1002">
        <v>106.089996</v>
      </c>
      <c r="E1002">
        <v>106.139999</v>
      </c>
      <c r="F1002">
        <v>88.614356999999998</v>
      </c>
      <c r="G1002">
        <v>13091500</v>
      </c>
      <c r="I1002">
        <f t="shared" si="16"/>
        <v>2.4614067898261447E-5</v>
      </c>
    </row>
    <row r="1003" spans="1:9" x14ac:dyDescent="0.3">
      <c r="A1003" s="5">
        <v>43090</v>
      </c>
      <c r="B1003">
        <v>106.589996</v>
      </c>
      <c r="C1003">
        <v>108.07</v>
      </c>
      <c r="D1003">
        <v>106.55999799999999</v>
      </c>
      <c r="E1003">
        <v>107.83000199999999</v>
      </c>
      <c r="F1003">
        <v>90.025336999999993</v>
      </c>
      <c r="G1003">
        <v>12323700</v>
      </c>
      <c r="I1003">
        <f t="shared" si="16"/>
        <v>3.3992114372775982E-5</v>
      </c>
    </row>
    <row r="1004" spans="1:9" x14ac:dyDescent="0.3">
      <c r="A1004" s="5">
        <v>43091</v>
      </c>
      <c r="B1004">
        <v>108.199997</v>
      </c>
      <c r="C1004">
        <v>108.459999</v>
      </c>
      <c r="D1004">
        <v>106.80999799999999</v>
      </c>
      <c r="E1004">
        <v>107.449997</v>
      </c>
      <c r="F1004">
        <v>89.708068999999995</v>
      </c>
      <c r="G1004">
        <v>14573400</v>
      </c>
      <c r="I1004">
        <f t="shared" si="16"/>
        <v>9.9698282855821129E-5</v>
      </c>
    </row>
    <row r="1005" spans="1:9" x14ac:dyDescent="0.3">
      <c r="A1005" s="5">
        <v>43095</v>
      </c>
      <c r="B1005">
        <v>107.199997</v>
      </c>
      <c r="C1005">
        <v>107.989998</v>
      </c>
      <c r="D1005">
        <v>106.400002</v>
      </c>
      <c r="E1005">
        <v>107.019997</v>
      </c>
      <c r="F1005">
        <v>89.349068000000003</v>
      </c>
      <c r="G1005">
        <v>7403700</v>
      </c>
      <c r="I1005">
        <f t="shared" si="16"/>
        <v>1.0977105939610754E-4</v>
      </c>
    </row>
    <row r="1006" spans="1:9" x14ac:dyDescent="0.3">
      <c r="A1006" s="5">
        <v>43096</v>
      </c>
      <c r="B1006">
        <v>106.66999800000001</v>
      </c>
      <c r="C1006">
        <v>107.290001</v>
      </c>
      <c r="D1006">
        <v>106.66999800000001</v>
      </c>
      <c r="E1006">
        <v>107.220001</v>
      </c>
      <c r="F1006">
        <v>89.516045000000005</v>
      </c>
      <c r="G1006">
        <v>9496500</v>
      </c>
      <c r="I1006">
        <f t="shared" si="16"/>
        <v>3.7824475903470277E-6</v>
      </c>
    </row>
    <row r="1007" spans="1:9" x14ac:dyDescent="0.3">
      <c r="A1007" s="5">
        <v>43097</v>
      </c>
      <c r="B1007">
        <v>107.400002</v>
      </c>
      <c r="C1007">
        <v>107.839996</v>
      </c>
      <c r="D1007">
        <v>107.160004</v>
      </c>
      <c r="E1007">
        <v>107.790001</v>
      </c>
      <c r="F1007">
        <v>89.991928000000001</v>
      </c>
      <c r="G1007">
        <v>7440600</v>
      </c>
      <c r="I1007">
        <f t="shared" si="16"/>
        <v>1.5009420940115592E-5</v>
      </c>
    </row>
    <row r="1008" spans="1:9" x14ac:dyDescent="0.3">
      <c r="A1008" s="5">
        <v>43098</v>
      </c>
      <c r="B1008">
        <v>108.089996</v>
      </c>
      <c r="C1008">
        <v>108.279999</v>
      </c>
      <c r="D1008">
        <v>106.94000200000001</v>
      </c>
      <c r="E1008">
        <v>106.94000200000001</v>
      </c>
      <c r="F1008">
        <v>89.282295000000005</v>
      </c>
      <c r="G1008">
        <v>8925700</v>
      </c>
      <c r="I1008">
        <f t="shared" si="16"/>
        <v>2.1870078154159436E-5</v>
      </c>
    </row>
    <row r="1009" spans="1:9" x14ac:dyDescent="0.3">
      <c r="A1009" s="5">
        <v>43102</v>
      </c>
      <c r="B1009">
        <v>107.629997</v>
      </c>
      <c r="C1009">
        <v>108.019997</v>
      </c>
      <c r="D1009">
        <v>106.80999799999999</v>
      </c>
      <c r="E1009">
        <v>107.949997</v>
      </c>
      <c r="F1009">
        <v>90.125511000000003</v>
      </c>
      <c r="G1009">
        <v>13578800</v>
      </c>
      <c r="I1009">
        <f t="shared" si="16"/>
        <v>8.3538824639886161E-5</v>
      </c>
    </row>
    <row r="1010" spans="1:9" x14ac:dyDescent="0.3">
      <c r="A1010" s="5">
        <v>43103</v>
      </c>
      <c r="B1010">
        <v>107.860001</v>
      </c>
      <c r="C1010">
        <v>108.489998</v>
      </c>
      <c r="D1010">
        <v>107.480003</v>
      </c>
      <c r="E1010">
        <v>108.05999799999999</v>
      </c>
      <c r="F1010">
        <v>90.217346000000006</v>
      </c>
      <c r="G1010">
        <v>11901000</v>
      </c>
      <c r="I1010">
        <f t="shared" si="16"/>
        <v>4.2122742599823756E-5</v>
      </c>
    </row>
    <row r="1011" spans="1:9" x14ac:dyDescent="0.3">
      <c r="A1011" s="5">
        <v>43104</v>
      </c>
      <c r="B1011">
        <v>108.360001</v>
      </c>
      <c r="C1011">
        <v>110.029999</v>
      </c>
      <c r="D1011">
        <v>108.199997</v>
      </c>
      <c r="E1011">
        <v>109.040001</v>
      </c>
      <c r="F1011">
        <v>91.509743</v>
      </c>
      <c r="G1011">
        <v>12953700</v>
      </c>
      <c r="I1011">
        <f t="shared" si="16"/>
        <v>1.4965881902917317E-4</v>
      </c>
    </row>
    <row r="1012" spans="1:9" x14ac:dyDescent="0.3">
      <c r="A1012" s="5">
        <v>43105</v>
      </c>
      <c r="B1012">
        <v>109.260002</v>
      </c>
      <c r="C1012">
        <v>109.550003</v>
      </c>
      <c r="D1012">
        <v>107.779999</v>
      </c>
      <c r="E1012">
        <v>108.339996</v>
      </c>
      <c r="F1012">
        <v>90.922302000000002</v>
      </c>
      <c r="G1012">
        <v>14155000</v>
      </c>
      <c r="I1012">
        <f t="shared" si="16"/>
        <v>1.0011817803497327E-4</v>
      </c>
    </row>
    <row r="1013" spans="1:9" x14ac:dyDescent="0.3">
      <c r="A1013" s="5">
        <v>43108</v>
      </c>
      <c r="B1013">
        <v>108.150002</v>
      </c>
      <c r="C1013">
        <v>108.68</v>
      </c>
      <c r="D1013">
        <v>107.699997</v>
      </c>
      <c r="E1013">
        <v>108.5</v>
      </c>
      <c r="F1013">
        <v>91.056572000000003</v>
      </c>
      <c r="G1013">
        <v>12466500</v>
      </c>
      <c r="I1013">
        <f t="shared" si="16"/>
        <v>3.8961141828703887E-5</v>
      </c>
    </row>
    <row r="1014" spans="1:9" x14ac:dyDescent="0.3">
      <c r="A1014" s="5">
        <v>43109</v>
      </c>
      <c r="B1014">
        <v>108.720001</v>
      </c>
      <c r="C1014">
        <v>109.629997</v>
      </c>
      <c r="D1014">
        <v>108.489998</v>
      </c>
      <c r="E1014">
        <v>109.050003</v>
      </c>
      <c r="F1014">
        <v>91.518158</v>
      </c>
      <c r="G1014">
        <v>13292300</v>
      </c>
      <c r="I1014">
        <f t="shared" si="16"/>
        <v>5.5117993856041174E-5</v>
      </c>
    </row>
    <row r="1015" spans="1:9" x14ac:dyDescent="0.3">
      <c r="A1015" s="5">
        <v>43110</v>
      </c>
      <c r="B1015">
        <v>109.470001</v>
      </c>
      <c r="C1015">
        <v>110.699997</v>
      </c>
      <c r="D1015">
        <v>109.389999</v>
      </c>
      <c r="E1015">
        <v>110.25</v>
      </c>
      <c r="F1015">
        <v>92.525245999999996</v>
      </c>
      <c r="G1015">
        <v>15834500</v>
      </c>
      <c r="I1015">
        <f t="shared" si="16"/>
        <v>5.123715343381658E-5</v>
      </c>
    </row>
    <row r="1016" spans="1:9" x14ac:dyDescent="0.3">
      <c r="A1016" s="5">
        <v>43111</v>
      </c>
      <c r="B1016">
        <v>110.66999800000001</v>
      </c>
      <c r="C1016">
        <v>110.93</v>
      </c>
      <c r="D1016">
        <v>110.050003</v>
      </c>
      <c r="E1016">
        <v>110.839996</v>
      </c>
      <c r="F1016">
        <v>93.020363000000003</v>
      </c>
      <c r="G1016">
        <v>13676800</v>
      </c>
      <c r="I1016">
        <f t="shared" si="16"/>
        <v>4.2089022758493112E-5</v>
      </c>
    </row>
    <row r="1017" spans="1:9" x14ac:dyDescent="0.3">
      <c r="A1017" s="5">
        <v>43112</v>
      </c>
      <c r="B1017">
        <v>111.650002</v>
      </c>
      <c r="C1017">
        <v>112.849998</v>
      </c>
      <c r="D1017">
        <v>110.839996</v>
      </c>
      <c r="E1017">
        <v>112.66999800000001</v>
      </c>
      <c r="F1017">
        <v>94.556168</v>
      </c>
      <c r="G1017">
        <v>18884200</v>
      </c>
      <c r="I1017">
        <f t="shared" si="16"/>
        <v>1.3630040737759602E-4</v>
      </c>
    </row>
    <row r="1018" spans="1:9" x14ac:dyDescent="0.3">
      <c r="A1018" s="5">
        <v>43116</v>
      </c>
      <c r="B1018">
        <v>111.510002</v>
      </c>
      <c r="C1018">
        <v>113.43</v>
      </c>
      <c r="D1018">
        <v>111.07</v>
      </c>
      <c r="E1018">
        <v>112.269997</v>
      </c>
      <c r="F1018">
        <v>94.220482000000004</v>
      </c>
      <c r="G1018">
        <v>22703300</v>
      </c>
      <c r="I1018">
        <f t="shared" si="16"/>
        <v>2.1796948828612815E-4</v>
      </c>
    </row>
    <row r="1019" spans="1:9" x14ac:dyDescent="0.3">
      <c r="A1019" s="5">
        <v>43117</v>
      </c>
      <c r="B1019">
        <v>111.889999</v>
      </c>
      <c r="C1019">
        <v>113.300003</v>
      </c>
      <c r="D1019">
        <v>111.30999799999999</v>
      </c>
      <c r="E1019">
        <v>112.989998</v>
      </c>
      <c r="F1019">
        <v>94.824730000000002</v>
      </c>
      <c r="G1019">
        <v>14940300</v>
      </c>
      <c r="I1019">
        <f t="shared" si="16"/>
        <v>1.1216605384784363E-4</v>
      </c>
    </row>
    <row r="1020" spans="1:9" x14ac:dyDescent="0.3">
      <c r="A1020" s="5">
        <v>43118</v>
      </c>
      <c r="B1020">
        <v>112.760002</v>
      </c>
      <c r="C1020">
        <v>113.720001</v>
      </c>
      <c r="D1020">
        <v>112.269997</v>
      </c>
      <c r="E1020">
        <v>113.260002</v>
      </c>
      <c r="F1020">
        <v>95.051322999999996</v>
      </c>
      <c r="G1020">
        <v>14572900</v>
      </c>
      <c r="I1020">
        <f t="shared" si="16"/>
        <v>7.2596208402435683E-5</v>
      </c>
    </row>
    <row r="1021" spans="1:9" x14ac:dyDescent="0.3">
      <c r="A1021" s="5">
        <v>43119</v>
      </c>
      <c r="B1021">
        <v>113.94000200000001</v>
      </c>
      <c r="C1021">
        <v>114.339996</v>
      </c>
      <c r="D1021">
        <v>112.800003</v>
      </c>
      <c r="E1021">
        <v>113.010002</v>
      </c>
      <c r="F1021">
        <v>94.841515000000001</v>
      </c>
      <c r="G1021">
        <v>18785500</v>
      </c>
      <c r="I1021">
        <f t="shared" si="16"/>
        <v>5.9705188851356291E-5</v>
      </c>
    </row>
    <row r="1022" spans="1:9" x14ac:dyDescent="0.3">
      <c r="A1022" s="5">
        <v>43122</v>
      </c>
      <c r="B1022">
        <v>112.660004</v>
      </c>
      <c r="C1022">
        <v>114.389999</v>
      </c>
      <c r="D1022">
        <v>112.5</v>
      </c>
      <c r="E1022">
        <v>114.33000199999999</v>
      </c>
      <c r="F1022">
        <v>95.949280000000002</v>
      </c>
      <c r="G1022">
        <v>12475700</v>
      </c>
      <c r="I1022">
        <f t="shared" si="16"/>
        <v>3.0927937190901298E-5</v>
      </c>
    </row>
    <row r="1023" spans="1:9" x14ac:dyDescent="0.3">
      <c r="A1023" s="5">
        <v>43123</v>
      </c>
      <c r="B1023">
        <v>113.66999800000001</v>
      </c>
      <c r="C1023">
        <v>114.639999</v>
      </c>
      <c r="D1023">
        <v>113.349998</v>
      </c>
      <c r="E1023">
        <v>114.209999</v>
      </c>
      <c r="F1023">
        <v>95.848618000000002</v>
      </c>
      <c r="G1023">
        <v>12320800</v>
      </c>
      <c r="I1023">
        <f t="shared" si="16"/>
        <v>5.3240551785593967E-5</v>
      </c>
    </row>
    <row r="1024" spans="1:9" x14ac:dyDescent="0.3">
      <c r="A1024" s="5">
        <v>43124</v>
      </c>
      <c r="B1024">
        <v>114.860001</v>
      </c>
      <c r="C1024">
        <v>116</v>
      </c>
      <c r="D1024">
        <v>114.660004</v>
      </c>
      <c r="E1024">
        <v>115.66999800000001</v>
      </c>
      <c r="F1024">
        <v>97.073845000000006</v>
      </c>
      <c r="G1024">
        <v>15904500</v>
      </c>
      <c r="I1024">
        <f t="shared" si="16"/>
        <v>4.3420157103359985E-5</v>
      </c>
    </row>
    <row r="1025" spans="1:9" x14ac:dyDescent="0.3">
      <c r="A1025" s="5">
        <v>43125</v>
      </c>
      <c r="B1025">
        <v>116.040001</v>
      </c>
      <c r="C1025">
        <v>116.16999800000001</v>
      </c>
      <c r="D1025">
        <v>115.08000199999999</v>
      </c>
      <c r="E1025">
        <v>115.699997</v>
      </c>
      <c r="F1025">
        <v>97.099052</v>
      </c>
      <c r="G1025">
        <v>13510000</v>
      </c>
      <c r="I1025">
        <f t="shared" si="16"/>
        <v>4.917523147598467E-5</v>
      </c>
    </row>
    <row r="1026" spans="1:9" x14ac:dyDescent="0.3">
      <c r="A1026" s="5">
        <v>43126</v>
      </c>
      <c r="B1026">
        <v>115.699997</v>
      </c>
      <c r="C1026">
        <v>116.32</v>
      </c>
      <c r="D1026">
        <v>114.959999</v>
      </c>
      <c r="E1026">
        <v>116.32</v>
      </c>
      <c r="F1026">
        <v>97.619370000000004</v>
      </c>
      <c r="G1026">
        <v>13883900</v>
      </c>
      <c r="I1026">
        <f t="shared" si="16"/>
        <v>7.5461581681607884E-5</v>
      </c>
    </row>
    <row r="1027" spans="1:9" x14ac:dyDescent="0.3">
      <c r="A1027" s="5">
        <v>43129</v>
      </c>
      <c r="B1027">
        <v>116.019997</v>
      </c>
      <c r="C1027">
        <v>117.349998</v>
      </c>
      <c r="D1027">
        <v>116.019997</v>
      </c>
      <c r="E1027">
        <v>116.199997</v>
      </c>
      <c r="F1027">
        <v>97.518646000000004</v>
      </c>
      <c r="G1027">
        <v>11679900</v>
      </c>
      <c r="I1027">
        <f t="shared" si="16"/>
        <v>1.1225185060264795E-4</v>
      </c>
    </row>
    <row r="1028" spans="1:9" x14ac:dyDescent="0.3">
      <c r="A1028" s="5">
        <v>43130</v>
      </c>
      <c r="B1028">
        <v>115.529999</v>
      </c>
      <c r="C1028">
        <v>116.599998</v>
      </c>
      <c r="D1028">
        <v>114.980003</v>
      </c>
      <c r="E1028">
        <v>115.110001</v>
      </c>
      <c r="F1028">
        <v>96.603897000000003</v>
      </c>
      <c r="G1028">
        <v>14279100</v>
      </c>
      <c r="I1028">
        <f t="shared" si="16"/>
        <v>1.2395868344092763E-4</v>
      </c>
    </row>
    <row r="1029" spans="1:9" x14ac:dyDescent="0.3">
      <c r="A1029" s="5">
        <v>43131</v>
      </c>
      <c r="B1029">
        <v>115.650002</v>
      </c>
      <c r="C1029">
        <v>116.660004</v>
      </c>
      <c r="D1029">
        <v>115.160004</v>
      </c>
      <c r="E1029">
        <v>115.66999800000001</v>
      </c>
      <c r="F1029">
        <v>97.073845000000006</v>
      </c>
      <c r="G1029">
        <v>13141400</v>
      </c>
      <c r="I1029">
        <f t="shared" si="16"/>
        <v>9.2867572048024581E-5</v>
      </c>
    </row>
    <row r="1030" spans="1:9" x14ac:dyDescent="0.3">
      <c r="A1030" s="5">
        <v>43132</v>
      </c>
      <c r="B1030">
        <v>115.769997</v>
      </c>
      <c r="C1030">
        <v>116.989998</v>
      </c>
      <c r="D1030">
        <v>115.480003</v>
      </c>
      <c r="E1030">
        <v>116.870003</v>
      </c>
      <c r="F1030">
        <v>98.080939999999998</v>
      </c>
      <c r="G1030">
        <v>13800600</v>
      </c>
      <c r="I1030">
        <f t="shared" si="16"/>
        <v>4.0766324126268064E-5</v>
      </c>
    </row>
    <row r="1031" spans="1:9" x14ac:dyDescent="0.3">
      <c r="A1031" s="5">
        <v>43133</v>
      </c>
      <c r="B1031">
        <v>116.489998</v>
      </c>
      <c r="C1031">
        <v>116.91999800000001</v>
      </c>
      <c r="D1031">
        <v>114.089996</v>
      </c>
      <c r="E1031">
        <v>114.279999</v>
      </c>
      <c r="F1031">
        <v>95.907325999999998</v>
      </c>
      <c r="G1031">
        <v>16477300</v>
      </c>
      <c r="I1031">
        <f t="shared" si="16"/>
        <v>1.1878883840266176E-4</v>
      </c>
    </row>
    <row r="1032" spans="1:9" x14ac:dyDescent="0.3">
      <c r="A1032" s="5">
        <v>43136</v>
      </c>
      <c r="B1032">
        <v>113</v>
      </c>
      <c r="C1032">
        <v>114.589996</v>
      </c>
      <c r="D1032">
        <v>103.980003</v>
      </c>
      <c r="E1032">
        <v>108.800003</v>
      </c>
      <c r="F1032">
        <v>91.308350000000004</v>
      </c>
      <c r="G1032">
        <v>30097600</v>
      </c>
      <c r="I1032">
        <f t="shared" si="16"/>
        <v>4.4940048803137726E-3</v>
      </c>
    </row>
    <row r="1033" spans="1:9" x14ac:dyDescent="0.3">
      <c r="A1033" s="5">
        <v>43137</v>
      </c>
      <c r="B1033">
        <v>106.849998</v>
      </c>
      <c r="C1033">
        <v>112.480003</v>
      </c>
      <c r="D1033">
        <v>106.610001</v>
      </c>
      <c r="E1033">
        <v>112.110001</v>
      </c>
      <c r="F1033">
        <v>94.086205000000007</v>
      </c>
      <c r="G1033">
        <v>33114800</v>
      </c>
      <c r="I1033">
        <f t="shared" si="16"/>
        <v>2.8230584859894583E-4</v>
      </c>
    </row>
    <row r="1034" spans="1:9" x14ac:dyDescent="0.3">
      <c r="A1034" s="5">
        <v>43138</v>
      </c>
      <c r="B1034">
        <v>111.550003</v>
      </c>
      <c r="C1034">
        <v>114.449997</v>
      </c>
      <c r="D1034">
        <v>111.150002</v>
      </c>
      <c r="E1034">
        <v>112.870003</v>
      </c>
      <c r="F1034">
        <v>94.724022000000005</v>
      </c>
      <c r="G1034">
        <v>21878300</v>
      </c>
      <c r="I1034">
        <f t="shared" si="16"/>
        <v>4.1194083921569169E-4</v>
      </c>
    </row>
    <row r="1035" spans="1:9" x14ac:dyDescent="0.3">
      <c r="A1035" s="5">
        <v>43139</v>
      </c>
      <c r="B1035">
        <v>113.110001</v>
      </c>
      <c r="C1035">
        <v>113.110001</v>
      </c>
      <c r="D1035">
        <v>107.839996</v>
      </c>
      <c r="E1035">
        <v>107.879997</v>
      </c>
      <c r="F1035">
        <v>90.536254999999997</v>
      </c>
      <c r="G1035">
        <v>27425800</v>
      </c>
      <c r="I1035">
        <f t="shared" si="16"/>
        <v>1.7694563401542288E-5</v>
      </c>
    </row>
    <row r="1036" spans="1:9" x14ac:dyDescent="0.3">
      <c r="A1036" s="5">
        <v>43140</v>
      </c>
      <c r="B1036">
        <v>109.099998</v>
      </c>
      <c r="C1036">
        <v>111.050003</v>
      </c>
      <c r="D1036">
        <v>106.230003</v>
      </c>
      <c r="E1036">
        <v>110.040001</v>
      </c>
      <c r="F1036">
        <v>92.348990999999998</v>
      </c>
      <c r="G1036">
        <v>28188000</v>
      </c>
      <c r="I1036">
        <f t="shared" ref="I1036:I1099" si="17">LN(C1036/B1036)*(LN(C1036/B1036)-LN(E1036/B1036))+LN(D1036/B1036)*(LN(D1036/B1036)-LN(E1036/B1036))</f>
        <v>1.1012297312538838E-3</v>
      </c>
    </row>
    <row r="1037" spans="1:9" x14ac:dyDescent="0.3">
      <c r="A1037" s="5">
        <v>43143</v>
      </c>
      <c r="B1037">
        <v>111.16999800000001</v>
      </c>
      <c r="C1037">
        <v>112.730003</v>
      </c>
      <c r="D1037">
        <v>110.07</v>
      </c>
      <c r="E1037">
        <v>111.739998</v>
      </c>
      <c r="F1037">
        <v>93.775688000000002</v>
      </c>
      <c r="G1037">
        <v>18043300</v>
      </c>
      <c r="I1037">
        <f t="shared" si="17"/>
        <v>2.7265848294379943E-4</v>
      </c>
    </row>
    <row r="1038" spans="1:9" x14ac:dyDescent="0.3">
      <c r="A1038" s="5">
        <v>43144</v>
      </c>
      <c r="B1038">
        <v>111.32</v>
      </c>
      <c r="C1038">
        <v>113.050003</v>
      </c>
      <c r="D1038">
        <v>110.800003</v>
      </c>
      <c r="E1038">
        <v>112.43</v>
      </c>
      <c r="F1038">
        <v>94.354743999999997</v>
      </c>
      <c r="G1038">
        <v>16358200</v>
      </c>
      <c r="I1038">
        <f t="shared" si="17"/>
        <v>1.5318605918542428E-4</v>
      </c>
    </row>
    <row r="1039" spans="1:9" x14ac:dyDescent="0.3">
      <c r="A1039" s="5">
        <v>43145</v>
      </c>
      <c r="B1039">
        <v>112.629997</v>
      </c>
      <c r="C1039">
        <v>115.269997</v>
      </c>
      <c r="D1039">
        <v>112.529999</v>
      </c>
      <c r="E1039">
        <v>115.029999</v>
      </c>
      <c r="F1039">
        <v>96.536750999999995</v>
      </c>
      <c r="G1039">
        <v>15186900</v>
      </c>
      <c r="I1039">
        <f t="shared" si="17"/>
        <v>6.7806905644592693E-5</v>
      </c>
    </row>
    <row r="1040" spans="1:9" x14ac:dyDescent="0.3">
      <c r="A1040" s="5">
        <v>43146</v>
      </c>
      <c r="B1040">
        <v>115.739998</v>
      </c>
      <c r="C1040">
        <v>115.989998</v>
      </c>
      <c r="D1040">
        <v>114.220001</v>
      </c>
      <c r="E1040">
        <v>115.510002</v>
      </c>
      <c r="F1040">
        <v>96.939582999999999</v>
      </c>
      <c r="G1040">
        <v>12130200</v>
      </c>
      <c r="I1040">
        <f t="shared" si="17"/>
        <v>1.5741583918415719E-4</v>
      </c>
    </row>
    <row r="1041" spans="1:9" x14ac:dyDescent="0.3">
      <c r="A1041" s="5">
        <v>43147</v>
      </c>
      <c r="B1041">
        <v>114.550003</v>
      </c>
      <c r="C1041">
        <v>116.07</v>
      </c>
      <c r="D1041">
        <v>114.5</v>
      </c>
      <c r="E1041">
        <v>114.68</v>
      </c>
      <c r="F1041">
        <v>96.243026999999998</v>
      </c>
      <c r="G1041">
        <v>13214300</v>
      </c>
      <c r="I1041">
        <f t="shared" si="17"/>
        <v>1.5950042203959213E-4</v>
      </c>
    </row>
    <row r="1042" spans="1:9" x14ac:dyDescent="0.3">
      <c r="A1042" s="5">
        <v>43151</v>
      </c>
      <c r="B1042">
        <v>114.650002</v>
      </c>
      <c r="C1042">
        <v>115.389999</v>
      </c>
      <c r="D1042">
        <v>113.970001</v>
      </c>
      <c r="E1042">
        <v>114.709999</v>
      </c>
      <c r="F1042">
        <v>96.268219000000002</v>
      </c>
      <c r="G1042">
        <v>13461500</v>
      </c>
      <c r="I1042">
        <f t="shared" si="17"/>
        <v>7.6526065564625092E-5</v>
      </c>
    </row>
    <row r="1043" spans="1:9" x14ac:dyDescent="0.3">
      <c r="A1043" s="5">
        <v>43152</v>
      </c>
      <c r="B1043">
        <v>115</v>
      </c>
      <c r="C1043">
        <v>117.449997</v>
      </c>
      <c r="D1043">
        <v>114.66999800000001</v>
      </c>
      <c r="E1043">
        <v>115.19000200000001</v>
      </c>
      <c r="F1043">
        <v>96.671042999999997</v>
      </c>
      <c r="G1043">
        <v>14212500</v>
      </c>
      <c r="I1043">
        <f t="shared" si="17"/>
        <v>4.2259171235121468E-4</v>
      </c>
    </row>
    <row r="1044" spans="1:9" x14ac:dyDescent="0.3">
      <c r="A1044" s="5">
        <v>43153</v>
      </c>
      <c r="B1044">
        <v>115.5</v>
      </c>
      <c r="C1044">
        <v>116.43</v>
      </c>
      <c r="D1044">
        <v>114.760002</v>
      </c>
      <c r="E1044">
        <v>114.980003</v>
      </c>
      <c r="F1044">
        <v>96.494788999999997</v>
      </c>
      <c r="G1044">
        <v>17070400</v>
      </c>
      <c r="I1044">
        <f t="shared" si="17"/>
        <v>1.1281309695750296E-4</v>
      </c>
    </row>
    <row r="1045" spans="1:9" x14ac:dyDescent="0.3">
      <c r="A1045" s="5">
        <v>43154</v>
      </c>
      <c r="B1045">
        <v>115.30999799999999</v>
      </c>
      <c r="C1045">
        <v>117.389999</v>
      </c>
      <c r="D1045">
        <v>115.30999799999999</v>
      </c>
      <c r="E1045">
        <v>117.30999799999999</v>
      </c>
      <c r="F1045">
        <v>98.450203000000002</v>
      </c>
      <c r="G1045">
        <v>12162500</v>
      </c>
      <c r="I1045">
        <f t="shared" si="17"/>
        <v>1.2187680834434659E-5</v>
      </c>
    </row>
    <row r="1046" spans="1:9" x14ac:dyDescent="0.3">
      <c r="A1046" s="5">
        <v>43157</v>
      </c>
      <c r="B1046">
        <v>118.139999</v>
      </c>
      <c r="C1046">
        <v>118.900002</v>
      </c>
      <c r="D1046">
        <v>117.32</v>
      </c>
      <c r="E1046">
        <v>118.769997</v>
      </c>
      <c r="F1046">
        <v>99.675499000000002</v>
      </c>
      <c r="G1046">
        <v>16511200</v>
      </c>
      <c r="I1046">
        <f t="shared" si="17"/>
        <v>9.2571693570808796E-5</v>
      </c>
    </row>
    <row r="1047" spans="1:9" x14ac:dyDescent="0.3">
      <c r="A1047" s="5">
        <v>43158</v>
      </c>
      <c r="B1047">
        <v>118.910004</v>
      </c>
      <c r="C1047">
        <v>119.33000199999999</v>
      </c>
      <c r="D1047">
        <v>117.349998</v>
      </c>
      <c r="E1047">
        <v>117.360001</v>
      </c>
      <c r="F1047">
        <v>98.492165</v>
      </c>
      <c r="G1047">
        <v>17563300</v>
      </c>
      <c r="I1047">
        <f t="shared" si="17"/>
        <v>5.9819079689053829E-5</v>
      </c>
    </row>
    <row r="1048" spans="1:9" x14ac:dyDescent="0.3">
      <c r="A1048" s="5">
        <v>43159</v>
      </c>
      <c r="B1048">
        <v>117.82</v>
      </c>
      <c r="C1048">
        <v>118.489998</v>
      </c>
      <c r="D1048">
        <v>115.339996</v>
      </c>
      <c r="E1048">
        <v>115.5</v>
      </c>
      <c r="F1048">
        <v>96.931190000000001</v>
      </c>
      <c r="G1048">
        <v>17735600</v>
      </c>
      <c r="I1048">
        <f t="shared" si="17"/>
        <v>1.7441851283162213E-4</v>
      </c>
    </row>
    <row r="1049" spans="1:9" x14ac:dyDescent="0.3">
      <c r="A1049" s="5">
        <v>43160</v>
      </c>
      <c r="B1049">
        <v>115.480003</v>
      </c>
      <c r="C1049">
        <v>116.639999</v>
      </c>
      <c r="D1049">
        <v>112.650002</v>
      </c>
      <c r="E1049">
        <v>113.43</v>
      </c>
      <c r="F1049">
        <v>95.194000000000003</v>
      </c>
      <c r="G1049">
        <v>18690000</v>
      </c>
      <c r="I1049">
        <f t="shared" si="17"/>
        <v>4.5012683036261853E-4</v>
      </c>
    </row>
    <row r="1050" spans="1:9" x14ac:dyDescent="0.3">
      <c r="A1050" s="5">
        <v>43161</v>
      </c>
      <c r="B1050">
        <v>112.389999</v>
      </c>
      <c r="C1050">
        <v>113.55999799999999</v>
      </c>
      <c r="D1050">
        <v>111.120003</v>
      </c>
      <c r="E1050">
        <v>113.32</v>
      </c>
      <c r="F1050">
        <v>95.101669000000001</v>
      </c>
      <c r="G1050">
        <v>18353700</v>
      </c>
      <c r="I1050">
        <f t="shared" si="17"/>
        <v>2.4470549261553653E-4</v>
      </c>
    </row>
    <row r="1051" spans="1:9" x14ac:dyDescent="0.3">
      <c r="A1051" s="5">
        <v>43164</v>
      </c>
      <c r="B1051">
        <v>112.050003</v>
      </c>
      <c r="C1051">
        <v>115.93</v>
      </c>
      <c r="D1051">
        <v>111.889999</v>
      </c>
      <c r="E1051">
        <v>115.05999799999999</v>
      </c>
      <c r="F1051">
        <v>96.561935000000005</v>
      </c>
      <c r="G1051">
        <v>13933000</v>
      </c>
      <c r="I1051">
        <f t="shared" si="17"/>
        <v>2.9635052490217681E-4</v>
      </c>
    </row>
    <row r="1052" spans="1:9" x14ac:dyDescent="0.3">
      <c r="A1052" s="5">
        <v>43165</v>
      </c>
      <c r="B1052">
        <v>115.639999</v>
      </c>
      <c r="C1052">
        <v>115.82</v>
      </c>
      <c r="D1052">
        <v>114.32</v>
      </c>
      <c r="E1052">
        <v>115.160004</v>
      </c>
      <c r="F1052">
        <v>96.645865999999998</v>
      </c>
      <c r="G1052">
        <v>10674400</v>
      </c>
      <c r="I1052">
        <f t="shared" si="17"/>
        <v>9.2935916850891436E-5</v>
      </c>
    </row>
    <row r="1053" spans="1:9" x14ac:dyDescent="0.3">
      <c r="A1053" s="5">
        <v>43166</v>
      </c>
      <c r="B1053">
        <v>113.75</v>
      </c>
      <c r="C1053">
        <v>115.099998</v>
      </c>
      <c r="D1053">
        <v>113.110001</v>
      </c>
      <c r="E1053">
        <v>114.730003</v>
      </c>
      <c r="F1053">
        <v>96.285004000000001</v>
      </c>
      <c r="G1053">
        <v>13006500</v>
      </c>
      <c r="I1053">
        <f t="shared" si="17"/>
        <v>1.1822428601442688E-4</v>
      </c>
    </row>
    <row r="1054" spans="1:9" x14ac:dyDescent="0.3">
      <c r="A1054" s="5">
        <v>43167</v>
      </c>
      <c r="B1054">
        <v>115.110001</v>
      </c>
      <c r="C1054">
        <v>115.230003</v>
      </c>
      <c r="D1054">
        <v>113.209999</v>
      </c>
      <c r="E1054">
        <v>114.739998</v>
      </c>
      <c r="F1054">
        <v>96.293380999999997</v>
      </c>
      <c r="G1054">
        <v>11173700</v>
      </c>
      <c r="I1054">
        <f t="shared" si="17"/>
        <v>2.278685755838973E-4</v>
      </c>
    </row>
    <row r="1055" spans="1:9" x14ac:dyDescent="0.3">
      <c r="A1055" s="5">
        <v>43168</v>
      </c>
      <c r="B1055">
        <v>116.550003</v>
      </c>
      <c r="C1055">
        <v>118.08000199999999</v>
      </c>
      <c r="D1055">
        <v>115.66999800000001</v>
      </c>
      <c r="E1055">
        <v>118.040001</v>
      </c>
      <c r="F1055">
        <v>99.062836000000004</v>
      </c>
      <c r="G1055">
        <v>15366600</v>
      </c>
      <c r="I1055">
        <f t="shared" si="17"/>
        <v>1.5814018615312387E-4</v>
      </c>
    </row>
    <row r="1056" spans="1:9" x14ac:dyDescent="0.3">
      <c r="A1056" s="5">
        <v>43171</v>
      </c>
      <c r="B1056">
        <v>118</v>
      </c>
      <c r="C1056">
        <v>118.75</v>
      </c>
      <c r="D1056">
        <v>117.25</v>
      </c>
      <c r="E1056">
        <v>117.660004</v>
      </c>
      <c r="F1056">
        <v>98.743958000000006</v>
      </c>
      <c r="G1056">
        <v>12339300</v>
      </c>
      <c r="I1056">
        <f t="shared" si="17"/>
        <v>8.0682170772669197E-5</v>
      </c>
    </row>
    <row r="1057" spans="1:9" x14ac:dyDescent="0.3">
      <c r="A1057" s="5">
        <v>43172</v>
      </c>
      <c r="B1057">
        <v>118.199997</v>
      </c>
      <c r="C1057">
        <v>118.470001</v>
      </c>
      <c r="D1057">
        <v>115.83000199999999</v>
      </c>
      <c r="E1057">
        <v>116.25</v>
      </c>
      <c r="F1057">
        <v>97.560623000000007</v>
      </c>
      <c r="G1057">
        <v>13312300</v>
      </c>
      <c r="I1057">
        <f t="shared" si="17"/>
        <v>1.1647173932927886E-4</v>
      </c>
    </row>
    <row r="1058" spans="1:9" x14ac:dyDescent="0.3">
      <c r="A1058" s="5">
        <v>43173</v>
      </c>
      <c r="B1058">
        <v>116.55999799999999</v>
      </c>
      <c r="C1058">
        <v>116.589996</v>
      </c>
      <c r="D1058">
        <v>114.599998</v>
      </c>
      <c r="E1058">
        <v>114.949997</v>
      </c>
      <c r="F1058">
        <v>96.469627000000003</v>
      </c>
      <c r="G1058">
        <v>12905100</v>
      </c>
      <c r="I1058">
        <f t="shared" si="17"/>
        <v>5.5358836631412668E-5</v>
      </c>
    </row>
    <row r="1059" spans="1:9" x14ac:dyDescent="0.3">
      <c r="A1059" s="5">
        <v>43174</v>
      </c>
      <c r="B1059">
        <v>115.870003</v>
      </c>
      <c r="C1059">
        <v>116</v>
      </c>
      <c r="D1059">
        <v>114.83000199999999</v>
      </c>
      <c r="E1059">
        <v>115.239998</v>
      </c>
      <c r="F1059">
        <v>96.712990000000005</v>
      </c>
      <c r="G1059">
        <v>8748000</v>
      </c>
      <c r="I1059">
        <f t="shared" si="17"/>
        <v>3.950491245893486E-5</v>
      </c>
    </row>
    <row r="1060" spans="1:9" x14ac:dyDescent="0.3">
      <c r="A1060" s="5">
        <v>43175</v>
      </c>
      <c r="B1060">
        <v>115.339996</v>
      </c>
      <c r="C1060">
        <v>116.599998</v>
      </c>
      <c r="D1060">
        <v>115.339996</v>
      </c>
      <c r="E1060">
        <v>115.44000200000001</v>
      </c>
      <c r="F1060">
        <v>96.880843999999996</v>
      </c>
      <c r="G1060">
        <v>19888900</v>
      </c>
      <c r="I1060">
        <f t="shared" si="17"/>
        <v>1.0863183339272034E-4</v>
      </c>
    </row>
    <row r="1061" spans="1:9" x14ac:dyDescent="0.3">
      <c r="A1061" s="5">
        <v>43178</v>
      </c>
      <c r="B1061">
        <v>115.099998</v>
      </c>
      <c r="C1061">
        <v>115.449997</v>
      </c>
      <c r="D1061">
        <v>113.300003</v>
      </c>
      <c r="E1061">
        <v>114.529999</v>
      </c>
      <c r="F1061">
        <v>96.117133999999993</v>
      </c>
      <c r="G1061">
        <v>13214900</v>
      </c>
      <c r="I1061">
        <f t="shared" si="17"/>
        <v>1.9448468169135942E-4</v>
      </c>
    </row>
    <row r="1062" spans="1:9" x14ac:dyDescent="0.3">
      <c r="A1062" s="5">
        <v>43179</v>
      </c>
      <c r="B1062">
        <v>114.870003</v>
      </c>
      <c r="C1062">
        <v>115.449997</v>
      </c>
      <c r="D1062">
        <v>114.449997</v>
      </c>
      <c r="E1062">
        <v>114.639999</v>
      </c>
      <c r="F1062">
        <v>96.209457</v>
      </c>
      <c r="G1062">
        <v>9921200</v>
      </c>
      <c r="I1062">
        <f t="shared" si="17"/>
        <v>4.1536283648931874E-5</v>
      </c>
    </row>
    <row r="1063" spans="1:9" x14ac:dyDescent="0.3">
      <c r="A1063" s="5">
        <v>43180</v>
      </c>
      <c r="B1063">
        <v>114.80999799999999</v>
      </c>
      <c r="C1063">
        <v>116.629997</v>
      </c>
      <c r="D1063">
        <v>114.209999</v>
      </c>
      <c r="E1063">
        <v>114.739998</v>
      </c>
      <c r="F1063">
        <v>96.293380999999997</v>
      </c>
      <c r="G1063">
        <v>13633000</v>
      </c>
      <c r="I1063">
        <f t="shared" si="17"/>
        <v>2.8121923253089653E-4</v>
      </c>
    </row>
    <row r="1064" spans="1:9" x14ac:dyDescent="0.3">
      <c r="A1064" s="5">
        <v>43181</v>
      </c>
      <c r="B1064">
        <v>113.199997</v>
      </c>
      <c r="C1064">
        <v>113.599998</v>
      </c>
      <c r="D1064">
        <v>109.540001</v>
      </c>
      <c r="E1064">
        <v>109.949997</v>
      </c>
      <c r="F1064">
        <v>92.273476000000002</v>
      </c>
      <c r="G1064">
        <v>22550400</v>
      </c>
      <c r="I1064">
        <f t="shared" si="17"/>
        <v>2.379809083945074E-4</v>
      </c>
    </row>
    <row r="1065" spans="1:9" x14ac:dyDescent="0.3">
      <c r="A1065" s="5">
        <v>43182</v>
      </c>
      <c r="B1065">
        <v>110.269997</v>
      </c>
      <c r="C1065">
        <v>110.91999800000001</v>
      </c>
      <c r="D1065">
        <v>106.760002</v>
      </c>
      <c r="E1065">
        <v>107.010002</v>
      </c>
      <c r="F1065">
        <v>89.806128999999999</v>
      </c>
      <c r="G1065">
        <v>23081500</v>
      </c>
      <c r="I1065">
        <f t="shared" si="17"/>
        <v>2.8658102962337179E-4</v>
      </c>
    </row>
    <row r="1066" spans="1:9" x14ac:dyDescent="0.3">
      <c r="A1066" s="5">
        <v>43185</v>
      </c>
      <c r="B1066">
        <v>109.19000200000001</v>
      </c>
      <c r="C1066">
        <v>111.160004</v>
      </c>
      <c r="D1066">
        <v>108.650002</v>
      </c>
      <c r="E1066">
        <v>110.30999799999999</v>
      </c>
      <c r="F1066">
        <v>92.575584000000006</v>
      </c>
      <c r="G1066">
        <v>20217500</v>
      </c>
      <c r="I1066">
        <f t="shared" si="17"/>
        <v>2.1243094707673203E-4</v>
      </c>
    </row>
    <row r="1067" spans="1:9" x14ac:dyDescent="0.3">
      <c r="A1067" s="5">
        <v>43186</v>
      </c>
      <c r="B1067">
        <v>111.07</v>
      </c>
      <c r="C1067">
        <v>111.69000200000001</v>
      </c>
      <c r="D1067">
        <v>107.300003</v>
      </c>
      <c r="E1067">
        <v>108.16999800000001</v>
      </c>
      <c r="F1067">
        <v>90.779640000000001</v>
      </c>
      <c r="G1067">
        <v>18039900</v>
      </c>
      <c r="I1067">
        <f t="shared" si="17"/>
        <v>4.5711705680987369E-4</v>
      </c>
    </row>
    <row r="1068" spans="1:9" x14ac:dyDescent="0.3">
      <c r="A1068" s="5">
        <v>43187</v>
      </c>
      <c r="B1068">
        <v>108.279999</v>
      </c>
      <c r="C1068">
        <v>109.16999800000001</v>
      </c>
      <c r="D1068">
        <v>106.650002</v>
      </c>
      <c r="E1068">
        <v>108</v>
      </c>
      <c r="F1068">
        <v>90.636955</v>
      </c>
      <c r="G1068">
        <v>19189300</v>
      </c>
      <c r="I1068">
        <f t="shared" si="17"/>
        <v>2.7899731052913893E-4</v>
      </c>
    </row>
    <row r="1069" spans="1:9" x14ac:dyDescent="0.3">
      <c r="A1069" s="5">
        <v>43188</v>
      </c>
      <c r="B1069">
        <v>108.5</v>
      </c>
      <c r="C1069">
        <v>110.779999</v>
      </c>
      <c r="D1069">
        <v>107.779999</v>
      </c>
      <c r="E1069">
        <v>109.970001</v>
      </c>
      <c r="F1069">
        <v>92.290267999999998</v>
      </c>
      <c r="G1069">
        <v>13274600</v>
      </c>
      <c r="I1069">
        <f t="shared" si="17"/>
        <v>2.8654518331089405E-4</v>
      </c>
    </row>
    <row r="1070" spans="1:9" x14ac:dyDescent="0.3">
      <c r="A1070" s="5">
        <v>43192</v>
      </c>
      <c r="B1070">
        <v>109.959999</v>
      </c>
      <c r="C1070">
        <v>110.730003</v>
      </c>
      <c r="D1070">
        <v>106.08000199999999</v>
      </c>
      <c r="E1070">
        <v>107.849998</v>
      </c>
      <c r="F1070">
        <v>90.511086000000006</v>
      </c>
      <c r="G1070">
        <v>18822500</v>
      </c>
      <c r="I1070">
        <f t="shared" si="17"/>
        <v>7.7834802473368309E-4</v>
      </c>
    </row>
    <row r="1071" spans="1:9" x14ac:dyDescent="0.3">
      <c r="A1071" s="5">
        <v>43193</v>
      </c>
      <c r="B1071">
        <v>108.360001</v>
      </c>
      <c r="C1071">
        <v>109.5</v>
      </c>
      <c r="D1071">
        <v>107.260002</v>
      </c>
      <c r="E1071">
        <v>109.33000199999999</v>
      </c>
      <c r="F1071">
        <v>91.753119999999996</v>
      </c>
      <c r="G1071">
        <v>14050700</v>
      </c>
      <c r="I1071">
        <f t="shared" si="17"/>
        <v>2.1129510103058122E-4</v>
      </c>
    </row>
    <row r="1072" spans="1:9" x14ac:dyDescent="0.3">
      <c r="A1072" s="5">
        <v>43194</v>
      </c>
      <c r="B1072">
        <v>107.099998</v>
      </c>
      <c r="C1072">
        <v>111.209999</v>
      </c>
      <c r="D1072">
        <v>107.019997</v>
      </c>
      <c r="E1072">
        <v>110.989998</v>
      </c>
      <c r="F1072">
        <v>93.146270999999999</v>
      </c>
      <c r="G1072">
        <v>15302600</v>
      </c>
      <c r="I1072">
        <f t="shared" si="17"/>
        <v>1.017876148376504E-4</v>
      </c>
    </row>
    <row r="1073" spans="1:9" x14ac:dyDescent="0.3">
      <c r="A1073" s="5">
        <v>43195</v>
      </c>
      <c r="B1073">
        <v>111.629997</v>
      </c>
      <c r="C1073">
        <v>112.83000199999999</v>
      </c>
      <c r="D1073">
        <v>111.389999</v>
      </c>
      <c r="E1073">
        <v>111.879997</v>
      </c>
      <c r="F1073">
        <v>94.369300999999993</v>
      </c>
      <c r="G1073">
        <v>16627000</v>
      </c>
      <c r="I1073">
        <f t="shared" si="17"/>
        <v>9.9856434986024902E-5</v>
      </c>
    </row>
    <row r="1074" spans="1:9" x14ac:dyDescent="0.3">
      <c r="A1074" s="5">
        <v>43196</v>
      </c>
      <c r="B1074">
        <v>110.550003</v>
      </c>
      <c r="C1074">
        <v>111.550003</v>
      </c>
      <c r="D1074">
        <v>107.82</v>
      </c>
      <c r="E1074">
        <v>109.089996</v>
      </c>
      <c r="F1074">
        <v>92.015991</v>
      </c>
      <c r="G1074">
        <v>18906000</v>
      </c>
      <c r="I1074">
        <f t="shared" si="17"/>
        <v>4.9361595394810224E-4</v>
      </c>
    </row>
    <row r="1075" spans="1:9" x14ac:dyDescent="0.3">
      <c r="A1075" s="5">
        <v>43199</v>
      </c>
      <c r="B1075">
        <v>110.010002</v>
      </c>
      <c r="C1075">
        <v>112.980003</v>
      </c>
      <c r="D1075">
        <v>109.889999</v>
      </c>
      <c r="E1075">
        <v>110.400002</v>
      </c>
      <c r="F1075">
        <v>93.120971999999995</v>
      </c>
      <c r="G1075">
        <v>15974300</v>
      </c>
      <c r="I1075">
        <f t="shared" si="17"/>
        <v>6.204455371531946E-4</v>
      </c>
    </row>
    <row r="1076" spans="1:9" x14ac:dyDescent="0.3">
      <c r="A1076" s="5">
        <v>43200</v>
      </c>
      <c r="B1076">
        <v>112.129997</v>
      </c>
      <c r="C1076">
        <v>112.870003</v>
      </c>
      <c r="D1076">
        <v>111.41999800000001</v>
      </c>
      <c r="E1076">
        <v>112.510002</v>
      </c>
      <c r="F1076">
        <v>94.900734</v>
      </c>
      <c r="G1076">
        <v>13951400</v>
      </c>
      <c r="I1076">
        <f t="shared" si="17"/>
        <v>8.2852907729393562E-5</v>
      </c>
    </row>
    <row r="1077" spans="1:9" x14ac:dyDescent="0.3">
      <c r="A1077" s="5">
        <v>43201</v>
      </c>
      <c r="B1077">
        <v>111.660004</v>
      </c>
      <c r="C1077">
        <v>111.80999799999999</v>
      </c>
      <c r="D1077">
        <v>110.519997</v>
      </c>
      <c r="E1077">
        <v>110.620003</v>
      </c>
      <c r="F1077">
        <v>93.306533999999999</v>
      </c>
      <c r="G1077">
        <v>14503300</v>
      </c>
      <c r="I1077">
        <f t="shared" si="17"/>
        <v>2.364549118154314E-5</v>
      </c>
    </row>
    <row r="1078" spans="1:9" x14ac:dyDescent="0.3">
      <c r="A1078" s="5">
        <v>43202</v>
      </c>
      <c r="B1078">
        <v>111.55999799999999</v>
      </c>
      <c r="C1078">
        <v>114.389999</v>
      </c>
      <c r="D1078">
        <v>111.5</v>
      </c>
      <c r="E1078">
        <v>113.370003</v>
      </c>
      <c r="F1078">
        <v>95.626129000000006</v>
      </c>
      <c r="G1078">
        <v>16435500</v>
      </c>
      <c r="I1078">
        <f t="shared" si="17"/>
        <v>2.3332568621124459E-4</v>
      </c>
    </row>
    <row r="1079" spans="1:9" x14ac:dyDescent="0.3">
      <c r="A1079" s="5">
        <v>43203</v>
      </c>
      <c r="B1079">
        <v>115.019997</v>
      </c>
      <c r="C1079">
        <v>115.150002</v>
      </c>
      <c r="D1079">
        <v>109.050003</v>
      </c>
      <c r="E1079">
        <v>110.300003</v>
      </c>
      <c r="F1079">
        <v>93.036606000000006</v>
      </c>
      <c r="G1079">
        <v>39152800</v>
      </c>
      <c r="I1079">
        <f t="shared" si="17"/>
        <v>6.5608773492639586E-4</v>
      </c>
    </row>
    <row r="1080" spans="1:9" x14ac:dyDescent="0.3">
      <c r="A1080" s="5">
        <v>43206</v>
      </c>
      <c r="B1080">
        <v>110.94000200000001</v>
      </c>
      <c r="C1080">
        <v>111.470001</v>
      </c>
      <c r="D1080">
        <v>109.790001</v>
      </c>
      <c r="E1080">
        <v>110.209999</v>
      </c>
      <c r="F1080">
        <v>92.960693000000006</v>
      </c>
      <c r="G1080">
        <v>16580500</v>
      </c>
      <c r="I1080">
        <f t="shared" si="17"/>
        <v>9.3964588475987216E-5</v>
      </c>
    </row>
    <row r="1081" spans="1:9" x14ac:dyDescent="0.3">
      <c r="A1081" s="5">
        <v>43207</v>
      </c>
      <c r="B1081">
        <v>111.370003</v>
      </c>
      <c r="C1081">
        <v>111.91999800000001</v>
      </c>
      <c r="D1081">
        <v>109.989998</v>
      </c>
      <c r="E1081">
        <v>110.209999</v>
      </c>
      <c r="F1081">
        <v>92.960693000000006</v>
      </c>
      <c r="G1081">
        <v>15501400</v>
      </c>
      <c r="I1081">
        <f t="shared" si="17"/>
        <v>1.0076323869519864E-4</v>
      </c>
    </row>
    <row r="1082" spans="1:9" x14ac:dyDescent="0.3">
      <c r="A1082" s="5">
        <v>43208</v>
      </c>
      <c r="B1082">
        <v>110.529999</v>
      </c>
      <c r="C1082">
        <v>111.07</v>
      </c>
      <c r="D1082">
        <v>108.889999</v>
      </c>
      <c r="E1082">
        <v>109.32</v>
      </c>
      <c r="F1082">
        <v>92.209991000000002</v>
      </c>
      <c r="G1082">
        <v>16081400</v>
      </c>
      <c r="I1082">
        <f t="shared" si="17"/>
        <v>1.3631570646549683E-4</v>
      </c>
    </row>
    <row r="1083" spans="1:9" x14ac:dyDescent="0.3">
      <c r="A1083" s="5">
        <v>43209</v>
      </c>
      <c r="B1083">
        <v>109.529999</v>
      </c>
      <c r="C1083">
        <v>111.870003</v>
      </c>
      <c r="D1083">
        <v>109.5</v>
      </c>
      <c r="E1083">
        <v>111.720001</v>
      </c>
      <c r="F1083">
        <v>94.234367000000006</v>
      </c>
      <c r="G1083">
        <v>17911000</v>
      </c>
      <c r="I1083">
        <f t="shared" si="17"/>
        <v>3.3861526166767532E-5</v>
      </c>
    </row>
    <row r="1084" spans="1:9" x14ac:dyDescent="0.3">
      <c r="A1084" s="5">
        <v>43210</v>
      </c>
      <c r="B1084">
        <v>112.300003</v>
      </c>
      <c r="C1084">
        <v>112.739998</v>
      </c>
      <c r="D1084">
        <v>110.879997</v>
      </c>
      <c r="E1084">
        <v>111.470001</v>
      </c>
      <c r="F1084">
        <v>94.023499000000001</v>
      </c>
      <c r="G1084">
        <v>15584400</v>
      </c>
      <c r="I1084">
        <f t="shared" si="17"/>
        <v>1.1183326828274575E-4</v>
      </c>
    </row>
    <row r="1085" spans="1:9" x14ac:dyDescent="0.3">
      <c r="A1085" s="5">
        <v>43213</v>
      </c>
      <c r="B1085">
        <v>111.57</v>
      </c>
      <c r="C1085">
        <v>111.949997</v>
      </c>
      <c r="D1085">
        <v>110.629997</v>
      </c>
      <c r="E1085">
        <v>110.93</v>
      </c>
      <c r="F1085">
        <v>93.568008000000006</v>
      </c>
      <c r="G1085">
        <v>11285800</v>
      </c>
      <c r="I1085">
        <f t="shared" si="17"/>
        <v>5.4034123796841449E-5</v>
      </c>
    </row>
    <row r="1086" spans="1:9" x14ac:dyDescent="0.3">
      <c r="A1086" s="5">
        <v>43214</v>
      </c>
      <c r="B1086">
        <v>111.75</v>
      </c>
      <c r="C1086">
        <v>112.900002</v>
      </c>
      <c r="D1086">
        <v>109.589996</v>
      </c>
      <c r="E1086">
        <v>110.410004</v>
      </c>
      <c r="F1086">
        <v>93.129417000000004</v>
      </c>
      <c r="G1086">
        <v>16453100</v>
      </c>
      <c r="I1086">
        <f t="shared" si="17"/>
        <v>3.7383190112379324E-4</v>
      </c>
    </row>
    <row r="1087" spans="1:9" x14ac:dyDescent="0.3">
      <c r="A1087" s="5">
        <v>43215</v>
      </c>
      <c r="B1087">
        <v>110.269997</v>
      </c>
      <c r="C1087">
        <v>110.529999</v>
      </c>
      <c r="D1087">
        <v>108.599998</v>
      </c>
      <c r="E1087">
        <v>109.989998</v>
      </c>
      <c r="F1087">
        <v>92.775124000000005</v>
      </c>
      <c r="G1087">
        <v>13548200</v>
      </c>
      <c r="I1087">
        <f t="shared" si="17"/>
        <v>2.0561771258115503E-4</v>
      </c>
    </row>
    <row r="1088" spans="1:9" x14ac:dyDescent="0.3">
      <c r="A1088" s="5">
        <v>43216</v>
      </c>
      <c r="B1088">
        <v>109.970001</v>
      </c>
      <c r="C1088">
        <v>110.82</v>
      </c>
      <c r="D1088">
        <v>109.339996</v>
      </c>
      <c r="E1088">
        <v>110.099998</v>
      </c>
      <c r="F1088">
        <v>92.867919999999998</v>
      </c>
      <c r="G1088">
        <v>10299500</v>
      </c>
      <c r="I1088">
        <f t="shared" si="17"/>
        <v>8.9984904867741362E-5</v>
      </c>
    </row>
    <row r="1089" spans="1:9" x14ac:dyDescent="0.3">
      <c r="A1089" s="5">
        <v>43217</v>
      </c>
      <c r="B1089">
        <v>109.550003</v>
      </c>
      <c r="C1089">
        <v>110.160004</v>
      </c>
      <c r="D1089">
        <v>109.129997</v>
      </c>
      <c r="E1089">
        <v>109.400002</v>
      </c>
      <c r="F1089">
        <v>92.277480999999995</v>
      </c>
      <c r="G1089">
        <v>9384000</v>
      </c>
      <c r="I1089">
        <f t="shared" si="17"/>
        <v>4.7934141050191023E-5</v>
      </c>
    </row>
    <row r="1090" spans="1:9" x14ac:dyDescent="0.3">
      <c r="A1090" s="5">
        <v>43220</v>
      </c>
      <c r="B1090">
        <v>109.75</v>
      </c>
      <c r="C1090">
        <v>110.300003</v>
      </c>
      <c r="D1090">
        <v>108.75</v>
      </c>
      <c r="E1090">
        <v>108.779999</v>
      </c>
      <c r="F1090">
        <v>91.754508999999999</v>
      </c>
      <c r="G1090">
        <v>13744900</v>
      </c>
      <c r="I1090">
        <f t="shared" si="17"/>
        <v>7.1891738542690213E-5</v>
      </c>
    </row>
    <row r="1091" spans="1:9" x14ac:dyDescent="0.3">
      <c r="A1091" s="5">
        <v>43221</v>
      </c>
      <c r="B1091">
        <v>108.449997</v>
      </c>
      <c r="C1091">
        <v>108.970001</v>
      </c>
      <c r="D1091">
        <v>107.540001</v>
      </c>
      <c r="E1091">
        <v>108.779999</v>
      </c>
      <c r="F1091">
        <v>91.754508999999999</v>
      </c>
      <c r="G1091">
        <v>10503400</v>
      </c>
      <c r="I1091">
        <f t="shared" si="17"/>
        <v>1.0495225041327021E-4</v>
      </c>
    </row>
    <row r="1092" spans="1:9" x14ac:dyDescent="0.3">
      <c r="A1092" s="5">
        <v>43222</v>
      </c>
      <c r="B1092">
        <v>108.110001</v>
      </c>
      <c r="C1092">
        <v>109.489998</v>
      </c>
      <c r="D1092">
        <v>107.730003</v>
      </c>
      <c r="E1092">
        <v>107.91999800000001</v>
      </c>
      <c r="F1092">
        <v>91.029105999999999</v>
      </c>
      <c r="G1092">
        <v>12162100</v>
      </c>
      <c r="I1092">
        <f t="shared" si="17"/>
        <v>1.8939907980350225E-4</v>
      </c>
    </row>
    <row r="1093" spans="1:9" x14ac:dyDescent="0.3">
      <c r="A1093" s="5">
        <v>43223</v>
      </c>
      <c r="B1093">
        <v>107.589996</v>
      </c>
      <c r="C1093">
        <v>107.769997</v>
      </c>
      <c r="D1093">
        <v>105.18</v>
      </c>
      <c r="E1093">
        <v>107.239998</v>
      </c>
      <c r="F1093">
        <v>90.455528000000001</v>
      </c>
      <c r="G1093">
        <v>15379100</v>
      </c>
      <c r="I1093">
        <f t="shared" si="17"/>
        <v>4.476507130875241E-4</v>
      </c>
    </row>
    <row r="1094" spans="1:9" x14ac:dyDescent="0.3">
      <c r="A1094" s="5">
        <v>43224</v>
      </c>
      <c r="B1094">
        <v>106.43</v>
      </c>
      <c r="C1094">
        <v>108.739998</v>
      </c>
      <c r="D1094">
        <v>105.980003</v>
      </c>
      <c r="E1094">
        <v>108.43</v>
      </c>
      <c r="F1094">
        <v>91.459273999999994</v>
      </c>
      <c r="G1094">
        <v>11967900</v>
      </c>
      <c r="I1094">
        <f t="shared" si="17"/>
        <v>1.5813629329719143E-4</v>
      </c>
    </row>
    <row r="1095" spans="1:9" x14ac:dyDescent="0.3">
      <c r="A1095" s="5">
        <v>43227</v>
      </c>
      <c r="B1095">
        <v>108.760002</v>
      </c>
      <c r="C1095">
        <v>109.68</v>
      </c>
      <c r="D1095">
        <v>108.360001</v>
      </c>
      <c r="E1095">
        <v>109.370003</v>
      </c>
      <c r="F1095">
        <v>92.252182000000005</v>
      </c>
      <c r="G1095">
        <v>9356700</v>
      </c>
      <c r="I1095">
        <f t="shared" si="17"/>
        <v>5.8025867199926555E-5</v>
      </c>
    </row>
    <row r="1096" spans="1:9" x14ac:dyDescent="0.3">
      <c r="A1096" s="5">
        <v>43228</v>
      </c>
      <c r="B1096">
        <v>109.529999</v>
      </c>
      <c r="C1096">
        <v>111.339996</v>
      </c>
      <c r="D1096">
        <v>109.279999</v>
      </c>
      <c r="E1096">
        <v>110.989998</v>
      </c>
      <c r="F1096">
        <v>93.618622000000002</v>
      </c>
      <c r="G1096">
        <v>12543200</v>
      </c>
      <c r="I1096">
        <f t="shared" si="17"/>
        <v>8.7083336754989108E-5</v>
      </c>
    </row>
    <row r="1097" spans="1:9" x14ac:dyDescent="0.3">
      <c r="A1097" s="5">
        <v>43229</v>
      </c>
      <c r="B1097">
        <v>111.44000200000001</v>
      </c>
      <c r="C1097">
        <v>113.639999</v>
      </c>
      <c r="D1097">
        <v>111.029999</v>
      </c>
      <c r="E1097">
        <v>113.410004</v>
      </c>
      <c r="F1097">
        <v>95.659865999999994</v>
      </c>
      <c r="G1097">
        <v>11368100</v>
      </c>
      <c r="I1097">
        <f t="shared" si="17"/>
        <v>1.1778091834233447E-4</v>
      </c>
    </row>
    <row r="1098" spans="1:9" x14ac:dyDescent="0.3">
      <c r="A1098" s="5">
        <v>43230</v>
      </c>
      <c r="B1098">
        <v>113.19000200000001</v>
      </c>
      <c r="C1098">
        <v>114.44000200000001</v>
      </c>
      <c r="D1098">
        <v>112.75</v>
      </c>
      <c r="E1098">
        <v>114.290001</v>
      </c>
      <c r="F1098">
        <v>96.40213</v>
      </c>
      <c r="G1098">
        <v>9159700</v>
      </c>
      <c r="I1098">
        <f t="shared" si="17"/>
        <v>6.7243207638450833E-5</v>
      </c>
    </row>
    <row r="1099" spans="1:9" x14ac:dyDescent="0.3">
      <c r="A1099" s="5">
        <v>43231</v>
      </c>
      <c r="B1099">
        <v>114.489998</v>
      </c>
      <c r="C1099">
        <v>114.730003</v>
      </c>
      <c r="D1099">
        <v>113.66999800000001</v>
      </c>
      <c r="E1099">
        <v>113.860001</v>
      </c>
      <c r="F1099">
        <v>96.039435999999995</v>
      </c>
      <c r="G1099">
        <v>10253000</v>
      </c>
      <c r="I1099">
        <f t="shared" si="17"/>
        <v>2.7945061275857097E-5</v>
      </c>
    </row>
    <row r="1100" spans="1:9" x14ac:dyDescent="0.3">
      <c r="A1100" s="5">
        <v>43234</v>
      </c>
      <c r="B1100">
        <v>114.110001</v>
      </c>
      <c r="C1100">
        <v>114.699997</v>
      </c>
      <c r="D1100">
        <v>113.739998</v>
      </c>
      <c r="E1100">
        <v>113.900002</v>
      </c>
      <c r="F1100">
        <v>96.073173999999995</v>
      </c>
      <c r="G1100">
        <v>8710700</v>
      </c>
      <c r="I1100">
        <f t="shared" ref="I1100:I1163" si="18">LN(C1100/B1100)*(LN(C1100/B1100)-LN(E1100/B1100))+LN(D1100/B1100)*(LN(D1100/B1100)-LN(E1100/B1100))</f>
        <v>4.066067757882798E-5</v>
      </c>
    </row>
    <row r="1101" spans="1:9" x14ac:dyDescent="0.3">
      <c r="A1101" s="5">
        <v>43235</v>
      </c>
      <c r="B1101">
        <v>113.910004</v>
      </c>
      <c r="C1101">
        <v>113.910004</v>
      </c>
      <c r="D1101">
        <v>112.57</v>
      </c>
      <c r="E1101">
        <v>113.029999</v>
      </c>
      <c r="F1101">
        <v>95.339325000000002</v>
      </c>
      <c r="G1101">
        <v>11536200</v>
      </c>
      <c r="I1101">
        <f t="shared" si="18"/>
        <v>4.8256929594146837E-5</v>
      </c>
    </row>
    <row r="1102" spans="1:9" x14ac:dyDescent="0.3">
      <c r="A1102" s="5">
        <v>43236</v>
      </c>
      <c r="B1102">
        <v>112.889999</v>
      </c>
      <c r="C1102">
        <v>113.69000200000001</v>
      </c>
      <c r="D1102">
        <v>112.629997</v>
      </c>
      <c r="E1102">
        <v>113.339996</v>
      </c>
      <c r="F1102">
        <v>95.600814999999997</v>
      </c>
      <c r="G1102">
        <v>7571100</v>
      </c>
      <c r="I1102">
        <f t="shared" si="18"/>
        <v>3.6263035741540981E-5</v>
      </c>
    </row>
    <row r="1103" spans="1:9" x14ac:dyDescent="0.3">
      <c r="A1103" s="5">
        <v>43237</v>
      </c>
      <c r="B1103">
        <v>113.199997</v>
      </c>
      <c r="C1103">
        <v>113.410004</v>
      </c>
      <c r="D1103">
        <v>112.199997</v>
      </c>
      <c r="E1103">
        <v>112.959999</v>
      </c>
      <c r="F1103">
        <v>95.280272999999994</v>
      </c>
      <c r="G1103">
        <v>8617200</v>
      </c>
      <c r="I1103">
        <f t="shared" si="18"/>
        <v>6.7270092581466661E-5</v>
      </c>
    </row>
    <row r="1104" spans="1:9" x14ac:dyDescent="0.3">
      <c r="A1104" s="5">
        <v>43238</v>
      </c>
      <c r="B1104">
        <v>112.75</v>
      </c>
      <c r="C1104">
        <v>112.800003</v>
      </c>
      <c r="D1104">
        <v>110.839996</v>
      </c>
      <c r="E1104">
        <v>111.129997</v>
      </c>
      <c r="F1104">
        <v>93.736710000000002</v>
      </c>
      <c r="G1104">
        <v>11806300</v>
      </c>
      <c r="I1104">
        <f t="shared" si="18"/>
        <v>5.125690349235691E-5</v>
      </c>
    </row>
    <row r="1105" spans="1:9" x14ac:dyDescent="0.3">
      <c r="A1105" s="5">
        <v>43241</v>
      </c>
      <c r="B1105">
        <v>112.050003</v>
      </c>
      <c r="C1105">
        <v>112.540001</v>
      </c>
      <c r="D1105">
        <v>111.91999800000001</v>
      </c>
      <c r="E1105">
        <v>112.150002</v>
      </c>
      <c r="F1105">
        <v>94.597060999999997</v>
      </c>
      <c r="G1105">
        <v>9441900</v>
      </c>
      <c r="I1105">
        <f t="shared" si="18"/>
        <v>1.7530950384594617E-5</v>
      </c>
    </row>
    <row r="1106" spans="1:9" x14ac:dyDescent="0.3">
      <c r="A1106" s="5">
        <v>43242</v>
      </c>
      <c r="B1106">
        <v>112.349998</v>
      </c>
      <c r="C1106">
        <v>114.290001</v>
      </c>
      <c r="D1106">
        <v>112.290001</v>
      </c>
      <c r="E1106">
        <v>113.010002</v>
      </c>
      <c r="F1106">
        <v>95.322463999999997</v>
      </c>
      <c r="G1106">
        <v>11507600</v>
      </c>
      <c r="I1106">
        <f t="shared" si="18"/>
        <v>1.9623371577056855E-4</v>
      </c>
    </row>
    <row r="1107" spans="1:9" x14ac:dyDescent="0.3">
      <c r="A1107" s="5">
        <v>43243</v>
      </c>
      <c r="B1107">
        <v>112.510002</v>
      </c>
      <c r="C1107">
        <v>112.769997</v>
      </c>
      <c r="D1107">
        <v>111.120003</v>
      </c>
      <c r="E1107">
        <v>112.489998</v>
      </c>
      <c r="F1107">
        <v>94.883849999999995</v>
      </c>
      <c r="G1107">
        <v>11453900</v>
      </c>
      <c r="I1107">
        <f t="shared" si="18"/>
        <v>1.5806740386408968E-4</v>
      </c>
    </row>
    <row r="1108" spans="1:9" x14ac:dyDescent="0.3">
      <c r="A1108" s="5">
        <v>43244</v>
      </c>
      <c r="B1108">
        <v>112.139999</v>
      </c>
      <c r="C1108">
        <v>112.150002</v>
      </c>
      <c r="D1108">
        <v>110.120003</v>
      </c>
      <c r="E1108">
        <v>111.230003</v>
      </c>
      <c r="F1108">
        <v>93.821060000000003</v>
      </c>
      <c r="G1108">
        <v>14084800</v>
      </c>
      <c r="I1108">
        <f t="shared" si="18"/>
        <v>1.8304377591678913E-4</v>
      </c>
    </row>
    <row r="1109" spans="1:9" x14ac:dyDescent="0.3">
      <c r="A1109" s="5">
        <v>43245</v>
      </c>
      <c r="B1109">
        <v>110.459999</v>
      </c>
      <c r="C1109">
        <v>111.08000199999999</v>
      </c>
      <c r="D1109">
        <v>110.199997</v>
      </c>
      <c r="E1109">
        <v>110.660004</v>
      </c>
      <c r="F1109">
        <v>93.340294</v>
      </c>
      <c r="G1109">
        <v>8283500</v>
      </c>
      <c r="I1109">
        <f t="shared" si="18"/>
        <v>3.1020050084924026E-5</v>
      </c>
    </row>
    <row r="1110" spans="1:9" x14ac:dyDescent="0.3">
      <c r="A1110" s="5">
        <v>43249</v>
      </c>
      <c r="B1110">
        <v>109.18</v>
      </c>
      <c r="C1110">
        <v>109.199997</v>
      </c>
      <c r="D1110">
        <v>104.959999</v>
      </c>
      <c r="E1110">
        <v>105.93</v>
      </c>
      <c r="F1110">
        <v>89.350586000000007</v>
      </c>
      <c r="G1110">
        <v>30643800</v>
      </c>
      <c r="I1110">
        <f t="shared" si="18"/>
        <v>3.6818663996232489E-4</v>
      </c>
    </row>
    <row r="1111" spans="1:9" x14ac:dyDescent="0.3">
      <c r="A1111" s="5">
        <v>43250</v>
      </c>
      <c r="B1111">
        <v>107.639999</v>
      </c>
      <c r="C1111">
        <v>108.599998</v>
      </c>
      <c r="D1111">
        <v>106.650002</v>
      </c>
      <c r="E1111">
        <v>108.349998</v>
      </c>
      <c r="F1111">
        <v>91.391791999999995</v>
      </c>
      <c r="G1111">
        <v>17490800</v>
      </c>
      <c r="I1111">
        <f t="shared" si="18"/>
        <v>1.6658472231808553E-4</v>
      </c>
    </row>
    <row r="1112" spans="1:9" x14ac:dyDescent="0.3">
      <c r="A1112" s="5">
        <v>43251</v>
      </c>
      <c r="B1112">
        <v>107.949997</v>
      </c>
      <c r="C1112">
        <v>108.19000200000001</v>
      </c>
      <c r="D1112">
        <v>106.41999800000001</v>
      </c>
      <c r="E1112">
        <v>107.010002</v>
      </c>
      <c r="F1112">
        <v>90.261543000000003</v>
      </c>
      <c r="G1112">
        <v>19808200</v>
      </c>
      <c r="I1112">
        <f t="shared" si="18"/>
        <v>1.0327653129396831E-4</v>
      </c>
    </row>
    <row r="1113" spans="1:9" x14ac:dyDescent="0.3">
      <c r="A1113" s="5">
        <v>43252</v>
      </c>
      <c r="B1113">
        <v>108.339996</v>
      </c>
      <c r="C1113">
        <v>108.94000200000001</v>
      </c>
      <c r="D1113">
        <v>107.800003</v>
      </c>
      <c r="E1113">
        <v>108.400002</v>
      </c>
      <c r="F1113">
        <v>91.433975000000004</v>
      </c>
      <c r="G1113">
        <v>13594200</v>
      </c>
      <c r="I1113">
        <f t="shared" si="18"/>
        <v>5.5178113375246385E-5</v>
      </c>
    </row>
    <row r="1114" spans="1:9" x14ac:dyDescent="0.3">
      <c r="A1114" s="5">
        <v>43255</v>
      </c>
      <c r="B1114">
        <v>108.989998</v>
      </c>
      <c r="C1114">
        <v>109.260002</v>
      </c>
      <c r="D1114">
        <v>108.269997</v>
      </c>
      <c r="E1114">
        <v>108.449997</v>
      </c>
      <c r="F1114">
        <v>91.476166000000006</v>
      </c>
      <c r="G1114">
        <v>9415400</v>
      </c>
      <c r="I1114">
        <f t="shared" si="18"/>
        <v>2.9421459501648857E-5</v>
      </c>
    </row>
    <row r="1115" spans="1:9" x14ac:dyDescent="0.3">
      <c r="A1115" s="5">
        <v>43256</v>
      </c>
      <c r="B1115">
        <v>108.239998</v>
      </c>
      <c r="C1115">
        <v>108.30999799999999</v>
      </c>
      <c r="D1115">
        <v>107.07</v>
      </c>
      <c r="E1115">
        <v>107.839996</v>
      </c>
      <c r="F1115">
        <v>90.961624</v>
      </c>
      <c r="G1115">
        <v>10415200</v>
      </c>
      <c r="I1115">
        <f t="shared" si="18"/>
        <v>8.0690281964845828E-5</v>
      </c>
    </row>
    <row r="1116" spans="1:9" x14ac:dyDescent="0.3">
      <c r="A1116" s="5">
        <v>43257</v>
      </c>
      <c r="B1116">
        <v>108.660004</v>
      </c>
      <c r="C1116">
        <v>110.739998</v>
      </c>
      <c r="D1116">
        <v>108.480003</v>
      </c>
      <c r="E1116">
        <v>110.360001</v>
      </c>
      <c r="F1116">
        <v>93.087233999999995</v>
      </c>
      <c r="G1116">
        <v>15453600</v>
      </c>
      <c r="I1116">
        <f t="shared" si="18"/>
        <v>9.3662722770749743E-5</v>
      </c>
    </row>
    <row r="1117" spans="1:9" x14ac:dyDescent="0.3">
      <c r="A1117" s="5">
        <v>43258</v>
      </c>
      <c r="B1117">
        <v>111.18</v>
      </c>
      <c r="C1117">
        <v>111.5</v>
      </c>
      <c r="D1117">
        <v>110.029999</v>
      </c>
      <c r="E1117">
        <v>110.800003</v>
      </c>
      <c r="F1117">
        <v>93.458350999999993</v>
      </c>
      <c r="G1117">
        <v>13444400</v>
      </c>
      <c r="I1117">
        <f t="shared" si="18"/>
        <v>9.060971304624378E-5</v>
      </c>
    </row>
    <row r="1118" spans="1:9" x14ac:dyDescent="0.3">
      <c r="A1118" s="5">
        <v>43259</v>
      </c>
      <c r="B1118">
        <v>110.620003</v>
      </c>
      <c r="C1118">
        <v>111.139999</v>
      </c>
      <c r="D1118">
        <v>110.05999799999999</v>
      </c>
      <c r="E1118">
        <v>111.110001</v>
      </c>
      <c r="F1118">
        <v>93.719832999999994</v>
      </c>
      <c r="G1118">
        <v>10383200</v>
      </c>
      <c r="I1118">
        <f t="shared" si="18"/>
        <v>4.945604042501631E-5</v>
      </c>
    </row>
    <row r="1119" spans="1:9" x14ac:dyDescent="0.3">
      <c r="A1119" s="5">
        <v>43262</v>
      </c>
      <c r="B1119">
        <v>111.120003</v>
      </c>
      <c r="C1119">
        <v>111.910004</v>
      </c>
      <c r="D1119">
        <v>110.769997</v>
      </c>
      <c r="E1119">
        <v>110.83000199999999</v>
      </c>
      <c r="F1119">
        <v>93.483665000000002</v>
      </c>
      <c r="G1119">
        <v>12642900</v>
      </c>
      <c r="I1119">
        <f t="shared" si="18"/>
        <v>7.040836874771412E-5</v>
      </c>
    </row>
    <row r="1120" spans="1:9" x14ac:dyDescent="0.3">
      <c r="A1120" s="5">
        <v>43263</v>
      </c>
      <c r="B1120">
        <v>111.139999</v>
      </c>
      <c r="C1120">
        <v>111.529999</v>
      </c>
      <c r="D1120">
        <v>109.519997</v>
      </c>
      <c r="E1120">
        <v>110.19000200000001</v>
      </c>
      <c r="F1120">
        <v>92.943848000000003</v>
      </c>
      <c r="G1120">
        <v>15294100</v>
      </c>
      <c r="I1120">
        <f t="shared" si="18"/>
        <v>1.3189652103587924E-4</v>
      </c>
    </row>
    <row r="1121" spans="1:9" x14ac:dyDescent="0.3">
      <c r="A1121" s="5">
        <v>43264</v>
      </c>
      <c r="B1121">
        <v>110.459999</v>
      </c>
      <c r="C1121">
        <v>111.449997</v>
      </c>
      <c r="D1121">
        <v>109.58000199999999</v>
      </c>
      <c r="E1121">
        <v>109.970001</v>
      </c>
      <c r="F1121">
        <v>92.758269999999996</v>
      </c>
      <c r="G1121">
        <v>14979700</v>
      </c>
      <c r="I1121">
        <f t="shared" si="18"/>
        <v>1.4769740199255631E-4</v>
      </c>
    </row>
    <row r="1122" spans="1:9" x14ac:dyDescent="0.3">
      <c r="A1122" s="5">
        <v>43265</v>
      </c>
      <c r="B1122">
        <v>110.279999</v>
      </c>
      <c r="C1122">
        <v>110.360001</v>
      </c>
      <c r="D1122">
        <v>107.779999</v>
      </c>
      <c r="E1122">
        <v>108.029999</v>
      </c>
      <c r="F1122">
        <v>91.121894999999995</v>
      </c>
      <c r="G1122">
        <v>20487300</v>
      </c>
      <c r="I1122">
        <f t="shared" si="18"/>
        <v>6.8601056708336895E-5</v>
      </c>
    </row>
    <row r="1123" spans="1:9" x14ac:dyDescent="0.3">
      <c r="A1123" s="5">
        <v>43266</v>
      </c>
      <c r="B1123">
        <v>107.800003</v>
      </c>
      <c r="C1123">
        <v>108.379997</v>
      </c>
      <c r="D1123">
        <v>106.269997</v>
      </c>
      <c r="E1123">
        <v>107.900002</v>
      </c>
      <c r="F1123">
        <v>91.012237999999996</v>
      </c>
      <c r="G1123">
        <v>26028600</v>
      </c>
      <c r="I1123">
        <f t="shared" si="18"/>
        <v>2.414094042362076E-4</v>
      </c>
    </row>
    <row r="1124" spans="1:9" x14ac:dyDescent="0.3">
      <c r="A1124" s="5">
        <v>43269</v>
      </c>
      <c r="B1124">
        <v>107.260002</v>
      </c>
      <c r="C1124">
        <v>108.400002</v>
      </c>
      <c r="D1124">
        <v>106.69000200000001</v>
      </c>
      <c r="E1124">
        <v>108.18</v>
      </c>
      <c r="F1124">
        <v>91.248420999999993</v>
      </c>
      <c r="G1124">
        <v>9786800</v>
      </c>
      <c r="I1124">
        <f t="shared" si="18"/>
        <v>9.5378004439101912E-5</v>
      </c>
    </row>
    <row r="1125" spans="1:9" x14ac:dyDescent="0.3">
      <c r="A1125" s="5">
        <v>43270</v>
      </c>
      <c r="B1125">
        <v>106.900002</v>
      </c>
      <c r="C1125">
        <v>107.879997</v>
      </c>
      <c r="D1125">
        <v>106.599998</v>
      </c>
      <c r="E1125">
        <v>107.550003</v>
      </c>
      <c r="F1125">
        <v>90.717017999999996</v>
      </c>
      <c r="G1125">
        <v>12707200</v>
      </c>
      <c r="I1125">
        <f t="shared" si="18"/>
        <v>5.2891639271890841E-5</v>
      </c>
    </row>
    <row r="1126" spans="1:9" x14ac:dyDescent="0.3">
      <c r="A1126" s="5">
        <v>43271</v>
      </c>
      <c r="B1126">
        <v>108.18</v>
      </c>
      <c r="C1126">
        <v>108.639999</v>
      </c>
      <c r="D1126">
        <v>107.44000200000001</v>
      </c>
      <c r="E1126">
        <v>107.540001</v>
      </c>
      <c r="F1126">
        <v>90.708602999999997</v>
      </c>
      <c r="G1126">
        <v>8876900</v>
      </c>
      <c r="I1126">
        <f t="shared" si="18"/>
        <v>4.9567146493463968E-5</v>
      </c>
    </row>
    <row r="1127" spans="1:9" x14ac:dyDescent="0.3">
      <c r="A1127" s="5">
        <v>43272</v>
      </c>
      <c r="B1127">
        <v>107.099998</v>
      </c>
      <c r="C1127">
        <v>108.209999</v>
      </c>
      <c r="D1127">
        <v>106.529999</v>
      </c>
      <c r="E1127">
        <v>107.510002</v>
      </c>
      <c r="F1127">
        <v>90.683289000000002</v>
      </c>
      <c r="G1127">
        <v>11048700</v>
      </c>
      <c r="I1127">
        <f t="shared" si="18"/>
        <v>1.1578222948376803E-4</v>
      </c>
    </row>
    <row r="1128" spans="1:9" x14ac:dyDescent="0.3">
      <c r="A1128" s="5">
        <v>43273</v>
      </c>
      <c r="B1128">
        <v>108.160004</v>
      </c>
      <c r="C1128">
        <v>108.370003</v>
      </c>
      <c r="D1128">
        <v>105.510002</v>
      </c>
      <c r="E1128">
        <v>105.75</v>
      </c>
      <c r="F1128">
        <v>89.198738000000006</v>
      </c>
      <c r="G1128">
        <v>19478900</v>
      </c>
      <c r="I1128">
        <f t="shared" si="18"/>
        <v>1.0383126070292166E-4</v>
      </c>
    </row>
    <row r="1129" spans="1:9" x14ac:dyDescent="0.3">
      <c r="A1129" s="5">
        <v>43276</v>
      </c>
      <c r="B1129">
        <v>105.660004</v>
      </c>
      <c r="C1129">
        <v>105.699997</v>
      </c>
      <c r="D1129">
        <v>103.959999</v>
      </c>
      <c r="E1129">
        <v>104.790001</v>
      </c>
      <c r="F1129">
        <v>88.388999999999996</v>
      </c>
      <c r="G1129">
        <v>16907600</v>
      </c>
      <c r="I1129">
        <f t="shared" si="18"/>
        <v>1.3225794925027535E-4</v>
      </c>
    </row>
    <row r="1130" spans="1:9" x14ac:dyDescent="0.3">
      <c r="A1130" s="5">
        <v>43277</v>
      </c>
      <c r="B1130">
        <v>104.709999</v>
      </c>
      <c r="C1130">
        <v>105.209999</v>
      </c>
      <c r="D1130">
        <v>103.110001</v>
      </c>
      <c r="E1130">
        <v>104.860001</v>
      </c>
      <c r="F1130">
        <v>88.448051000000007</v>
      </c>
      <c r="G1130">
        <v>17086800</v>
      </c>
      <c r="I1130">
        <f t="shared" si="18"/>
        <v>2.7502197467023636E-4</v>
      </c>
    </row>
    <row r="1131" spans="1:9" x14ac:dyDescent="0.3">
      <c r="A1131" s="5">
        <v>43278</v>
      </c>
      <c r="B1131">
        <v>104.68</v>
      </c>
      <c r="C1131">
        <v>105.91999800000001</v>
      </c>
      <c r="D1131">
        <v>103.230003</v>
      </c>
      <c r="E1131">
        <v>103.239998</v>
      </c>
      <c r="F1131">
        <v>87.081581</v>
      </c>
      <c r="G1131">
        <v>16276800</v>
      </c>
      <c r="I1131">
        <f t="shared" si="18"/>
        <v>3.0314236243863353E-4</v>
      </c>
    </row>
    <row r="1132" spans="1:9" x14ac:dyDescent="0.3">
      <c r="A1132" s="5">
        <v>43279</v>
      </c>
      <c r="B1132">
        <v>103.68</v>
      </c>
      <c r="C1132">
        <v>105.459999</v>
      </c>
      <c r="D1132">
        <v>103.510002</v>
      </c>
      <c r="E1132">
        <v>104.93</v>
      </c>
      <c r="F1132">
        <v>88.507071999999994</v>
      </c>
      <c r="G1132">
        <v>14491300</v>
      </c>
      <c r="I1132">
        <f t="shared" si="18"/>
        <v>1.0812259923967414E-4</v>
      </c>
    </row>
    <row r="1133" spans="1:9" x14ac:dyDescent="0.3">
      <c r="A1133" s="5">
        <v>43280</v>
      </c>
      <c r="B1133">
        <v>106.68</v>
      </c>
      <c r="C1133">
        <v>106.900002</v>
      </c>
      <c r="D1133">
        <v>104.150002</v>
      </c>
      <c r="E1133">
        <v>104.199997</v>
      </c>
      <c r="F1133">
        <v>87.891334999999998</v>
      </c>
      <c r="G1133">
        <v>18972400</v>
      </c>
      <c r="I1133">
        <f t="shared" si="18"/>
        <v>6.4220544863588497E-5</v>
      </c>
    </row>
    <row r="1134" spans="1:9" x14ac:dyDescent="0.3">
      <c r="A1134" s="5">
        <v>43283</v>
      </c>
      <c r="B1134">
        <v>103.720001</v>
      </c>
      <c r="C1134">
        <v>105.089996</v>
      </c>
      <c r="D1134">
        <v>103.379997</v>
      </c>
      <c r="E1134">
        <v>105.08000199999999</v>
      </c>
      <c r="F1134">
        <v>88.633590999999996</v>
      </c>
      <c r="G1134">
        <v>11130000</v>
      </c>
      <c r="I1134">
        <f t="shared" si="18"/>
        <v>5.4803136159329312E-5</v>
      </c>
    </row>
    <row r="1135" spans="1:9" x14ac:dyDescent="0.3">
      <c r="A1135" s="5">
        <v>43284</v>
      </c>
      <c r="B1135">
        <v>105.410004</v>
      </c>
      <c r="C1135">
        <v>105.779999</v>
      </c>
      <c r="D1135">
        <v>103.519997</v>
      </c>
      <c r="E1135">
        <v>103.610001</v>
      </c>
      <c r="F1135">
        <v>87.393676999999997</v>
      </c>
      <c r="G1135">
        <v>8311700</v>
      </c>
      <c r="I1135">
        <f t="shared" si="18"/>
        <v>8.8351278101037433E-5</v>
      </c>
    </row>
    <row r="1136" spans="1:9" x14ac:dyDescent="0.3">
      <c r="A1136" s="5">
        <v>43286</v>
      </c>
      <c r="B1136">
        <v>104.129997</v>
      </c>
      <c r="C1136">
        <v>104.379997</v>
      </c>
      <c r="D1136">
        <v>103.529999</v>
      </c>
      <c r="E1136">
        <v>103.720001</v>
      </c>
      <c r="F1136">
        <v>87.961899000000003</v>
      </c>
      <c r="G1136">
        <v>10723400</v>
      </c>
      <c r="I1136">
        <f t="shared" si="18"/>
        <v>2.5806029634360981E-5</v>
      </c>
    </row>
    <row r="1137" spans="1:9" x14ac:dyDescent="0.3">
      <c r="A1137" s="5">
        <v>43287</v>
      </c>
      <c r="B1137">
        <v>103.120003</v>
      </c>
      <c r="C1137">
        <v>104.5</v>
      </c>
      <c r="D1137">
        <v>102.199997</v>
      </c>
      <c r="E1137">
        <v>104.05999799999999</v>
      </c>
      <c r="F1137">
        <v>88.250236999999998</v>
      </c>
      <c r="G1137">
        <v>12173700</v>
      </c>
      <c r="I1137">
        <f t="shared" si="18"/>
        <v>2.1772565569704629E-4</v>
      </c>
    </row>
    <row r="1138" spans="1:9" x14ac:dyDescent="0.3">
      <c r="A1138" s="5">
        <v>43290</v>
      </c>
      <c r="B1138">
        <v>104.709999</v>
      </c>
      <c r="C1138">
        <v>107.459999</v>
      </c>
      <c r="D1138">
        <v>104.709999</v>
      </c>
      <c r="E1138">
        <v>107.279999</v>
      </c>
      <c r="F1138">
        <v>90.981026</v>
      </c>
      <c r="G1138">
        <v>13900800</v>
      </c>
      <c r="I1138">
        <f t="shared" si="18"/>
        <v>4.3460297667588312E-5</v>
      </c>
    </row>
    <row r="1139" spans="1:9" x14ac:dyDescent="0.3">
      <c r="A1139" s="5">
        <v>43291</v>
      </c>
      <c r="B1139">
        <v>108.019997</v>
      </c>
      <c r="C1139">
        <v>108.400002</v>
      </c>
      <c r="D1139">
        <v>106.529999</v>
      </c>
      <c r="E1139">
        <v>106.620003</v>
      </c>
      <c r="F1139">
        <v>90.421302999999995</v>
      </c>
      <c r="G1139">
        <v>14575900</v>
      </c>
      <c r="I1139">
        <f t="shared" si="18"/>
        <v>6.9873838672224184E-5</v>
      </c>
    </row>
    <row r="1140" spans="1:9" x14ac:dyDescent="0.3">
      <c r="A1140" s="5">
        <v>43292</v>
      </c>
      <c r="B1140">
        <v>106.30999799999999</v>
      </c>
      <c r="C1140">
        <v>107.05999799999999</v>
      </c>
      <c r="D1140">
        <v>106.209999</v>
      </c>
      <c r="E1140">
        <v>106.389999</v>
      </c>
      <c r="F1140">
        <v>90.226234000000005</v>
      </c>
      <c r="G1140">
        <v>10186500</v>
      </c>
      <c r="I1140">
        <f t="shared" si="18"/>
        <v>4.57271246822581E-5</v>
      </c>
    </row>
    <row r="1141" spans="1:9" x14ac:dyDescent="0.3">
      <c r="A1141" s="5">
        <v>43293</v>
      </c>
      <c r="B1141">
        <v>107.41999800000001</v>
      </c>
      <c r="C1141">
        <v>107.55999799999999</v>
      </c>
      <c r="D1141">
        <v>105.970001</v>
      </c>
      <c r="E1141">
        <v>106.849998</v>
      </c>
      <c r="F1141">
        <v>90.616355999999996</v>
      </c>
      <c r="G1141">
        <v>12456800</v>
      </c>
      <c r="I1141">
        <f t="shared" si="18"/>
        <v>1.210167584252741E-4</v>
      </c>
    </row>
    <row r="1142" spans="1:9" x14ac:dyDescent="0.3">
      <c r="A1142" s="5">
        <v>43294</v>
      </c>
      <c r="B1142">
        <v>107.300003</v>
      </c>
      <c r="C1142">
        <v>107.800003</v>
      </c>
      <c r="D1142">
        <v>105.139999</v>
      </c>
      <c r="E1142">
        <v>106.360001</v>
      </c>
      <c r="F1142">
        <v>90.200789999999998</v>
      </c>
      <c r="G1142">
        <v>21289100</v>
      </c>
      <c r="I1142">
        <f t="shared" si="18"/>
        <v>2.9713129303838052E-4</v>
      </c>
    </row>
    <row r="1143" spans="1:9" x14ac:dyDescent="0.3">
      <c r="A1143" s="5">
        <v>43297</v>
      </c>
      <c r="B1143">
        <v>107.050003</v>
      </c>
      <c r="C1143">
        <v>110.769997</v>
      </c>
      <c r="D1143">
        <v>106.980003</v>
      </c>
      <c r="E1143">
        <v>110.58000199999999</v>
      </c>
      <c r="F1143">
        <v>93.779655000000005</v>
      </c>
      <c r="G1143">
        <v>24662600</v>
      </c>
      <c r="I1143">
        <f t="shared" si="18"/>
        <v>8.0291516656237128E-5</v>
      </c>
    </row>
    <row r="1144" spans="1:9" x14ac:dyDescent="0.3">
      <c r="A1144" s="5">
        <v>43298</v>
      </c>
      <c r="B1144">
        <v>110.69000200000001</v>
      </c>
      <c r="C1144">
        <v>110.93</v>
      </c>
      <c r="D1144">
        <v>109.75</v>
      </c>
      <c r="E1144">
        <v>110.5</v>
      </c>
      <c r="F1144">
        <v>93.711806999999993</v>
      </c>
      <c r="G1144">
        <v>14821900</v>
      </c>
      <c r="I1144">
        <f t="shared" si="18"/>
        <v>6.6494710733269646E-5</v>
      </c>
    </row>
    <row r="1145" spans="1:9" x14ac:dyDescent="0.3">
      <c r="A1145" s="5">
        <v>43299</v>
      </c>
      <c r="B1145">
        <v>110.41999800000001</v>
      </c>
      <c r="C1145">
        <v>112.120003</v>
      </c>
      <c r="D1145">
        <v>110.199997</v>
      </c>
      <c r="E1145">
        <v>111.529999</v>
      </c>
      <c r="F1145">
        <v>94.585319999999996</v>
      </c>
      <c r="G1145">
        <v>14244900</v>
      </c>
      <c r="I1145">
        <f t="shared" si="18"/>
        <v>1.0453777106464524E-4</v>
      </c>
    </row>
    <row r="1146" spans="1:9" x14ac:dyDescent="0.3">
      <c r="A1146" s="5">
        <v>43300</v>
      </c>
      <c r="B1146">
        <v>111.05999799999999</v>
      </c>
      <c r="C1146">
        <v>111.089996</v>
      </c>
      <c r="D1146">
        <v>109.730003</v>
      </c>
      <c r="E1146">
        <v>109.889999</v>
      </c>
      <c r="F1146">
        <v>93.194466000000006</v>
      </c>
      <c r="G1146">
        <v>16775300</v>
      </c>
      <c r="I1146">
        <f t="shared" si="18"/>
        <v>2.0487053005725892E-5</v>
      </c>
    </row>
    <row r="1147" spans="1:9" x14ac:dyDescent="0.3">
      <c r="A1147" s="5">
        <v>43301</v>
      </c>
      <c r="B1147">
        <v>110</v>
      </c>
      <c r="C1147">
        <v>111.739998</v>
      </c>
      <c r="D1147">
        <v>109.779999</v>
      </c>
      <c r="E1147">
        <v>111.279999</v>
      </c>
      <c r="F1147">
        <v>94.373290999999995</v>
      </c>
      <c r="G1147">
        <v>13578100</v>
      </c>
      <c r="I1147">
        <f t="shared" si="18"/>
        <v>9.1911850616504813E-5</v>
      </c>
    </row>
    <row r="1148" spans="1:9" x14ac:dyDescent="0.3">
      <c r="A1148" s="5">
        <v>43304</v>
      </c>
      <c r="B1148">
        <v>111.05999799999999</v>
      </c>
      <c r="C1148">
        <v>114.239998</v>
      </c>
      <c r="D1148">
        <v>110.93</v>
      </c>
      <c r="E1148">
        <v>113.349998</v>
      </c>
      <c r="F1148">
        <v>96.128806999999995</v>
      </c>
      <c r="G1148">
        <v>18140000</v>
      </c>
      <c r="I1148">
        <f t="shared" si="18"/>
        <v>2.4607311566258067E-4</v>
      </c>
    </row>
    <row r="1149" spans="1:9" x14ac:dyDescent="0.3">
      <c r="A1149" s="5">
        <v>43305</v>
      </c>
      <c r="B1149">
        <v>113.550003</v>
      </c>
      <c r="C1149">
        <v>114.779999</v>
      </c>
      <c r="D1149">
        <v>113.41999800000001</v>
      </c>
      <c r="E1149">
        <v>114.150002</v>
      </c>
      <c r="F1149">
        <v>96.807250999999994</v>
      </c>
      <c r="G1149">
        <v>14000400</v>
      </c>
      <c r="I1149">
        <f t="shared" si="18"/>
        <v>6.6647830684144857E-5</v>
      </c>
    </row>
    <row r="1150" spans="1:9" x14ac:dyDescent="0.3">
      <c r="A1150" s="5">
        <v>43306</v>
      </c>
      <c r="B1150">
        <v>113.879997</v>
      </c>
      <c r="C1150">
        <v>115.519997</v>
      </c>
      <c r="D1150">
        <v>113.379997</v>
      </c>
      <c r="E1150">
        <v>115.18</v>
      </c>
      <c r="F1150">
        <v>97.680785999999998</v>
      </c>
      <c r="G1150">
        <v>13329100</v>
      </c>
      <c r="I1150">
        <f t="shared" si="18"/>
        <v>1.1145396945848932E-4</v>
      </c>
    </row>
    <row r="1151" spans="1:9" x14ac:dyDescent="0.3">
      <c r="A1151" s="5">
        <v>43307</v>
      </c>
      <c r="B1151">
        <v>115.41999800000001</v>
      </c>
      <c r="C1151">
        <v>115.589996</v>
      </c>
      <c r="D1151">
        <v>114.58000199999999</v>
      </c>
      <c r="E1151">
        <v>114.849998</v>
      </c>
      <c r="F1151">
        <v>97.400925000000001</v>
      </c>
      <c r="G1151">
        <v>11897800</v>
      </c>
      <c r="I1151">
        <f t="shared" si="18"/>
        <v>2.6644205594563727E-5</v>
      </c>
    </row>
    <row r="1152" spans="1:9" x14ac:dyDescent="0.3">
      <c r="A1152" s="5">
        <v>43308</v>
      </c>
      <c r="B1152">
        <v>115.18</v>
      </c>
      <c r="C1152">
        <v>116.300003</v>
      </c>
      <c r="D1152">
        <v>114.80999799999999</v>
      </c>
      <c r="E1152">
        <v>116.029999</v>
      </c>
      <c r="F1152">
        <v>98.401634000000001</v>
      </c>
      <c r="G1152">
        <v>12802700</v>
      </c>
      <c r="I1152">
        <f t="shared" si="18"/>
        <v>5.6502475113042613E-5</v>
      </c>
    </row>
    <row r="1153" spans="1:9" x14ac:dyDescent="0.3">
      <c r="A1153" s="5">
        <v>43311</v>
      </c>
      <c r="B1153">
        <v>116.279999</v>
      </c>
      <c r="C1153">
        <v>117.610001</v>
      </c>
      <c r="D1153">
        <v>116.05999799999999</v>
      </c>
      <c r="E1153">
        <v>116.730003</v>
      </c>
      <c r="F1153">
        <v>98.995277000000002</v>
      </c>
      <c r="G1153">
        <v>13411600</v>
      </c>
      <c r="I1153">
        <f t="shared" si="18"/>
        <v>9.6317899461348738E-5</v>
      </c>
    </row>
    <row r="1154" spans="1:9" x14ac:dyDescent="0.3">
      <c r="A1154" s="5">
        <v>43312</v>
      </c>
      <c r="B1154">
        <v>117.08000199999999</v>
      </c>
      <c r="C1154">
        <v>117.08000199999999</v>
      </c>
      <c r="D1154">
        <v>114.82</v>
      </c>
      <c r="E1154">
        <v>114.949997</v>
      </c>
      <c r="F1154">
        <v>97.485718000000006</v>
      </c>
      <c r="G1154">
        <v>15843800</v>
      </c>
      <c r="I1154">
        <f t="shared" si="18"/>
        <v>2.2055752010370477E-5</v>
      </c>
    </row>
    <row r="1155" spans="1:9" x14ac:dyDescent="0.3">
      <c r="A1155" s="5">
        <v>43313</v>
      </c>
      <c r="B1155">
        <v>115.75</v>
      </c>
      <c r="C1155">
        <v>116.69000200000001</v>
      </c>
      <c r="D1155">
        <v>115.279999</v>
      </c>
      <c r="E1155">
        <v>115.660004</v>
      </c>
      <c r="F1155">
        <v>98.087851999999998</v>
      </c>
      <c r="G1155">
        <v>13531600</v>
      </c>
      <c r="I1155">
        <f t="shared" si="18"/>
        <v>8.5099547584019475E-5</v>
      </c>
    </row>
    <row r="1156" spans="1:9" x14ac:dyDescent="0.3">
      <c r="A1156" s="5">
        <v>43314</v>
      </c>
      <c r="B1156">
        <v>114.57</v>
      </c>
      <c r="C1156">
        <v>116.25</v>
      </c>
      <c r="D1156">
        <v>114.33000199999999</v>
      </c>
      <c r="E1156">
        <v>116.150002</v>
      </c>
      <c r="F1156">
        <v>98.503403000000006</v>
      </c>
      <c r="G1156">
        <v>11058100</v>
      </c>
      <c r="I1156">
        <f t="shared" si="18"/>
        <v>4.5645719911742762E-5</v>
      </c>
    </row>
    <row r="1157" spans="1:9" x14ac:dyDescent="0.3">
      <c r="A1157" s="5">
        <v>43315</v>
      </c>
      <c r="B1157">
        <v>116</v>
      </c>
      <c r="C1157">
        <v>117.129997</v>
      </c>
      <c r="D1157">
        <v>115.94000200000001</v>
      </c>
      <c r="E1157">
        <v>117.089996</v>
      </c>
      <c r="F1157">
        <v>99.300606000000002</v>
      </c>
      <c r="G1157">
        <v>11016100</v>
      </c>
      <c r="I1157">
        <f t="shared" si="18"/>
        <v>8.4175547264825335E-6</v>
      </c>
    </row>
    <row r="1158" spans="1:9" x14ac:dyDescent="0.3">
      <c r="A1158" s="5">
        <v>43318</v>
      </c>
      <c r="B1158">
        <v>116.790001</v>
      </c>
      <c r="C1158">
        <v>117.529999</v>
      </c>
      <c r="D1158">
        <v>116.18</v>
      </c>
      <c r="E1158">
        <v>117.120003</v>
      </c>
      <c r="F1158">
        <v>99.326035000000005</v>
      </c>
      <c r="G1158">
        <v>9857400</v>
      </c>
      <c r="I1158">
        <f t="shared" si="18"/>
        <v>6.4271625984516794E-5</v>
      </c>
    </row>
    <row r="1159" spans="1:9" x14ac:dyDescent="0.3">
      <c r="A1159" s="5">
        <v>43319</v>
      </c>
      <c r="B1159">
        <v>117.739998</v>
      </c>
      <c r="C1159">
        <v>118.290001</v>
      </c>
      <c r="D1159">
        <v>117.33000199999999</v>
      </c>
      <c r="E1159">
        <v>117.550003</v>
      </c>
      <c r="F1159">
        <v>99.690719999999999</v>
      </c>
      <c r="G1159">
        <v>10562100</v>
      </c>
      <c r="I1159">
        <f t="shared" si="18"/>
        <v>3.5781086711010471E-5</v>
      </c>
    </row>
    <row r="1160" spans="1:9" x14ac:dyDescent="0.3">
      <c r="A1160" s="5">
        <v>43320</v>
      </c>
      <c r="B1160">
        <v>117.33000199999999</v>
      </c>
      <c r="C1160">
        <v>118.269997</v>
      </c>
      <c r="D1160">
        <v>117.279999</v>
      </c>
      <c r="E1160">
        <v>117.790001</v>
      </c>
      <c r="F1160">
        <v>99.894240999999994</v>
      </c>
      <c r="G1160">
        <v>8997100</v>
      </c>
      <c r="I1160">
        <f t="shared" si="18"/>
        <v>3.4300651668300289E-5</v>
      </c>
    </row>
    <row r="1161" spans="1:9" x14ac:dyDescent="0.3">
      <c r="A1161" s="5">
        <v>43321</v>
      </c>
      <c r="B1161">
        <v>117.510002</v>
      </c>
      <c r="C1161">
        <v>117.720001</v>
      </c>
      <c r="D1161">
        <v>116.699997</v>
      </c>
      <c r="E1161">
        <v>116.879997</v>
      </c>
      <c r="F1161">
        <v>99.122497999999993</v>
      </c>
      <c r="G1161">
        <v>9694200</v>
      </c>
      <c r="I1161">
        <f t="shared" si="18"/>
        <v>2.3446733464744377E-5</v>
      </c>
    </row>
    <row r="1162" spans="1:9" x14ac:dyDescent="0.3">
      <c r="A1162" s="5">
        <v>43322</v>
      </c>
      <c r="B1162">
        <v>115.5</v>
      </c>
      <c r="C1162">
        <v>115.949997</v>
      </c>
      <c r="D1162">
        <v>114.68</v>
      </c>
      <c r="E1162">
        <v>115.730003</v>
      </c>
      <c r="F1162">
        <v>98.147209000000004</v>
      </c>
      <c r="G1162">
        <v>12630600</v>
      </c>
      <c r="I1162">
        <f t="shared" si="18"/>
        <v>7.2322953033718732E-5</v>
      </c>
    </row>
    <row r="1163" spans="1:9" x14ac:dyDescent="0.3">
      <c r="A1163" s="5">
        <v>43325</v>
      </c>
      <c r="B1163">
        <v>115.55999799999999</v>
      </c>
      <c r="C1163">
        <v>115.879997</v>
      </c>
      <c r="D1163">
        <v>113.82</v>
      </c>
      <c r="E1163">
        <v>113.889999</v>
      </c>
      <c r="F1163">
        <v>96.586760999999996</v>
      </c>
      <c r="G1163">
        <v>10336300</v>
      </c>
      <c r="I1163">
        <f t="shared" si="18"/>
        <v>5.722819689835377E-5</v>
      </c>
    </row>
    <row r="1164" spans="1:9" x14ac:dyDescent="0.3">
      <c r="A1164" s="5">
        <v>43326</v>
      </c>
      <c r="B1164">
        <v>114.269997</v>
      </c>
      <c r="C1164">
        <v>115.040001</v>
      </c>
      <c r="D1164">
        <v>113.650002</v>
      </c>
      <c r="E1164">
        <v>114.650002</v>
      </c>
      <c r="F1164">
        <v>97.231300000000005</v>
      </c>
      <c r="G1164">
        <v>10597600</v>
      </c>
      <c r="I1164">
        <f t="shared" ref="I1164:I1227" si="19">LN(C1164/B1164)*(LN(C1164/B1164)-LN(E1164/B1164))+LN(D1164/B1164)*(LN(D1164/B1164)-LN(E1164/B1164))</f>
        <v>7.0467283869722543E-5</v>
      </c>
    </row>
    <row r="1165" spans="1:9" x14ac:dyDescent="0.3">
      <c r="A1165" s="5">
        <v>43327</v>
      </c>
      <c r="B1165">
        <v>113.82</v>
      </c>
      <c r="C1165">
        <v>114.33000199999999</v>
      </c>
      <c r="D1165">
        <v>112.970001</v>
      </c>
      <c r="E1165">
        <v>113.699997</v>
      </c>
      <c r="F1165">
        <v>96.425635999999997</v>
      </c>
      <c r="G1165">
        <v>10152100</v>
      </c>
      <c r="I1165">
        <f t="shared" si="19"/>
        <v>7.2985797596239224E-5</v>
      </c>
    </row>
    <row r="1166" spans="1:9" x14ac:dyDescent="0.3">
      <c r="A1166" s="5">
        <v>43328</v>
      </c>
      <c r="B1166">
        <v>114.349998</v>
      </c>
      <c r="C1166">
        <v>115.30999799999999</v>
      </c>
      <c r="D1166">
        <v>114.300003</v>
      </c>
      <c r="E1166">
        <v>114.769997</v>
      </c>
      <c r="F1166">
        <v>97.333076000000005</v>
      </c>
      <c r="G1166">
        <v>10118600</v>
      </c>
      <c r="I1166">
        <f t="shared" si="19"/>
        <v>4.1037730213127703E-5</v>
      </c>
    </row>
    <row r="1167" spans="1:9" x14ac:dyDescent="0.3">
      <c r="A1167" s="5">
        <v>43329</v>
      </c>
      <c r="B1167">
        <v>114.639999</v>
      </c>
      <c r="C1167">
        <v>115.07</v>
      </c>
      <c r="D1167">
        <v>114.300003</v>
      </c>
      <c r="E1167">
        <v>114.769997</v>
      </c>
      <c r="F1167">
        <v>97.333076000000005</v>
      </c>
      <c r="G1167">
        <v>8505100</v>
      </c>
      <c r="I1167">
        <f t="shared" si="19"/>
        <v>2.1961635976639233E-5</v>
      </c>
    </row>
    <row r="1168" spans="1:9" x14ac:dyDescent="0.3">
      <c r="A1168" s="5">
        <v>43332</v>
      </c>
      <c r="B1168">
        <v>114.589996</v>
      </c>
      <c r="C1168">
        <v>115.050003</v>
      </c>
      <c r="D1168">
        <v>114.110001</v>
      </c>
      <c r="E1168">
        <v>114.620003</v>
      </c>
      <c r="F1168">
        <v>97.205871999999999</v>
      </c>
      <c r="G1168">
        <v>8618700</v>
      </c>
      <c r="I1168">
        <f t="shared" si="19"/>
        <v>3.3720671901196765E-5</v>
      </c>
    </row>
    <row r="1169" spans="1:9" x14ac:dyDescent="0.3">
      <c r="A1169" s="5">
        <v>43333</v>
      </c>
      <c r="B1169">
        <v>115.370003</v>
      </c>
      <c r="C1169">
        <v>116.389999</v>
      </c>
      <c r="D1169">
        <v>114.879997</v>
      </c>
      <c r="E1169">
        <v>115.32</v>
      </c>
      <c r="F1169">
        <v>97.799515</v>
      </c>
      <c r="G1169">
        <v>10976700</v>
      </c>
      <c r="I1169">
        <f t="shared" si="19"/>
        <v>9.7566080268302036E-5</v>
      </c>
    </row>
    <row r="1170" spans="1:9" x14ac:dyDescent="0.3">
      <c r="A1170" s="5">
        <v>43334</v>
      </c>
      <c r="B1170">
        <v>115.30999799999999</v>
      </c>
      <c r="C1170">
        <v>115.410004</v>
      </c>
      <c r="D1170">
        <v>114.779999</v>
      </c>
      <c r="E1170">
        <v>114.970001</v>
      </c>
      <c r="F1170">
        <v>97.502692999999994</v>
      </c>
      <c r="G1170">
        <v>8314700</v>
      </c>
      <c r="I1170">
        <f t="shared" si="19"/>
        <v>1.0931156072948003E-5</v>
      </c>
    </row>
    <row r="1171" spans="1:9" x14ac:dyDescent="0.3">
      <c r="A1171" s="5">
        <v>43335</v>
      </c>
      <c r="B1171">
        <v>114.959999</v>
      </c>
      <c r="C1171">
        <v>115.150002</v>
      </c>
      <c r="D1171">
        <v>114.43</v>
      </c>
      <c r="E1171">
        <v>114.730003</v>
      </c>
      <c r="F1171">
        <v>97.299164000000005</v>
      </c>
      <c r="G1171">
        <v>9265400</v>
      </c>
      <c r="I1171">
        <f t="shared" si="19"/>
        <v>1.8133348095083324E-5</v>
      </c>
    </row>
    <row r="1172" spans="1:9" x14ac:dyDescent="0.3">
      <c r="A1172" s="5">
        <v>43336</v>
      </c>
      <c r="B1172">
        <v>114.980003</v>
      </c>
      <c r="C1172">
        <v>115.220001</v>
      </c>
      <c r="D1172">
        <v>114.449997</v>
      </c>
      <c r="E1172">
        <v>114.68</v>
      </c>
      <c r="F1172">
        <v>97.256737000000001</v>
      </c>
      <c r="G1172">
        <v>8845700</v>
      </c>
      <c r="I1172">
        <f t="shared" si="19"/>
        <v>1.9070946638881268E-5</v>
      </c>
    </row>
    <row r="1173" spans="1:9" x14ac:dyDescent="0.3">
      <c r="A1173" s="5">
        <v>43339</v>
      </c>
      <c r="B1173">
        <v>115.220001</v>
      </c>
      <c r="C1173">
        <v>117.279999</v>
      </c>
      <c r="D1173">
        <v>115.16999800000001</v>
      </c>
      <c r="E1173">
        <v>116.709999</v>
      </c>
      <c r="F1173">
        <v>98.978333000000006</v>
      </c>
      <c r="G1173">
        <v>13768000</v>
      </c>
      <c r="I1173">
        <f t="shared" si="19"/>
        <v>9.2102096680926536E-5</v>
      </c>
    </row>
    <row r="1174" spans="1:9" x14ac:dyDescent="0.3">
      <c r="A1174" s="5">
        <v>43340</v>
      </c>
      <c r="B1174">
        <v>117</v>
      </c>
      <c r="C1174">
        <v>117.029999</v>
      </c>
      <c r="D1174">
        <v>115.970001</v>
      </c>
      <c r="E1174">
        <v>116.139999</v>
      </c>
      <c r="F1174">
        <v>98.494941999999995</v>
      </c>
      <c r="G1174">
        <v>8302600</v>
      </c>
      <c r="I1174">
        <f t="shared" si="19"/>
        <v>1.4909490012123895E-5</v>
      </c>
    </row>
    <row r="1175" spans="1:9" x14ac:dyDescent="0.3">
      <c r="A1175" s="5">
        <v>43341</v>
      </c>
      <c r="B1175">
        <v>116.349998</v>
      </c>
      <c r="C1175">
        <v>116.370003</v>
      </c>
      <c r="D1175">
        <v>115.360001</v>
      </c>
      <c r="E1175">
        <v>115.760002</v>
      </c>
      <c r="F1175">
        <v>98.172661000000005</v>
      </c>
      <c r="G1175">
        <v>7221700</v>
      </c>
      <c r="I1175">
        <f t="shared" si="19"/>
        <v>3.0482047402634576E-5</v>
      </c>
    </row>
    <row r="1176" spans="1:9" x14ac:dyDescent="0.3">
      <c r="A1176" s="5">
        <v>43342</v>
      </c>
      <c r="B1176">
        <v>115.589996</v>
      </c>
      <c r="C1176">
        <v>116.040001</v>
      </c>
      <c r="D1176">
        <v>114.980003</v>
      </c>
      <c r="E1176">
        <v>115.19000200000001</v>
      </c>
      <c r="F1176">
        <v>97.689261999999999</v>
      </c>
      <c r="G1176">
        <v>8991800</v>
      </c>
      <c r="I1176">
        <f t="shared" si="19"/>
        <v>3.8221633226158139E-5</v>
      </c>
    </row>
    <row r="1177" spans="1:9" x14ac:dyDescent="0.3">
      <c r="A1177" s="5">
        <v>43343</v>
      </c>
      <c r="B1177">
        <v>114.83000199999999</v>
      </c>
      <c r="C1177">
        <v>114.839996</v>
      </c>
      <c r="D1177">
        <v>113.82</v>
      </c>
      <c r="E1177">
        <v>114.58000199999999</v>
      </c>
      <c r="F1177">
        <v>97.171943999999996</v>
      </c>
      <c r="G1177">
        <v>13065700</v>
      </c>
      <c r="I1177">
        <f t="shared" si="19"/>
        <v>5.8991399109329242E-5</v>
      </c>
    </row>
    <row r="1178" spans="1:9" x14ac:dyDescent="0.3">
      <c r="A1178" s="5">
        <v>43347</v>
      </c>
      <c r="B1178">
        <v>114.339996</v>
      </c>
      <c r="C1178">
        <v>115.239998</v>
      </c>
      <c r="D1178">
        <v>113.629997</v>
      </c>
      <c r="E1178">
        <v>115.150002</v>
      </c>
      <c r="F1178">
        <v>97.655342000000005</v>
      </c>
      <c r="G1178">
        <v>10174200</v>
      </c>
      <c r="I1178">
        <f t="shared" si="19"/>
        <v>8.8895706429064139E-5</v>
      </c>
    </row>
    <row r="1179" spans="1:9" x14ac:dyDescent="0.3">
      <c r="A1179" s="5">
        <v>43348</v>
      </c>
      <c r="B1179">
        <v>115</v>
      </c>
      <c r="C1179">
        <v>115.699997</v>
      </c>
      <c r="D1179">
        <v>114.25</v>
      </c>
      <c r="E1179">
        <v>114.589996</v>
      </c>
      <c r="F1179">
        <v>97.180404999999993</v>
      </c>
      <c r="G1179">
        <v>11462400</v>
      </c>
      <c r="I1179">
        <f t="shared" si="19"/>
        <v>7.794342860930489E-5</v>
      </c>
    </row>
    <row r="1180" spans="1:9" x14ac:dyDescent="0.3">
      <c r="A1180" s="5">
        <v>43349</v>
      </c>
      <c r="B1180">
        <v>114.5</v>
      </c>
      <c r="C1180">
        <v>114.699997</v>
      </c>
      <c r="D1180">
        <v>113.5</v>
      </c>
      <c r="E1180">
        <v>114.099998</v>
      </c>
      <c r="F1180">
        <v>96.764876999999998</v>
      </c>
      <c r="G1180">
        <v>9877600</v>
      </c>
      <c r="I1180">
        <f t="shared" si="19"/>
        <v>5.5402462168209088E-5</v>
      </c>
    </row>
    <row r="1181" spans="1:9" x14ac:dyDescent="0.3">
      <c r="A1181" s="5">
        <v>43350</v>
      </c>
      <c r="B1181">
        <v>114.5</v>
      </c>
      <c r="C1181">
        <v>114.769997</v>
      </c>
      <c r="D1181">
        <v>113.629997</v>
      </c>
      <c r="E1181">
        <v>114.32</v>
      </c>
      <c r="F1181">
        <v>96.951438999999993</v>
      </c>
      <c r="G1181">
        <v>10955600</v>
      </c>
      <c r="I1181">
        <f t="shared" si="19"/>
        <v>5.5428525111795367E-5</v>
      </c>
    </row>
    <row r="1182" spans="1:9" x14ac:dyDescent="0.3">
      <c r="A1182" s="5">
        <v>43353</v>
      </c>
      <c r="B1182">
        <v>114.849998</v>
      </c>
      <c r="C1182">
        <v>114.970001</v>
      </c>
      <c r="D1182">
        <v>113.660004</v>
      </c>
      <c r="E1182">
        <v>113.709999</v>
      </c>
      <c r="F1182">
        <v>96.434105000000002</v>
      </c>
      <c r="G1182">
        <v>8276900</v>
      </c>
      <c r="I1182">
        <f t="shared" si="19"/>
        <v>1.6088646799589398E-5</v>
      </c>
    </row>
    <row r="1183" spans="1:9" x14ac:dyDescent="0.3">
      <c r="A1183" s="5">
        <v>43354</v>
      </c>
      <c r="B1183">
        <v>113.540001</v>
      </c>
      <c r="C1183">
        <v>114.58000199999999</v>
      </c>
      <c r="D1183">
        <v>113.18</v>
      </c>
      <c r="E1183">
        <v>114.43</v>
      </c>
      <c r="F1183">
        <v>97.044730999999999</v>
      </c>
      <c r="G1183">
        <v>9333800</v>
      </c>
      <c r="I1183">
        <f t="shared" si="19"/>
        <v>4.6826392086742632E-5</v>
      </c>
    </row>
    <row r="1184" spans="1:9" x14ac:dyDescent="0.3">
      <c r="A1184" s="5">
        <v>43355</v>
      </c>
      <c r="B1184">
        <v>114.25</v>
      </c>
      <c r="C1184">
        <v>114.879997</v>
      </c>
      <c r="D1184">
        <v>112.849998</v>
      </c>
      <c r="E1184">
        <v>113.08000199999999</v>
      </c>
      <c r="F1184">
        <v>95.899840999999995</v>
      </c>
      <c r="G1184">
        <v>10800800</v>
      </c>
      <c r="I1184">
        <f t="shared" si="19"/>
        <v>1.1194764863067654E-4</v>
      </c>
    </row>
    <row r="1185" spans="1:9" x14ac:dyDescent="0.3">
      <c r="A1185" s="5">
        <v>43356</v>
      </c>
      <c r="B1185">
        <v>113.370003</v>
      </c>
      <c r="C1185">
        <v>114.129997</v>
      </c>
      <c r="D1185">
        <v>112.66999800000001</v>
      </c>
      <c r="E1185">
        <v>113.519997</v>
      </c>
      <c r="F1185">
        <v>96.272971999999996</v>
      </c>
      <c r="G1185">
        <v>12470800</v>
      </c>
      <c r="I1185">
        <f t="shared" si="19"/>
        <v>8.2356311565936336E-5</v>
      </c>
    </row>
    <row r="1186" spans="1:9" x14ac:dyDescent="0.3">
      <c r="A1186" s="5">
        <v>43357</v>
      </c>
      <c r="B1186">
        <v>113.80999799999999</v>
      </c>
      <c r="C1186">
        <v>114.489998</v>
      </c>
      <c r="D1186">
        <v>113.230003</v>
      </c>
      <c r="E1186">
        <v>113.5</v>
      </c>
      <c r="F1186">
        <v>96.256020000000007</v>
      </c>
      <c r="G1186">
        <v>10337900</v>
      </c>
      <c r="I1186">
        <f t="shared" si="19"/>
        <v>6.3903514413274918E-5</v>
      </c>
    </row>
    <row r="1187" spans="1:9" x14ac:dyDescent="0.3">
      <c r="A1187" s="5">
        <v>43360</v>
      </c>
      <c r="B1187">
        <v>113.790001</v>
      </c>
      <c r="C1187">
        <v>114.43</v>
      </c>
      <c r="D1187">
        <v>113.300003</v>
      </c>
      <c r="E1187">
        <v>113.839996</v>
      </c>
      <c r="F1187">
        <v>96.544349999999994</v>
      </c>
      <c r="G1187">
        <v>9561300</v>
      </c>
      <c r="I1187">
        <f t="shared" si="19"/>
        <v>4.951185932732476E-5</v>
      </c>
    </row>
    <row r="1188" spans="1:9" x14ac:dyDescent="0.3">
      <c r="A1188" s="5">
        <v>43361</v>
      </c>
      <c r="B1188">
        <v>114.33000199999999</v>
      </c>
      <c r="C1188">
        <v>114.660004</v>
      </c>
      <c r="D1188">
        <v>113.55999799999999</v>
      </c>
      <c r="E1188">
        <v>114.300003</v>
      </c>
      <c r="F1188">
        <v>96.934471000000002</v>
      </c>
      <c r="G1188">
        <v>7944200</v>
      </c>
      <c r="I1188">
        <f t="shared" si="19"/>
        <v>5.2956904431570841E-5</v>
      </c>
    </row>
    <row r="1189" spans="1:9" x14ac:dyDescent="0.3">
      <c r="A1189" s="5">
        <v>43362</v>
      </c>
      <c r="B1189">
        <v>114.44000200000001</v>
      </c>
      <c r="C1189">
        <v>118.05999799999999</v>
      </c>
      <c r="D1189">
        <v>114.44000200000001</v>
      </c>
      <c r="E1189">
        <v>117.620003</v>
      </c>
      <c r="F1189">
        <v>99.750076000000007</v>
      </c>
      <c r="G1189">
        <v>16052800</v>
      </c>
      <c r="I1189">
        <f t="shared" si="19"/>
        <v>1.162801911403717E-4</v>
      </c>
    </row>
    <row r="1190" spans="1:9" x14ac:dyDescent="0.3">
      <c r="A1190" s="5">
        <v>43363</v>
      </c>
      <c r="B1190">
        <v>118.5</v>
      </c>
      <c r="C1190">
        <v>119.239998</v>
      </c>
      <c r="D1190">
        <v>118.08000199999999</v>
      </c>
      <c r="E1190">
        <v>118.629997</v>
      </c>
      <c r="F1190">
        <v>100.606621</v>
      </c>
      <c r="G1190">
        <v>15590000</v>
      </c>
      <c r="I1190">
        <f t="shared" si="19"/>
        <v>4.8428288323437138E-5</v>
      </c>
    </row>
    <row r="1191" spans="1:9" x14ac:dyDescent="0.3">
      <c r="A1191" s="5">
        <v>43364</v>
      </c>
      <c r="B1191">
        <v>119.129997</v>
      </c>
      <c r="C1191">
        <v>119.230003</v>
      </c>
      <c r="D1191">
        <v>117.739998</v>
      </c>
      <c r="E1191">
        <v>117.849998</v>
      </c>
      <c r="F1191">
        <v>99.945128999999994</v>
      </c>
      <c r="G1191">
        <v>24788200</v>
      </c>
      <c r="I1191">
        <f t="shared" si="19"/>
        <v>2.0728714794861351E-5</v>
      </c>
    </row>
    <row r="1192" spans="1:9" x14ac:dyDescent="0.3">
      <c r="A1192" s="5">
        <v>43367</v>
      </c>
      <c r="B1192">
        <v>117.760002</v>
      </c>
      <c r="C1192">
        <v>118.459999</v>
      </c>
      <c r="D1192">
        <v>116.43</v>
      </c>
      <c r="E1192">
        <v>116.720001</v>
      </c>
      <c r="F1192">
        <v>98.986816000000005</v>
      </c>
      <c r="G1192">
        <v>12492500</v>
      </c>
      <c r="I1192">
        <f t="shared" si="19"/>
        <v>1.1595563323328458E-4</v>
      </c>
    </row>
    <row r="1193" spans="1:9" x14ac:dyDescent="0.3">
      <c r="A1193" s="5">
        <v>43368</v>
      </c>
      <c r="B1193">
        <v>117.040001</v>
      </c>
      <c r="C1193">
        <v>117.970001</v>
      </c>
      <c r="D1193">
        <v>116.32</v>
      </c>
      <c r="E1193">
        <v>116.389999</v>
      </c>
      <c r="F1193">
        <v>98.706940000000003</v>
      </c>
      <c r="G1193">
        <v>9308300</v>
      </c>
      <c r="I1193">
        <f t="shared" si="19"/>
        <v>1.1043078475492795E-4</v>
      </c>
    </row>
    <row r="1194" spans="1:9" x14ac:dyDescent="0.3">
      <c r="A1194" s="5">
        <v>43369</v>
      </c>
      <c r="B1194">
        <v>116.75</v>
      </c>
      <c r="C1194">
        <v>116.870003</v>
      </c>
      <c r="D1194">
        <v>114.660004</v>
      </c>
      <c r="E1194">
        <v>115.019997</v>
      </c>
      <c r="F1194">
        <v>97.545081999999994</v>
      </c>
      <c r="G1194">
        <v>14023600</v>
      </c>
      <c r="I1194">
        <f t="shared" si="19"/>
        <v>7.3017153594773126E-5</v>
      </c>
    </row>
    <row r="1195" spans="1:9" x14ac:dyDescent="0.3">
      <c r="A1195" s="5">
        <v>43370</v>
      </c>
      <c r="B1195">
        <v>115.41999800000001</v>
      </c>
      <c r="C1195">
        <v>115.760002</v>
      </c>
      <c r="D1195">
        <v>114.160004</v>
      </c>
      <c r="E1195">
        <v>114.519997</v>
      </c>
      <c r="F1195">
        <v>97.121048000000002</v>
      </c>
      <c r="G1195">
        <v>13283000</v>
      </c>
      <c r="I1195">
        <f t="shared" si="19"/>
        <v>6.623786921599269E-5</v>
      </c>
    </row>
    <row r="1196" spans="1:9" x14ac:dyDescent="0.3">
      <c r="A1196" s="5">
        <v>43371</v>
      </c>
      <c r="B1196">
        <v>113.650002</v>
      </c>
      <c r="C1196">
        <v>114.239998</v>
      </c>
      <c r="D1196">
        <v>112.519997</v>
      </c>
      <c r="E1196">
        <v>112.839996</v>
      </c>
      <c r="F1196">
        <v>95.696297000000001</v>
      </c>
      <c r="G1196">
        <v>15815100</v>
      </c>
      <c r="I1196">
        <f t="shared" si="19"/>
        <v>9.2224886858688961E-5</v>
      </c>
    </row>
    <row r="1197" spans="1:9" x14ac:dyDescent="0.3">
      <c r="A1197" s="5">
        <v>43374</v>
      </c>
      <c r="B1197">
        <v>113.370003</v>
      </c>
      <c r="C1197">
        <v>114.610001</v>
      </c>
      <c r="D1197">
        <v>113.040001</v>
      </c>
      <c r="E1197">
        <v>113.5</v>
      </c>
      <c r="F1197">
        <v>96.256020000000007</v>
      </c>
      <c r="G1197">
        <v>10146300</v>
      </c>
      <c r="I1197">
        <f t="shared" si="19"/>
        <v>1.1770794988169804E-4</v>
      </c>
    </row>
    <row r="1198" spans="1:9" x14ac:dyDescent="0.3">
      <c r="A1198" s="5">
        <v>43375</v>
      </c>
      <c r="B1198">
        <v>113.360001</v>
      </c>
      <c r="C1198">
        <v>114.120003</v>
      </c>
      <c r="D1198">
        <v>112.80999799999999</v>
      </c>
      <c r="E1198">
        <v>113.970001</v>
      </c>
      <c r="F1198">
        <v>96.654633000000004</v>
      </c>
      <c r="G1198">
        <v>13753100</v>
      </c>
      <c r="I1198">
        <f t="shared" si="19"/>
        <v>5.8545099157407047E-5</v>
      </c>
    </row>
    <row r="1199" spans="1:9" x14ac:dyDescent="0.3">
      <c r="A1199" s="5">
        <v>43376</v>
      </c>
      <c r="B1199">
        <v>114.94000200000001</v>
      </c>
      <c r="C1199">
        <v>115.660004</v>
      </c>
      <c r="D1199">
        <v>114.480003</v>
      </c>
      <c r="E1199">
        <v>115.040001</v>
      </c>
      <c r="F1199">
        <v>97.562042000000005</v>
      </c>
      <c r="G1199">
        <v>17142000</v>
      </c>
      <c r="I1199">
        <f t="shared" si="19"/>
        <v>5.3133013901049468E-5</v>
      </c>
    </row>
    <row r="1200" spans="1:9" x14ac:dyDescent="0.3">
      <c r="A1200" s="5">
        <v>43377</v>
      </c>
      <c r="B1200">
        <v>114.550003</v>
      </c>
      <c r="C1200">
        <v>116.80999799999999</v>
      </c>
      <c r="D1200">
        <v>114.209999</v>
      </c>
      <c r="E1200">
        <v>115.269997</v>
      </c>
      <c r="F1200">
        <v>98.441672999999994</v>
      </c>
      <c r="G1200">
        <v>16357400</v>
      </c>
      <c r="I1200">
        <f t="shared" si="19"/>
        <v>2.8674986281040937E-4</v>
      </c>
    </row>
    <row r="1201" spans="1:9" x14ac:dyDescent="0.3">
      <c r="A1201" s="5">
        <v>43378</v>
      </c>
      <c r="B1201">
        <v>115.83000199999999</v>
      </c>
      <c r="C1201">
        <v>116.099998</v>
      </c>
      <c r="D1201">
        <v>114.019997</v>
      </c>
      <c r="E1201">
        <v>114.620003</v>
      </c>
      <c r="F1201">
        <v>97.886566000000002</v>
      </c>
      <c r="G1201">
        <v>13777600</v>
      </c>
      <c r="I1201">
        <f t="shared" si="19"/>
        <v>1.1253295042105302E-4</v>
      </c>
    </row>
    <row r="1202" spans="1:9" x14ac:dyDescent="0.3">
      <c r="A1202" s="5">
        <v>43381</v>
      </c>
      <c r="B1202">
        <v>114.25</v>
      </c>
      <c r="C1202">
        <v>115.779999</v>
      </c>
      <c r="D1202">
        <v>113.349998</v>
      </c>
      <c r="E1202">
        <v>115.32</v>
      </c>
      <c r="F1202">
        <v>98.484367000000006</v>
      </c>
      <c r="G1202">
        <v>14370900</v>
      </c>
      <c r="I1202">
        <f t="shared" si="19"/>
        <v>1.8922833188426673E-4</v>
      </c>
    </row>
    <row r="1203" spans="1:9" x14ac:dyDescent="0.3">
      <c r="A1203" s="5">
        <v>43382</v>
      </c>
      <c r="B1203">
        <v>114.66999800000001</v>
      </c>
      <c r="C1203">
        <v>115.029999</v>
      </c>
      <c r="D1203">
        <v>113.66999800000001</v>
      </c>
      <c r="E1203">
        <v>114.519997</v>
      </c>
      <c r="F1203">
        <v>97.801169999999999</v>
      </c>
      <c r="G1203">
        <v>14069500</v>
      </c>
      <c r="I1203">
        <f t="shared" si="19"/>
        <v>7.9181927294639078E-5</v>
      </c>
    </row>
    <row r="1204" spans="1:9" x14ac:dyDescent="0.3">
      <c r="A1204" s="5">
        <v>43383</v>
      </c>
      <c r="B1204">
        <v>114.699997</v>
      </c>
      <c r="C1204">
        <v>114.949997</v>
      </c>
      <c r="D1204">
        <v>111.470001</v>
      </c>
      <c r="E1204">
        <v>111.470001</v>
      </c>
      <c r="F1204">
        <v>95.196456999999995</v>
      </c>
      <c r="G1204">
        <v>23086400</v>
      </c>
      <c r="I1204">
        <f t="shared" si="19"/>
        <v>6.6931706260184884E-5</v>
      </c>
    </row>
    <row r="1205" spans="1:9" x14ac:dyDescent="0.3">
      <c r="A1205" s="5">
        <v>43384</v>
      </c>
      <c r="B1205">
        <v>110.970001</v>
      </c>
      <c r="C1205">
        <v>111.470001</v>
      </c>
      <c r="D1205">
        <v>107.379997</v>
      </c>
      <c r="E1205">
        <v>108.129997</v>
      </c>
      <c r="F1205">
        <v>92.344048000000001</v>
      </c>
      <c r="G1205">
        <v>33705600</v>
      </c>
      <c r="I1205">
        <f t="shared" si="19"/>
        <v>3.6565725722066461E-4</v>
      </c>
    </row>
    <row r="1206" spans="1:9" x14ac:dyDescent="0.3">
      <c r="A1206" s="5">
        <v>43385</v>
      </c>
      <c r="B1206">
        <v>110.370003</v>
      </c>
      <c r="C1206">
        <v>110.83000199999999</v>
      </c>
      <c r="D1206">
        <v>105.599998</v>
      </c>
      <c r="E1206">
        <v>106.949997</v>
      </c>
      <c r="F1206">
        <v>91.336310999999995</v>
      </c>
      <c r="G1206">
        <v>32075700</v>
      </c>
      <c r="I1206">
        <f t="shared" si="19"/>
        <v>7.0943654951018836E-4</v>
      </c>
    </row>
    <row r="1207" spans="1:9" x14ac:dyDescent="0.3">
      <c r="A1207" s="5">
        <v>43388</v>
      </c>
      <c r="B1207">
        <v>107.199997</v>
      </c>
      <c r="C1207">
        <v>108.849998</v>
      </c>
      <c r="D1207">
        <v>106.32</v>
      </c>
      <c r="E1207">
        <v>106.339996</v>
      </c>
      <c r="F1207">
        <v>90.815392000000003</v>
      </c>
      <c r="G1207">
        <v>18903200</v>
      </c>
      <c r="I1207">
        <f t="shared" si="19"/>
        <v>3.578946199385916E-4</v>
      </c>
    </row>
    <row r="1208" spans="1:9" x14ac:dyDescent="0.3">
      <c r="A1208" s="5">
        <v>43389</v>
      </c>
      <c r="B1208">
        <v>107.160004</v>
      </c>
      <c r="C1208">
        <v>108.779999</v>
      </c>
      <c r="D1208">
        <v>106.730003</v>
      </c>
      <c r="E1208">
        <v>108.620003</v>
      </c>
      <c r="F1208">
        <v>92.762505000000004</v>
      </c>
      <c r="G1208">
        <v>19302800</v>
      </c>
      <c r="I1208">
        <f t="shared" si="19"/>
        <v>9.266276747471002E-5</v>
      </c>
    </row>
    <row r="1209" spans="1:9" x14ac:dyDescent="0.3">
      <c r="A1209" s="5">
        <v>43390</v>
      </c>
      <c r="B1209">
        <v>108.379997</v>
      </c>
      <c r="C1209">
        <v>110.800003</v>
      </c>
      <c r="D1209">
        <v>108.230003</v>
      </c>
      <c r="E1209">
        <v>109.83000199999999</v>
      </c>
      <c r="F1209">
        <v>93.795860000000005</v>
      </c>
      <c r="G1209">
        <v>18794500</v>
      </c>
      <c r="I1209">
        <f t="shared" si="19"/>
        <v>2.1450347827292891E-4</v>
      </c>
    </row>
    <row r="1210" spans="1:9" x14ac:dyDescent="0.3">
      <c r="A1210" s="5">
        <v>43391</v>
      </c>
      <c r="B1210">
        <v>109.019997</v>
      </c>
      <c r="C1210">
        <v>109.839996</v>
      </c>
      <c r="D1210">
        <v>107.80999799999999</v>
      </c>
      <c r="E1210">
        <v>108.089996</v>
      </c>
      <c r="F1210">
        <v>92.309898000000004</v>
      </c>
      <c r="G1210">
        <v>17582500</v>
      </c>
      <c r="I1210">
        <f t="shared" si="19"/>
        <v>1.4929707171828277E-4</v>
      </c>
    </row>
    <row r="1211" spans="1:9" x14ac:dyDescent="0.3">
      <c r="A1211" s="5">
        <v>43392</v>
      </c>
      <c r="B1211">
        <v>107.650002</v>
      </c>
      <c r="C1211">
        <v>109.220001</v>
      </c>
      <c r="D1211">
        <v>107.269997</v>
      </c>
      <c r="E1211">
        <v>107.910004</v>
      </c>
      <c r="F1211">
        <v>92.156150999999994</v>
      </c>
      <c r="G1211">
        <v>15234500</v>
      </c>
      <c r="I1211">
        <f t="shared" si="19"/>
        <v>1.9574788842398645E-4</v>
      </c>
    </row>
    <row r="1212" spans="1:9" x14ac:dyDescent="0.3">
      <c r="A1212" s="5">
        <v>43395</v>
      </c>
      <c r="B1212">
        <v>108.150002</v>
      </c>
      <c r="C1212">
        <v>108.339996</v>
      </c>
      <c r="D1212">
        <v>106.110001</v>
      </c>
      <c r="E1212">
        <v>106.360001</v>
      </c>
      <c r="F1212">
        <v>90.832451000000006</v>
      </c>
      <c r="G1212">
        <v>16199100</v>
      </c>
      <c r="I1212">
        <f t="shared" si="19"/>
        <v>7.7187855980114404E-5</v>
      </c>
    </row>
    <row r="1213" spans="1:9" x14ac:dyDescent="0.3">
      <c r="A1213" s="5">
        <v>43396</v>
      </c>
      <c r="B1213">
        <v>104.199997</v>
      </c>
      <c r="C1213">
        <v>106.160004</v>
      </c>
      <c r="D1213">
        <v>103.699997</v>
      </c>
      <c r="E1213">
        <v>105.25</v>
      </c>
      <c r="F1213">
        <v>89.884506000000002</v>
      </c>
      <c r="G1213">
        <v>21407500</v>
      </c>
      <c r="I1213">
        <f t="shared" si="19"/>
        <v>2.3179392457850029E-4</v>
      </c>
    </row>
    <row r="1214" spans="1:9" x14ac:dyDescent="0.3">
      <c r="A1214" s="5">
        <v>43397</v>
      </c>
      <c r="B1214">
        <v>104.760002</v>
      </c>
      <c r="C1214">
        <v>105.029999</v>
      </c>
      <c r="D1214">
        <v>102.910004</v>
      </c>
      <c r="E1214">
        <v>103.290001</v>
      </c>
      <c r="F1214">
        <v>88.210648000000006</v>
      </c>
      <c r="G1214">
        <v>23168900</v>
      </c>
      <c r="I1214">
        <f t="shared" si="19"/>
        <v>1.0866847020401724E-4</v>
      </c>
    </row>
    <row r="1215" spans="1:9" x14ac:dyDescent="0.3">
      <c r="A1215" s="5">
        <v>43398</v>
      </c>
      <c r="B1215">
        <v>104.18</v>
      </c>
      <c r="C1215">
        <v>105.900002</v>
      </c>
      <c r="D1215">
        <v>103.720001</v>
      </c>
      <c r="E1215">
        <v>104.860001</v>
      </c>
      <c r="F1215">
        <v>89.551437000000007</v>
      </c>
      <c r="G1215">
        <v>17464700</v>
      </c>
      <c r="I1215">
        <f t="shared" si="19"/>
        <v>2.0998068066766464E-4</v>
      </c>
    </row>
    <row r="1216" spans="1:9" x14ac:dyDescent="0.3">
      <c r="A1216" s="5">
        <v>43399</v>
      </c>
      <c r="B1216">
        <v>104</v>
      </c>
      <c r="C1216">
        <v>104.55999799999999</v>
      </c>
      <c r="D1216">
        <v>102.730003</v>
      </c>
      <c r="E1216">
        <v>103.41999800000001</v>
      </c>
      <c r="F1216">
        <v>88.321655000000007</v>
      </c>
      <c r="G1216">
        <v>19174900</v>
      </c>
      <c r="I1216">
        <f t="shared" si="19"/>
        <v>1.4112003468002128E-4</v>
      </c>
    </row>
    <row r="1217" spans="1:9" x14ac:dyDescent="0.3">
      <c r="A1217" s="5">
        <v>43402</v>
      </c>
      <c r="B1217">
        <v>104.459999</v>
      </c>
      <c r="C1217">
        <v>106.629997</v>
      </c>
      <c r="D1217">
        <v>103.699997</v>
      </c>
      <c r="E1217">
        <v>104.849998</v>
      </c>
      <c r="F1217">
        <v>89.542907999999997</v>
      </c>
      <c r="G1217">
        <v>18445200</v>
      </c>
      <c r="I1217">
        <f t="shared" si="19"/>
        <v>4.2665341582329391E-4</v>
      </c>
    </row>
    <row r="1218" spans="1:9" x14ac:dyDescent="0.3">
      <c r="A1218" s="5">
        <v>43403</v>
      </c>
      <c r="B1218">
        <v>105.709999</v>
      </c>
      <c r="C1218">
        <v>106.980003</v>
      </c>
      <c r="D1218">
        <v>104.860001</v>
      </c>
      <c r="E1218">
        <v>106.699997</v>
      </c>
      <c r="F1218">
        <v>91.122826000000003</v>
      </c>
      <c r="G1218">
        <v>18019700</v>
      </c>
      <c r="I1218">
        <f t="shared" si="19"/>
        <v>1.717346062600462E-4</v>
      </c>
    </row>
    <row r="1219" spans="1:9" x14ac:dyDescent="0.3">
      <c r="A1219" s="5">
        <v>43404</v>
      </c>
      <c r="B1219">
        <v>108.08000199999999</v>
      </c>
      <c r="C1219">
        <v>110.480003</v>
      </c>
      <c r="D1219">
        <v>107.790001</v>
      </c>
      <c r="E1219">
        <v>109.019997</v>
      </c>
      <c r="F1219">
        <v>93.104111000000003</v>
      </c>
      <c r="G1219">
        <v>20860000</v>
      </c>
      <c r="I1219">
        <f t="shared" si="19"/>
        <v>3.2266183140652259E-4</v>
      </c>
    </row>
    <row r="1220" spans="1:9" x14ac:dyDescent="0.3">
      <c r="A1220" s="5">
        <v>43405</v>
      </c>
      <c r="B1220">
        <v>109.620003</v>
      </c>
      <c r="C1220">
        <v>110.220001</v>
      </c>
      <c r="D1220">
        <v>108.32</v>
      </c>
      <c r="E1220">
        <v>108.980003</v>
      </c>
      <c r="F1220">
        <v>93.069969</v>
      </c>
      <c r="G1220">
        <v>13065000</v>
      </c>
      <c r="I1220">
        <f t="shared" si="19"/>
        <v>1.3422772877811636E-4</v>
      </c>
    </row>
    <row r="1221" spans="1:9" x14ac:dyDescent="0.3">
      <c r="A1221" s="5">
        <v>43406</v>
      </c>
      <c r="B1221">
        <v>109.900002</v>
      </c>
      <c r="C1221">
        <v>110.80999799999999</v>
      </c>
      <c r="D1221">
        <v>107.489998</v>
      </c>
      <c r="E1221">
        <v>108.379997</v>
      </c>
      <c r="F1221">
        <v>92.557541000000001</v>
      </c>
      <c r="G1221">
        <v>19009200</v>
      </c>
      <c r="I1221">
        <f t="shared" si="19"/>
        <v>3.656786114418347E-4</v>
      </c>
    </row>
    <row r="1222" spans="1:9" x14ac:dyDescent="0.3">
      <c r="A1222" s="5">
        <v>43409</v>
      </c>
      <c r="B1222">
        <v>108.610001</v>
      </c>
      <c r="C1222">
        <v>109.290001</v>
      </c>
      <c r="D1222">
        <v>108.41999800000001</v>
      </c>
      <c r="E1222">
        <v>109.089996</v>
      </c>
      <c r="F1222">
        <v>93.163887000000003</v>
      </c>
      <c r="G1222">
        <v>10276400</v>
      </c>
      <c r="I1222">
        <f t="shared" si="19"/>
        <v>2.2219394794021217E-5</v>
      </c>
    </row>
    <row r="1223" spans="1:9" x14ac:dyDescent="0.3">
      <c r="A1223" s="5">
        <v>43410</v>
      </c>
      <c r="B1223">
        <v>108.66999800000001</v>
      </c>
      <c r="C1223">
        <v>109.66999800000001</v>
      </c>
      <c r="D1223">
        <v>107.760002</v>
      </c>
      <c r="E1223">
        <v>109.599998</v>
      </c>
      <c r="F1223">
        <v>93.599434000000002</v>
      </c>
      <c r="G1223">
        <v>10825000</v>
      </c>
      <c r="I1223">
        <f t="shared" si="19"/>
        <v>1.482230517362757E-4</v>
      </c>
    </row>
    <row r="1224" spans="1:9" x14ac:dyDescent="0.3">
      <c r="A1224" s="5">
        <v>43411</v>
      </c>
      <c r="B1224">
        <v>110.370003</v>
      </c>
      <c r="C1224">
        <v>111.730003</v>
      </c>
      <c r="D1224">
        <v>109.349998</v>
      </c>
      <c r="E1224">
        <v>111.480003</v>
      </c>
      <c r="F1224">
        <v>95.204987000000003</v>
      </c>
      <c r="G1224">
        <v>12679600</v>
      </c>
      <c r="I1224">
        <f t="shared" si="19"/>
        <v>2.065485177862124E-4</v>
      </c>
    </row>
    <row r="1225" spans="1:9" x14ac:dyDescent="0.3">
      <c r="A1225" s="5">
        <v>43412</v>
      </c>
      <c r="B1225">
        <v>111.010002</v>
      </c>
      <c r="C1225">
        <v>112.93</v>
      </c>
      <c r="D1225">
        <v>111</v>
      </c>
      <c r="E1225">
        <v>112.379997</v>
      </c>
      <c r="F1225">
        <v>95.973579000000001</v>
      </c>
      <c r="G1225">
        <v>11662500</v>
      </c>
      <c r="I1225">
        <f t="shared" si="19"/>
        <v>8.4832527161848303E-5</v>
      </c>
    </row>
    <row r="1226" spans="1:9" x14ac:dyDescent="0.3">
      <c r="A1226" s="5">
        <v>43413</v>
      </c>
      <c r="B1226">
        <v>112.230003</v>
      </c>
      <c r="C1226">
        <v>112.360001</v>
      </c>
      <c r="D1226">
        <v>110.83000199999999</v>
      </c>
      <c r="E1226">
        <v>111.290001</v>
      </c>
      <c r="F1226">
        <v>95.042709000000002</v>
      </c>
      <c r="G1226">
        <v>10432200</v>
      </c>
      <c r="I1226">
        <f t="shared" si="19"/>
        <v>6.3069735035854707E-5</v>
      </c>
    </row>
    <row r="1227" spans="1:9" x14ac:dyDescent="0.3">
      <c r="A1227" s="5">
        <v>43416</v>
      </c>
      <c r="B1227">
        <v>111.41999800000001</v>
      </c>
      <c r="C1227">
        <v>111.94000200000001</v>
      </c>
      <c r="D1227">
        <v>108.599998</v>
      </c>
      <c r="E1227">
        <v>108.949997</v>
      </c>
      <c r="F1227">
        <v>93.044319000000002</v>
      </c>
      <c r="G1227">
        <v>13279700</v>
      </c>
      <c r="I1227">
        <f t="shared" si="19"/>
        <v>2.0854780557289404E-4</v>
      </c>
    </row>
    <row r="1228" spans="1:9" x14ac:dyDescent="0.3">
      <c r="A1228" s="5">
        <v>43417</v>
      </c>
      <c r="B1228">
        <v>109.099998</v>
      </c>
      <c r="C1228">
        <v>111.120003</v>
      </c>
      <c r="D1228">
        <v>109.099998</v>
      </c>
      <c r="E1228">
        <v>109.589996</v>
      </c>
      <c r="F1228">
        <v>93.590889000000004</v>
      </c>
      <c r="G1228">
        <v>13746100</v>
      </c>
      <c r="I1228">
        <f t="shared" ref="I1228:I1291" si="20">LN(C1228/B1228)*(LN(C1228/B1228)-LN(E1228/B1228))+LN(D1228/B1228)*(LN(D1228/B1228)-LN(E1228/B1228))</f>
        <v>2.5435848055584359E-4</v>
      </c>
    </row>
    <row r="1229" spans="1:9" x14ac:dyDescent="0.3">
      <c r="A1229" s="5">
        <v>43418</v>
      </c>
      <c r="B1229">
        <v>110.230003</v>
      </c>
      <c r="C1229">
        <v>110.709999</v>
      </c>
      <c r="D1229">
        <v>105.980003</v>
      </c>
      <c r="E1229">
        <v>107.33000199999999</v>
      </c>
      <c r="F1229">
        <v>91.660850999999994</v>
      </c>
      <c r="G1229">
        <v>18361400</v>
      </c>
      <c r="I1229">
        <f t="shared" si="20"/>
        <v>6.3241002516939871E-4</v>
      </c>
    </row>
    <row r="1230" spans="1:9" x14ac:dyDescent="0.3">
      <c r="A1230" s="5">
        <v>43419</v>
      </c>
      <c r="B1230">
        <v>108.239998</v>
      </c>
      <c r="C1230">
        <v>110.08000199999999</v>
      </c>
      <c r="D1230">
        <v>106.80999799999999</v>
      </c>
      <c r="E1230">
        <v>110.07</v>
      </c>
      <c r="F1230">
        <v>94.000832000000003</v>
      </c>
      <c r="G1230">
        <v>19100000</v>
      </c>
      <c r="I1230">
        <f t="shared" si="20"/>
        <v>4.0137887350121139E-4</v>
      </c>
    </row>
    <row r="1231" spans="1:9" x14ac:dyDescent="0.3">
      <c r="A1231" s="5">
        <v>43420</v>
      </c>
      <c r="B1231">
        <v>109.449997</v>
      </c>
      <c r="C1231">
        <v>110.760002</v>
      </c>
      <c r="D1231">
        <v>108.550003</v>
      </c>
      <c r="E1231">
        <v>109.989998</v>
      </c>
      <c r="F1231">
        <v>93.932533000000006</v>
      </c>
      <c r="G1231">
        <v>13798600</v>
      </c>
      <c r="I1231">
        <f t="shared" si="20"/>
        <v>1.9181652503813423E-4</v>
      </c>
    </row>
    <row r="1232" spans="1:9" x14ac:dyDescent="0.3">
      <c r="A1232" s="5">
        <v>43423</v>
      </c>
      <c r="B1232">
        <v>109.959999</v>
      </c>
      <c r="C1232">
        <v>111.199997</v>
      </c>
      <c r="D1232">
        <v>109.529999</v>
      </c>
      <c r="E1232">
        <v>110.83000199999999</v>
      </c>
      <c r="F1232">
        <v>94.649878999999999</v>
      </c>
      <c r="G1232">
        <v>13987000</v>
      </c>
      <c r="I1232">
        <f t="shared" si="20"/>
        <v>8.3604226629273732E-5</v>
      </c>
    </row>
    <row r="1233" spans="1:9" x14ac:dyDescent="0.3">
      <c r="A1233" s="5">
        <v>43424</v>
      </c>
      <c r="B1233">
        <v>109.779999</v>
      </c>
      <c r="C1233">
        <v>110.489998</v>
      </c>
      <c r="D1233">
        <v>107.980003</v>
      </c>
      <c r="E1233">
        <v>108.449997</v>
      </c>
      <c r="F1233">
        <v>92.617324999999994</v>
      </c>
      <c r="G1233">
        <v>18936200</v>
      </c>
      <c r="I1233">
        <f t="shared" si="20"/>
        <v>1.9194075035891778E-4</v>
      </c>
    </row>
    <row r="1234" spans="1:9" x14ac:dyDescent="0.3">
      <c r="A1234" s="5">
        <v>43425</v>
      </c>
      <c r="B1234">
        <v>109.029999</v>
      </c>
      <c r="C1234">
        <v>109.610001</v>
      </c>
      <c r="D1234">
        <v>107.639999</v>
      </c>
      <c r="E1234">
        <v>107.639999</v>
      </c>
      <c r="F1234">
        <v>91.925590999999997</v>
      </c>
      <c r="G1234">
        <v>10619600</v>
      </c>
      <c r="I1234">
        <f t="shared" si="20"/>
        <v>9.6223171802834549E-5</v>
      </c>
    </row>
    <row r="1235" spans="1:9" x14ac:dyDescent="0.3">
      <c r="A1235" s="5">
        <v>43427</v>
      </c>
      <c r="B1235">
        <v>106.739998</v>
      </c>
      <c r="C1235">
        <v>107.389999</v>
      </c>
      <c r="D1235">
        <v>106.05999799999999</v>
      </c>
      <c r="E1235">
        <v>106.650002</v>
      </c>
      <c r="F1235">
        <v>91.080108999999993</v>
      </c>
      <c r="G1235">
        <v>6488400</v>
      </c>
      <c r="I1235">
        <f t="shared" si="20"/>
        <v>7.7433379058009552E-5</v>
      </c>
    </row>
    <row r="1236" spans="1:9" x14ac:dyDescent="0.3">
      <c r="A1236" s="5">
        <v>43430</v>
      </c>
      <c r="B1236">
        <v>107.720001</v>
      </c>
      <c r="C1236">
        <v>109.980003</v>
      </c>
      <c r="D1236">
        <v>107.449997</v>
      </c>
      <c r="E1236">
        <v>109.260002</v>
      </c>
      <c r="F1236">
        <v>93.309082000000004</v>
      </c>
      <c r="G1236">
        <v>13948300</v>
      </c>
      <c r="I1236">
        <f t="shared" si="20"/>
        <v>1.7830060929863466E-4</v>
      </c>
    </row>
    <row r="1237" spans="1:9" x14ac:dyDescent="0.3">
      <c r="A1237" s="5">
        <v>43431</v>
      </c>
      <c r="B1237">
        <v>108.760002</v>
      </c>
      <c r="C1237">
        <v>110.029999</v>
      </c>
      <c r="D1237">
        <v>108.629997</v>
      </c>
      <c r="E1237">
        <v>109.720001</v>
      </c>
      <c r="F1237">
        <v>93.701942000000003</v>
      </c>
      <c r="G1237">
        <v>9238200</v>
      </c>
      <c r="I1237">
        <f t="shared" si="20"/>
        <v>4.4695960404104434E-5</v>
      </c>
    </row>
    <row r="1238" spans="1:9" x14ac:dyDescent="0.3">
      <c r="A1238" s="5">
        <v>43432</v>
      </c>
      <c r="B1238">
        <v>109.800003</v>
      </c>
      <c r="C1238">
        <v>111.400002</v>
      </c>
      <c r="D1238">
        <v>108.870003</v>
      </c>
      <c r="E1238">
        <v>110.94000200000001</v>
      </c>
      <c r="F1238">
        <v>94.743813000000003</v>
      </c>
      <c r="G1238">
        <v>13977300</v>
      </c>
      <c r="I1238">
        <f t="shared" si="20"/>
        <v>2.2007169090495877E-4</v>
      </c>
    </row>
    <row r="1239" spans="1:9" x14ac:dyDescent="0.3">
      <c r="A1239" s="5">
        <v>43433</v>
      </c>
      <c r="B1239">
        <v>110.269997</v>
      </c>
      <c r="C1239">
        <v>110.800003</v>
      </c>
      <c r="D1239">
        <v>109.639999</v>
      </c>
      <c r="E1239">
        <v>110.05999799999999</v>
      </c>
      <c r="F1239">
        <v>93.992301999999995</v>
      </c>
      <c r="G1239">
        <v>11144300</v>
      </c>
      <c r="I1239">
        <f t="shared" si="20"/>
        <v>5.4038056953703614E-5</v>
      </c>
    </row>
    <row r="1240" spans="1:9" x14ac:dyDescent="0.3">
      <c r="A1240" s="5">
        <v>43434</v>
      </c>
      <c r="B1240">
        <v>109.849998</v>
      </c>
      <c r="C1240">
        <v>111.32</v>
      </c>
      <c r="D1240">
        <v>109.58000199999999</v>
      </c>
      <c r="E1240">
        <v>111.19000200000001</v>
      </c>
      <c r="F1240">
        <v>94.957335999999998</v>
      </c>
      <c r="G1240">
        <v>18652700</v>
      </c>
      <c r="I1240">
        <f t="shared" si="20"/>
        <v>5.1426077203595762E-5</v>
      </c>
    </row>
    <row r="1241" spans="1:9" x14ac:dyDescent="0.3">
      <c r="A1241" s="5">
        <v>43437</v>
      </c>
      <c r="B1241">
        <v>112.379997</v>
      </c>
      <c r="C1241">
        <v>112.889999</v>
      </c>
      <c r="D1241">
        <v>111.739998</v>
      </c>
      <c r="E1241">
        <v>112.239998</v>
      </c>
      <c r="F1241">
        <v>95.854011999999997</v>
      </c>
      <c r="G1241">
        <v>16034500</v>
      </c>
      <c r="I1241">
        <f t="shared" si="20"/>
        <v>5.1645248165477965E-5</v>
      </c>
    </row>
    <row r="1242" spans="1:9" x14ac:dyDescent="0.3">
      <c r="A1242" s="5">
        <v>43438</v>
      </c>
      <c r="B1242">
        <v>111.599998</v>
      </c>
      <c r="C1242">
        <v>111.599998</v>
      </c>
      <c r="D1242">
        <v>106.730003</v>
      </c>
      <c r="E1242">
        <v>107.230003</v>
      </c>
      <c r="F1242">
        <v>91.575439000000003</v>
      </c>
      <c r="G1242">
        <v>23555900</v>
      </c>
      <c r="I1242">
        <f t="shared" si="20"/>
        <v>2.0853805833967779E-4</v>
      </c>
    </row>
    <row r="1243" spans="1:9" x14ac:dyDescent="0.3">
      <c r="A1243" s="5">
        <v>43440</v>
      </c>
      <c r="B1243">
        <v>105.010002</v>
      </c>
      <c r="C1243">
        <v>105.360001</v>
      </c>
      <c r="D1243">
        <v>102.879997</v>
      </c>
      <c r="E1243">
        <v>105.19000200000001</v>
      </c>
      <c r="F1243">
        <v>89.833267000000006</v>
      </c>
      <c r="G1243">
        <v>27213900</v>
      </c>
      <c r="I1243">
        <f t="shared" si="20"/>
        <v>4.604068690420452E-4</v>
      </c>
    </row>
    <row r="1244" spans="1:9" x14ac:dyDescent="0.3">
      <c r="A1244" s="5">
        <v>43441</v>
      </c>
      <c r="B1244">
        <v>105.160004</v>
      </c>
      <c r="C1244">
        <v>106.980003</v>
      </c>
      <c r="D1244">
        <v>102.910004</v>
      </c>
      <c r="E1244">
        <v>103.290001</v>
      </c>
      <c r="F1244">
        <v>88.210648000000006</v>
      </c>
      <c r="G1244">
        <v>19248600</v>
      </c>
      <c r="I1244">
        <f t="shared" si="20"/>
        <v>6.8201565371433365E-4</v>
      </c>
    </row>
    <row r="1245" spans="1:9" x14ac:dyDescent="0.3">
      <c r="A1245" s="5">
        <v>43444</v>
      </c>
      <c r="B1245">
        <v>102.870003</v>
      </c>
      <c r="C1245">
        <v>103.489998</v>
      </c>
      <c r="D1245">
        <v>99.279999000000004</v>
      </c>
      <c r="E1245">
        <v>101.360001</v>
      </c>
      <c r="F1245">
        <v>86.562423999999993</v>
      </c>
      <c r="G1245">
        <v>23636400</v>
      </c>
      <c r="I1245">
        <f t="shared" si="20"/>
        <v>8.6149027195183163E-4</v>
      </c>
    </row>
    <row r="1246" spans="1:9" x14ac:dyDescent="0.3">
      <c r="A1246" s="5">
        <v>43445</v>
      </c>
      <c r="B1246">
        <v>103.129997</v>
      </c>
      <c r="C1246">
        <v>103.660004</v>
      </c>
      <c r="D1246">
        <v>100.209999</v>
      </c>
      <c r="E1246">
        <v>100.370003</v>
      </c>
      <c r="F1246">
        <v>85.716933999999995</v>
      </c>
      <c r="G1246">
        <v>16860700</v>
      </c>
      <c r="I1246">
        <f t="shared" si="20"/>
        <v>2.1115436116615489E-4</v>
      </c>
    </row>
    <row r="1247" spans="1:9" x14ac:dyDescent="0.3">
      <c r="A1247" s="5">
        <v>43446</v>
      </c>
      <c r="B1247">
        <v>101.660004</v>
      </c>
      <c r="C1247">
        <v>102.900002</v>
      </c>
      <c r="D1247">
        <v>100.05999799999999</v>
      </c>
      <c r="E1247">
        <v>101.019997</v>
      </c>
      <c r="F1247">
        <v>86.272048999999996</v>
      </c>
      <c r="G1247">
        <v>22621500</v>
      </c>
      <c r="I1247">
        <f t="shared" si="20"/>
        <v>3.750283190917358E-4</v>
      </c>
    </row>
    <row r="1248" spans="1:9" x14ac:dyDescent="0.3">
      <c r="A1248" s="5">
        <v>43447</v>
      </c>
      <c r="B1248">
        <v>101.550003</v>
      </c>
      <c r="C1248">
        <v>101.970001</v>
      </c>
      <c r="D1248">
        <v>100.66999800000001</v>
      </c>
      <c r="E1248">
        <v>101.120003</v>
      </c>
      <c r="F1248">
        <v>86.357437000000004</v>
      </c>
      <c r="G1248">
        <v>17250900</v>
      </c>
      <c r="I1248">
        <f t="shared" si="20"/>
        <v>7.336757901149003E-5</v>
      </c>
    </row>
    <row r="1249" spans="1:9" x14ac:dyDescent="0.3">
      <c r="A1249" s="5">
        <v>43448</v>
      </c>
      <c r="B1249">
        <v>99.989998</v>
      </c>
      <c r="C1249">
        <v>101.94000200000001</v>
      </c>
      <c r="D1249">
        <v>99.860000999999997</v>
      </c>
      <c r="E1249">
        <v>100.290001</v>
      </c>
      <c r="F1249">
        <v>85.648628000000002</v>
      </c>
      <c r="G1249">
        <v>19879500</v>
      </c>
      <c r="I1249">
        <f t="shared" si="20"/>
        <v>3.2076825348890161E-4</v>
      </c>
    </row>
    <row r="1250" spans="1:9" x14ac:dyDescent="0.3">
      <c r="A1250" s="5">
        <v>43451</v>
      </c>
      <c r="B1250">
        <v>99.769997000000004</v>
      </c>
      <c r="C1250">
        <v>100.55999799999999</v>
      </c>
      <c r="D1250">
        <v>98.440002000000007</v>
      </c>
      <c r="E1250">
        <v>99.010002</v>
      </c>
      <c r="F1250">
        <v>84.555488999999994</v>
      </c>
      <c r="G1250">
        <v>25113500</v>
      </c>
      <c r="I1250">
        <f t="shared" si="20"/>
        <v>1.9999824578702485E-4</v>
      </c>
    </row>
    <row r="1251" spans="1:9" x14ac:dyDescent="0.3">
      <c r="A1251" s="5">
        <v>43452</v>
      </c>
      <c r="B1251">
        <v>99.419998000000007</v>
      </c>
      <c r="C1251">
        <v>100.889999</v>
      </c>
      <c r="D1251">
        <v>98.120002999999997</v>
      </c>
      <c r="E1251">
        <v>98.540001000000004</v>
      </c>
      <c r="F1251">
        <v>84.154105999999999</v>
      </c>
      <c r="G1251">
        <v>20837200</v>
      </c>
      <c r="I1251">
        <f t="shared" si="20"/>
        <v>4.0214257574483096E-4</v>
      </c>
    </row>
    <row r="1252" spans="1:9" x14ac:dyDescent="0.3">
      <c r="A1252" s="5">
        <v>43453</v>
      </c>
      <c r="B1252">
        <v>98.410004000000001</v>
      </c>
      <c r="C1252">
        <v>100.58000199999999</v>
      </c>
      <c r="D1252">
        <v>96.599997999999999</v>
      </c>
      <c r="E1252">
        <v>97.290001000000004</v>
      </c>
      <c r="F1252">
        <v>83.086585999999997</v>
      </c>
      <c r="G1252">
        <v>28767900</v>
      </c>
      <c r="I1252">
        <f t="shared" si="20"/>
        <v>8.5750040892433621E-4</v>
      </c>
    </row>
    <row r="1253" spans="1:9" x14ac:dyDescent="0.3">
      <c r="A1253" s="5">
        <v>43454</v>
      </c>
      <c r="B1253">
        <v>96.610000999999997</v>
      </c>
      <c r="C1253">
        <v>98.279999000000004</v>
      </c>
      <c r="D1253">
        <v>95.690002000000007</v>
      </c>
      <c r="E1253">
        <v>96.449996999999996</v>
      </c>
      <c r="F1253">
        <v>82.369225</v>
      </c>
      <c r="G1253">
        <v>31825200</v>
      </c>
      <c r="I1253">
        <f t="shared" si="20"/>
        <v>3.9782292022037574E-4</v>
      </c>
    </row>
    <row r="1254" spans="1:9" x14ac:dyDescent="0.3">
      <c r="A1254" s="5">
        <v>43455</v>
      </c>
      <c r="B1254">
        <v>96.68</v>
      </c>
      <c r="C1254">
        <v>98.43</v>
      </c>
      <c r="D1254">
        <v>93.690002000000007</v>
      </c>
      <c r="E1254">
        <v>94.169998000000007</v>
      </c>
      <c r="F1254">
        <v>80.422081000000006</v>
      </c>
      <c r="G1254">
        <v>41313900</v>
      </c>
      <c r="I1254">
        <f t="shared" si="20"/>
        <v>9.5423256168649761E-4</v>
      </c>
    </row>
    <row r="1255" spans="1:9" x14ac:dyDescent="0.3">
      <c r="A1255" s="5">
        <v>43458</v>
      </c>
      <c r="B1255">
        <v>92.889999000000003</v>
      </c>
      <c r="C1255">
        <v>94.220000999999996</v>
      </c>
      <c r="D1255">
        <v>92.139999000000003</v>
      </c>
      <c r="E1255">
        <v>92.139999000000003</v>
      </c>
      <c r="F1255">
        <v>78.688438000000005</v>
      </c>
      <c r="G1255">
        <v>17009300</v>
      </c>
      <c r="I1255">
        <f t="shared" si="20"/>
        <v>3.1735963394712453E-4</v>
      </c>
    </row>
    <row r="1256" spans="1:9" x14ac:dyDescent="0.3">
      <c r="A1256" s="5">
        <v>43460</v>
      </c>
      <c r="B1256">
        <v>92.690002000000007</v>
      </c>
      <c r="C1256">
        <v>95.959998999999996</v>
      </c>
      <c r="D1256">
        <v>91.110000999999997</v>
      </c>
      <c r="E1256">
        <v>95.959998999999996</v>
      </c>
      <c r="F1256">
        <v>81.950751999999994</v>
      </c>
      <c r="G1256">
        <v>22542900</v>
      </c>
      <c r="I1256">
        <f t="shared" si="20"/>
        <v>8.9169695623094445E-4</v>
      </c>
    </row>
    <row r="1257" spans="1:9" x14ac:dyDescent="0.3">
      <c r="A1257" s="5">
        <v>43461</v>
      </c>
      <c r="B1257">
        <v>94.82</v>
      </c>
      <c r="C1257">
        <v>97.150002000000001</v>
      </c>
      <c r="D1257">
        <v>93.550003000000004</v>
      </c>
      <c r="E1257">
        <v>97.040001000000004</v>
      </c>
      <c r="F1257">
        <v>82.873076999999995</v>
      </c>
      <c r="G1257">
        <v>20304700</v>
      </c>
      <c r="I1257">
        <f t="shared" si="20"/>
        <v>5.2139363883326329E-4</v>
      </c>
    </row>
    <row r="1258" spans="1:9" x14ac:dyDescent="0.3">
      <c r="A1258" s="5">
        <v>43462</v>
      </c>
      <c r="B1258">
        <v>97.949996999999996</v>
      </c>
      <c r="C1258">
        <v>98.32</v>
      </c>
      <c r="D1258">
        <v>96.440002000000007</v>
      </c>
      <c r="E1258">
        <v>96.830001999999993</v>
      </c>
      <c r="F1258">
        <v>82.693747999999999</v>
      </c>
      <c r="G1258">
        <v>17963300</v>
      </c>
      <c r="I1258">
        <f t="shared" si="20"/>
        <v>1.2027596578098998E-4</v>
      </c>
    </row>
    <row r="1259" spans="1:9" x14ac:dyDescent="0.3">
      <c r="A1259" s="5">
        <v>43465</v>
      </c>
      <c r="B1259">
        <v>97.589995999999999</v>
      </c>
      <c r="C1259">
        <v>98.809997999999993</v>
      </c>
      <c r="D1259">
        <v>96.769997000000004</v>
      </c>
      <c r="E1259">
        <v>97.620002999999997</v>
      </c>
      <c r="F1259">
        <v>83.368401000000006</v>
      </c>
      <c r="G1259">
        <v>13237200</v>
      </c>
      <c r="I1259">
        <f t="shared" si="20"/>
        <v>2.2432525910839646E-4</v>
      </c>
    </row>
    <row r="1260" spans="1:9" x14ac:dyDescent="0.3">
      <c r="A1260" s="5">
        <v>43467</v>
      </c>
      <c r="B1260">
        <v>95.949996999999996</v>
      </c>
      <c r="C1260">
        <v>99.779999000000004</v>
      </c>
      <c r="D1260">
        <v>95.940002000000007</v>
      </c>
      <c r="E1260">
        <v>99.309997999999993</v>
      </c>
      <c r="F1260">
        <v>84.811706999999998</v>
      </c>
      <c r="G1260">
        <v>15670900</v>
      </c>
      <c r="I1260">
        <f t="shared" si="20"/>
        <v>1.8839865637936459E-4</v>
      </c>
    </row>
    <row r="1261" spans="1:9" x14ac:dyDescent="0.3">
      <c r="A1261" s="5">
        <v>43468</v>
      </c>
      <c r="B1261">
        <v>98.639999000000003</v>
      </c>
      <c r="C1261">
        <v>98.889999000000003</v>
      </c>
      <c r="D1261">
        <v>96.690002000000007</v>
      </c>
      <c r="E1261">
        <v>97.110000999999997</v>
      </c>
      <c r="F1261">
        <v>83.606369000000001</v>
      </c>
      <c r="G1261">
        <v>16286400</v>
      </c>
      <c r="I1261">
        <f t="shared" si="20"/>
        <v>1.3252072621307387E-4</v>
      </c>
    </row>
    <row r="1262" spans="1:9" x14ac:dyDescent="0.3">
      <c r="A1262" s="5">
        <v>43469</v>
      </c>
      <c r="B1262">
        <v>99.110000999999997</v>
      </c>
      <c r="C1262">
        <v>100.93</v>
      </c>
      <c r="D1262">
        <v>98.279999000000004</v>
      </c>
      <c r="E1262">
        <v>100.69000200000001</v>
      </c>
      <c r="F1262">
        <v>86.688545000000005</v>
      </c>
      <c r="G1262">
        <v>16935200</v>
      </c>
      <c r="I1262">
        <f t="shared" si="20"/>
        <v>2.4705719564198608E-4</v>
      </c>
    </row>
    <row r="1263" spans="1:9" x14ac:dyDescent="0.3">
      <c r="A1263" s="5">
        <v>43472</v>
      </c>
      <c r="B1263">
        <v>100.43</v>
      </c>
      <c r="C1263">
        <v>101.470001</v>
      </c>
      <c r="D1263">
        <v>99.709998999999996</v>
      </c>
      <c r="E1263">
        <v>100.760002</v>
      </c>
      <c r="F1263">
        <v>86.748810000000006</v>
      </c>
      <c r="G1263">
        <v>15430700</v>
      </c>
      <c r="I1263">
        <f t="shared" si="20"/>
        <v>1.4771078175838766E-4</v>
      </c>
    </row>
    <row r="1264" spans="1:9" x14ac:dyDescent="0.3">
      <c r="A1264" s="5">
        <v>43473</v>
      </c>
      <c r="B1264">
        <v>101.629997</v>
      </c>
      <c r="C1264">
        <v>101.82</v>
      </c>
      <c r="D1264">
        <v>99.550003000000004</v>
      </c>
      <c r="E1264">
        <v>100.57</v>
      </c>
      <c r="F1264">
        <v>86.585235999999995</v>
      </c>
      <c r="G1264">
        <v>13578800</v>
      </c>
      <c r="I1264">
        <f t="shared" si="20"/>
        <v>2.3386944930003971E-4</v>
      </c>
    </row>
    <row r="1265" spans="1:9" x14ac:dyDescent="0.3">
      <c r="A1265" s="5">
        <v>43474</v>
      </c>
      <c r="B1265">
        <v>100.80999799999999</v>
      </c>
      <c r="C1265">
        <v>101.489998</v>
      </c>
      <c r="D1265">
        <v>99.93</v>
      </c>
      <c r="E1265">
        <v>100.400002</v>
      </c>
      <c r="F1265">
        <v>86.438873000000001</v>
      </c>
      <c r="G1265">
        <v>14230300</v>
      </c>
      <c r="I1265">
        <f t="shared" si="20"/>
        <v>1.1373210897903401E-4</v>
      </c>
    </row>
    <row r="1266" spans="1:9" x14ac:dyDescent="0.3">
      <c r="A1266" s="5">
        <v>43475</v>
      </c>
      <c r="B1266">
        <v>100.019997</v>
      </c>
      <c r="C1266">
        <v>100.730003</v>
      </c>
      <c r="D1266">
        <v>99.269997000000004</v>
      </c>
      <c r="E1266">
        <v>100.389999</v>
      </c>
      <c r="F1266">
        <v>86.430260000000004</v>
      </c>
      <c r="G1266">
        <v>14376100</v>
      </c>
      <c r="I1266">
        <f t="shared" si="20"/>
        <v>1.0836074457945324E-4</v>
      </c>
    </row>
    <row r="1267" spans="1:9" x14ac:dyDescent="0.3">
      <c r="A1267" s="5">
        <v>43476</v>
      </c>
      <c r="B1267">
        <v>99.889999000000003</v>
      </c>
      <c r="C1267">
        <v>100.16999800000001</v>
      </c>
      <c r="D1267">
        <v>98.949996999999996</v>
      </c>
      <c r="E1267">
        <v>99.910004000000001</v>
      </c>
      <c r="F1267">
        <v>86.017021</v>
      </c>
      <c r="G1267">
        <v>15439900</v>
      </c>
      <c r="I1267">
        <f t="shared" si="20"/>
        <v>9.8563752212641308E-5</v>
      </c>
    </row>
    <row r="1268" spans="1:9" x14ac:dyDescent="0.3">
      <c r="A1268" s="5">
        <v>43479</v>
      </c>
      <c r="B1268">
        <v>98.870002999999997</v>
      </c>
      <c r="C1268">
        <v>101.360001</v>
      </c>
      <c r="D1268">
        <v>98.660004000000001</v>
      </c>
      <c r="E1268">
        <v>100.94000200000001</v>
      </c>
      <c r="F1268">
        <v>86.903785999999997</v>
      </c>
      <c r="G1268">
        <v>21258500</v>
      </c>
      <c r="I1268">
        <f t="shared" si="20"/>
        <v>1.5185509829009129E-4</v>
      </c>
    </row>
    <row r="1269" spans="1:9" x14ac:dyDescent="0.3">
      <c r="A1269" s="5">
        <v>43480</v>
      </c>
      <c r="B1269">
        <v>98.889999000000003</v>
      </c>
      <c r="C1269">
        <v>102.470001</v>
      </c>
      <c r="D1269">
        <v>98.599997999999999</v>
      </c>
      <c r="E1269">
        <v>101.68</v>
      </c>
      <c r="F1269">
        <v>87.540886</v>
      </c>
      <c r="G1269">
        <v>26504900</v>
      </c>
      <c r="I1269">
        <f t="shared" si="20"/>
        <v>3.655666137776066E-4</v>
      </c>
    </row>
    <row r="1270" spans="1:9" x14ac:dyDescent="0.3">
      <c r="A1270" s="5">
        <v>43481</v>
      </c>
      <c r="B1270">
        <v>102.25</v>
      </c>
      <c r="C1270">
        <v>103.449997</v>
      </c>
      <c r="D1270">
        <v>101.800003</v>
      </c>
      <c r="E1270">
        <v>102.5</v>
      </c>
      <c r="F1270">
        <v>88.246848999999997</v>
      </c>
      <c r="G1270">
        <v>18533000</v>
      </c>
      <c r="I1270">
        <f t="shared" si="20"/>
        <v>1.3786494020519985E-4</v>
      </c>
    </row>
    <row r="1271" spans="1:9" x14ac:dyDescent="0.3">
      <c r="A1271" s="5">
        <v>43482</v>
      </c>
      <c r="B1271">
        <v>102.110001</v>
      </c>
      <c r="C1271">
        <v>103.5</v>
      </c>
      <c r="D1271">
        <v>101.91999800000001</v>
      </c>
      <c r="E1271">
        <v>102.91999800000001</v>
      </c>
      <c r="F1271">
        <v>88.608452</v>
      </c>
      <c r="G1271">
        <v>14247600</v>
      </c>
      <c r="I1271">
        <f t="shared" si="20"/>
        <v>9.4167956426323212E-5</v>
      </c>
    </row>
    <row r="1272" spans="1:9" x14ac:dyDescent="0.3">
      <c r="A1272" s="5">
        <v>43483</v>
      </c>
      <c r="B1272">
        <v>103.769997</v>
      </c>
      <c r="C1272">
        <v>104.900002</v>
      </c>
      <c r="D1272">
        <v>102.83000199999999</v>
      </c>
      <c r="E1272">
        <v>104.589996</v>
      </c>
      <c r="F1272">
        <v>90.046227000000002</v>
      </c>
      <c r="G1272">
        <v>16428700</v>
      </c>
      <c r="I1272">
        <f t="shared" si="20"/>
        <v>1.8648382124336624E-4</v>
      </c>
    </row>
    <row r="1273" spans="1:9" x14ac:dyDescent="0.3">
      <c r="A1273" s="5">
        <v>43487</v>
      </c>
      <c r="B1273">
        <v>103.08000199999999</v>
      </c>
      <c r="C1273">
        <v>103.589996</v>
      </c>
      <c r="D1273">
        <v>102.129997</v>
      </c>
      <c r="E1273">
        <v>102.94000200000001</v>
      </c>
      <c r="F1273">
        <v>88.625686999999999</v>
      </c>
      <c r="G1273">
        <v>17083700</v>
      </c>
      <c r="I1273">
        <f t="shared" si="20"/>
        <v>1.0420927319277043E-4</v>
      </c>
    </row>
    <row r="1274" spans="1:9" x14ac:dyDescent="0.3">
      <c r="A1274" s="5">
        <v>43488</v>
      </c>
      <c r="B1274">
        <v>103.44000200000001</v>
      </c>
      <c r="C1274">
        <v>103.699997</v>
      </c>
      <c r="D1274">
        <v>101.970001</v>
      </c>
      <c r="E1274">
        <v>102.68</v>
      </c>
      <c r="F1274">
        <v>88.401809999999998</v>
      </c>
      <c r="G1274">
        <v>12146700</v>
      </c>
      <c r="I1274">
        <f t="shared" si="20"/>
        <v>1.2412812014413774E-4</v>
      </c>
    </row>
    <row r="1275" spans="1:9" x14ac:dyDescent="0.3">
      <c r="A1275" s="5">
        <v>43489</v>
      </c>
      <c r="B1275">
        <v>102.129997</v>
      </c>
      <c r="C1275">
        <v>103.089996</v>
      </c>
      <c r="D1275">
        <v>101.94000200000001</v>
      </c>
      <c r="E1275">
        <v>102.739998</v>
      </c>
      <c r="F1275">
        <v>88.453475999999995</v>
      </c>
      <c r="G1275">
        <v>11296800</v>
      </c>
      <c r="I1275">
        <f t="shared" si="20"/>
        <v>4.6373761587370572E-5</v>
      </c>
    </row>
    <row r="1276" spans="1:9" x14ac:dyDescent="0.3">
      <c r="A1276" s="5">
        <v>43490</v>
      </c>
      <c r="B1276">
        <v>103.510002</v>
      </c>
      <c r="C1276">
        <v>104.30999799999999</v>
      </c>
      <c r="D1276">
        <v>102.739998</v>
      </c>
      <c r="E1276">
        <v>103.389999</v>
      </c>
      <c r="F1276">
        <v>89.013107000000005</v>
      </c>
      <c r="G1276">
        <v>14369400</v>
      </c>
      <c r="I1276">
        <f t="shared" si="20"/>
        <v>1.1529573299422216E-4</v>
      </c>
    </row>
    <row r="1277" spans="1:9" x14ac:dyDescent="0.3">
      <c r="A1277" s="5">
        <v>43493</v>
      </c>
      <c r="B1277">
        <v>102.889999</v>
      </c>
      <c r="C1277">
        <v>104.239998</v>
      </c>
      <c r="D1277">
        <v>102.589996</v>
      </c>
      <c r="E1277">
        <v>103.879997</v>
      </c>
      <c r="F1277">
        <v>89.434951999999996</v>
      </c>
      <c r="G1277">
        <v>12283100</v>
      </c>
      <c r="I1277">
        <f t="shared" si="20"/>
        <v>8.1585348250463771E-5</v>
      </c>
    </row>
    <row r="1278" spans="1:9" x14ac:dyDescent="0.3">
      <c r="A1278" s="5">
        <v>43494</v>
      </c>
      <c r="B1278">
        <v>103.879997</v>
      </c>
      <c r="C1278">
        <v>105.110001</v>
      </c>
      <c r="D1278">
        <v>103.730003</v>
      </c>
      <c r="E1278">
        <v>104.16999800000001</v>
      </c>
      <c r="F1278">
        <v>89.684630999999996</v>
      </c>
      <c r="G1278">
        <v>9743300</v>
      </c>
      <c r="I1278">
        <f t="shared" si="20"/>
        <v>1.1185888709203309E-4</v>
      </c>
    </row>
    <row r="1279" spans="1:9" x14ac:dyDescent="0.3">
      <c r="A1279" s="5">
        <v>43495</v>
      </c>
      <c r="B1279">
        <v>104.139999</v>
      </c>
      <c r="C1279">
        <v>105.239998</v>
      </c>
      <c r="D1279">
        <v>103.779999</v>
      </c>
      <c r="E1279">
        <v>104.410004</v>
      </c>
      <c r="F1279">
        <v>89.891281000000006</v>
      </c>
      <c r="G1279">
        <v>12526300</v>
      </c>
      <c r="I1279">
        <f t="shared" si="20"/>
        <v>1.041543001161347E-4</v>
      </c>
    </row>
    <row r="1280" spans="1:9" x14ac:dyDescent="0.3">
      <c r="A1280" s="5">
        <v>43496</v>
      </c>
      <c r="B1280">
        <v>103.410004</v>
      </c>
      <c r="C1280">
        <v>103.800003</v>
      </c>
      <c r="D1280">
        <v>102.730003</v>
      </c>
      <c r="E1280">
        <v>103.5</v>
      </c>
      <c r="F1280">
        <v>89.107803000000004</v>
      </c>
      <c r="G1280">
        <v>17520600</v>
      </c>
      <c r="I1280">
        <f t="shared" si="20"/>
        <v>6.01613999028628E-5</v>
      </c>
    </row>
    <row r="1281" spans="1:9" x14ac:dyDescent="0.3">
      <c r="A1281" s="5">
        <v>43497</v>
      </c>
      <c r="B1281">
        <v>104</v>
      </c>
      <c r="C1281">
        <v>104.849998</v>
      </c>
      <c r="D1281">
        <v>103.519997</v>
      </c>
      <c r="E1281">
        <v>103.879997</v>
      </c>
      <c r="F1281">
        <v>89.434951999999996</v>
      </c>
      <c r="G1281">
        <v>13000800</v>
      </c>
      <c r="I1281">
        <f t="shared" si="20"/>
        <v>9.1714517678302525E-5</v>
      </c>
    </row>
    <row r="1282" spans="1:9" x14ac:dyDescent="0.3">
      <c r="A1282" s="5">
        <v>43500</v>
      </c>
      <c r="B1282">
        <v>103.790001</v>
      </c>
      <c r="C1282">
        <v>104.25</v>
      </c>
      <c r="D1282">
        <v>103.010002</v>
      </c>
      <c r="E1282">
        <v>104.25</v>
      </c>
      <c r="F1282">
        <v>89.753510000000006</v>
      </c>
      <c r="G1282">
        <v>9871500</v>
      </c>
      <c r="I1282">
        <f t="shared" si="20"/>
        <v>9.0264342794157252E-5</v>
      </c>
    </row>
    <row r="1283" spans="1:9" x14ac:dyDescent="0.3">
      <c r="A1283" s="5">
        <v>43501</v>
      </c>
      <c r="B1283">
        <v>104.519997</v>
      </c>
      <c r="C1283">
        <v>104.550003</v>
      </c>
      <c r="D1283">
        <v>103.290001</v>
      </c>
      <c r="E1283">
        <v>103.790001</v>
      </c>
      <c r="F1283">
        <v>89.357474999999994</v>
      </c>
      <c r="G1283">
        <v>12763000</v>
      </c>
      <c r="I1283">
        <f t="shared" si="20"/>
        <v>5.9259843012649443E-5</v>
      </c>
    </row>
    <row r="1284" spans="1:9" x14ac:dyDescent="0.3">
      <c r="A1284" s="5">
        <v>43502</v>
      </c>
      <c r="B1284">
        <v>103.709999</v>
      </c>
      <c r="C1284">
        <v>104.620003</v>
      </c>
      <c r="D1284">
        <v>103.470001</v>
      </c>
      <c r="E1284">
        <v>103.739998</v>
      </c>
      <c r="F1284">
        <v>89.314423000000005</v>
      </c>
      <c r="G1284">
        <v>8745000</v>
      </c>
      <c r="I1284">
        <f t="shared" si="20"/>
        <v>7.9832771247531907E-5</v>
      </c>
    </row>
    <row r="1285" spans="1:9" x14ac:dyDescent="0.3">
      <c r="A1285" s="5">
        <v>43503</v>
      </c>
      <c r="B1285">
        <v>103.25</v>
      </c>
      <c r="C1285">
        <v>103.5</v>
      </c>
      <c r="D1285">
        <v>101.44000200000001</v>
      </c>
      <c r="E1285">
        <v>102.379997</v>
      </c>
      <c r="F1285">
        <v>88.143546999999998</v>
      </c>
      <c r="G1285">
        <v>13177500</v>
      </c>
      <c r="I1285">
        <f t="shared" si="20"/>
        <v>1.894429031381099E-4</v>
      </c>
    </row>
    <row r="1286" spans="1:9" x14ac:dyDescent="0.3">
      <c r="A1286" s="5">
        <v>43504</v>
      </c>
      <c r="B1286">
        <v>102.08000199999999</v>
      </c>
      <c r="C1286">
        <v>102.339996</v>
      </c>
      <c r="D1286">
        <v>100.05999799999999</v>
      </c>
      <c r="E1286">
        <v>101.360001</v>
      </c>
      <c r="F1286">
        <v>87.265388000000002</v>
      </c>
      <c r="G1286">
        <v>12892600</v>
      </c>
      <c r="I1286">
        <f t="shared" si="20"/>
        <v>2.8247725858071364E-4</v>
      </c>
    </row>
    <row r="1287" spans="1:9" x14ac:dyDescent="0.3">
      <c r="A1287" s="5">
        <v>43507</v>
      </c>
      <c r="B1287">
        <v>101.760002</v>
      </c>
      <c r="C1287">
        <v>102.010002</v>
      </c>
      <c r="D1287">
        <v>100.769997</v>
      </c>
      <c r="E1287">
        <v>100.879997</v>
      </c>
      <c r="F1287">
        <v>86.852126999999996</v>
      </c>
      <c r="G1287">
        <v>10978500</v>
      </c>
      <c r="I1287">
        <f t="shared" si="20"/>
        <v>3.7998911923414831E-5</v>
      </c>
    </row>
    <row r="1288" spans="1:9" x14ac:dyDescent="0.3">
      <c r="A1288" s="5">
        <v>43508</v>
      </c>
      <c r="B1288">
        <v>101.949997</v>
      </c>
      <c r="C1288">
        <v>102.91999800000001</v>
      </c>
      <c r="D1288">
        <v>101.889999</v>
      </c>
      <c r="E1288">
        <v>102.599998</v>
      </c>
      <c r="F1288">
        <v>88.332947000000004</v>
      </c>
      <c r="G1288">
        <v>12852300</v>
      </c>
      <c r="I1288">
        <f t="shared" si="20"/>
        <v>3.3576391012828275E-5</v>
      </c>
    </row>
    <row r="1289" spans="1:9" x14ac:dyDescent="0.3">
      <c r="A1289" s="5">
        <v>43509</v>
      </c>
      <c r="B1289">
        <v>102.900002</v>
      </c>
      <c r="C1289">
        <v>103.849998</v>
      </c>
      <c r="D1289">
        <v>102.900002</v>
      </c>
      <c r="E1289">
        <v>103.089996</v>
      </c>
      <c r="F1289">
        <v>88.754807</v>
      </c>
      <c r="G1289">
        <v>10754100</v>
      </c>
      <c r="I1289">
        <f t="shared" si="20"/>
        <v>6.7501210609650138E-5</v>
      </c>
    </row>
    <row r="1290" spans="1:9" x14ac:dyDescent="0.3">
      <c r="A1290" s="5">
        <v>43510</v>
      </c>
      <c r="B1290">
        <v>102.470001</v>
      </c>
      <c r="C1290">
        <v>103.099998</v>
      </c>
      <c r="D1290">
        <v>101.349998</v>
      </c>
      <c r="E1290">
        <v>102.41999800000001</v>
      </c>
      <c r="F1290">
        <v>88.177978999999993</v>
      </c>
      <c r="G1290">
        <v>11518500</v>
      </c>
      <c r="I1290">
        <f t="shared" si="20"/>
        <v>1.5598072085240544E-4</v>
      </c>
    </row>
    <row r="1291" spans="1:9" x14ac:dyDescent="0.3">
      <c r="A1291" s="5">
        <v>43511</v>
      </c>
      <c r="B1291">
        <v>103.900002</v>
      </c>
      <c r="C1291">
        <v>105.699997</v>
      </c>
      <c r="D1291">
        <v>103.660004</v>
      </c>
      <c r="E1291">
        <v>105.550003</v>
      </c>
      <c r="F1291">
        <v>90.872733999999994</v>
      </c>
      <c r="G1291">
        <v>14716900</v>
      </c>
      <c r="I1291">
        <f t="shared" si="20"/>
        <v>6.6175392417874545E-5</v>
      </c>
    </row>
    <row r="1292" spans="1:9" x14ac:dyDescent="0.3">
      <c r="A1292" s="5">
        <v>43515</v>
      </c>
      <c r="B1292">
        <v>104.910004</v>
      </c>
      <c r="C1292">
        <v>105.370003</v>
      </c>
      <c r="D1292">
        <v>103.80999799999999</v>
      </c>
      <c r="E1292">
        <v>105.18</v>
      </c>
      <c r="F1292">
        <v>90.554207000000005</v>
      </c>
      <c r="G1292">
        <v>12764900</v>
      </c>
      <c r="I1292">
        <f t="shared" ref="I1292:I1355" si="21">LN(C1292/B1292)*(LN(C1292/B1292)-LN(E1292/B1292))+LN(D1292/B1292)*(LN(D1292/B1292)-LN(E1292/B1292))</f>
        <v>1.4609278251926936E-4</v>
      </c>
    </row>
    <row r="1293" spans="1:9" x14ac:dyDescent="0.3">
      <c r="A1293" s="5">
        <v>43516</v>
      </c>
      <c r="B1293">
        <v>105.209999</v>
      </c>
      <c r="C1293">
        <v>105.800003</v>
      </c>
      <c r="D1293">
        <v>104.879997</v>
      </c>
      <c r="E1293">
        <v>105.69000200000001</v>
      </c>
      <c r="F1293">
        <v>90.993256000000002</v>
      </c>
      <c r="G1293">
        <v>10030300</v>
      </c>
      <c r="I1293">
        <f t="shared" si="21"/>
        <v>2.9986624335367006E-5</v>
      </c>
    </row>
    <row r="1294" spans="1:9" x14ac:dyDescent="0.3">
      <c r="A1294" s="5">
        <v>43517</v>
      </c>
      <c r="B1294">
        <v>105.449997</v>
      </c>
      <c r="C1294">
        <v>105.989998</v>
      </c>
      <c r="D1294">
        <v>104.959999</v>
      </c>
      <c r="E1294">
        <v>105.470001</v>
      </c>
      <c r="F1294">
        <v>90.803855999999996</v>
      </c>
      <c r="G1294">
        <v>8400100</v>
      </c>
      <c r="I1294">
        <f t="shared" si="21"/>
        <v>4.7697637976680356E-5</v>
      </c>
    </row>
    <row r="1295" spans="1:9" x14ac:dyDescent="0.3">
      <c r="A1295" s="5">
        <v>43518</v>
      </c>
      <c r="B1295">
        <v>105.699997</v>
      </c>
      <c r="C1295">
        <v>106.089996</v>
      </c>
      <c r="D1295">
        <v>104.779999</v>
      </c>
      <c r="E1295">
        <v>105</v>
      </c>
      <c r="F1295">
        <v>90.399223000000006</v>
      </c>
      <c r="G1295">
        <v>10647300</v>
      </c>
      <c r="I1295">
        <f t="shared" si="21"/>
        <v>5.6370456684462251E-5</v>
      </c>
    </row>
    <row r="1296" spans="1:9" x14ac:dyDescent="0.3">
      <c r="A1296" s="5">
        <v>43521</v>
      </c>
      <c r="B1296">
        <v>105.75</v>
      </c>
      <c r="C1296">
        <v>107.269997</v>
      </c>
      <c r="D1296">
        <v>105.69000200000001</v>
      </c>
      <c r="E1296">
        <v>106.099998</v>
      </c>
      <c r="F1296">
        <v>91.346260000000001</v>
      </c>
      <c r="G1296">
        <v>11230700</v>
      </c>
      <c r="I1296">
        <f t="shared" si="21"/>
        <v>1.5870876066984628E-4</v>
      </c>
    </row>
    <row r="1297" spans="1:9" x14ac:dyDescent="0.3">
      <c r="A1297" s="5">
        <v>43522</v>
      </c>
      <c r="B1297">
        <v>104.5</v>
      </c>
      <c r="C1297">
        <v>105.470001</v>
      </c>
      <c r="D1297">
        <v>103.94000200000001</v>
      </c>
      <c r="E1297">
        <v>105.290001</v>
      </c>
      <c r="F1297">
        <v>90.648887999999999</v>
      </c>
      <c r="G1297">
        <v>15465400</v>
      </c>
      <c r="I1297">
        <f t="shared" si="21"/>
        <v>8.5121713786918461E-5</v>
      </c>
    </row>
    <row r="1298" spans="1:9" x14ac:dyDescent="0.3">
      <c r="A1298" s="5">
        <v>43523</v>
      </c>
      <c r="B1298">
        <v>105.18</v>
      </c>
      <c r="C1298">
        <v>105.379997</v>
      </c>
      <c r="D1298">
        <v>104.510002</v>
      </c>
      <c r="E1298">
        <v>105.160004</v>
      </c>
      <c r="F1298">
        <v>90.536972000000006</v>
      </c>
      <c r="G1298">
        <v>9968800</v>
      </c>
      <c r="I1298">
        <f t="shared" si="21"/>
        <v>4.3591981395225173E-5</v>
      </c>
    </row>
    <row r="1299" spans="1:9" x14ac:dyDescent="0.3">
      <c r="A1299" s="5">
        <v>43524</v>
      </c>
      <c r="B1299">
        <v>105.010002</v>
      </c>
      <c r="C1299">
        <v>105.209999</v>
      </c>
      <c r="D1299">
        <v>104.18</v>
      </c>
      <c r="E1299">
        <v>104.360001</v>
      </c>
      <c r="F1299">
        <v>89.848220999999995</v>
      </c>
      <c r="G1299">
        <v>15156900</v>
      </c>
      <c r="I1299">
        <f t="shared" si="21"/>
        <v>2.9133704600268705E-5</v>
      </c>
    </row>
    <row r="1300" spans="1:9" x14ac:dyDescent="0.3">
      <c r="A1300" s="5">
        <v>43525</v>
      </c>
      <c r="B1300">
        <v>105.099998</v>
      </c>
      <c r="C1300">
        <v>105.910004</v>
      </c>
      <c r="D1300">
        <v>104.199997</v>
      </c>
      <c r="E1300">
        <v>104.43</v>
      </c>
      <c r="F1300">
        <v>89.908469999999994</v>
      </c>
      <c r="G1300">
        <v>13813300</v>
      </c>
      <c r="I1300">
        <f t="shared" si="21"/>
        <v>1.2700511985896099E-4</v>
      </c>
    </row>
    <row r="1301" spans="1:9" x14ac:dyDescent="0.3">
      <c r="A1301" s="5">
        <v>43528</v>
      </c>
      <c r="B1301">
        <v>104.91999800000001</v>
      </c>
      <c r="C1301">
        <v>105.91999800000001</v>
      </c>
      <c r="D1301">
        <v>103.269997</v>
      </c>
      <c r="E1301">
        <v>104.19000200000001</v>
      </c>
      <c r="F1301">
        <v>89.701842999999997</v>
      </c>
      <c r="G1301">
        <v>12466300</v>
      </c>
      <c r="I1301">
        <f t="shared" si="21"/>
        <v>2.9680270113392586E-4</v>
      </c>
    </row>
    <row r="1302" spans="1:9" x14ac:dyDescent="0.3">
      <c r="A1302" s="5">
        <v>43529</v>
      </c>
      <c r="B1302">
        <v>104.129997</v>
      </c>
      <c r="C1302">
        <v>104.550003</v>
      </c>
      <c r="D1302">
        <v>103.260002</v>
      </c>
      <c r="E1302">
        <v>104.110001</v>
      </c>
      <c r="F1302">
        <v>89.632964999999999</v>
      </c>
      <c r="G1302">
        <v>10856600</v>
      </c>
      <c r="I1302">
        <f t="shared" si="21"/>
        <v>8.5757293434317615E-5</v>
      </c>
    </row>
    <row r="1303" spans="1:9" x14ac:dyDescent="0.3">
      <c r="A1303" s="5">
        <v>43530</v>
      </c>
      <c r="B1303">
        <v>103.860001</v>
      </c>
      <c r="C1303">
        <v>104.57</v>
      </c>
      <c r="D1303">
        <v>103.550003</v>
      </c>
      <c r="E1303">
        <v>103.720001</v>
      </c>
      <c r="F1303">
        <v>89.297202999999996</v>
      </c>
      <c r="G1303">
        <v>9070800</v>
      </c>
      <c r="I1303">
        <f t="shared" si="21"/>
        <v>6.0508106040902083E-5</v>
      </c>
    </row>
    <row r="1304" spans="1:9" x14ac:dyDescent="0.3">
      <c r="A1304" s="5">
        <v>43531</v>
      </c>
      <c r="B1304">
        <v>103.25</v>
      </c>
      <c r="C1304">
        <v>103.470001</v>
      </c>
      <c r="D1304">
        <v>102.160004</v>
      </c>
      <c r="E1304">
        <v>102.970001</v>
      </c>
      <c r="F1304">
        <v>88.651505</v>
      </c>
      <c r="G1304">
        <v>12705700</v>
      </c>
      <c r="I1304">
        <f t="shared" si="21"/>
        <v>9.4125897050154967E-5</v>
      </c>
    </row>
    <row r="1305" spans="1:9" x14ac:dyDescent="0.3">
      <c r="A1305" s="5">
        <v>43532</v>
      </c>
      <c r="B1305">
        <v>101.989998</v>
      </c>
      <c r="C1305">
        <v>103.230003</v>
      </c>
      <c r="D1305">
        <v>101.989998</v>
      </c>
      <c r="E1305">
        <v>103.010002</v>
      </c>
      <c r="F1305">
        <v>88.685928000000004</v>
      </c>
      <c r="G1305">
        <v>10582400</v>
      </c>
      <c r="I1305">
        <f t="shared" si="21"/>
        <v>2.57822572121576E-5</v>
      </c>
    </row>
    <row r="1306" spans="1:9" x14ac:dyDescent="0.3">
      <c r="A1306" s="5">
        <v>43535</v>
      </c>
      <c r="B1306">
        <v>103.980003</v>
      </c>
      <c r="C1306">
        <v>104.550003</v>
      </c>
      <c r="D1306">
        <v>103.660004</v>
      </c>
      <c r="E1306">
        <v>104.349998</v>
      </c>
      <c r="F1306">
        <v>89.839607000000001</v>
      </c>
      <c r="G1306">
        <v>9763200</v>
      </c>
      <c r="I1306">
        <f t="shared" si="21"/>
        <v>3.0916609695993094E-5</v>
      </c>
    </row>
    <row r="1307" spans="1:9" x14ac:dyDescent="0.3">
      <c r="A1307" s="5">
        <v>43536</v>
      </c>
      <c r="B1307">
        <v>104.589996</v>
      </c>
      <c r="C1307">
        <v>104.790001</v>
      </c>
      <c r="D1307">
        <v>103.75</v>
      </c>
      <c r="E1307">
        <v>104.040001</v>
      </c>
      <c r="F1307">
        <v>89.572708000000006</v>
      </c>
      <c r="G1307">
        <v>10219100</v>
      </c>
      <c r="I1307">
        <f t="shared" si="21"/>
        <v>3.623085424770912E-5</v>
      </c>
    </row>
    <row r="1308" spans="1:9" x14ac:dyDescent="0.3">
      <c r="A1308" s="5">
        <v>43537</v>
      </c>
      <c r="B1308">
        <v>104.19000200000001</v>
      </c>
      <c r="C1308">
        <v>104.980003</v>
      </c>
      <c r="D1308">
        <v>103.949997</v>
      </c>
      <c r="E1308">
        <v>104.389999</v>
      </c>
      <c r="F1308">
        <v>89.874054000000001</v>
      </c>
      <c r="G1308">
        <v>13022200</v>
      </c>
      <c r="I1308">
        <f t="shared" si="21"/>
        <v>5.2313863301652393E-5</v>
      </c>
    </row>
    <row r="1309" spans="1:9" x14ac:dyDescent="0.3">
      <c r="A1309" s="5">
        <v>43538</v>
      </c>
      <c r="B1309">
        <v>104.5</v>
      </c>
      <c r="C1309">
        <v>105.870003</v>
      </c>
      <c r="D1309">
        <v>104.459999</v>
      </c>
      <c r="E1309">
        <v>105.339996</v>
      </c>
      <c r="F1309">
        <v>90.691933000000006</v>
      </c>
      <c r="G1309">
        <v>10926500</v>
      </c>
      <c r="I1309">
        <f t="shared" si="21"/>
        <v>6.858078683307783E-5</v>
      </c>
    </row>
    <row r="1310" spans="1:9" x14ac:dyDescent="0.3">
      <c r="A1310" s="5">
        <v>43539</v>
      </c>
      <c r="B1310">
        <v>105.410004</v>
      </c>
      <c r="C1310">
        <v>106.800003</v>
      </c>
      <c r="D1310">
        <v>105.230003</v>
      </c>
      <c r="E1310">
        <v>106.550003</v>
      </c>
      <c r="F1310">
        <v>91.733681000000004</v>
      </c>
      <c r="G1310">
        <v>24811700</v>
      </c>
      <c r="I1310">
        <f t="shared" si="21"/>
        <v>5.2007050747080148E-5</v>
      </c>
    </row>
    <row r="1311" spans="1:9" x14ac:dyDescent="0.3">
      <c r="A1311" s="5">
        <v>43542</v>
      </c>
      <c r="B1311">
        <v>106.550003</v>
      </c>
      <c r="C1311">
        <v>107.790001</v>
      </c>
      <c r="D1311">
        <v>106.5</v>
      </c>
      <c r="E1311">
        <v>107.19000200000001</v>
      </c>
      <c r="F1311">
        <v>92.284690999999995</v>
      </c>
      <c r="G1311">
        <v>12935500</v>
      </c>
      <c r="I1311">
        <f t="shared" si="21"/>
        <v>6.7617063542345539E-5</v>
      </c>
    </row>
    <row r="1312" spans="1:9" x14ac:dyDescent="0.3">
      <c r="A1312" s="5">
        <v>43543</v>
      </c>
      <c r="B1312">
        <v>108.199997</v>
      </c>
      <c r="C1312">
        <v>108.400002</v>
      </c>
      <c r="D1312">
        <v>106.550003</v>
      </c>
      <c r="E1312">
        <v>106.800003</v>
      </c>
      <c r="F1312">
        <v>91.948905999999994</v>
      </c>
      <c r="G1312">
        <v>12889300</v>
      </c>
      <c r="I1312">
        <f t="shared" si="21"/>
        <v>6.3475229499572434E-5</v>
      </c>
    </row>
    <row r="1313" spans="1:9" x14ac:dyDescent="0.3">
      <c r="A1313" s="5">
        <v>43544</v>
      </c>
      <c r="B1313">
        <v>106.43</v>
      </c>
      <c r="C1313">
        <v>106.650002</v>
      </c>
      <c r="D1313">
        <v>104.410004</v>
      </c>
      <c r="E1313">
        <v>104.519997</v>
      </c>
      <c r="F1313">
        <v>89.985962000000001</v>
      </c>
      <c r="G1313">
        <v>14920700</v>
      </c>
      <c r="I1313">
        <f t="shared" si="21"/>
        <v>6.1834843530836331E-5</v>
      </c>
    </row>
    <row r="1314" spans="1:9" x14ac:dyDescent="0.3">
      <c r="A1314" s="5">
        <v>43545</v>
      </c>
      <c r="B1314">
        <v>103.489998</v>
      </c>
      <c r="C1314">
        <v>103.489998</v>
      </c>
      <c r="D1314">
        <v>102.279999</v>
      </c>
      <c r="E1314">
        <v>102.870003</v>
      </c>
      <c r="F1314">
        <v>88.565398999999999</v>
      </c>
      <c r="G1314">
        <v>19751000</v>
      </c>
      <c r="I1314">
        <f t="shared" si="21"/>
        <v>6.7647629879608403E-5</v>
      </c>
    </row>
    <row r="1315" spans="1:9" x14ac:dyDescent="0.3">
      <c r="A1315" s="5">
        <v>43546</v>
      </c>
      <c r="B1315">
        <v>101.82</v>
      </c>
      <c r="C1315">
        <v>102.32</v>
      </c>
      <c r="D1315">
        <v>99.519997000000004</v>
      </c>
      <c r="E1315">
        <v>99.760002</v>
      </c>
      <c r="F1315">
        <v>85.887862999999996</v>
      </c>
      <c r="G1315">
        <v>31115200</v>
      </c>
      <c r="I1315">
        <f t="shared" si="21"/>
        <v>1.7915451761212325E-4</v>
      </c>
    </row>
    <row r="1316" spans="1:9" x14ac:dyDescent="0.3">
      <c r="A1316" s="5">
        <v>43549</v>
      </c>
      <c r="B1316">
        <v>99.589995999999999</v>
      </c>
      <c r="C1316">
        <v>100.57</v>
      </c>
      <c r="D1316">
        <v>98.089995999999999</v>
      </c>
      <c r="E1316">
        <v>98.93</v>
      </c>
      <c r="F1316">
        <v>85.173278999999994</v>
      </c>
      <c r="G1316">
        <v>21032300</v>
      </c>
      <c r="I1316">
        <f t="shared" si="21"/>
        <v>2.9041039391158212E-4</v>
      </c>
    </row>
    <row r="1317" spans="1:9" x14ac:dyDescent="0.3">
      <c r="A1317" s="5">
        <v>43550</v>
      </c>
      <c r="B1317">
        <v>99.82</v>
      </c>
      <c r="C1317">
        <v>100.400002</v>
      </c>
      <c r="D1317">
        <v>98.82</v>
      </c>
      <c r="E1317">
        <v>99.919998000000007</v>
      </c>
      <c r="F1317">
        <v>86.025627</v>
      </c>
      <c r="G1317">
        <v>15987100</v>
      </c>
      <c r="I1317">
        <f t="shared" si="21"/>
        <v>1.3922261107077437E-4</v>
      </c>
    </row>
    <row r="1318" spans="1:9" x14ac:dyDescent="0.3">
      <c r="A1318" s="5">
        <v>43551</v>
      </c>
      <c r="B1318">
        <v>99.879997000000003</v>
      </c>
      <c r="C1318">
        <v>100.449997</v>
      </c>
      <c r="D1318">
        <v>99.080001999999993</v>
      </c>
      <c r="E1318">
        <v>99.580001999999993</v>
      </c>
      <c r="F1318">
        <v>85.732887000000005</v>
      </c>
      <c r="G1318">
        <v>12753200</v>
      </c>
      <c r="I1318">
        <f t="shared" si="21"/>
        <v>8.9981404427602103E-5</v>
      </c>
    </row>
    <row r="1319" spans="1:9" x14ac:dyDescent="0.3">
      <c r="A1319" s="5">
        <v>43552</v>
      </c>
      <c r="B1319">
        <v>100</v>
      </c>
      <c r="C1319">
        <v>100.800003</v>
      </c>
      <c r="D1319">
        <v>99.739998</v>
      </c>
      <c r="E1319">
        <v>100.709999</v>
      </c>
      <c r="F1319">
        <v>86.705757000000006</v>
      </c>
      <c r="G1319">
        <v>12454100</v>
      </c>
      <c r="I1319">
        <f t="shared" si="21"/>
        <v>3.2314526719106247E-5</v>
      </c>
    </row>
    <row r="1320" spans="1:9" x14ac:dyDescent="0.3">
      <c r="A1320" s="5">
        <v>43553</v>
      </c>
      <c r="B1320">
        <v>101.540001</v>
      </c>
      <c r="C1320">
        <v>101.989998</v>
      </c>
      <c r="D1320">
        <v>100.589996</v>
      </c>
      <c r="E1320">
        <v>101.230003</v>
      </c>
      <c r="F1320">
        <v>87.153473000000005</v>
      </c>
      <c r="G1320">
        <v>14523400</v>
      </c>
      <c r="I1320">
        <f t="shared" si="21"/>
        <v>9.2692508841555493E-5</v>
      </c>
    </row>
    <row r="1321" spans="1:9" x14ac:dyDescent="0.3">
      <c r="A1321" s="5">
        <v>43556</v>
      </c>
      <c r="B1321">
        <v>102.150002</v>
      </c>
      <c r="C1321">
        <v>104.68</v>
      </c>
      <c r="D1321">
        <v>102.120003</v>
      </c>
      <c r="E1321">
        <v>104.639999</v>
      </c>
      <c r="F1321">
        <v>90.089286999999999</v>
      </c>
      <c r="G1321">
        <v>17499300</v>
      </c>
      <c r="I1321">
        <f t="shared" si="21"/>
        <v>1.6510858235658467E-5</v>
      </c>
    </row>
    <row r="1322" spans="1:9" x14ac:dyDescent="0.3">
      <c r="A1322" s="5">
        <v>43557</v>
      </c>
      <c r="B1322">
        <v>104.599998</v>
      </c>
      <c r="C1322">
        <v>105.44000200000001</v>
      </c>
      <c r="D1322">
        <v>104.33000199999999</v>
      </c>
      <c r="E1322">
        <v>105.139999</v>
      </c>
      <c r="F1322">
        <v>90.519745</v>
      </c>
      <c r="G1322">
        <v>10295400</v>
      </c>
      <c r="I1322">
        <f t="shared" si="21"/>
        <v>4.2778833358261145E-5</v>
      </c>
    </row>
    <row r="1323" spans="1:9" x14ac:dyDescent="0.3">
      <c r="A1323" s="5">
        <v>43558</v>
      </c>
      <c r="B1323">
        <v>105.80999799999999</v>
      </c>
      <c r="C1323">
        <v>106.360001</v>
      </c>
      <c r="D1323">
        <v>104.790001</v>
      </c>
      <c r="E1323">
        <v>105.349998</v>
      </c>
      <c r="F1323">
        <v>90.700546000000003</v>
      </c>
      <c r="G1323">
        <v>11499200</v>
      </c>
      <c r="I1323">
        <f t="shared" si="21"/>
        <v>1.010958581807206E-4</v>
      </c>
    </row>
    <row r="1324" spans="1:9" x14ac:dyDescent="0.3">
      <c r="A1324" s="5">
        <v>43559</v>
      </c>
      <c r="B1324">
        <v>104.550003</v>
      </c>
      <c r="C1324">
        <v>105.730003</v>
      </c>
      <c r="D1324">
        <v>104.449997</v>
      </c>
      <c r="E1324">
        <v>105.55999799999999</v>
      </c>
      <c r="F1324">
        <v>91.576758999999996</v>
      </c>
      <c r="G1324">
        <v>11952100</v>
      </c>
      <c r="I1324">
        <f t="shared" si="21"/>
        <v>2.817699778919231E-5</v>
      </c>
    </row>
    <row r="1325" spans="1:9" x14ac:dyDescent="0.3">
      <c r="A1325" s="5">
        <v>43560</v>
      </c>
      <c r="B1325">
        <v>105.800003</v>
      </c>
      <c r="C1325">
        <v>106.110001</v>
      </c>
      <c r="D1325">
        <v>104.989998</v>
      </c>
      <c r="E1325">
        <v>105.30999799999999</v>
      </c>
      <c r="F1325">
        <v>91.359870999999998</v>
      </c>
      <c r="G1325">
        <v>9933700</v>
      </c>
      <c r="I1325">
        <f t="shared" si="21"/>
        <v>4.5530881862469929E-5</v>
      </c>
    </row>
    <row r="1326" spans="1:9" x14ac:dyDescent="0.3">
      <c r="A1326" s="5">
        <v>43563</v>
      </c>
      <c r="B1326">
        <v>105.110001</v>
      </c>
      <c r="C1326">
        <v>105.650002</v>
      </c>
      <c r="D1326">
        <v>104.910004</v>
      </c>
      <c r="E1326">
        <v>105.650002</v>
      </c>
      <c r="F1326">
        <v>91.654846000000006</v>
      </c>
      <c r="G1326">
        <v>8056300</v>
      </c>
      <c r="I1326">
        <f t="shared" si="21"/>
        <v>1.3386880573672709E-5</v>
      </c>
    </row>
    <row r="1327" spans="1:9" x14ac:dyDescent="0.3">
      <c r="A1327" s="5">
        <v>43564</v>
      </c>
      <c r="B1327">
        <v>105.08000199999999</v>
      </c>
      <c r="C1327">
        <v>105.199997</v>
      </c>
      <c r="D1327">
        <v>104.25</v>
      </c>
      <c r="E1327">
        <v>104.870003</v>
      </c>
      <c r="F1327">
        <v>90.978179999999995</v>
      </c>
      <c r="G1327">
        <v>9092200</v>
      </c>
      <c r="I1327">
        <f t="shared" si="21"/>
        <v>5.0608548114598387E-5</v>
      </c>
    </row>
    <row r="1328" spans="1:9" x14ac:dyDescent="0.3">
      <c r="A1328" s="5">
        <v>43565</v>
      </c>
      <c r="B1328">
        <v>105.129997</v>
      </c>
      <c r="C1328">
        <v>105.720001</v>
      </c>
      <c r="D1328">
        <v>104.470001</v>
      </c>
      <c r="E1328">
        <v>105.339996</v>
      </c>
      <c r="F1328">
        <v>91.385902000000002</v>
      </c>
      <c r="G1328">
        <v>10882300</v>
      </c>
      <c r="I1328">
        <f t="shared" si="21"/>
        <v>7.2380515211203095E-5</v>
      </c>
    </row>
    <row r="1329" spans="1:9" x14ac:dyDescent="0.3">
      <c r="A1329" s="5">
        <v>43566</v>
      </c>
      <c r="B1329">
        <v>105.709999</v>
      </c>
      <c r="C1329">
        <v>106.730003</v>
      </c>
      <c r="D1329">
        <v>105.55999799999999</v>
      </c>
      <c r="E1329">
        <v>106.230003</v>
      </c>
      <c r="F1329">
        <v>92.158005000000003</v>
      </c>
      <c r="G1329">
        <v>11183800</v>
      </c>
      <c r="I1329">
        <f t="shared" si="21"/>
        <v>5.4076652303481353E-5</v>
      </c>
    </row>
    <row r="1330" spans="1:9" x14ac:dyDescent="0.3">
      <c r="A1330" s="5">
        <v>43567</v>
      </c>
      <c r="B1330">
        <v>109.44000200000001</v>
      </c>
      <c r="C1330">
        <v>111.849998</v>
      </c>
      <c r="D1330">
        <v>108.879997</v>
      </c>
      <c r="E1330">
        <v>111.209999</v>
      </c>
      <c r="F1330">
        <v>96.478333000000006</v>
      </c>
      <c r="G1330">
        <v>25834100</v>
      </c>
      <c r="I1330">
        <f t="shared" si="21"/>
        <v>2.3361982001987152E-4</v>
      </c>
    </row>
    <row r="1331" spans="1:9" x14ac:dyDescent="0.3">
      <c r="A1331" s="5">
        <v>43570</v>
      </c>
      <c r="B1331">
        <v>110.91999800000001</v>
      </c>
      <c r="C1331">
        <v>111</v>
      </c>
      <c r="D1331">
        <v>109.120003</v>
      </c>
      <c r="E1331">
        <v>109.94000200000001</v>
      </c>
      <c r="F1331">
        <v>95.376555999999994</v>
      </c>
      <c r="G1331">
        <v>15163800</v>
      </c>
      <c r="I1331">
        <f t="shared" si="21"/>
        <v>1.2940573595626774E-4</v>
      </c>
    </row>
    <row r="1332" spans="1:9" x14ac:dyDescent="0.3">
      <c r="A1332" s="5">
        <v>43571</v>
      </c>
      <c r="B1332">
        <v>109.900002</v>
      </c>
      <c r="C1332">
        <v>111.389999</v>
      </c>
      <c r="D1332">
        <v>109.860001</v>
      </c>
      <c r="E1332">
        <v>111.099998</v>
      </c>
      <c r="F1332">
        <v>96.382880999999998</v>
      </c>
      <c r="G1332">
        <v>11583200</v>
      </c>
      <c r="I1332">
        <f t="shared" si="21"/>
        <v>3.91917996133031E-5</v>
      </c>
    </row>
    <row r="1333" spans="1:9" x14ac:dyDescent="0.3">
      <c r="A1333" s="5">
        <v>43572</v>
      </c>
      <c r="B1333">
        <v>111.699997</v>
      </c>
      <c r="C1333">
        <v>114.660004</v>
      </c>
      <c r="D1333">
        <v>111.010002</v>
      </c>
      <c r="E1333">
        <v>114.300003</v>
      </c>
      <c r="F1333">
        <v>99.158989000000005</v>
      </c>
      <c r="G1333">
        <v>17791900</v>
      </c>
      <c r="I1333">
        <f t="shared" si="21"/>
        <v>2.6322051280010028E-4</v>
      </c>
    </row>
    <row r="1334" spans="1:9" x14ac:dyDescent="0.3">
      <c r="A1334" s="5">
        <v>43573</v>
      </c>
      <c r="B1334">
        <v>114.529999</v>
      </c>
      <c r="C1334">
        <v>114.949997</v>
      </c>
      <c r="D1334">
        <v>113.33000199999999</v>
      </c>
      <c r="E1334">
        <v>113.459999</v>
      </c>
      <c r="F1334">
        <v>98.430289999999999</v>
      </c>
      <c r="G1334">
        <v>12501900</v>
      </c>
      <c r="I1334">
        <f t="shared" si="21"/>
        <v>5.9832238008425129E-5</v>
      </c>
    </row>
    <row r="1335" spans="1:9" x14ac:dyDescent="0.3">
      <c r="A1335" s="5">
        <v>43577</v>
      </c>
      <c r="B1335">
        <v>112.83000199999999</v>
      </c>
      <c r="C1335">
        <v>113.93</v>
      </c>
      <c r="D1335">
        <v>112.660004</v>
      </c>
      <c r="E1335">
        <v>113.599998</v>
      </c>
      <c r="F1335">
        <v>98.551711999999995</v>
      </c>
      <c r="G1335">
        <v>7975900</v>
      </c>
      <c r="I1335">
        <f t="shared" si="21"/>
        <v>4.0671206043146294E-5</v>
      </c>
    </row>
    <row r="1336" spans="1:9" x14ac:dyDescent="0.3">
      <c r="A1336" s="5">
        <v>43578</v>
      </c>
      <c r="B1336">
        <v>113</v>
      </c>
      <c r="C1336">
        <v>114.370003</v>
      </c>
      <c r="D1336">
        <v>112.849998</v>
      </c>
      <c r="E1336">
        <v>113.739998</v>
      </c>
      <c r="F1336">
        <v>98.673195000000007</v>
      </c>
      <c r="G1336">
        <v>9193100</v>
      </c>
      <c r="I1336">
        <f t="shared" si="21"/>
        <v>7.7001198485961137E-5</v>
      </c>
    </row>
    <row r="1337" spans="1:9" x14ac:dyDescent="0.3">
      <c r="A1337" s="5">
        <v>43579</v>
      </c>
      <c r="B1337">
        <v>113.260002</v>
      </c>
      <c r="C1337">
        <v>114.150002</v>
      </c>
      <c r="D1337">
        <v>112.80999799999999</v>
      </c>
      <c r="E1337">
        <v>113.550003</v>
      </c>
      <c r="F1337">
        <v>98.508347000000001</v>
      </c>
      <c r="G1337">
        <v>9245700</v>
      </c>
      <c r="I1337">
        <f t="shared" si="21"/>
        <v>6.7280464027740948E-5</v>
      </c>
    </row>
    <row r="1338" spans="1:9" x14ac:dyDescent="0.3">
      <c r="A1338" s="5">
        <v>43580</v>
      </c>
      <c r="B1338">
        <v>113.010002</v>
      </c>
      <c r="C1338">
        <v>114.150002</v>
      </c>
      <c r="D1338">
        <v>112.5</v>
      </c>
      <c r="E1338">
        <v>113.610001</v>
      </c>
      <c r="F1338">
        <v>98.560410000000005</v>
      </c>
      <c r="G1338">
        <v>9311800</v>
      </c>
      <c r="I1338">
        <f t="shared" si="21"/>
        <v>9.200355168926497E-5</v>
      </c>
    </row>
    <row r="1339" spans="1:9" x14ac:dyDescent="0.3">
      <c r="A1339" s="5">
        <v>43581</v>
      </c>
      <c r="B1339">
        <v>113.949997</v>
      </c>
      <c r="C1339">
        <v>114.58000199999999</v>
      </c>
      <c r="D1339">
        <v>113.599998</v>
      </c>
      <c r="E1339">
        <v>114.470001</v>
      </c>
      <c r="F1339">
        <v>99.306465000000003</v>
      </c>
      <c r="G1339">
        <v>7889300</v>
      </c>
      <c r="I1339">
        <f t="shared" si="21"/>
        <v>2.876532226294188E-5</v>
      </c>
    </row>
    <row r="1340" spans="1:9" x14ac:dyDescent="0.3">
      <c r="A1340" s="5">
        <v>43584</v>
      </c>
      <c r="B1340">
        <v>114.599998</v>
      </c>
      <c r="C1340">
        <v>117.160004</v>
      </c>
      <c r="D1340">
        <v>114.449997</v>
      </c>
      <c r="E1340">
        <v>116.120003</v>
      </c>
      <c r="F1340">
        <v>100.73790700000001</v>
      </c>
      <c r="G1340">
        <v>14242200</v>
      </c>
      <c r="I1340">
        <f t="shared" si="21"/>
        <v>2.1596124075747727E-4</v>
      </c>
    </row>
    <row r="1341" spans="1:9" x14ac:dyDescent="0.3">
      <c r="A1341" s="5">
        <v>43585</v>
      </c>
      <c r="B1341">
        <v>116.43</v>
      </c>
      <c r="C1341">
        <v>116.720001</v>
      </c>
      <c r="D1341">
        <v>115.260002</v>
      </c>
      <c r="E1341">
        <v>116.050003</v>
      </c>
      <c r="F1341">
        <v>100.677177</v>
      </c>
      <c r="G1341">
        <v>11389100</v>
      </c>
      <c r="I1341">
        <f t="shared" si="21"/>
        <v>8.3309410292408905E-5</v>
      </c>
    </row>
    <row r="1342" spans="1:9" x14ac:dyDescent="0.3">
      <c r="A1342" s="5">
        <v>43586</v>
      </c>
      <c r="B1342">
        <v>115.720001</v>
      </c>
      <c r="C1342">
        <v>117</v>
      </c>
      <c r="D1342">
        <v>115.110001</v>
      </c>
      <c r="E1342">
        <v>115.160004</v>
      </c>
      <c r="F1342">
        <v>99.905060000000006</v>
      </c>
      <c r="G1342">
        <v>10412900</v>
      </c>
      <c r="I1342">
        <f t="shared" si="21"/>
        <v>1.766682422178198E-4</v>
      </c>
    </row>
    <row r="1343" spans="1:9" x14ac:dyDescent="0.3">
      <c r="A1343" s="5">
        <v>43587</v>
      </c>
      <c r="B1343">
        <v>115.16999800000001</v>
      </c>
      <c r="C1343">
        <v>115.779999</v>
      </c>
      <c r="D1343">
        <v>114.58000199999999</v>
      </c>
      <c r="E1343">
        <v>115.410004</v>
      </c>
      <c r="F1343">
        <v>100.12196400000001</v>
      </c>
      <c r="G1343">
        <v>8613300</v>
      </c>
      <c r="I1343">
        <f t="shared" si="21"/>
        <v>5.3978670441764921E-5</v>
      </c>
    </row>
    <row r="1344" spans="1:9" x14ac:dyDescent="0.3">
      <c r="A1344" s="5">
        <v>43588</v>
      </c>
      <c r="B1344">
        <v>116</v>
      </c>
      <c r="C1344">
        <v>116.68</v>
      </c>
      <c r="D1344">
        <v>115.66999800000001</v>
      </c>
      <c r="E1344">
        <v>116.120003</v>
      </c>
      <c r="F1344">
        <v>100.73790700000001</v>
      </c>
      <c r="G1344">
        <v>8185400</v>
      </c>
      <c r="I1344">
        <f t="shared" si="21"/>
        <v>3.918186960987203E-5</v>
      </c>
    </row>
    <row r="1345" spans="1:9" x14ac:dyDescent="0.3">
      <c r="A1345" s="5">
        <v>43591</v>
      </c>
      <c r="B1345">
        <v>114.18</v>
      </c>
      <c r="C1345">
        <v>115.470001</v>
      </c>
      <c r="D1345">
        <v>113.720001</v>
      </c>
      <c r="E1345">
        <v>115.089996</v>
      </c>
      <c r="F1345">
        <v>99.844359999999995</v>
      </c>
      <c r="G1345">
        <v>9387000</v>
      </c>
      <c r="I1345">
        <f t="shared" si="21"/>
        <v>8.5375171302201267E-5</v>
      </c>
    </row>
    <row r="1346" spans="1:9" x14ac:dyDescent="0.3">
      <c r="A1346" s="5">
        <v>43592</v>
      </c>
      <c r="B1346">
        <v>114.029999</v>
      </c>
      <c r="C1346">
        <v>114.029999</v>
      </c>
      <c r="D1346">
        <v>112.290001</v>
      </c>
      <c r="E1346">
        <v>113.209999</v>
      </c>
      <c r="F1346">
        <v>98.213393999999994</v>
      </c>
      <c r="G1346">
        <v>15017700</v>
      </c>
      <c r="I1346">
        <f t="shared" si="21"/>
        <v>1.2546919444386876E-4</v>
      </c>
    </row>
    <row r="1347" spans="1:9" x14ac:dyDescent="0.3">
      <c r="A1347" s="5">
        <v>43593</v>
      </c>
      <c r="B1347">
        <v>112.660004</v>
      </c>
      <c r="C1347">
        <v>113.66999800000001</v>
      </c>
      <c r="D1347">
        <v>112.459999</v>
      </c>
      <c r="E1347">
        <v>112.610001</v>
      </c>
      <c r="F1347">
        <v>97.692847999999998</v>
      </c>
      <c r="G1347">
        <v>9575800</v>
      </c>
      <c r="I1347">
        <f t="shared" si="21"/>
        <v>8.5986733170297449E-5</v>
      </c>
    </row>
    <row r="1348" spans="1:9" x14ac:dyDescent="0.3">
      <c r="A1348" s="5">
        <v>43594</v>
      </c>
      <c r="B1348">
        <v>111.139999</v>
      </c>
      <c r="C1348">
        <v>112.739998</v>
      </c>
      <c r="D1348">
        <v>110.58000199999999</v>
      </c>
      <c r="E1348">
        <v>112.519997</v>
      </c>
      <c r="F1348">
        <v>97.614777000000004</v>
      </c>
      <c r="G1348">
        <v>12205900</v>
      </c>
      <c r="I1348">
        <f t="shared" si="21"/>
        <v>1.157722350247706E-4</v>
      </c>
    </row>
    <row r="1349" spans="1:9" x14ac:dyDescent="0.3">
      <c r="A1349" s="5">
        <v>43595</v>
      </c>
      <c r="B1349">
        <v>111.75</v>
      </c>
      <c r="C1349">
        <v>112.839996</v>
      </c>
      <c r="D1349">
        <v>110.540001</v>
      </c>
      <c r="E1349">
        <v>112.510002</v>
      </c>
      <c r="F1349">
        <v>97.606125000000006</v>
      </c>
      <c r="G1349">
        <v>13189000</v>
      </c>
      <c r="I1349">
        <f t="shared" si="21"/>
        <v>2.2073935489075333E-4</v>
      </c>
    </row>
    <row r="1350" spans="1:9" x14ac:dyDescent="0.3">
      <c r="A1350" s="5">
        <v>43598</v>
      </c>
      <c r="B1350">
        <v>110.08000199999999</v>
      </c>
      <c r="C1350">
        <v>110.449997</v>
      </c>
      <c r="D1350">
        <v>108.980003</v>
      </c>
      <c r="E1350">
        <v>109.449997</v>
      </c>
      <c r="F1350">
        <v>94.951462000000006</v>
      </c>
      <c r="G1350">
        <v>13783700</v>
      </c>
      <c r="I1350">
        <f t="shared" si="21"/>
        <v>7.3737605674944622E-5</v>
      </c>
    </row>
    <row r="1351" spans="1:9" x14ac:dyDescent="0.3">
      <c r="A1351" s="5">
        <v>43599</v>
      </c>
      <c r="B1351">
        <v>109.550003</v>
      </c>
      <c r="C1351">
        <v>111.720001</v>
      </c>
      <c r="D1351">
        <v>109.5</v>
      </c>
      <c r="E1351">
        <v>110.32</v>
      </c>
      <c r="F1351">
        <v>95.706215</v>
      </c>
      <c r="G1351">
        <v>10503600</v>
      </c>
      <c r="I1351">
        <f t="shared" si="21"/>
        <v>2.5075708344484402E-4</v>
      </c>
    </row>
    <row r="1352" spans="1:9" x14ac:dyDescent="0.3">
      <c r="A1352" s="5">
        <v>43600</v>
      </c>
      <c r="B1352">
        <v>109.209999</v>
      </c>
      <c r="C1352">
        <v>110.900002</v>
      </c>
      <c r="D1352">
        <v>108.610001</v>
      </c>
      <c r="E1352">
        <v>109.900002</v>
      </c>
      <c r="F1352">
        <v>95.341842999999997</v>
      </c>
      <c r="G1352">
        <v>10142000</v>
      </c>
      <c r="I1352">
        <f t="shared" si="21"/>
        <v>2.0414619750308566E-4</v>
      </c>
    </row>
    <row r="1353" spans="1:9" x14ac:dyDescent="0.3">
      <c r="A1353" s="5">
        <v>43601</v>
      </c>
      <c r="B1353">
        <v>110.620003</v>
      </c>
      <c r="C1353">
        <v>112.16999800000001</v>
      </c>
      <c r="D1353">
        <v>110.589996</v>
      </c>
      <c r="E1353">
        <v>111.30999799999999</v>
      </c>
      <c r="F1353">
        <v>96.565071000000003</v>
      </c>
      <c r="G1353">
        <v>9672700</v>
      </c>
      <c r="I1353">
        <f t="shared" si="21"/>
        <v>1.0885418552839505E-4</v>
      </c>
    </row>
    <row r="1354" spans="1:9" x14ac:dyDescent="0.3">
      <c r="A1354" s="5">
        <v>43602</v>
      </c>
      <c r="B1354">
        <v>110</v>
      </c>
      <c r="C1354">
        <v>111.75</v>
      </c>
      <c r="D1354">
        <v>109.83000199999999</v>
      </c>
      <c r="E1354">
        <v>110.769997</v>
      </c>
      <c r="F1354">
        <v>96.096610999999996</v>
      </c>
      <c r="G1354">
        <v>9570100</v>
      </c>
      <c r="I1354">
        <f t="shared" si="21"/>
        <v>1.522094766240612E-4</v>
      </c>
    </row>
    <row r="1355" spans="1:9" x14ac:dyDescent="0.3">
      <c r="A1355" s="5">
        <v>43605</v>
      </c>
      <c r="B1355">
        <v>110.58000199999999</v>
      </c>
      <c r="C1355">
        <v>111.80999799999999</v>
      </c>
      <c r="D1355">
        <v>110.370003</v>
      </c>
      <c r="E1355">
        <v>111.349998</v>
      </c>
      <c r="F1355">
        <v>96.599761999999998</v>
      </c>
      <c r="G1355">
        <v>8518200</v>
      </c>
      <c r="I1355">
        <f t="shared" si="21"/>
        <v>6.2406871867893893E-5</v>
      </c>
    </row>
    <row r="1356" spans="1:9" x14ac:dyDescent="0.3">
      <c r="A1356" s="5">
        <v>43606</v>
      </c>
      <c r="B1356">
        <v>111.44000200000001</v>
      </c>
      <c r="C1356">
        <v>111.91999800000001</v>
      </c>
      <c r="D1356">
        <v>111.220001</v>
      </c>
      <c r="E1356">
        <v>111.730003</v>
      </c>
      <c r="F1356">
        <v>96.929435999999995</v>
      </c>
      <c r="G1356">
        <v>7967900</v>
      </c>
      <c r="I1356">
        <f t="shared" ref="I1356:I1419" si="22">LN(C1356/B1356)*(LN(C1356/B1356)-LN(E1356/B1356))+LN(D1356/B1356)*(LN(D1356/B1356)-LN(E1356/B1356))</f>
        <v>1.6343228660937247E-5</v>
      </c>
    </row>
    <row r="1357" spans="1:9" x14ac:dyDescent="0.3">
      <c r="A1357" s="5">
        <v>43607</v>
      </c>
      <c r="B1357">
        <v>111.400002</v>
      </c>
      <c r="C1357">
        <v>111.790001</v>
      </c>
      <c r="D1357">
        <v>110.75</v>
      </c>
      <c r="E1357">
        <v>110.82</v>
      </c>
      <c r="F1357">
        <v>96.139999000000003</v>
      </c>
      <c r="G1357">
        <v>7918900</v>
      </c>
      <c r="I1357">
        <f t="shared" si="22"/>
        <v>3.4154034231036874E-5</v>
      </c>
    </row>
    <row r="1358" spans="1:9" x14ac:dyDescent="0.3">
      <c r="A1358" s="5">
        <v>43608</v>
      </c>
      <c r="B1358">
        <v>109.639999</v>
      </c>
      <c r="C1358">
        <v>109.790001</v>
      </c>
      <c r="D1358">
        <v>107.5</v>
      </c>
      <c r="E1358">
        <v>108.639999</v>
      </c>
      <c r="F1358">
        <v>94.248772000000002</v>
      </c>
      <c r="G1358">
        <v>14558000</v>
      </c>
      <c r="I1358">
        <f t="shared" si="22"/>
        <v>2.2232822849850347E-4</v>
      </c>
    </row>
    <row r="1359" spans="1:9" x14ac:dyDescent="0.3">
      <c r="A1359" s="5">
        <v>43609</v>
      </c>
      <c r="B1359">
        <v>109.519997</v>
      </c>
      <c r="C1359">
        <v>109.959999</v>
      </c>
      <c r="D1359">
        <v>109.19000200000001</v>
      </c>
      <c r="E1359">
        <v>109.709999</v>
      </c>
      <c r="F1359">
        <v>95.177017000000006</v>
      </c>
      <c r="G1359">
        <v>8537300</v>
      </c>
      <c r="I1359">
        <f t="shared" si="22"/>
        <v>2.3463084053747776E-5</v>
      </c>
    </row>
    <row r="1360" spans="1:9" x14ac:dyDescent="0.3">
      <c r="A1360" s="5">
        <v>43613</v>
      </c>
      <c r="B1360">
        <v>109.199997</v>
      </c>
      <c r="C1360">
        <v>109.83000199999999</v>
      </c>
      <c r="D1360">
        <v>108.44000200000001</v>
      </c>
      <c r="E1360">
        <v>108.519997</v>
      </c>
      <c r="F1360">
        <v>94.144653000000005</v>
      </c>
      <c r="G1360">
        <v>11665500</v>
      </c>
      <c r="I1360">
        <f t="shared" si="22"/>
        <v>7.4178316319637442E-5</v>
      </c>
    </row>
    <row r="1361" spans="1:9" x14ac:dyDescent="0.3">
      <c r="A1361" s="5">
        <v>43614</v>
      </c>
      <c r="B1361">
        <v>107.449997</v>
      </c>
      <c r="C1361">
        <v>108.400002</v>
      </c>
      <c r="D1361">
        <v>107.05999799999999</v>
      </c>
      <c r="E1361">
        <v>108.220001</v>
      </c>
      <c r="F1361">
        <v>93.884392000000005</v>
      </c>
      <c r="G1361">
        <v>9966400</v>
      </c>
      <c r="I1361">
        <f t="shared" si="22"/>
        <v>5.3815410801601407E-5</v>
      </c>
    </row>
    <row r="1362" spans="1:9" x14ac:dyDescent="0.3">
      <c r="A1362" s="5">
        <v>43615</v>
      </c>
      <c r="B1362">
        <v>108.650002</v>
      </c>
      <c r="C1362">
        <v>109.18</v>
      </c>
      <c r="D1362">
        <v>106.540001</v>
      </c>
      <c r="E1362">
        <v>107.05999799999999</v>
      </c>
      <c r="F1362">
        <v>92.878044000000003</v>
      </c>
      <c r="G1362">
        <v>10367800</v>
      </c>
      <c r="I1362">
        <f t="shared" si="22"/>
        <v>1.9090322146040747E-4</v>
      </c>
    </row>
    <row r="1363" spans="1:9" x14ac:dyDescent="0.3">
      <c r="A1363" s="5">
        <v>43616</v>
      </c>
      <c r="B1363">
        <v>105.55999799999999</v>
      </c>
      <c r="C1363">
        <v>106.589996</v>
      </c>
      <c r="D1363">
        <v>104.839996</v>
      </c>
      <c r="E1363">
        <v>105.959999</v>
      </c>
      <c r="F1363">
        <v>91.923782000000003</v>
      </c>
      <c r="G1363">
        <v>10952800</v>
      </c>
      <c r="I1363">
        <f t="shared" si="22"/>
        <v>1.3029005593347267E-4</v>
      </c>
    </row>
    <row r="1364" spans="1:9" x14ac:dyDescent="0.3">
      <c r="A1364" s="5">
        <v>43619</v>
      </c>
      <c r="B1364">
        <v>105.800003</v>
      </c>
      <c r="C1364">
        <v>106.860001</v>
      </c>
      <c r="D1364">
        <v>105.300003</v>
      </c>
      <c r="E1364">
        <v>106.459999</v>
      </c>
      <c r="F1364">
        <v>92.357544000000004</v>
      </c>
      <c r="G1364">
        <v>11680700</v>
      </c>
      <c r="I1364">
        <f t="shared" si="22"/>
        <v>8.9285479625330781E-5</v>
      </c>
    </row>
    <row r="1365" spans="1:9" x14ac:dyDescent="0.3">
      <c r="A1365" s="5">
        <v>43620</v>
      </c>
      <c r="B1365">
        <v>107.849998</v>
      </c>
      <c r="C1365">
        <v>109.900002</v>
      </c>
      <c r="D1365">
        <v>107.129997</v>
      </c>
      <c r="E1365">
        <v>109.739998</v>
      </c>
      <c r="F1365">
        <v>95.203040999999999</v>
      </c>
      <c r="G1365">
        <v>12858600</v>
      </c>
      <c r="I1365">
        <f t="shared" si="22"/>
        <v>1.8866880281987857E-4</v>
      </c>
    </row>
    <row r="1366" spans="1:9" x14ac:dyDescent="0.3">
      <c r="A1366" s="5">
        <v>43621</v>
      </c>
      <c r="B1366">
        <v>109.860001</v>
      </c>
      <c r="C1366">
        <v>110.379997</v>
      </c>
      <c r="D1366">
        <v>108.639999</v>
      </c>
      <c r="E1366">
        <v>110.129997</v>
      </c>
      <c r="F1366">
        <v>95.541381999999999</v>
      </c>
      <c r="G1366">
        <v>8340500</v>
      </c>
      <c r="I1366">
        <f t="shared" si="22"/>
        <v>1.6282438874926482E-4</v>
      </c>
    </row>
    <row r="1367" spans="1:9" x14ac:dyDescent="0.3">
      <c r="A1367" s="5">
        <v>43622</v>
      </c>
      <c r="B1367">
        <v>110.150002</v>
      </c>
      <c r="C1367">
        <v>110.870003</v>
      </c>
      <c r="D1367">
        <v>108.93</v>
      </c>
      <c r="E1367">
        <v>110.370003</v>
      </c>
      <c r="F1367">
        <v>95.749595999999997</v>
      </c>
      <c r="G1367">
        <v>8726700</v>
      </c>
      <c r="I1367">
        <f t="shared" si="22"/>
        <v>1.7571830651138859E-4</v>
      </c>
    </row>
    <row r="1368" spans="1:9" x14ac:dyDescent="0.3">
      <c r="A1368" s="5">
        <v>43623</v>
      </c>
      <c r="B1368">
        <v>109.699997</v>
      </c>
      <c r="C1368">
        <v>110.019997</v>
      </c>
      <c r="D1368">
        <v>108.959999</v>
      </c>
      <c r="E1368">
        <v>109.160004</v>
      </c>
      <c r="F1368">
        <v>94.699889999999996</v>
      </c>
      <c r="G1368">
        <v>10618900</v>
      </c>
      <c r="I1368">
        <f t="shared" si="22"/>
        <v>3.5270690512534927E-5</v>
      </c>
    </row>
    <row r="1369" spans="1:9" x14ac:dyDescent="0.3">
      <c r="A1369" s="5">
        <v>43626</v>
      </c>
      <c r="B1369">
        <v>110.75</v>
      </c>
      <c r="C1369">
        <v>111.209999</v>
      </c>
      <c r="D1369">
        <v>110.220001</v>
      </c>
      <c r="E1369">
        <v>110.339996</v>
      </c>
      <c r="F1369">
        <v>95.723557</v>
      </c>
      <c r="G1369">
        <v>11380600</v>
      </c>
      <c r="I1369">
        <f t="shared" si="22"/>
        <v>3.7772846729560358E-5</v>
      </c>
    </row>
    <row r="1370" spans="1:9" x14ac:dyDescent="0.3">
      <c r="A1370" s="5">
        <v>43627</v>
      </c>
      <c r="B1370">
        <v>110.82</v>
      </c>
      <c r="C1370">
        <v>111.57</v>
      </c>
      <c r="D1370">
        <v>110.370003</v>
      </c>
      <c r="E1370">
        <v>110.68</v>
      </c>
      <c r="F1370">
        <v>96.018523999999999</v>
      </c>
      <c r="G1370">
        <v>9847700</v>
      </c>
      <c r="I1370">
        <f t="shared" si="22"/>
        <v>6.5432718979607031E-5</v>
      </c>
    </row>
    <row r="1371" spans="1:9" x14ac:dyDescent="0.3">
      <c r="A1371" s="5">
        <v>43628</v>
      </c>
      <c r="B1371">
        <v>110.699997</v>
      </c>
      <c r="C1371">
        <v>110.900002</v>
      </c>
      <c r="D1371">
        <v>108.889999</v>
      </c>
      <c r="E1371">
        <v>109.269997</v>
      </c>
      <c r="F1371">
        <v>94.795303000000004</v>
      </c>
      <c r="G1371">
        <v>9670500</v>
      </c>
      <c r="I1371">
        <f t="shared" si="22"/>
        <v>8.4158635530076349E-5</v>
      </c>
    </row>
    <row r="1372" spans="1:9" x14ac:dyDescent="0.3">
      <c r="A1372" s="5">
        <v>43629</v>
      </c>
      <c r="B1372">
        <v>109.459999</v>
      </c>
      <c r="C1372">
        <v>110.160004</v>
      </c>
      <c r="D1372">
        <v>109.050003</v>
      </c>
      <c r="E1372">
        <v>109.540001</v>
      </c>
      <c r="F1372">
        <v>95.029555999999999</v>
      </c>
      <c r="G1372">
        <v>8406900</v>
      </c>
      <c r="I1372">
        <f t="shared" si="22"/>
        <v>5.2803704140021263E-5</v>
      </c>
    </row>
    <row r="1373" spans="1:9" x14ac:dyDescent="0.3">
      <c r="A1373" s="5">
        <v>43630</v>
      </c>
      <c r="B1373">
        <v>109.57</v>
      </c>
      <c r="C1373">
        <v>110.300003</v>
      </c>
      <c r="D1373">
        <v>108.629997</v>
      </c>
      <c r="E1373">
        <v>109.82</v>
      </c>
      <c r="F1373">
        <v>95.272452999999999</v>
      </c>
      <c r="G1373">
        <v>9077400</v>
      </c>
      <c r="I1373">
        <f t="shared" si="22"/>
        <v>1.2283276091415129E-4</v>
      </c>
    </row>
    <row r="1374" spans="1:9" x14ac:dyDescent="0.3">
      <c r="A1374" s="5">
        <v>43633</v>
      </c>
      <c r="B1374">
        <v>109.699997</v>
      </c>
      <c r="C1374">
        <v>110.370003</v>
      </c>
      <c r="D1374">
        <v>109.05999799999999</v>
      </c>
      <c r="E1374">
        <v>109.220001</v>
      </c>
      <c r="F1374">
        <v>94.751914999999997</v>
      </c>
      <c r="G1374">
        <v>8128600</v>
      </c>
      <c r="I1374">
        <f t="shared" si="22"/>
        <v>7.235576471033723E-5</v>
      </c>
    </row>
    <row r="1375" spans="1:9" x14ac:dyDescent="0.3">
      <c r="A1375" s="5">
        <v>43634</v>
      </c>
      <c r="B1375">
        <v>109.010002</v>
      </c>
      <c r="C1375">
        <v>111.410004</v>
      </c>
      <c r="D1375">
        <v>108.980003</v>
      </c>
      <c r="E1375">
        <v>110.709999</v>
      </c>
      <c r="F1375">
        <v>96.044548000000006</v>
      </c>
      <c r="G1375">
        <v>11057300</v>
      </c>
      <c r="I1375">
        <f t="shared" si="22"/>
        <v>1.4159758708019442E-4</v>
      </c>
    </row>
    <row r="1376" spans="1:9" x14ac:dyDescent="0.3">
      <c r="A1376" s="5">
        <v>43635</v>
      </c>
      <c r="B1376">
        <v>110.82</v>
      </c>
      <c r="C1376">
        <v>111.589996</v>
      </c>
      <c r="D1376">
        <v>109.699997</v>
      </c>
      <c r="E1376">
        <v>109.910004</v>
      </c>
      <c r="F1376">
        <v>95.350532999999999</v>
      </c>
      <c r="G1376">
        <v>13126500</v>
      </c>
      <c r="I1376">
        <f t="shared" si="22"/>
        <v>1.2446337759066219E-4</v>
      </c>
    </row>
    <row r="1377" spans="1:9" x14ac:dyDescent="0.3">
      <c r="A1377" s="5">
        <v>43636</v>
      </c>
      <c r="B1377">
        <v>110.879997</v>
      </c>
      <c r="C1377">
        <v>111.089996</v>
      </c>
      <c r="D1377">
        <v>109.029999</v>
      </c>
      <c r="E1377">
        <v>110.19000200000001</v>
      </c>
      <c r="F1377">
        <v>95.593445000000003</v>
      </c>
      <c r="G1377">
        <v>13638000</v>
      </c>
      <c r="I1377">
        <f t="shared" si="22"/>
        <v>1.934569603492347E-4</v>
      </c>
    </row>
    <row r="1378" spans="1:9" x14ac:dyDescent="0.3">
      <c r="A1378" s="5">
        <v>43637</v>
      </c>
      <c r="B1378">
        <v>110.19000200000001</v>
      </c>
      <c r="C1378">
        <v>111.66999800000001</v>
      </c>
      <c r="D1378">
        <v>109.089996</v>
      </c>
      <c r="E1378">
        <v>109.44000200000001</v>
      </c>
      <c r="F1378">
        <v>94.942818000000003</v>
      </c>
      <c r="G1378">
        <v>27089500</v>
      </c>
      <c r="I1378">
        <f t="shared" si="22"/>
        <v>3.0126611092006611E-4</v>
      </c>
    </row>
    <row r="1379" spans="1:9" x14ac:dyDescent="0.3">
      <c r="A1379" s="5">
        <v>43640</v>
      </c>
      <c r="B1379">
        <v>109.279999</v>
      </c>
      <c r="C1379">
        <v>109.769997</v>
      </c>
      <c r="D1379">
        <v>108.540001</v>
      </c>
      <c r="E1379">
        <v>108.660004</v>
      </c>
      <c r="F1379">
        <v>94.266129000000006</v>
      </c>
      <c r="G1379">
        <v>13039600</v>
      </c>
      <c r="I1379">
        <f t="shared" si="22"/>
        <v>5.2977887331913958E-5</v>
      </c>
    </row>
    <row r="1380" spans="1:9" x14ac:dyDescent="0.3">
      <c r="A1380" s="5">
        <v>43641</v>
      </c>
      <c r="B1380">
        <v>108.68</v>
      </c>
      <c r="C1380">
        <v>108.980003</v>
      </c>
      <c r="D1380">
        <v>107.66999800000001</v>
      </c>
      <c r="E1380">
        <v>107.760002</v>
      </c>
      <c r="F1380">
        <v>93.485352000000006</v>
      </c>
      <c r="G1380">
        <v>18660100</v>
      </c>
      <c r="I1380">
        <f t="shared" si="22"/>
        <v>3.8835263244712043E-5</v>
      </c>
    </row>
    <row r="1381" spans="1:9" x14ac:dyDescent="0.3">
      <c r="A1381" s="5">
        <v>43642</v>
      </c>
      <c r="B1381">
        <v>108.300003</v>
      </c>
      <c r="C1381">
        <v>109.30999799999999</v>
      </c>
      <c r="D1381">
        <v>108.160004</v>
      </c>
      <c r="E1381">
        <v>108.480003</v>
      </c>
      <c r="F1381">
        <v>94.109961999999996</v>
      </c>
      <c r="G1381">
        <v>10324600</v>
      </c>
      <c r="I1381">
        <f t="shared" si="22"/>
        <v>7.4574074230727381E-5</v>
      </c>
    </row>
    <row r="1382" spans="1:9" x14ac:dyDescent="0.3">
      <c r="A1382" s="5">
        <v>43643</v>
      </c>
      <c r="B1382">
        <v>108.839996</v>
      </c>
      <c r="C1382">
        <v>109.550003</v>
      </c>
      <c r="D1382">
        <v>108.44000200000001</v>
      </c>
      <c r="E1382">
        <v>108.839996</v>
      </c>
      <c r="F1382">
        <v>94.422256000000004</v>
      </c>
      <c r="G1382">
        <v>10906600</v>
      </c>
      <c r="I1382">
        <f t="shared" si="22"/>
        <v>5.5834718589102252E-5</v>
      </c>
    </row>
    <row r="1383" spans="1:9" x14ac:dyDescent="0.3">
      <c r="A1383" s="5">
        <v>43644</v>
      </c>
      <c r="B1383">
        <v>111.040001</v>
      </c>
      <c r="C1383">
        <v>112.43</v>
      </c>
      <c r="D1383">
        <v>110.900002</v>
      </c>
      <c r="E1383">
        <v>111.800003</v>
      </c>
      <c r="F1383">
        <v>96.990166000000002</v>
      </c>
      <c r="G1383">
        <v>21634700</v>
      </c>
      <c r="I1383">
        <f t="shared" si="22"/>
        <v>8.0101809674967275E-5</v>
      </c>
    </row>
    <row r="1384" spans="1:9" x14ac:dyDescent="0.3">
      <c r="A1384" s="5">
        <v>43647</v>
      </c>
      <c r="B1384">
        <v>113.230003</v>
      </c>
      <c r="C1384">
        <v>114.519997</v>
      </c>
      <c r="D1384">
        <v>113.08000199999999</v>
      </c>
      <c r="E1384">
        <v>113.68</v>
      </c>
      <c r="F1384">
        <v>98.621116999999998</v>
      </c>
      <c r="G1384">
        <v>12724500</v>
      </c>
      <c r="I1384">
        <f t="shared" si="22"/>
        <v>9.0413569881879157E-5</v>
      </c>
    </row>
    <row r="1385" spans="1:9" x14ac:dyDescent="0.3">
      <c r="A1385" s="5">
        <v>43648</v>
      </c>
      <c r="B1385">
        <v>113.510002</v>
      </c>
      <c r="C1385">
        <v>114.199997</v>
      </c>
      <c r="D1385">
        <v>113.220001</v>
      </c>
      <c r="E1385">
        <v>113.800003</v>
      </c>
      <c r="F1385">
        <v>98.725227000000004</v>
      </c>
      <c r="G1385">
        <v>10174900</v>
      </c>
      <c r="I1385">
        <f t="shared" si="22"/>
        <v>3.4335212012731578E-5</v>
      </c>
    </row>
    <row r="1386" spans="1:9" x14ac:dyDescent="0.3">
      <c r="A1386" s="5">
        <v>43649</v>
      </c>
      <c r="B1386">
        <v>113.339996</v>
      </c>
      <c r="C1386">
        <v>113.870003</v>
      </c>
      <c r="D1386">
        <v>112.260002</v>
      </c>
      <c r="E1386">
        <v>112.82</v>
      </c>
      <c r="F1386">
        <v>98.567977999999997</v>
      </c>
      <c r="G1386">
        <v>6849400</v>
      </c>
      <c r="I1386">
        <f t="shared" si="22"/>
        <v>9.0861812393348485E-5</v>
      </c>
    </row>
    <row r="1387" spans="1:9" x14ac:dyDescent="0.3">
      <c r="A1387" s="5">
        <v>43651</v>
      </c>
      <c r="B1387">
        <v>113.510002</v>
      </c>
      <c r="C1387">
        <v>114.269997</v>
      </c>
      <c r="D1387">
        <v>112.91999800000001</v>
      </c>
      <c r="E1387">
        <v>113.489998</v>
      </c>
      <c r="F1387">
        <v>99.153335999999996</v>
      </c>
      <c r="G1387">
        <v>7929400</v>
      </c>
      <c r="I1387">
        <f t="shared" si="22"/>
        <v>7.1946090971302626E-5</v>
      </c>
    </row>
    <row r="1388" spans="1:9" x14ac:dyDescent="0.3">
      <c r="A1388" s="5">
        <v>43654</v>
      </c>
      <c r="B1388">
        <v>112.959999</v>
      </c>
      <c r="C1388">
        <v>113.480003</v>
      </c>
      <c r="D1388">
        <v>112.5</v>
      </c>
      <c r="E1388">
        <v>112.870003</v>
      </c>
      <c r="F1388">
        <v>98.611649</v>
      </c>
      <c r="G1388">
        <v>6917200</v>
      </c>
      <c r="I1388">
        <f t="shared" si="22"/>
        <v>3.8153639750418167E-5</v>
      </c>
    </row>
    <row r="1389" spans="1:9" x14ac:dyDescent="0.3">
      <c r="A1389" s="5">
        <v>43655</v>
      </c>
      <c r="B1389">
        <v>112.279999</v>
      </c>
      <c r="C1389">
        <v>113.489998</v>
      </c>
      <c r="D1389">
        <v>112.150002</v>
      </c>
      <c r="E1389">
        <v>113.349998</v>
      </c>
      <c r="F1389">
        <v>99.031020999999996</v>
      </c>
      <c r="G1389">
        <v>8947300</v>
      </c>
      <c r="I1389">
        <f t="shared" si="22"/>
        <v>2.5560584492509892E-5</v>
      </c>
    </row>
    <row r="1390" spans="1:9" x14ac:dyDescent="0.3">
      <c r="A1390" s="5">
        <v>43656</v>
      </c>
      <c r="B1390">
        <v>113.370003</v>
      </c>
      <c r="C1390">
        <v>113.83000199999999</v>
      </c>
      <c r="D1390">
        <v>112.739998</v>
      </c>
      <c r="E1390">
        <v>113.019997</v>
      </c>
      <c r="F1390">
        <v>98.742699000000002</v>
      </c>
      <c r="G1390">
        <v>9242300</v>
      </c>
      <c r="I1390">
        <f t="shared" si="22"/>
        <v>4.274021291742079E-5</v>
      </c>
    </row>
    <row r="1391" spans="1:9" x14ac:dyDescent="0.3">
      <c r="A1391" s="5">
        <v>43657</v>
      </c>
      <c r="B1391">
        <v>113.370003</v>
      </c>
      <c r="C1391">
        <v>114.360001</v>
      </c>
      <c r="D1391">
        <v>113.120003</v>
      </c>
      <c r="E1391">
        <v>114.099998</v>
      </c>
      <c r="F1391">
        <v>99.686286999999993</v>
      </c>
      <c r="G1391">
        <v>11595200</v>
      </c>
      <c r="I1391">
        <f t="shared" si="22"/>
        <v>3.8832785534406121E-5</v>
      </c>
    </row>
    <row r="1392" spans="1:9" x14ac:dyDescent="0.3">
      <c r="A1392" s="5">
        <v>43658</v>
      </c>
      <c r="B1392">
        <v>114.129997</v>
      </c>
      <c r="C1392">
        <v>115.349998</v>
      </c>
      <c r="D1392">
        <v>113.93</v>
      </c>
      <c r="E1392">
        <v>115.300003</v>
      </c>
      <c r="F1392">
        <v>100.734695</v>
      </c>
      <c r="G1392">
        <v>10783400</v>
      </c>
      <c r="I1392">
        <f t="shared" si="22"/>
        <v>2.5574237114209977E-5</v>
      </c>
    </row>
    <row r="1393" spans="1:9" x14ac:dyDescent="0.3">
      <c r="A1393" s="5">
        <v>43661</v>
      </c>
      <c r="B1393">
        <v>115.540001</v>
      </c>
      <c r="C1393">
        <v>115.57</v>
      </c>
      <c r="D1393">
        <v>113.529999</v>
      </c>
      <c r="E1393">
        <v>113.900002</v>
      </c>
      <c r="F1393">
        <v>99.511536000000007</v>
      </c>
      <c r="G1393">
        <v>12946600</v>
      </c>
      <c r="I1393">
        <f t="shared" si="22"/>
        <v>6.0881513426877526E-5</v>
      </c>
    </row>
    <row r="1394" spans="1:9" x14ac:dyDescent="0.3">
      <c r="A1394" s="5">
        <v>43662</v>
      </c>
      <c r="B1394">
        <v>113.480003</v>
      </c>
      <c r="C1394">
        <v>115.5</v>
      </c>
      <c r="D1394">
        <v>112.91999800000001</v>
      </c>
      <c r="E1394">
        <v>115.120003</v>
      </c>
      <c r="F1394">
        <v>100.577423</v>
      </c>
      <c r="G1394">
        <v>16945000</v>
      </c>
      <c r="I1394">
        <f t="shared" si="22"/>
        <v>1.5360024753405932E-4</v>
      </c>
    </row>
    <row r="1395" spans="1:9" x14ac:dyDescent="0.3">
      <c r="A1395" s="5">
        <v>43663</v>
      </c>
      <c r="B1395">
        <v>114.43</v>
      </c>
      <c r="C1395">
        <v>114.94000200000001</v>
      </c>
      <c r="D1395">
        <v>113.730003</v>
      </c>
      <c r="E1395">
        <v>113.989998</v>
      </c>
      <c r="F1395">
        <v>99.590148999999997</v>
      </c>
      <c r="G1395">
        <v>13120900</v>
      </c>
      <c r="I1395">
        <f t="shared" si="22"/>
        <v>5.0919473290758173E-5</v>
      </c>
    </row>
    <row r="1396" spans="1:9" x14ac:dyDescent="0.3">
      <c r="A1396" s="5">
        <v>43664</v>
      </c>
      <c r="B1396">
        <v>113.93</v>
      </c>
      <c r="C1396">
        <v>115.07</v>
      </c>
      <c r="D1396">
        <v>113.550003</v>
      </c>
      <c r="E1396">
        <v>114.66999800000001</v>
      </c>
      <c r="F1396">
        <v>100.184265</v>
      </c>
      <c r="G1396">
        <v>9397200</v>
      </c>
      <c r="I1396">
        <f t="shared" si="22"/>
        <v>6.7462051865209243E-5</v>
      </c>
    </row>
    <row r="1397" spans="1:9" x14ac:dyDescent="0.3">
      <c r="A1397" s="5">
        <v>43665</v>
      </c>
      <c r="B1397">
        <v>114.889999</v>
      </c>
      <c r="C1397">
        <v>115.120003</v>
      </c>
      <c r="D1397">
        <v>113.400002</v>
      </c>
      <c r="E1397">
        <v>113.540001</v>
      </c>
      <c r="F1397">
        <v>99.197006000000002</v>
      </c>
      <c r="G1397">
        <v>10402800</v>
      </c>
      <c r="I1397">
        <f t="shared" si="22"/>
        <v>4.3744714665015053E-5</v>
      </c>
    </row>
    <row r="1398" spans="1:9" x14ac:dyDescent="0.3">
      <c r="A1398" s="5">
        <v>43668</v>
      </c>
      <c r="B1398">
        <v>112.910004</v>
      </c>
      <c r="C1398">
        <v>114.449997</v>
      </c>
      <c r="D1398">
        <v>112.769997</v>
      </c>
      <c r="E1398">
        <v>114.269997</v>
      </c>
      <c r="F1398">
        <v>99.834800999999999</v>
      </c>
      <c r="G1398">
        <v>9061100</v>
      </c>
      <c r="I1398">
        <f t="shared" si="22"/>
        <v>3.7717600743449776E-5</v>
      </c>
    </row>
    <row r="1399" spans="1:9" x14ac:dyDescent="0.3">
      <c r="A1399" s="5">
        <v>43669</v>
      </c>
      <c r="B1399">
        <v>114.879997</v>
      </c>
      <c r="C1399">
        <v>116.449997</v>
      </c>
      <c r="D1399">
        <v>114.82</v>
      </c>
      <c r="E1399">
        <v>116.360001</v>
      </c>
      <c r="F1399">
        <v>101.66076700000001</v>
      </c>
      <c r="G1399">
        <v>12752200</v>
      </c>
      <c r="I1399">
        <f t="shared" si="22"/>
        <v>1.7454303684065731E-5</v>
      </c>
    </row>
    <row r="1400" spans="1:9" x14ac:dyDescent="0.3">
      <c r="A1400" s="5">
        <v>43670</v>
      </c>
      <c r="B1400">
        <v>115.58000199999999</v>
      </c>
      <c r="C1400">
        <v>116.879997</v>
      </c>
      <c r="D1400">
        <v>115.519997</v>
      </c>
      <c r="E1400">
        <v>116.83000199999999</v>
      </c>
      <c r="F1400">
        <v>102.071404</v>
      </c>
      <c r="G1400">
        <v>10011000</v>
      </c>
      <c r="I1400">
        <f t="shared" si="22"/>
        <v>1.0641026887442941E-5</v>
      </c>
    </row>
    <row r="1401" spans="1:9" x14ac:dyDescent="0.3">
      <c r="A1401" s="5">
        <v>43671</v>
      </c>
      <c r="B1401">
        <v>116.889999</v>
      </c>
      <c r="C1401">
        <v>117.239998</v>
      </c>
      <c r="D1401">
        <v>115.32</v>
      </c>
      <c r="E1401">
        <v>115.709999</v>
      </c>
      <c r="F1401">
        <v>101.092888</v>
      </c>
      <c r="G1401">
        <v>10138400</v>
      </c>
      <c r="I1401">
        <f t="shared" si="22"/>
        <v>8.4928149727196147E-5</v>
      </c>
    </row>
    <row r="1402" spans="1:9" x14ac:dyDescent="0.3">
      <c r="A1402" s="5">
        <v>43672</v>
      </c>
      <c r="B1402">
        <v>115.769997</v>
      </c>
      <c r="C1402">
        <v>116.510002</v>
      </c>
      <c r="D1402">
        <v>115.529999</v>
      </c>
      <c r="E1402">
        <v>116.220001</v>
      </c>
      <c r="F1402">
        <v>101.538467</v>
      </c>
      <c r="G1402">
        <v>12800400</v>
      </c>
      <c r="I1402">
        <f t="shared" si="22"/>
        <v>2.8236623271332601E-5</v>
      </c>
    </row>
    <row r="1403" spans="1:9" x14ac:dyDescent="0.3">
      <c r="A1403" s="5">
        <v>43675</v>
      </c>
      <c r="B1403">
        <v>116.459999</v>
      </c>
      <c r="C1403">
        <v>117.18</v>
      </c>
      <c r="D1403">
        <v>115.790001</v>
      </c>
      <c r="E1403">
        <v>115.849998</v>
      </c>
      <c r="F1403">
        <v>101.21521</v>
      </c>
      <c r="G1403">
        <v>8500400</v>
      </c>
      <c r="I1403">
        <f t="shared" si="22"/>
        <v>7.3343378957886683E-5</v>
      </c>
    </row>
    <row r="1404" spans="1:9" x14ac:dyDescent="0.3">
      <c r="A1404" s="5">
        <v>43676</v>
      </c>
      <c r="B1404">
        <v>115.19000200000001</v>
      </c>
      <c r="C1404">
        <v>116.08000199999999</v>
      </c>
      <c r="D1404">
        <v>114.760002</v>
      </c>
      <c r="E1404">
        <v>115.589996</v>
      </c>
      <c r="F1404">
        <v>100.988052</v>
      </c>
      <c r="G1404">
        <v>7121100</v>
      </c>
      <c r="I1404">
        <f t="shared" si="22"/>
        <v>5.9510127295385974E-5</v>
      </c>
    </row>
    <row r="1405" spans="1:9" x14ac:dyDescent="0.3">
      <c r="A1405" s="5">
        <v>43677</v>
      </c>
      <c r="B1405">
        <v>116.099998</v>
      </c>
      <c r="C1405">
        <v>116.18</v>
      </c>
      <c r="D1405">
        <v>114.860001</v>
      </c>
      <c r="E1405">
        <v>116</v>
      </c>
      <c r="F1405">
        <v>101.346245</v>
      </c>
      <c r="G1405">
        <v>13648000</v>
      </c>
      <c r="I1405">
        <f t="shared" si="22"/>
        <v>1.0711724828052602E-4</v>
      </c>
    </row>
    <row r="1406" spans="1:9" x14ac:dyDescent="0.3">
      <c r="A1406" s="5">
        <v>43678</v>
      </c>
      <c r="B1406">
        <v>115.33000199999999</v>
      </c>
      <c r="C1406">
        <v>116.800003</v>
      </c>
      <c r="D1406">
        <v>112.599998</v>
      </c>
      <c r="E1406">
        <v>112.94000200000001</v>
      </c>
      <c r="F1406">
        <v>98.672813000000005</v>
      </c>
      <c r="G1406">
        <v>15664500</v>
      </c>
      <c r="I1406">
        <f t="shared" si="22"/>
        <v>4.9786897127852131E-4</v>
      </c>
    </row>
    <row r="1407" spans="1:9" x14ac:dyDescent="0.3">
      <c r="A1407" s="5">
        <v>43679</v>
      </c>
      <c r="B1407">
        <v>112.400002</v>
      </c>
      <c r="C1407">
        <v>113.43</v>
      </c>
      <c r="D1407">
        <v>111.400002</v>
      </c>
      <c r="E1407">
        <v>112.93</v>
      </c>
      <c r="F1407">
        <v>98.664092999999994</v>
      </c>
      <c r="G1407">
        <v>11025500</v>
      </c>
      <c r="I1407">
        <f t="shared" si="22"/>
        <v>1.622011066840047E-4</v>
      </c>
    </row>
    <row r="1408" spans="1:9" x14ac:dyDescent="0.3">
      <c r="A1408" s="5">
        <v>43682</v>
      </c>
      <c r="B1408">
        <v>110.790001</v>
      </c>
      <c r="C1408">
        <v>110.980003</v>
      </c>
      <c r="D1408">
        <v>108.269997</v>
      </c>
      <c r="E1408">
        <v>109.57</v>
      </c>
      <c r="F1408">
        <v>95.728522999999996</v>
      </c>
      <c r="G1408">
        <v>15855300</v>
      </c>
      <c r="I1408">
        <f t="shared" si="22"/>
        <v>2.9652771435058719E-4</v>
      </c>
    </row>
    <row r="1409" spans="1:9" x14ac:dyDescent="0.3">
      <c r="A1409" s="5">
        <v>43683</v>
      </c>
      <c r="B1409">
        <v>110.050003</v>
      </c>
      <c r="C1409">
        <v>110.5</v>
      </c>
      <c r="D1409">
        <v>108.339996</v>
      </c>
      <c r="E1409">
        <v>110.43</v>
      </c>
      <c r="F1409">
        <v>96.479889</v>
      </c>
      <c r="G1409">
        <v>10203500</v>
      </c>
      <c r="I1409">
        <f t="shared" si="22"/>
        <v>3.0181686642183835E-4</v>
      </c>
    </row>
    <row r="1410" spans="1:9" x14ac:dyDescent="0.3">
      <c r="A1410" s="5">
        <v>43684</v>
      </c>
      <c r="B1410">
        <v>108</v>
      </c>
      <c r="C1410">
        <v>108.279999</v>
      </c>
      <c r="D1410">
        <v>105.94000200000001</v>
      </c>
      <c r="E1410">
        <v>108.029999</v>
      </c>
      <c r="F1410">
        <v>94.383064000000005</v>
      </c>
      <c r="G1410">
        <v>17320900</v>
      </c>
      <c r="I1410">
        <f t="shared" si="22"/>
        <v>3.8221619346541112E-4</v>
      </c>
    </row>
    <row r="1411" spans="1:9" x14ac:dyDescent="0.3">
      <c r="A1411" s="5">
        <v>43685</v>
      </c>
      <c r="B1411">
        <v>109.050003</v>
      </c>
      <c r="C1411">
        <v>110.08000199999999</v>
      </c>
      <c r="D1411">
        <v>108.720001</v>
      </c>
      <c r="E1411">
        <v>109.860001</v>
      </c>
      <c r="F1411">
        <v>95.981903000000003</v>
      </c>
      <c r="G1411">
        <v>10903300</v>
      </c>
      <c r="I1411">
        <f t="shared" si="22"/>
        <v>5.0420801343840156E-5</v>
      </c>
    </row>
    <row r="1412" spans="1:9" x14ac:dyDescent="0.3">
      <c r="A1412" s="5">
        <v>43686</v>
      </c>
      <c r="B1412">
        <v>109.349998</v>
      </c>
      <c r="C1412">
        <v>110.449997</v>
      </c>
      <c r="D1412">
        <v>108.290001</v>
      </c>
      <c r="E1412">
        <v>109.739998</v>
      </c>
      <c r="F1412">
        <v>95.877052000000006</v>
      </c>
      <c r="G1412">
        <v>9980800</v>
      </c>
      <c r="I1412">
        <f t="shared" si="22"/>
        <v>1.9411372719062108E-4</v>
      </c>
    </row>
    <row r="1413" spans="1:9" x14ac:dyDescent="0.3">
      <c r="A1413" s="5">
        <v>43689</v>
      </c>
      <c r="B1413">
        <v>108.44000200000001</v>
      </c>
      <c r="C1413">
        <v>108.510002</v>
      </c>
      <c r="D1413">
        <v>107.209999</v>
      </c>
      <c r="E1413">
        <v>107.68</v>
      </c>
      <c r="F1413">
        <v>94.077278000000007</v>
      </c>
      <c r="G1413">
        <v>9393700</v>
      </c>
      <c r="I1413">
        <f t="shared" si="22"/>
        <v>5.4855479252646204E-5</v>
      </c>
    </row>
    <row r="1414" spans="1:9" x14ac:dyDescent="0.3">
      <c r="A1414" s="5">
        <v>43690</v>
      </c>
      <c r="B1414">
        <v>107.949997</v>
      </c>
      <c r="C1414">
        <v>110.33000199999999</v>
      </c>
      <c r="D1414">
        <v>107.029999</v>
      </c>
      <c r="E1414">
        <v>109.339996</v>
      </c>
      <c r="F1414">
        <v>95.52758</v>
      </c>
      <c r="G1414">
        <v>12124700</v>
      </c>
      <c r="I1414">
        <f t="shared" si="22"/>
        <v>3.793277528706321E-4</v>
      </c>
    </row>
    <row r="1415" spans="1:9" x14ac:dyDescent="0.3">
      <c r="A1415" s="5">
        <v>43691</v>
      </c>
      <c r="B1415">
        <v>106.300003</v>
      </c>
      <c r="C1415">
        <v>106.910004</v>
      </c>
      <c r="D1415">
        <v>104.449997</v>
      </c>
      <c r="E1415">
        <v>104.800003</v>
      </c>
      <c r="F1415">
        <v>91.561104</v>
      </c>
      <c r="G1415">
        <v>19491800</v>
      </c>
      <c r="I1415">
        <f t="shared" si="22"/>
        <v>1.7279535635651166E-4</v>
      </c>
    </row>
    <row r="1416" spans="1:9" x14ac:dyDescent="0.3">
      <c r="A1416" s="5">
        <v>43692</v>
      </c>
      <c r="B1416">
        <v>104.82</v>
      </c>
      <c r="C1416">
        <v>106.379997</v>
      </c>
      <c r="D1416">
        <v>104.339996</v>
      </c>
      <c r="E1416">
        <v>105.199997</v>
      </c>
      <c r="F1416">
        <v>91.910567999999998</v>
      </c>
      <c r="G1416">
        <v>13365600</v>
      </c>
      <c r="I1416">
        <f t="shared" si="22"/>
        <v>2.0245766722614309E-4</v>
      </c>
    </row>
    <row r="1417" spans="1:9" x14ac:dyDescent="0.3">
      <c r="A1417" s="5">
        <v>43693</v>
      </c>
      <c r="B1417">
        <v>106.370003</v>
      </c>
      <c r="C1417">
        <v>107.980003</v>
      </c>
      <c r="D1417">
        <v>105.870003</v>
      </c>
      <c r="E1417">
        <v>107.720001</v>
      </c>
      <c r="F1417">
        <v>94.112221000000005</v>
      </c>
      <c r="G1417">
        <v>11830600</v>
      </c>
      <c r="I1417">
        <f t="shared" si="22"/>
        <v>1.178372657358275E-4</v>
      </c>
    </row>
    <row r="1418" spans="1:9" x14ac:dyDescent="0.3">
      <c r="A1418" s="5">
        <v>43696</v>
      </c>
      <c r="B1418">
        <v>109.629997</v>
      </c>
      <c r="C1418">
        <v>109.75</v>
      </c>
      <c r="D1418">
        <v>108.41999800000001</v>
      </c>
      <c r="E1418">
        <v>108.69000200000001</v>
      </c>
      <c r="F1418">
        <v>94.959686000000005</v>
      </c>
      <c r="G1418">
        <v>8265400</v>
      </c>
      <c r="I1418">
        <f t="shared" si="22"/>
        <v>3.8222482991927202E-5</v>
      </c>
    </row>
    <row r="1419" spans="1:9" x14ac:dyDescent="0.3">
      <c r="A1419" s="5">
        <v>43697</v>
      </c>
      <c r="B1419">
        <v>107.849998</v>
      </c>
      <c r="C1419">
        <v>108.44000200000001</v>
      </c>
      <c r="D1419">
        <v>107.239998</v>
      </c>
      <c r="E1419">
        <v>107.30999799999999</v>
      </c>
      <c r="F1419">
        <v>93.754013</v>
      </c>
      <c r="G1419">
        <v>8374000</v>
      </c>
      <c r="I1419">
        <f t="shared" si="22"/>
        <v>6.0850720009548011E-5</v>
      </c>
    </row>
    <row r="1420" spans="1:9" x14ac:dyDescent="0.3">
      <c r="A1420" s="5">
        <v>43698</v>
      </c>
      <c r="B1420">
        <v>108.209999</v>
      </c>
      <c r="C1420">
        <v>108.43</v>
      </c>
      <c r="D1420">
        <v>107.449997</v>
      </c>
      <c r="E1420">
        <v>107.610001</v>
      </c>
      <c r="F1420">
        <v>94.016120999999998</v>
      </c>
      <c r="G1420">
        <v>8189300</v>
      </c>
      <c r="I1420">
        <f t="shared" ref="I1420:I1483" si="23">LN(C1420/B1420)*(LN(C1420/B1420)-LN(E1420/B1420))+LN(D1420/B1420)*(LN(D1420/B1420)-LN(E1420/B1420))</f>
        <v>2.5905627506662754E-5</v>
      </c>
    </row>
    <row r="1421" spans="1:9" x14ac:dyDescent="0.3">
      <c r="A1421" s="5">
        <v>43699</v>
      </c>
      <c r="B1421">
        <v>108.370003</v>
      </c>
      <c r="C1421">
        <v>109.269997</v>
      </c>
      <c r="D1421">
        <v>107.93</v>
      </c>
      <c r="E1421">
        <v>108.720001</v>
      </c>
      <c r="F1421">
        <v>94.985900999999998</v>
      </c>
      <c r="G1421">
        <v>9343400</v>
      </c>
      <c r="I1421">
        <f t="shared" si="23"/>
        <v>7.1404624470347512E-5</v>
      </c>
    </row>
    <row r="1422" spans="1:9" x14ac:dyDescent="0.3">
      <c r="A1422" s="5">
        <v>43700</v>
      </c>
      <c r="B1422">
        <v>108</v>
      </c>
      <c r="C1422">
        <v>108.779999</v>
      </c>
      <c r="D1422">
        <v>105.110001</v>
      </c>
      <c r="E1422">
        <v>106.019997</v>
      </c>
      <c r="F1422">
        <v>92.626983999999993</v>
      </c>
      <c r="G1422">
        <v>14762300</v>
      </c>
      <c r="I1422">
        <f t="shared" si="23"/>
        <v>4.1875725914126906E-4</v>
      </c>
    </row>
    <row r="1423" spans="1:9" x14ac:dyDescent="0.3">
      <c r="A1423" s="5">
        <v>43703</v>
      </c>
      <c r="B1423">
        <v>106.620003</v>
      </c>
      <c r="C1423">
        <v>106.989998</v>
      </c>
      <c r="D1423">
        <v>106.010002</v>
      </c>
      <c r="E1423">
        <v>106.870003</v>
      </c>
      <c r="F1423">
        <v>93.369606000000005</v>
      </c>
      <c r="G1423">
        <v>8209500</v>
      </c>
      <c r="I1423">
        <f t="shared" si="23"/>
        <v>5.0246435353183469E-5</v>
      </c>
    </row>
    <row r="1424" spans="1:9" x14ac:dyDescent="0.3">
      <c r="A1424" s="5">
        <v>43704</v>
      </c>
      <c r="B1424">
        <v>107.349998</v>
      </c>
      <c r="C1424">
        <v>107.55999799999999</v>
      </c>
      <c r="D1424">
        <v>104.839996</v>
      </c>
      <c r="E1424">
        <v>105.739998</v>
      </c>
      <c r="F1424">
        <v>92.382339000000002</v>
      </c>
      <c r="G1424">
        <v>14331800</v>
      </c>
      <c r="I1424">
        <f t="shared" si="23"/>
        <v>2.3558736706448541E-4</v>
      </c>
    </row>
    <row r="1425" spans="1:9" x14ac:dyDescent="0.3">
      <c r="A1425" s="5">
        <v>43705</v>
      </c>
      <c r="B1425">
        <v>105.08000199999999</v>
      </c>
      <c r="C1425">
        <v>107.209999</v>
      </c>
      <c r="D1425">
        <v>105.040001</v>
      </c>
      <c r="E1425">
        <v>106.800003</v>
      </c>
      <c r="F1425">
        <v>93.308448999999996</v>
      </c>
      <c r="G1425">
        <v>10585500</v>
      </c>
      <c r="I1425">
        <f t="shared" si="23"/>
        <v>8.3216762129511231E-5</v>
      </c>
    </row>
    <row r="1426" spans="1:9" x14ac:dyDescent="0.3">
      <c r="A1426" s="5">
        <v>43706</v>
      </c>
      <c r="B1426">
        <v>108.139999</v>
      </c>
      <c r="C1426">
        <v>109.889999</v>
      </c>
      <c r="D1426">
        <v>108.019997</v>
      </c>
      <c r="E1426">
        <v>109.220001</v>
      </c>
      <c r="F1426">
        <v>95.422729000000004</v>
      </c>
      <c r="G1426">
        <v>10002200</v>
      </c>
      <c r="I1426">
        <f t="shared" si="23"/>
        <v>1.1044214394280255E-4</v>
      </c>
    </row>
    <row r="1427" spans="1:9" x14ac:dyDescent="0.3">
      <c r="A1427" s="5">
        <v>43707</v>
      </c>
      <c r="B1427">
        <v>109.839996</v>
      </c>
      <c r="C1427">
        <v>110.55999799999999</v>
      </c>
      <c r="D1427">
        <v>109.470001</v>
      </c>
      <c r="E1427">
        <v>109.860001</v>
      </c>
      <c r="F1427">
        <v>95.981903000000003</v>
      </c>
      <c r="G1427">
        <v>10170300</v>
      </c>
      <c r="I1427">
        <f t="shared" si="23"/>
        <v>5.3497846769719074E-5</v>
      </c>
    </row>
    <row r="1428" spans="1:9" x14ac:dyDescent="0.3">
      <c r="A1428" s="5">
        <v>43711</v>
      </c>
      <c r="B1428">
        <v>108.980003</v>
      </c>
      <c r="C1428">
        <v>108.989998</v>
      </c>
      <c r="D1428">
        <v>107.32</v>
      </c>
      <c r="E1428">
        <v>108.55999799999999</v>
      </c>
      <c r="F1428">
        <v>94.846123000000006</v>
      </c>
      <c r="G1428">
        <v>9868800</v>
      </c>
      <c r="I1428">
        <f t="shared" si="23"/>
        <v>1.7669579368426893E-4</v>
      </c>
    </row>
    <row r="1429" spans="1:9" x14ac:dyDescent="0.3">
      <c r="A1429" s="5">
        <v>43712</v>
      </c>
      <c r="B1429">
        <v>109.449997</v>
      </c>
      <c r="C1429">
        <v>110.220001</v>
      </c>
      <c r="D1429">
        <v>108.55999799999999</v>
      </c>
      <c r="E1429">
        <v>109.870003</v>
      </c>
      <c r="F1429">
        <v>95.990630999999993</v>
      </c>
      <c r="G1429">
        <v>6929200</v>
      </c>
      <c r="I1429">
        <f t="shared" si="23"/>
        <v>1.2023294418442328E-4</v>
      </c>
    </row>
    <row r="1430" spans="1:9" x14ac:dyDescent="0.3">
      <c r="A1430" s="5">
        <v>43713</v>
      </c>
      <c r="B1430">
        <v>111.25</v>
      </c>
      <c r="C1430">
        <v>113.720001</v>
      </c>
      <c r="D1430">
        <v>111.199997</v>
      </c>
      <c r="E1430">
        <v>112.370003</v>
      </c>
      <c r="F1430">
        <v>98.174812000000003</v>
      </c>
      <c r="G1430">
        <v>13224700</v>
      </c>
      <c r="I1430">
        <f t="shared" si="23"/>
        <v>2.6695026177317167E-4</v>
      </c>
    </row>
    <row r="1431" spans="1:9" x14ac:dyDescent="0.3">
      <c r="A1431" s="5">
        <v>43714</v>
      </c>
      <c r="B1431">
        <v>112.660004</v>
      </c>
      <c r="C1431">
        <v>112.980003</v>
      </c>
      <c r="D1431">
        <v>111.959999</v>
      </c>
      <c r="E1431">
        <v>112.610001</v>
      </c>
      <c r="F1431">
        <v>98.384490999999997</v>
      </c>
      <c r="G1431">
        <v>7836600</v>
      </c>
      <c r="I1431">
        <f t="shared" si="23"/>
        <v>4.5385141149783139E-5</v>
      </c>
    </row>
    <row r="1432" spans="1:9" x14ac:dyDescent="0.3">
      <c r="A1432" s="5">
        <v>43717</v>
      </c>
      <c r="B1432">
        <v>113.709999</v>
      </c>
      <c r="C1432">
        <v>116.05999799999999</v>
      </c>
      <c r="D1432">
        <v>113.599998</v>
      </c>
      <c r="E1432">
        <v>115.400002</v>
      </c>
      <c r="F1432">
        <v>100.822052</v>
      </c>
      <c r="G1432">
        <v>13985100</v>
      </c>
      <c r="I1432">
        <f t="shared" si="23"/>
        <v>1.3187386154312505E-4</v>
      </c>
    </row>
    <row r="1433" spans="1:9" x14ac:dyDescent="0.3">
      <c r="A1433" s="5">
        <v>43718</v>
      </c>
      <c r="B1433">
        <v>116.300003</v>
      </c>
      <c r="C1433">
        <v>117.269997</v>
      </c>
      <c r="D1433">
        <v>115.730003</v>
      </c>
      <c r="E1433">
        <v>116.870003</v>
      </c>
      <c r="F1433">
        <v>102.106354</v>
      </c>
      <c r="G1433">
        <v>14333100</v>
      </c>
      <c r="I1433">
        <f t="shared" si="23"/>
        <v>7.6539127336459567E-5</v>
      </c>
    </row>
    <row r="1434" spans="1:9" x14ac:dyDescent="0.3">
      <c r="A1434" s="5">
        <v>43719</v>
      </c>
      <c r="B1434">
        <v>116.889999</v>
      </c>
      <c r="C1434">
        <v>117.199997</v>
      </c>
      <c r="D1434">
        <v>115.379997</v>
      </c>
      <c r="E1434">
        <v>117.19000200000001</v>
      </c>
      <c r="F1434">
        <v>102.385925</v>
      </c>
      <c r="G1434">
        <v>9919200</v>
      </c>
      <c r="I1434">
        <f t="shared" si="23"/>
        <v>2.0261416691544229E-4</v>
      </c>
    </row>
    <row r="1435" spans="1:9" x14ac:dyDescent="0.3">
      <c r="A1435" s="5">
        <v>43720</v>
      </c>
      <c r="B1435">
        <v>116.550003</v>
      </c>
      <c r="C1435">
        <v>118.470001</v>
      </c>
      <c r="D1435">
        <v>115.91999800000001</v>
      </c>
      <c r="E1435">
        <v>117.910004</v>
      </c>
      <c r="F1435">
        <v>103.01496899999999</v>
      </c>
      <c r="G1435">
        <v>12283500</v>
      </c>
      <c r="I1435">
        <f t="shared" si="23"/>
        <v>1.6967562943880264E-4</v>
      </c>
    </row>
    <row r="1436" spans="1:9" x14ac:dyDescent="0.3">
      <c r="A1436" s="5">
        <v>43721</v>
      </c>
      <c r="B1436">
        <v>119</v>
      </c>
      <c r="C1436">
        <v>120.400002</v>
      </c>
      <c r="D1436">
        <v>118.75</v>
      </c>
      <c r="E1436">
        <v>120.230003</v>
      </c>
      <c r="F1436">
        <v>105.04190800000001</v>
      </c>
      <c r="G1436">
        <v>16257200</v>
      </c>
      <c r="I1436">
        <f t="shared" si="23"/>
        <v>4.257464752345951E-5</v>
      </c>
    </row>
    <row r="1437" spans="1:9" x14ac:dyDescent="0.3">
      <c r="A1437" s="5">
        <v>43724</v>
      </c>
      <c r="B1437">
        <v>118.900002</v>
      </c>
      <c r="C1437">
        <v>119.870003</v>
      </c>
      <c r="D1437">
        <v>118.379997</v>
      </c>
      <c r="E1437">
        <v>119.160004</v>
      </c>
      <c r="F1437">
        <v>104.107063</v>
      </c>
      <c r="G1437">
        <v>11993900</v>
      </c>
      <c r="I1437">
        <f t="shared" si="23"/>
        <v>7.7053506084097991E-5</v>
      </c>
    </row>
    <row r="1438" spans="1:9" x14ac:dyDescent="0.3">
      <c r="A1438" s="5">
        <v>43725</v>
      </c>
      <c r="B1438">
        <v>118.41999800000001</v>
      </c>
      <c r="C1438">
        <v>118.610001</v>
      </c>
      <c r="D1438">
        <v>117.239998</v>
      </c>
      <c r="E1438">
        <v>118.57</v>
      </c>
      <c r="F1438">
        <v>103.59159099999999</v>
      </c>
      <c r="G1438">
        <v>10735400</v>
      </c>
      <c r="I1438">
        <f t="shared" si="23"/>
        <v>1.1350850846831156E-4</v>
      </c>
    </row>
    <row r="1439" spans="1:9" x14ac:dyDescent="0.3">
      <c r="A1439" s="5">
        <v>43726</v>
      </c>
      <c r="B1439">
        <v>118.32</v>
      </c>
      <c r="C1439">
        <v>120.08000199999999</v>
      </c>
      <c r="D1439">
        <v>117.75</v>
      </c>
      <c r="E1439">
        <v>119.760002</v>
      </c>
      <c r="F1439">
        <v>104.631264</v>
      </c>
      <c r="G1439">
        <v>10665600</v>
      </c>
      <c r="I1439">
        <f t="shared" si="23"/>
        <v>1.2113786811227896E-4</v>
      </c>
    </row>
    <row r="1440" spans="1:9" x14ac:dyDescent="0.3">
      <c r="A1440" s="5">
        <v>43727</v>
      </c>
      <c r="B1440">
        <v>119.699997</v>
      </c>
      <c r="C1440">
        <v>120.339996</v>
      </c>
      <c r="D1440">
        <v>119.089996</v>
      </c>
      <c r="E1440">
        <v>119.379997</v>
      </c>
      <c r="F1440">
        <v>104.299271</v>
      </c>
      <c r="G1440">
        <v>9382600</v>
      </c>
      <c r="I1440">
        <f t="shared" si="23"/>
        <v>5.513589074000013E-5</v>
      </c>
    </row>
    <row r="1441" spans="1:9" x14ac:dyDescent="0.3">
      <c r="A1441" s="5">
        <v>43728</v>
      </c>
      <c r="B1441">
        <v>119.739998</v>
      </c>
      <c r="C1441">
        <v>120.339996</v>
      </c>
      <c r="D1441">
        <v>118.870003</v>
      </c>
      <c r="E1441">
        <v>118.900002</v>
      </c>
      <c r="F1441">
        <v>103.879913</v>
      </c>
      <c r="G1441">
        <v>21862800</v>
      </c>
      <c r="I1441">
        <f t="shared" si="23"/>
        <v>6.2011042248698558E-5</v>
      </c>
    </row>
    <row r="1442" spans="1:9" x14ac:dyDescent="0.3">
      <c r="A1442" s="5">
        <v>43731</v>
      </c>
      <c r="B1442">
        <v>117.779999</v>
      </c>
      <c r="C1442">
        <v>119.120003</v>
      </c>
      <c r="D1442">
        <v>117.68</v>
      </c>
      <c r="E1442">
        <v>118.879997</v>
      </c>
      <c r="F1442">
        <v>103.862427</v>
      </c>
      <c r="G1442">
        <v>9135100</v>
      </c>
      <c r="I1442">
        <f t="shared" si="23"/>
        <v>3.1434097233382083E-5</v>
      </c>
    </row>
    <row r="1443" spans="1:9" x14ac:dyDescent="0.3">
      <c r="A1443" s="5">
        <v>43732</v>
      </c>
      <c r="B1443">
        <v>118.75</v>
      </c>
      <c r="C1443">
        <v>119.260002</v>
      </c>
      <c r="D1443">
        <v>117.040001</v>
      </c>
      <c r="E1443">
        <v>117.33000199999999</v>
      </c>
      <c r="F1443">
        <v>102.50823200000001</v>
      </c>
      <c r="G1443">
        <v>11696500</v>
      </c>
      <c r="I1443">
        <f t="shared" si="23"/>
        <v>1.0581618956360443E-4</v>
      </c>
    </row>
    <row r="1444" spans="1:9" x14ac:dyDescent="0.3">
      <c r="A1444" s="5">
        <v>43733</v>
      </c>
      <c r="B1444">
        <v>117.269997</v>
      </c>
      <c r="C1444">
        <v>118.360001</v>
      </c>
      <c r="D1444">
        <v>117.120003</v>
      </c>
      <c r="E1444">
        <v>118</v>
      </c>
      <c r="F1444">
        <v>103.093605</v>
      </c>
      <c r="G1444">
        <v>9389400</v>
      </c>
      <c r="I1444">
        <f t="shared" si="23"/>
        <v>3.7763730418961057E-5</v>
      </c>
    </row>
    <row r="1445" spans="1:9" x14ac:dyDescent="0.3">
      <c r="A1445" s="5">
        <v>43734</v>
      </c>
      <c r="B1445">
        <v>117.879997</v>
      </c>
      <c r="C1445">
        <v>118.050003</v>
      </c>
      <c r="D1445">
        <v>116.949997</v>
      </c>
      <c r="E1445">
        <v>117.029999</v>
      </c>
      <c r="F1445">
        <v>102.24614</v>
      </c>
      <c r="G1445">
        <v>9899200</v>
      </c>
      <c r="I1445">
        <f t="shared" si="23"/>
        <v>1.7922773127034922E-5</v>
      </c>
    </row>
    <row r="1446" spans="1:9" x14ac:dyDescent="0.3">
      <c r="A1446" s="5">
        <v>43735</v>
      </c>
      <c r="B1446">
        <v>117.959999</v>
      </c>
      <c r="C1446">
        <v>118.639999</v>
      </c>
      <c r="D1446">
        <v>117.279999</v>
      </c>
      <c r="E1446">
        <v>117.720001</v>
      </c>
      <c r="F1446">
        <v>102.848969</v>
      </c>
      <c r="G1446">
        <v>10207800</v>
      </c>
      <c r="I1446">
        <f t="shared" si="23"/>
        <v>6.6397092103317697E-5</v>
      </c>
    </row>
    <row r="1447" spans="1:9" x14ac:dyDescent="0.3">
      <c r="A1447" s="5">
        <v>43738</v>
      </c>
      <c r="B1447">
        <v>118.360001</v>
      </c>
      <c r="C1447">
        <v>118.769997</v>
      </c>
      <c r="D1447">
        <v>117.220001</v>
      </c>
      <c r="E1447">
        <v>117.69000200000001</v>
      </c>
      <c r="F1447">
        <v>102.822762</v>
      </c>
      <c r="G1447">
        <v>9755000</v>
      </c>
      <c r="I1447">
        <f t="shared" si="23"/>
        <v>7.0316121991719551E-5</v>
      </c>
    </row>
    <row r="1448" spans="1:9" x14ac:dyDescent="0.3">
      <c r="A1448" s="5">
        <v>43739</v>
      </c>
      <c r="B1448">
        <v>118.400002</v>
      </c>
      <c r="C1448">
        <v>119</v>
      </c>
      <c r="D1448">
        <v>115.410004</v>
      </c>
      <c r="E1448">
        <v>115.550003</v>
      </c>
      <c r="F1448">
        <v>100.95309399999999</v>
      </c>
      <c r="G1448">
        <v>11250300</v>
      </c>
      <c r="I1448">
        <f t="shared" si="23"/>
        <v>1.7971993783686798E-4</v>
      </c>
    </row>
    <row r="1449" spans="1:9" x14ac:dyDescent="0.3">
      <c r="A1449" s="5">
        <v>43740</v>
      </c>
      <c r="B1449">
        <v>114.80999799999999</v>
      </c>
      <c r="C1449">
        <v>114.900002</v>
      </c>
      <c r="D1449">
        <v>112.93</v>
      </c>
      <c r="E1449">
        <v>113.25</v>
      </c>
      <c r="F1449">
        <v>98.943641999999997</v>
      </c>
      <c r="G1449">
        <v>12548700</v>
      </c>
      <c r="I1449">
        <f t="shared" si="23"/>
        <v>5.8052764166263652E-5</v>
      </c>
    </row>
    <row r="1450" spans="1:9" x14ac:dyDescent="0.3">
      <c r="A1450" s="5">
        <v>43741</v>
      </c>
      <c r="B1450">
        <v>112.269997</v>
      </c>
      <c r="C1450">
        <v>112.910004</v>
      </c>
      <c r="D1450">
        <v>110.519997</v>
      </c>
      <c r="E1450">
        <v>112.19000200000001</v>
      </c>
      <c r="F1450">
        <v>98.802750000000003</v>
      </c>
      <c r="G1450">
        <v>12735200</v>
      </c>
      <c r="I1450">
        <f t="shared" si="23"/>
        <v>2.7197638649047683E-4</v>
      </c>
    </row>
    <row r="1451" spans="1:9" x14ac:dyDescent="0.3">
      <c r="A1451" s="5">
        <v>43742</v>
      </c>
      <c r="B1451">
        <v>112.339996</v>
      </c>
      <c r="C1451">
        <v>114.94000200000001</v>
      </c>
      <c r="D1451">
        <v>112.269997</v>
      </c>
      <c r="E1451">
        <v>114.620003</v>
      </c>
      <c r="F1451">
        <v>100.942795</v>
      </c>
      <c r="G1451">
        <v>9453100</v>
      </c>
      <c r="I1451">
        <f t="shared" si="23"/>
        <v>7.6700798602124081E-5</v>
      </c>
    </row>
    <row r="1452" spans="1:9" x14ac:dyDescent="0.3">
      <c r="A1452" s="5">
        <v>43745</v>
      </c>
      <c r="B1452">
        <v>114.19000200000001</v>
      </c>
      <c r="C1452">
        <v>115.5</v>
      </c>
      <c r="D1452">
        <v>114.07</v>
      </c>
      <c r="E1452">
        <v>114.370003</v>
      </c>
      <c r="F1452">
        <v>100.72260300000001</v>
      </c>
      <c r="G1452">
        <v>6771600</v>
      </c>
      <c r="I1452">
        <f t="shared" si="23"/>
        <v>1.1490972439690714E-4</v>
      </c>
    </row>
    <row r="1453" spans="1:9" x14ac:dyDescent="0.3">
      <c r="A1453" s="5">
        <v>43746</v>
      </c>
      <c r="B1453">
        <v>113.05999799999999</v>
      </c>
      <c r="C1453">
        <v>113.05999799999999</v>
      </c>
      <c r="D1453">
        <v>111.660004</v>
      </c>
      <c r="E1453">
        <v>111.82</v>
      </c>
      <c r="F1453">
        <v>98.476906</v>
      </c>
      <c r="G1453">
        <v>10806300</v>
      </c>
      <c r="I1453">
        <f t="shared" si="23"/>
        <v>1.7841057106118114E-5</v>
      </c>
    </row>
    <row r="1454" spans="1:9" x14ac:dyDescent="0.3">
      <c r="A1454" s="5">
        <v>43747</v>
      </c>
      <c r="B1454">
        <v>112.66999800000001</v>
      </c>
      <c r="C1454">
        <v>113.160004</v>
      </c>
      <c r="D1454">
        <v>112.07</v>
      </c>
      <c r="E1454">
        <v>112.629997</v>
      </c>
      <c r="F1454">
        <v>99.190239000000005</v>
      </c>
      <c r="G1454">
        <v>7273700</v>
      </c>
      <c r="I1454">
        <f t="shared" si="23"/>
        <v>4.6987382458849099E-5</v>
      </c>
    </row>
    <row r="1455" spans="1:9" x14ac:dyDescent="0.3">
      <c r="A1455" s="5">
        <v>43748</v>
      </c>
      <c r="B1455">
        <v>113.139999</v>
      </c>
      <c r="C1455">
        <v>115.400002</v>
      </c>
      <c r="D1455">
        <v>113</v>
      </c>
      <c r="E1455">
        <v>114.209999</v>
      </c>
      <c r="F1455">
        <v>100.581688</v>
      </c>
      <c r="G1455">
        <v>10994100</v>
      </c>
      <c r="I1455">
        <f t="shared" si="23"/>
        <v>2.1820102870043526E-4</v>
      </c>
    </row>
    <row r="1456" spans="1:9" x14ac:dyDescent="0.3">
      <c r="A1456" s="5">
        <v>43749</v>
      </c>
      <c r="B1456">
        <v>116.029999</v>
      </c>
      <c r="C1456">
        <v>117.989998</v>
      </c>
      <c r="D1456">
        <v>115.870003</v>
      </c>
      <c r="E1456">
        <v>116.139999</v>
      </c>
      <c r="F1456">
        <v>102.281403</v>
      </c>
      <c r="G1456">
        <v>15076500</v>
      </c>
      <c r="I1456">
        <f t="shared" si="23"/>
        <v>2.6793752396635624E-4</v>
      </c>
    </row>
    <row r="1457" spans="1:9" x14ac:dyDescent="0.3">
      <c r="A1457" s="5">
        <v>43752</v>
      </c>
      <c r="B1457">
        <v>115.849998</v>
      </c>
      <c r="C1457">
        <v>116.870003</v>
      </c>
      <c r="D1457">
        <v>115.660004</v>
      </c>
      <c r="E1457">
        <v>116.449997</v>
      </c>
      <c r="F1457">
        <v>102.55439</v>
      </c>
      <c r="G1457">
        <v>8779000</v>
      </c>
      <c r="I1457">
        <f t="shared" si="23"/>
        <v>4.2732662047987718E-5</v>
      </c>
    </row>
    <row r="1458" spans="1:9" x14ac:dyDescent="0.3">
      <c r="A1458" s="5">
        <v>43753</v>
      </c>
      <c r="B1458">
        <v>118.849998</v>
      </c>
      <c r="C1458">
        <v>121.589996</v>
      </c>
      <c r="D1458">
        <v>117.870003</v>
      </c>
      <c r="E1458">
        <v>119.959999</v>
      </c>
      <c r="F1458">
        <v>105.64557600000001</v>
      </c>
      <c r="G1458">
        <v>23379000</v>
      </c>
      <c r="I1458">
        <f t="shared" si="23"/>
        <v>4.531421011884687E-4</v>
      </c>
    </row>
    <row r="1459" spans="1:9" x14ac:dyDescent="0.3">
      <c r="A1459" s="5">
        <v>43754</v>
      </c>
      <c r="B1459">
        <v>119.959999</v>
      </c>
      <c r="C1459">
        <v>120.620003</v>
      </c>
      <c r="D1459">
        <v>119.379997</v>
      </c>
      <c r="E1459">
        <v>119.68</v>
      </c>
      <c r="F1459">
        <v>105.399002</v>
      </c>
      <c r="G1459">
        <v>11087700</v>
      </c>
      <c r="I1459">
        <f t="shared" si="23"/>
        <v>5.5091023711431098E-5</v>
      </c>
    </row>
    <row r="1460" spans="1:9" x14ac:dyDescent="0.3">
      <c r="A1460" s="5">
        <v>43755</v>
      </c>
      <c r="B1460">
        <v>120.75</v>
      </c>
      <c r="C1460">
        <v>121.57</v>
      </c>
      <c r="D1460">
        <v>119.879997</v>
      </c>
      <c r="E1460">
        <v>120.349998</v>
      </c>
      <c r="F1460">
        <v>105.98904400000001</v>
      </c>
      <c r="G1460">
        <v>10818500</v>
      </c>
      <c r="I1460">
        <f t="shared" si="23"/>
        <v>9.6556642842447109E-5</v>
      </c>
    </row>
    <row r="1461" spans="1:9" x14ac:dyDescent="0.3">
      <c r="A1461" s="5">
        <v>43756</v>
      </c>
      <c r="B1461">
        <v>120</v>
      </c>
      <c r="C1461">
        <v>121.019997</v>
      </c>
      <c r="D1461">
        <v>119.860001</v>
      </c>
      <c r="E1461">
        <v>120.55999799999999</v>
      </c>
      <c r="F1461">
        <v>106.173981</v>
      </c>
      <c r="G1461">
        <v>10417400</v>
      </c>
      <c r="I1461">
        <f t="shared" si="23"/>
        <v>3.903087985958574E-5</v>
      </c>
    </row>
    <row r="1462" spans="1:9" x14ac:dyDescent="0.3">
      <c r="A1462" s="5">
        <v>43759</v>
      </c>
      <c r="B1462">
        <v>122.050003</v>
      </c>
      <c r="C1462">
        <v>123.769997</v>
      </c>
      <c r="D1462">
        <v>121.989998</v>
      </c>
      <c r="E1462">
        <v>123.550003</v>
      </c>
      <c r="F1462">
        <v>108.807198</v>
      </c>
      <c r="G1462">
        <v>12714600</v>
      </c>
      <c r="I1462">
        <f t="shared" si="23"/>
        <v>3.1144729943864716E-5</v>
      </c>
    </row>
    <row r="1463" spans="1:9" x14ac:dyDescent="0.3">
      <c r="A1463" s="5">
        <v>43760</v>
      </c>
      <c r="B1463">
        <v>123.449997</v>
      </c>
      <c r="C1463">
        <v>125.099998</v>
      </c>
      <c r="D1463">
        <v>123.120003</v>
      </c>
      <c r="E1463">
        <v>124.790001</v>
      </c>
      <c r="F1463">
        <v>109.899216</v>
      </c>
      <c r="G1463">
        <v>12549100</v>
      </c>
      <c r="I1463">
        <f t="shared" si="23"/>
        <v>6.9004065250077726E-5</v>
      </c>
    </row>
    <row r="1464" spans="1:9" x14ac:dyDescent="0.3">
      <c r="A1464" s="5">
        <v>43761</v>
      </c>
      <c r="B1464">
        <v>124.199997</v>
      </c>
      <c r="C1464">
        <v>125.150002</v>
      </c>
      <c r="D1464">
        <v>124.16999800000001</v>
      </c>
      <c r="E1464">
        <v>125.120003</v>
      </c>
      <c r="F1464">
        <v>110.189842</v>
      </c>
      <c r="G1464">
        <v>8828300</v>
      </c>
      <c r="I1464">
        <f t="shared" si="23"/>
        <v>3.6678961807193378E-6</v>
      </c>
    </row>
    <row r="1465" spans="1:9" x14ac:dyDescent="0.3">
      <c r="A1465" s="5">
        <v>43762</v>
      </c>
      <c r="B1465">
        <v>125.290001</v>
      </c>
      <c r="C1465">
        <v>125.660004</v>
      </c>
      <c r="D1465">
        <v>124.07</v>
      </c>
      <c r="E1465">
        <v>125.029999</v>
      </c>
      <c r="F1465">
        <v>110.11058800000001</v>
      </c>
      <c r="G1465">
        <v>8020500</v>
      </c>
      <c r="I1465">
        <f t="shared" si="23"/>
        <v>9.0242952795253483E-5</v>
      </c>
    </row>
    <row r="1466" spans="1:9" x14ac:dyDescent="0.3">
      <c r="A1466" s="5">
        <v>43763</v>
      </c>
      <c r="B1466">
        <v>125</v>
      </c>
      <c r="C1466">
        <v>126.650002</v>
      </c>
      <c r="D1466">
        <v>124.75</v>
      </c>
      <c r="E1466">
        <v>126.029999</v>
      </c>
      <c r="F1466">
        <v>110.991272</v>
      </c>
      <c r="G1466">
        <v>9055700</v>
      </c>
      <c r="I1466">
        <f t="shared" si="23"/>
        <v>8.4791201739041889E-5</v>
      </c>
    </row>
    <row r="1467" spans="1:9" x14ac:dyDescent="0.3">
      <c r="A1467" s="5">
        <v>43766</v>
      </c>
      <c r="B1467">
        <v>126.57</v>
      </c>
      <c r="C1467">
        <v>127.209999</v>
      </c>
      <c r="D1467">
        <v>126.400002</v>
      </c>
      <c r="E1467">
        <v>126.510002</v>
      </c>
      <c r="F1467">
        <v>111.413994</v>
      </c>
      <c r="G1467">
        <v>9522200</v>
      </c>
      <c r="I1467">
        <f t="shared" si="23"/>
        <v>2.8999907517339012E-5</v>
      </c>
    </row>
    <row r="1468" spans="1:9" x14ac:dyDescent="0.3">
      <c r="A1468" s="5">
        <v>43767</v>
      </c>
      <c r="B1468">
        <v>126.05999799999999</v>
      </c>
      <c r="C1468">
        <v>127.41999800000001</v>
      </c>
      <c r="D1468">
        <v>125.94000200000001</v>
      </c>
      <c r="E1468">
        <v>126.43</v>
      </c>
      <c r="F1468">
        <v>111.343521</v>
      </c>
      <c r="G1468">
        <v>9797300</v>
      </c>
      <c r="I1468">
        <f t="shared" si="23"/>
        <v>8.7396843605749968E-5</v>
      </c>
    </row>
    <row r="1469" spans="1:9" x14ac:dyDescent="0.3">
      <c r="A1469" s="5">
        <v>43768</v>
      </c>
      <c r="B1469">
        <v>126.050003</v>
      </c>
      <c r="C1469">
        <v>126.260002</v>
      </c>
      <c r="D1469">
        <v>124.91999800000001</v>
      </c>
      <c r="E1469">
        <v>125.730003</v>
      </c>
      <c r="F1469">
        <v>110.72706599999999</v>
      </c>
      <c r="G1469">
        <v>8513700</v>
      </c>
      <c r="I1469">
        <f t="shared" si="23"/>
        <v>6.5204891068200896E-5</v>
      </c>
    </row>
    <row r="1470" spans="1:9" x14ac:dyDescent="0.3">
      <c r="A1470" s="5">
        <v>43769</v>
      </c>
      <c r="B1470">
        <v>125.489998</v>
      </c>
      <c r="C1470">
        <v>125.730003</v>
      </c>
      <c r="D1470">
        <v>123.860001</v>
      </c>
      <c r="E1470">
        <v>124.91999800000001</v>
      </c>
      <c r="F1470">
        <v>110.013718</v>
      </c>
      <c r="G1470">
        <v>11589100</v>
      </c>
      <c r="I1470">
        <f t="shared" si="23"/>
        <v>1.2376233587996951E-4</v>
      </c>
    </row>
    <row r="1471" spans="1:9" x14ac:dyDescent="0.3">
      <c r="A1471" s="5">
        <v>43770</v>
      </c>
      <c r="B1471">
        <v>126.199997</v>
      </c>
      <c r="C1471">
        <v>127.989998</v>
      </c>
      <c r="D1471">
        <v>126.019997</v>
      </c>
      <c r="E1471">
        <v>127.800003</v>
      </c>
      <c r="F1471">
        <v>112.550056</v>
      </c>
      <c r="G1471">
        <v>11682600</v>
      </c>
      <c r="I1471">
        <f t="shared" si="23"/>
        <v>4.0942461072972664E-5</v>
      </c>
    </row>
    <row r="1472" spans="1:9" x14ac:dyDescent="0.3">
      <c r="A1472" s="5">
        <v>43773</v>
      </c>
      <c r="B1472">
        <v>129.08000200000001</v>
      </c>
      <c r="C1472">
        <v>129.41999799999999</v>
      </c>
      <c r="D1472">
        <v>128.55999800000001</v>
      </c>
      <c r="E1472">
        <v>128.820007</v>
      </c>
      <c r="F1472">
        <v>113.448341</v>
      </c>
      <c r="G1472">
        <v>9159900</v>
      </c>
      <c r="I1472">
        <f t="shared" si="23"/>
        <v>2.0379319024859985E-5</v>
      </c>
    </row>
    <row r="1473" spans="1:9" x14ac:dyDescent="0.3">
      <c r="A1473" s="5">
        <v>43774</v>
      </c>
      <c r="B1473">
        <v>129.38999899999999</v>
      </c>
      <c r="C1473">
        <v>130.300003</v>
      </c>
      <c r="D1473">
        <v>128.83999600000001</v>
      </c>
      <c r="E1473">
        <v>129.10000600000001</v>
      </c>
      <c r="F1473">
        <v>113.694931</v>
      </c>
      <c r="G1473">
        <v>13747600</v>
      </c>
      <c r="I1473">
        <f t="shared" si="23"/>
        <v>7.343097188124041E-5</v>
      </c>
    </row>
    <row r="1474" spans="1:9" x14ac:dyDescent="0.3">
      <c r="A1474" s="5">
        <v>43775</v>
      </c>
      <c r="B1474">
        <v>128.69000199999999</v>
      </c>
      <c r="C1474">
        <v>129.83999600000001</v>
      </c>
      <c r="D1474">
        <v>128.58000200000001</v>
      </c>
      <c r="E1474">
        <v>129.300003</v>
      </c>
      <c r="F1474">
        <v>113.87106300000001</v>
      </c>
      <c r="G1474">
        <v>11231100</v>
      </c>
      <c r="I1474">
        <f t="shared" si="23"/>
        <v>4.1851835511813906E-5</v>
      </c>
    </row>
    <row r="1475" spans="1:9" x14ac:dyDescent="0.3">
      <c r="A1475" s="5">
        <v>43776</v>
      </c>
      <c r="B1475">
        <v>130.429993</v>
      </c>
      <c r="C1475">
        <v>131.28999300000001</v>
      </c>
      <c r="D1475">
        <v>129.91999799999999</v>
      </c>
      <c r="E1475">
        <v>130</v>
      </c>
      <c r="F1475">
        <v>114.487534</v>
      </c>
      <c r="G1475">
        <v>13528900</v>
      </c>
      <c r="I1475">
        <f t="shared" si="23"/>
        <v>6.7303747011776305E-5</v>
      </c>
    </row>
    <row r="1476" spans="1:9" x14ac:dyDescent="0.3">
      <c r="A1476" s="5">
        <v>43777</v>
      </c>
      <c r="B1476">
        <v>129.88000500000001</v>
      </c>
      <c r="C1476">
        <v>130.39999399999999</v>
      </c>
      <c r="D1476">
        <v>129.25</v>
      </c>
      <c r="E1476">
        <v>130.38000500000001</v>
      </c>
      <c r="F1476">
        <v>114.82218899999999</v>
      </c>
      <c r="G1476">
        <v>9293400</v>
      </c>
      <c r="I1476">
        <f t="shared" si="23"/>
        <v>4.2939327858314347E-5</v>
      </c>
    </row>
    <row r="1477" spans="1:9" x14ac:dyDescent="0.3">
      <c r="A1477" s="5">
        <v>43780</v>
      </c>
      <c r="B1477">
        <v>129.60000600000001</v>
      </c>
      <c r="C1477">
        <v>130.10000600000001</v>
      </c>
      <c r="D1477">
        <v>129.35000600000001</v>
      </c>
      <c r="E1477">
        <v>129.91999799999999</v>
      </c>
      <c r="F1477">
        <v>114.41707599999999</v>
      </c>
      <c r="G1477">
        <v>8679000</v>
      </c>
      <c r="I1477">
        <f t="shared" si="23"/>
        <v>1.3821306329561765E-5</v>
      </c>
    </row>
    <row r="1478" spans="1:9" x14ac:dyDescent="0.3">
      <c r="A1478" s="5">
        <v>43781</v>
      </c>
      <c r="B1478">
        <v>129.63000500000001</v>
      </c>
      <c r="C1478">
        <v>130.61999499999999</v>
      </c>
      <c r="D1478">
        <v>129.009995</v>
      </c>
      <c r="E1478">
        <v>129.16000399999999</v>
      </c>
      <c r="F1478">
        <v>113.747765</v>
      </c>
      <c r="G1478">
        <v>9099000</v>
      </c>
      <c r="I1478">
        <f t="shared" si="23"/>
        <v>9.1088293810063877E-5</v>
      </c>
    </row>
    <row r="1479" spans="1:9" x14ac:dyDescent="0.3">
      <c r="A1479" s="5">
        <v>43782</v>
      </c>
      <c r="B1479">
        <v>128.13000500000001</v>
      </c>
      <c r="C1479">
        <v>128.820007</v>
      </c>
      <c r="D1479">
        <v>127.41999800000001</v>
      </c>
      <c r="E1479">
        <v>128.479996</v>
      </c>
      <c r="F1479">
        <v>113.148895</v>
      </c>
      <c r="G1479">
        <v>8023300</v>
      </c>
      <c r="I1479">
        <f t="shared" si="23"/>
        <v>6.0229048910706779E-5</v>
      </c>
    </row>
    <row r="1480" spans="1:9" x14ac:dyDescent="0.3">
      <c r="A1480" s="5">
        <v>43783</v>
      </c>
      <c r="B1480">
        <v>127.720001</v>
      </c>
      <c r="C1480">
        <v>128.83999600000001</v>
      </c>
      <c r="D1480">
        <v>127.589996</v>
      </c>
      <c r="E1480">
        <v>128.60000600000001</v>
      </c>
      <c r="F1480">
        <v>113.25460099999999</v>
      </c>
      <c r="G1480">
        <v>8483400</v>
      </c>
      <c r="I1480">
        <f t="shared" si="23"/>
        <v>2.4308273825706299E-5</v>
      </c>
    </row>
    <row r="1481" spans="1:9" x14ac:dyDescent="0.3">
      <c r="A1481" s="5">
        <v>43784</v>
      </c>
      <c r="B1481">
        <v>129.229996</v>
      </c>
      <c r="C1481">
        <v>129.529999</v>
      </c>
      <c r="D1481">
        <v>128.39999399999999</v>
      </c>
      <c r="E1481">
        <v>129.529999</v>
      </c>
      <c r="F1481">
        <v>114.073616</v>
      </c>
      <c r="G1481">
        <v>10163600</v>
      </c>
      <c r="I1481">
        <f t="shared" si="23"/>
        <v>5.6458003128973806E-5</v>
      </c>
    </row>
    <row r="1482" spans="1:9" x14ac:dyDescent="0.3">
      <c r="A1482" s="5">
        <v>43787</v>
      </c>
      <c r="B1482">
        <v>129.55999800000001</v>
      </c>
      <c r="C1482">
        <v>130.64999399999999</v>
      </c>
      <c r="D1482">
        <v>128.990005</v>
      </c>
      <c r="E1482">
        <v>130.61999499999999</v>
      </c>
      <c r="F1482">
        <v>115.033562</v>
      </c>
      <c r="G1482">
        <v>8749300</v>
      </c>
      <c r="I1482">
        <f t="shared" si="23"/>
        <v>5.7291390265699427E-5</v>
      </c>
    </row>
    <row r="1483" spans="1:9" x14ac:dyDescent="0.3">
      <c r="A1483" s="5">
        <v>43788</v>
      </c>
      <c r="B1483">
        <v>130.990005</v>
      </c>
      <c r="C1483">
        <v>131.25</v>
      </c>
      <c r="D1483">
        <v>130.179993</v>
      </c>
      <c r="E1483">
        <v>130.58000200000001</v>
      </c>
      <c r="F1483">
        <v>114.99831399999999</v>
      </c>
      <c r="G1483">
        <v>8824500</v>
      </c>
      <c r="I1483">
        <f t="shared" si="23"/>
        <v>2.9178890129553112E-5</v>
      </c>
    </row>
    <row r="1484" spans="1:9" x14ac:dyDescent="0.3">
      <c r="A1484" s="5">
        <v>43789</v>
      </c>
      <c r="B1484">
        <v>130.300003</v>
      </c>
      <c r="C1484">
        <v>130.61999499999999</v>
      </c>
      <c r="D1484">
        <v>128.94000199999999</v>
      </c>
      <c r="E1484">
        <v>129.63000500000001</v>
      </c>
      <c r="F1484">
        <v>114.161682</v>
      </c>
      <c r="G1484">
        <v>11782800</v>
      </c>
      <c r="I1484">
        <f t="shared" ref="I1484:I1547" si="24">LN(C1484/B1484)*(LN(C1484/B1484)-LN(E1484/B1484))+LN(D1484/B1484)*(LN(D1484/B1484)-LN(E1484/B1484))</f>
        <v>7.4659292296423181E-5</v>
      </c>
    </row>
    <row r="1485" spans="1:9" x14ac:dyDescent="0.3">
      <c r="A1485" s="5">
        <v>43790</v>
      </c>
      <c r="B1485">
        <v>130</v>
      </c>
      <c r="C1485">
        <v>130.720001</v>
      </c>
      <c r="D1485">
        <v>129.38999899999999</v>
      </c>
      <c r="E1485">
        <v>129.929993</v>
      </c>
      <c r="F1485">
        <v>114.425865</v>
      </c>
      <c r="G1485">
        <v>7705500</v>
      </c>
      <c r="I1485">
        <f t="shared" si="24"/>
        <v>5.3068803284087252E-5</v>
      </c>
    </row>
    <row r="1486" spans="1:9" x14ac:dyDescent="0.3">
      <c r="A1486" s="5">
        <v>43791</v>
      </c>
      <c r="B1486">
        <v>130.14999399999999</v>
      </c>
      <c r="C1486">
        <v>131.220001</v>
      </c>
      <c r="D1486">
        <v>130.10000600000001</v>
      </c>
      <c r="E1486">
        <v>130.78999300000001</v>
      </c>
      <c r="F1486">
        <v>115.183266</v>
      </c>
      <c r="G1486">
        <v>8167900</v>
      </c>
      <c r="I1486">
        <f t="shared" si="24"/>
        <v>2.8907221843901223E-5</v>
      </c>
    </row>
    <row r="1487" spans="1:9" x14ac:dyDescent="0.3">
      <c r="A1487" s="5">
        <v>43794</v>
      </c>
      <c r="B1487">
        <v>131.25</v>
      </c>
      <c r="C1487">
        <v>132.070007</v>
      </c>
      <c r="D1487">
        <v>130.86999499999999</v>
      </c>
      <c r="E1487">
        <v>131.490005</v>
      </c>
      <c r="F1487">
        <v>115.799744</v>
      </c>
      <c r="G1487">
        <v>10068500</v>
      </c>
      <c r="I1487">
        <f t="shared" si="24"/>
        <v>4.1116444365789754E-5</v>
      </c>
    </row>
    <row r="1488" spans="1:9" x14ac:dyDescent="0.3">
      <c r="A1488" s="5">
        <v>43795</v>
      </c>
      <c r="B1488">
        <v>131.820007</v>
      </c>
      <c r="C1488">
        <v>131.820007</v>
      </c>
      <c r="D1488">
        <v>130.36000100000001</v>
      </c>
      <c r="E1488">
        <v>131.66999799999999</v>
      </c>
      <c r="F1488">
        <v>115.958275</v>
      </c>
      <c r="G1488">
        <v>10490700</v>
      </c>
      <c r="I1488">
        <f t="shared" si="24"/>
        <v>1.1136339262579997E-4</v>
      </c>
    </row>
    <row r="1489" spans="1:9" x14ac:dyDescent="0.3">
      <c r="A1489" s="5">
        <v>43796</v>
      </c>
      <c r="B1489">
        <v>132.28999300000001</v>
      </c>
      <c r="C1489">
        <v>132.429993</v>
      </c>
      <c r="D1489">
        <v>131.64999399999999</v>
      </c>
      <c r="E1489">
        <v>132.05999800000001</v>
      </c>
      <c r="F1489">
        <v>116.301727</v>
      </c>
      <c r="G1489">
        <v>6607900</v>
      </c>
      <c r="I1489">
        <f t="shared" si="24"/>
        <v>1.8039137292182791E-5</v>
      </c>
    </row>
    <row r="1490" spans="1:9" x14ac:dyDescent="0.3">
      <c r="A1490" s="5">
        <v>43798</v>
      </c>
      <c r="B1490">
        <v>131.86999499999999</v>
      </c>
      <c r="C1490">
        <v>132.41000399999999</v>
      </c>
      <c r="D1490">
        <v>131.449997</v>
      </c>
      <c r="E1490">
        <v>131.759995</v>
      </c>
      <c r="F1490">
        <v>116.037514</v>
      </c>
      <c r="G1490">
        <v>5712000</v>
      </c>
      <c r="I1490">
        <f t="shared" si="24"/>
        <v>2.7625178278408577E-5</v>
      </c>
    </row>
    <row r="1491" spans="1:9" x14ac:dyDescent="0.3">
      <c r="A1491" s="5">
        <v>43801</v>
      </c>
      <c r="B1491">
        <v>132.30999800000001</v>
      </c>
      <c r="C1491">
        <v>132.740005</v>
      </c>
      <c r="D1491">
        <v>131.35000600000001</v>
      </c>
      <c r="E1491">
        <v>131.470001</v>
      </c>
      <c r="F1491">
        <v>115.782127</v>
      </c>
      <c r="G1491">
        <v>8615600</v>
      </c>
      <c r="I1491">
        <f t="shared" si="24"/>
        <v>3.7843242171063242E-5</v>
      </c>
    </row>
    <row r="1492" spans="1:9" x14ac:dyDescent="0.3">
      <c r="A1492" s="5">
        <v>43802</v>
      </c>
      <c r="B1492">
        <v>129.770004</v>
      </c>
      <c r="C1492">
        <v>129.96000699999999</v>
      </c>
      <c r="D1492">
        <v>128.58999600000001</v>
      </c>
      <c r="E1492">
        <v>129.779999</v>
      </c>
      <c r="F1492">
        <v>114.293785</v>
      </c>
      <c r="G1492">
        <v>10361300</v>
      </c>
      <c r="I1492">
        <f t="shared" si="24"/>
        <v>8.6173585968987379E-5</v>
      </c>
    </row>
    <row r="1493" spans="1:9" x14ac:dyDescent="0.3">
      <c r="A1493" s="5">
        <v>43803</v>
      </c>
      <c r="B1493">
        <v>130.38000500000001</v>
      </c>
      <c r="C1493">
        <v>132.470001</v>
      </c>
      <c r="D1493">
        <v>129.990005</v>
      </c>
      <c r="E1493">
        <v>132.33999600000001</v>
      </c>
      <c r="F1493">
        <v>116.548309</v>
      </c>
      <c r="G1493">
        <v>10318200</v>
      </c>
      <c r="I1493">
        <f t="shared" si="24"/>
        <v>6.9288634788578098E-5</v>
      </c>
    </row>
    <row r="1494" spans="1:9" x14ac:dyDescent="0.3">
      <c r="A1494" s="5">
        <v>43804</v>
      </c>
      <c r="B1494">
        <v>132.679993</v>
      </c>
      <c r="C1494">
        <v>133.30999800000001</v>
      </c>
      <c r="D1494">
        <v>132.179993</v>
      </c>
      <c r="E1494">
        <v>133.05999800000001</v>
      </c>
      <c r="F1494">
        <v>117.18238100000001</v>
      </c>
      <c r="G1494">
        <v>9587400</v>
      </c>
      <c r="I1494">
        <f t="shared" si="24"/>
        <v>3.3945019264911221E-5</v>
      </c>
    </row>
    <row r="1495" spans="1:9" x14ac:dyDescent="0.3">
      <c r="A1495" s="5">
        <v>43805</v>
      </c>
      <c r="B1495">
        <v>134.69000199999999</v>
      </c>
      <c r="C1495">
        <v>135.779999</v>
      </c>
      <c r="D1495">
        <v>134.64999399999999</v>
      </c>
      <c r="E1495">
        <v>135.03999300000001</v>
      </c>
      <c r="F1495">
        <v>118.926132</v>
      </c>
      <c r="G1495">
        <v>10170600</v>
      </c>
      <c r="I1495">
        <f t="shared" si="24"/>
        <v>4.490701317241806E-5</v>
      </c>
    </row>
    <row r="1496" spans="1:9" x14ac:dyDescent="0.3">
      <c r="A1496" s="5">
        <v>43808</v>
      </c>
      <c r="B1496">
        <v>134.63000500000001</v>
      </c>
      <c r="C1496">
        <v>135.46000699999999</v>
      </c>
      <c r="D1496">
        <v>134.41000399999999</v>
      </c>
      <c r="E1496">
        <v>134.41000399999999</v>
      </c>
      <c r="F1496">
        <v>118.371284</v>
      </c>
      <c r="G1496">
        <v>8498200</v>
      </c>
      <c r="I1496">
        <f t="shared" si="24"/>
        <v>4.7826662757901646E-5</v>
      </c>
    </row>
    <row r="1497" spans="1:9" x14ac:dyDescent="0.3">
      <c r="A1497" s="5">
        <v>43809</v>
      </c>
      <c r="B1497">
        <v>133.25</v>
      </c>
      <c r="C1497">
        <v>134.770004</v>
      </c>
      <c r="D1497">
        <v>132.88000500000001</v>
      </c>
      <c r="E1497">
        <v>134.5</v>
      </c>
      <c r="F1497">
        <v>118.45056200000001</v>
      </c>
      <c r="G1497">
        <v>7532900</v>
      </c>
      <c r="I1497">
        <f t="shared" si="24"/>
        <v>5.6441003841071758E-5</v>
      </c>
    </row>
    <row r="1498" spans="1:9" x14ac:dyDescent="0.3">
      <c r="A1498" s="5">
        <v>43810</v>
      </c>
      <c r="B1498">
        <v>134.28999300000001</v>
      </c>
      <c r="C1498">
        <v>135.020004</v>
      </c>
      <c r="D1498">
        <v>134.009995</v>
      </c>
      <c r="E1498">
        <v>134.179993</v>
      </c>
      <c r="F1498">
        <v>118.168755</v>
      </c>
      <c r="G1498">
        <v>9011900</v>
      </c>
      <c r="I1498">
        <f t="shared" si="24"/>
        <v>3.6479722055004194E-5</v>
      </c>
    </row>
    <row r="1499" spans="1:9" x14ac:dyDescent="0.3">
      <c r="A1499" s="5">
        <v>43811</v>
      </c>
      <c r="B1499">
        <v>134.490005</v>
      </c>
      <c r="C1499">
        <v>138.470001</v>
      </c>
      <c r="D1499">
        <v>134.21000699999999</v>
      </c>
      <c r="E1499">
        <v>138.020004</v>
      </c>
      <c r="F1499">
        <v>121.550522</v>
      </c>
      <c r="G1499">
        <v>13717400</v>
      </c>
      <c r="I1499">
        <f t="shared" si="24"/>
        <v>1.5327004763783243E-4</v>
      </c>
    </row>
    <row r="1500" spans="1:9" x14ac:dyDescent="0.3">
      <c r="A1500" s="5">
        <v>43812</v>
      </c>
      <c r="B1500">
        <v>137.949997</v>
      </c>
      <c r="C1500">
        <v>138.83000200000001</v>
      </c>
      <c r="D1500">
        <v>136.220001</v>
      </c>
      <c r="E1500">
        <v>136.80999800000001</v>
      </c>
      <c r="F1500">
        <v>120.484894</v>
      </c>
      <c r="G1500">
        <v>10592100</v>
      </c>
      <c r="I1500">
        <f t="shared" si="24"/>
        <v>1.4774494630171562E-4</v>
      </c>
    </row>
    <row r="1501" spans="1:9" x14ac:dyDescent="0.3">
      <c r="A1501" s="5">
        <v>43815</v>
      </c>
      <c r="B1501">
        <v>138.38000500000001</v>
      </c>
      <c r="C1501">
        <v>138.83999600000001</v>
      </c>
      <c r="D1501">
        <v>137.320007</v>
      </c>
      <c r="E1501">
        <v>137.33999600000001</v>
      </c>
      <c r="F1501">
        <v>120.951668</v>
      </c>
      <c r="G1501">
        <v>11372000</v>
      </c>
      <c r="I1501">
        <f t="shared" si="24"/>
        <v>3.7167853694319499E-5</v>
      </c>
    </row>
    <row r="1502" spans="1:9" x14ac:dyDescent="0.3">
      <c r="A1502" s="5">
        <v>43816</v>
      </c>
      <c r="B1502">
        <v>137.729996</v>
      </c>
      <c r="C1502">
        <v>138.66999799999999</v>
      </c>
      <c r="D1502">
        <v>137.229996</v>
      </c>
      <c r="E1502">
        <v>138.179993</v>
      </c>
      <c r="F1502">
        <v>121.691422</v>
      </c>
      <c r="G1502">
        <v>11546800</v>
      </c>
      <c r="I1502">
        <f t="shared" si="24"/>
        <v>4.9167624255804288E-5</v>
      </c>
    </row>
    <row r="1503" spans="1:9" x14ac:dyDescent="0.3">
      <c r="A1503" s="5">
        <v>43817</v>
      </c>
      <c r="B1503">
        <v>138.14999399999999</v>
      </c>
      <c r="C1503">
        <v>139.020004</v>
      </c>
      <c r="D1503">
        <v>137.720001</v>
      </c>
      <c r="E1503">
        <v>138.03999300000001</v>
      </c>
      <c r="F1503">
        <v>121.568123</v>
      </c>
      <c r="G1503">
        <v>10381500</v>
      </c>
      <c r="I1503">
        <f t="shared" si="24"/>
        <v>5.1646580248629676E-5</v>
      </c>
    </row>
    <row r="1504" spans="1:9" x14ac:dyDescent="0.3">
      <c r="A1504" s="5">
        <v>43818</v>
      </c>
      <c r="B1504">
        <v>137.759995</v>
      </c>
      <c r="C1504">
        <v>138.220001</v>
      </c>
      <c r="D1504">
        <v>137.10000600000001</v>
      </c>
      <c r="E1504">
        <v>137.35000600000001</v>
      </c>
      <c r="F1504">
        <v>120.960487</v>
      </c>
      <c r="G1504">
        <v>9350400</v>
      </c>
      <c r="I1504">
        <f t="shared" si="24"/>
        <v>2.979814126059731E-5</v>
      </c>
    </row>
    <row r="1505" spans="1:9" x14ac:dyDescent="0.3">
      <c r="A1505" s="5">
        <v>43819</v>
      </c>
      <c r="B1505">
        <v>138.020004</v>
      </c>
      <c r="C1505">
        <v>138.88000500000001</v>
      </c>
      <c r="D1505">
        <v>136.89999399999999</v>
      </c>
      <c r="E1505">
        <v>137.240005</v>
      </c>
      <c r="F1505">
        <v>120.863609</v>
      </c>
      <c r="G1505">
        <v>29992600</v>
      </c>
      <c r="I1505">
        <f t="shared" si="24"/>
        <v>9.3999969659028465E-5</v>
      </c>
    </row>
    <row r="1506" spans="1:9" x14ac:dyDescent="0.3">
      <c r="A1506" s="5">
        <v>43822</v>
      </c>
      <c r="B1506">
        <v>137.60000600000001</v>
      </c>
      <c r="C1506">
        <v>137.91000399999999</v>
      </c>
      <c r="D1506">
        <v>136.88000500000001</v>
      </c>
      <c r="E1506">
        <v>137.199997</v>
      </c>
      <c r="F1506">
        <v>120.8284</v>
      </c>
      <c r="G1506">
        <v>9738400</v>
      </c>
      <c r="I1506">
        <f t="shared" si="24"/>
        <v>2.3865787288023188E-5</v>
      </c>
    </row>
    <row r="1507" spans="1:9" x14ac:dyDescent="0.3">
      <c r="A1507" s="5">
        <v>43823</v>
      </c>
      <c r="B1507">
        <v>137.33000200000001</v>
      </c>
      <c r="C1507">
        <v>137.63000500000001</v>
      </c>
      <c r="D1507">
        <v>137.05999800000001</v>
      </c>
      <c r="E1507">
        <v>137.58000200000001</v>
      </c>
      <c r="F1507">
        <v>121.16306299999999</v>
      </c>
      <c r="G1507">
        <v>3324300</v>
      </c>
      <c r="I1507">
        <f t="shared" si="24"/>
        <v>8.2455138337368998E-6</v>
      </c>
    </row>
    <row r="1508" spans="1:9" x14ac:dyDescent="0.3">
      <c r="A1508" s="5">
        <v>43825</v>
      </c>
      <c r="B1508">
        <v>137.88999899999999</v>
      </c>
      <c r="C1508">
        <v>139.10000600000001</v>
      </c>
      <c r="D1508">
        <v>137.779999</v>
      </c>
      <c r="E1508">
        <v>139.03999300000001</v>
      </c>
      <c r="F1508">
        <v>122.448807</v>
      </c>
      <c r="G1508">
        <v>6770900</v>
      </c>
      <c r="I1508">
        <f t="shared" si="24"/>
        <v>1.103526191763534E-5</v>
      </c>
    </row>
    <row r="1509" spans="1:9" x14ac:dyDescent="0.3">
      <c r="A1509" s="5">
        <v>43826</v>
      </c>
      <c r="B1509">
        <v>139.300003</v>
      </c>
      <c r="C1509">
        <v>139.770004</v>
      </c>
      <c r="D1509">
        <v>138.66999799999999</v>
      </c>
      <c r="E1509">
        <v>139.13999899999999</v>
      </c>
      <c r="F1509">
        <v>122.536888</v>
      </c>
      <c r="G1509">
        <v>7868200</v>
      </c>
      <c r="I1509">
        <f t="shared" si="24"/>
        <v>3.0554542256672716E-5</v>
      </c>
    </row>
    <row r="1510" spans="1:9" x14ac:dyDescent="0.3">
      <c r="A1510" s="5">
        <v>43829</v>
      </c>
      <c r="B1510">
        <v>139.89999399999999</v>
      </c>
      <c r="C1510">
        <v>140.08000200000001</v>
      </c>
      <c r="D1510">
        <v>138.470001</v>
      </c>
      <c r="E1510">
        <v>138.63000500000001</v>
      </c>
      <c r="F1510">
        <v>122.087761</v>
      </c>
      <c r="G1510">
        <v>6963000</v>
      </c>
      <c r="I1510">
        <f t="shared" si="24"/>
        <v>2.5244657925129739E-5</v>
      </c>
    </row>
    <row r="1511" spans="1:9" x14ac:dyDescent="0.3">
      <c r="A1511" s="5">
        <v>43830</v>
      </c>
      <c r="B1511">
        <v>138.509995</v>
      </c>
      <c r="C1511">
        <v>139.479996</v>
      </c>
      <c r="D1511">
        <v>138.28999300000001</v>
      </c>
      <c r="E1511">
        <v>139.39999399999999</v>
      </c>
      <c r="F1511">
        <v>122.76583100000001</v>
      </c>
      <c r="G1511">
        <v>7201600</v>
      </c>
      <c r="I1511">
        <f t="shared" si="24"/>
        <v>1.6712207089128024E-5</v>
      </c>
    </row>
    <row r="1512" spans="1:9" x14ac:dyDescent="0.3">
      <c r="A1512" s="5">
        <v>43832</v>
      </c>
      <c r="B1512">
        <v>139.78999300000001</v>
      </c>
      <c r="C1512">
        <v>141.10000600000001</v>
      </c>
      <c r="D1512">
        <v>139.259995</v>
      </c>
      <c r="E1512">
        <v>141.08999600000001</v>
      </c>
      <c r="F1512">
        <v>124.25417299999999</v>
      </c>
      <c r="G1512">
        <v>10803700</v>
      </c>
      <c r="I1512">
        <f t="shared" si="24"/>
        <v>5.0253530154138378E-5</v>
      </c>
    </row>
    <row r="1513" spans="1:9" x14ac:dyDescent="0.3">
      <c r="A1513" s="5">
        <v>43833</v>
      </c>
      <c r="B1513">
        <v>137.5</v>
      </c>
      <c r="C1513">
        <v>139.229996</v>
      </c>
      <c r="D1513">
        <v>137.08000200000001</v>
      </c>
      <c r="E1513">
        <v>138.33999600000001</v>
      </c>
      <c r="F1513">
        <v>122.61449399999999</v>
      </c>
      <c r="G1513">
        <v>10386800</v>
      </c>
      <c r="I1513">
        <f t="shared" si="24"/>
        <v>1.0817213348226636E-4</v>
      </c>
    </row>
    <row r="1514" spans="1:9" x14ac:dyDescent="0.3">
      <c r="A1514" s="5">
        <v>43836</v>
      </c>
      <c r="B1514">
        <v>136.55999800000001</v>
      </c>
      <c r="C1514">
        <v>138.270004</v>
      </c>
      <c r="D1514">
        <v>136.5</v>
      </c>
      <c r="E1514">
        <v>138.229996</v>
      </c>
      <c r="F1514">
        <v>122.516991</v>
      </c>
      <c r="G1514">
        <v>10259000</v>
      </c>
      <c r="I1514">
        <f t="shared" si="24"/>
        <v>9.1357939374429307E-6</v>
      </c>
    </row>
    <row r="1515" spans="1:9" x14ac:dyDescent="0.3">
      <c r="A1515" s="5">
        <v>43837</v>
      </c>
      <c r="B1515">
        <v>137.279999</v>
      </c>
      <c r="C1515">
        <v>137.86000100000001</v>
      </c>
      <c r="D1515">
        <v>135.820007</v>
      </c>
      <c r="E1515">
        <v>135.88000500000001</v>
      </c>
      <c r="F1515">
        <v>120.434128</v>
      </c>
      <c r="G1515">
        <v>10531300</v>
      </c>
      <c r="I1515">
        <f t="shared" si="24"/>
        <v>6.571374991994835E-5</v>
      </c>
    </row>
    <row r="1516" spans="1:9" x14ac:dyDescent="0.3">
      <c r="A1516" s="5">
        <v>43838</v>
      </c>
      <c r="B1516">
        <v>135.699997</v>
      </c>
      <c r="C1516">
        <v>137.58000200000001</v>
      </c>
      <c r="D1516">
        <v>135.60000600000001</v>
      </c>
      <c r="E1516">
        <v>136.94000199999999</v>
      </c>
      <c r="F1516">
        <v>121.37361900000001</v>
      </c>
      <c r="G1516">
        <v>9695300</v>
      </c>
      <c r="I1516">
        <f t="shared" si="24"/>
        <v>7.1402646558513033E-5</v>
      </c>
    </row>
    <row r="1517" spans="1:9" x14ac:dyDescent="0.3">
      <c r="A1517" s="5">
        <v>43839</v>
      </c>
      <c r="B1517">
        <v>138.050003</v>
      </c>
      <c r="C1517">
        <v>138.229996</v>
      </c>
      <c r="D1517">
        <v>137.03999300000001</v>
      </c>
      <c r="E1517">
        <v>137.44000199999999</v>
      </c>
      <c r="F1517">
        <v>121.81682600000001</v>
      </c>
      <c r="G1517">
        <v>9469000</v>
      </c>
      <c r="I1517">
        <f t="shared" si="24"/>
        <v>2.8870833977163437E-5</v>
      </c>
    </row>
    <row r="1518" spans="1:9" x14ac:dyDescent="0.3">
      <c r="A1518" s="5">
        <v>43840</v>
      </c>
      <c r="B1518">
        <v>137.21000699999999</v>
      </c>
      <c r="C1518">
        <v>137.25</v>
      </c>
      <c r="D1518">
        <v>135.80999800000001</v>
      </c>
      <c r="E1518">
        <v>136.070007</v>
      </c>
      <c r="F1518">
        <v>120.60253899999999</v>
      </c>
      <c r="G1518">
        <v>10190900</v>
      </c>
      <c r="I1518">
        <f t="shared" si="24"/>
        <v>2.2132419211613788E-5</v>
      </c>
    </row>
    <row r="1519" spans="1:9" x14ac:dyDescent="0.3">
      <c r="A1519" s="5">
        <v>43843</v>
      </c>
      <c r="B1519">
        <v>136.19000199999999</v>
      </c>
      <c r="C1519">
        <v>137.199997</v>
      </c>
      <c r="D1519">
        <v>135.759995</v>
      </c>
      <c r="E1519">
        <v>137.199997</v>
      </c>
      <c r="F1519">
        <v>121.604088</v>
      </c>
      <c r="G1519">
        <v>12355200</v>
      </c>
      <c r="I1519">
        <f t="shared" si="24"/>
        <v>3.3366829937283271E-5</v>
      </c>
    </row>
    <row r="1520" spans="1:9" x14ac:dyDescent="0.3">
      <c r="A1520" s="5">
        <v>43844</v>
      </c>
      <c r="B1520">
        <v>137.94000199999999</v>
      </c>
      <c r="C1520">
        <v>140.759995</v>
      </c>
      <c r="D1520">
        <v>137.69000199999999</v>
      </c>
      <c r="E1520">
        <v>138.800003</v>
      </c>
      <c r="F1520">
        <v>123.022217</v>
      </c>
      <c r="G1520">
        <v>24906000</v>
      </c>
      <c r="I1520">
        <f t="shared" si="24"/>
        <v>2.9833909557409931E-4</v>
      </c>
    </row>
    <row r="1521" spans="1:9" x14ac:dyDescent="0.3">
      <c r="A1521" s="5">
        <v>43845</v>
      </c>
      <c r="B1521">
        <v>137.85000600000001</v>
      </c>
      <c r="C1521">
        <v>138.60000600000001</v>
      </c>
      <c r="D1521">
        <v>136.14999399999999</v>
      </c>
      <c r="E1521">
        <v>136.720001</v>
      </c>
      <c r="F1521">
        <v>121.17862700000001</v>
      </c>
      <c r="G1521">
        <v>16293400</v>
      </c>
      <c r="I1521">
        <f t="shared" si="24"/>
        <v>1.2594586850507399E-4</v>
      </c>
    </row>
    <row r="1522" spans="1:9" x14ac:dyDescent="0.3">
      <c r="A1522" s="5">
        <v>43846</v>
      </c>
      <c r="B1522">
        <v>137.449997</v>
      </c>
      <c r="C1522">
        <v>137.89999399999999</v>
      </c>
      <c r="D1522">
        <v>136.83999600000001</v>
      </c>
      <c r="E1522">
        <v>137.25</v>
      </c>
      <c r="F1522">
        <v>121.648415</v>
      </c>
      <c r="G1522">
        <v>10783800</v>
      </c>
      <c r="I1522">
        <f t="shared" si="24"/>
        <v>2.8749672004730818E-5</v>
      </c>
    </row>
    <row r="1523" spans="1:9" x14ac:dyDescent="0.3">
      <c r="A1523" s="5">
        <v>43847</v>
      </c>
      <c r="B1523">
        <v>137.53999300000001</v>
      </c>
      <c r="C1523">
        <v>138.28999300000001</v>
      </c>
      <c r="D1523">
        <v>137.320007</v>
      </c>
      <c r="E1523">
        <v>138.199997</v>
      </c>
      <c r="F1523">
        <v>122.490433</v>
      </c>
      <c r="G1523">
        <v>14697700</v>
      </c>
      <c r="I1523">
        <f t="shared" si="24"/>
        <v>1.376532380809674E-5</v>
      </c>
    </row>
    <row r="1524" spans="1:9" x14ac:dyDescent="0.3">
      <c r="A1524" s="5">
        <v>43851</v>
      </c>
      <c r="B1524">
        <v>137.19000199999999</v>
      </c>
      <c r="C1524">
        <v>138.070007</v>
      </c>
      <c r="D1524">
        <v>136.69000199999999</v>
      </c>
      <c r="E1524">
        <v>136.83999600000001</v>
      </c>
      <c r="F1524">
        <v>121.285011</v>
      </c>
      <c r="G1524">
        <v>8474200</v>
      </c>
      <c r="I1524">
        <f t="shared" si="24"/>
        <v>6.1221383577146583E-5</v>
      </c>
    </row>
    <row r="1525" spans="1:9" x14ac:dyDescent="0.3">
      <c r="A1525" s="5">
        <v>43852</v>
      </c>
      <c r="B1525">
        <v>137.240005</v>
      </c>
      <c r="C1525">
        <v>137.39999399999999</v>
      </c>
      <c r="D1525">
        <v>136.38000500000001</v>
      </c>
      <c r="E1525">
        <v>136.679993</v>
      </c>
      <c r="F1525">
        <v>121.143196</v>
      </c>
      <c r="G1525">
        <v>7549100</v>
      </c>
      <c r="I1525">
        <f t="shared" si="24"/>
        <v>1.9933337998176404E-5</v>
      </c>
    </row>
    <row r="1526" spans="1:9" x14ac:dyDescent="0.3">
      <c r="A1526" s="5">
        <v>43853</v>
      </c>
      <c r="B1526">
        <v>135.71000699999999</v>
      </c>
      <c r="C1526">
        <v>136.740005</v>
      </c>
      <c r="D1526">
        <v>134.720001</v>
      </c>
      <c r="E1526">
        <v>136.53999300000001</v>
      </c>
      <c r="F1526">
        <v>121.01908899999999</v>
      </c>
      <c r="G1526">
        <v>9345700</v>
      </c>
      <c r="I1526">
        <f t="shared" si="24"/>
        <v>1.0931834465470943E-4</v>
      </c>
    </row>
    <row r="1527" spans="1:9" x14ac:dyDescent="0.3">
      <c r="A1527" s="5">
        <v>43854</v>
      </c>
      <c r="B1527">
        <v>136.36999499999999</v>
      </c>
      <c r="C1527">
        <v>136.429993</v>
      </c>
      <c r="D1527">
        <v>132.320007</v>
      </c>
      <c r="E1527">
        <v>133.14999399999999</v>
      </c>
      <c r="F1527">
        <v>118.01445</v>
      </c>
      <c r="G1527">
        <v>15166400</v>
      </c>
      <c r="I1527">
        <f t="shared" si="24"/>
        <v>1.9922214301813806E-4</v>
      </c>
    </row>
    <row r="1528" spans="1:9" x14ac:dyDescent="0.3">
      <c r="A1528" s="5">
        <v>43857</v>
      </c>
      <c r="B1528">
        <v>130.270004</v>
      </c>
      <c r="C1528">
        <v>132.94000199999999</v>
      </c>
      <c r="D1528">
        <v>129.71000699999999</v>
      </c>
      <c r="E1528">
        <v>132.029999</v>
      </c>
      <c r="F1528">
        <v>117.021759</v>
      </c>
      <c r="G1528">
        <v>12860500</v>
      </c>
      <c r="I1528">
        <f t="shared" si="24"/>
        <v>2.157297900808322E-4</v>
      </c>
    </row>
    <row r="1529" spans="1:9" x14ac:dyDescent="0.3">
      <c r="A1529" s="5">
        <v>43858</v>
      </c>
      <c r="B1529">
        <v>132.83999600000001</v>
      </c>
      <c r="C1529">
        <v>134.970001</v>
      </c>
      <c r="D1529">
        <v>132.479996</v>
      </c>
      <c r="E1529">
        <v>134.429993</v>
      </c>
      <c r="F1529">
        <v>119.148956</v>
      </c>
      <c r="G1529">
        <v>13062800</v>
      </c>
      <c r="I1529">
        <f t="shared" si="24"/>
        <v>1.0342384717019934E-4</v>
      </c>
    </row>
    <row r="1530" spans="1:9" x14ac:dyDescent="0.3">
      <c r="A1530" s="5">
        <v>43859</v>
      </c>
      <c r="B1530">
        <v>134.80999800000001</v>
      </c>
      <c r="C1530">
        <v>135.53999300000001</v>
      </c>
      <c r="D1530">
        <v>133.69000199999999</v>
      </c>
      <c r="E1530">
        <v>134.229996</v>
      </c>
      <c r="F1530">
        <v>118.97165699999999</v>
      </c>
      <c r="G1530">
        <v>9326000</v>
      </c>
      <c r="I1530">
        <f t="shared" si="24"/>
        <v>8.607808817609697E-5</v>
      </c>
    </row>
    <row r="1531" spans="1:9" x14ac:dyDescent="0.3">
      <c r="A1531" s="5">
        <v>43860</v>
      </c>
      <c r="B1531">
        <v>132.69000199999999</v>
      </c>
      <c r="C1531">
        <v>136.13000500000001</v>
      </c>
      <c r="D1531">
        <v>132.69000199999999</v>
      </c>
      <c r="E1531">
        <v>135.88999899999999</v>
      </c>
      <c r="F1531">
        <v>120.443001</v>
      </c>
      <c r="G1531">
        <v>9048900</v>
      </c>
      <c r="I1531">
        <f t="shared" si="24"/>
        <v>4.5165029807413311E-5</v>
      </c>
    </row>
    <row r="1532" spans="1:9" x14ac:dyDescent="0.3">
      <c r="A1532" s="5">
        <v>43861</v>
      </c>
      <c r="B1532">
        <v>134.490005</v>
      </c>
      <c r="C1532">
        <v>134.83000200000001</v>
      </c>
      <c r="D1532">
        <v>131.470001</v>
      </c>
      <c r="E1532">
        <v>132.36000100000001</v>
      </c>
      <c r="F1532">
        <v>117.314255</v>
      </c>
      <c r="G1532">
        <v>12785200</v>
      </c>
      <c r="I1532">
        <f t="shared" si="24"/>
        <v>1.9991041366406397E-4</v>
      </c>
    </row>
    <row r="1533" spans="1:9" x14ac:dyDescent="0.3">
      <c r="A1533" s="5">
        <v>43864</v>
      </c>
      <c r="B1533">
        <v>132.66000399999999</v>
      </c>
      <c r="C1533">
        <v>134.240005</v>
      </c>
      <c r="D1533">
        <v>132.66000399999999</v>
      </c>
      <c r="E1533">
        <v>133.36999499999999</v>
      </c>
      <c r="F1533">
        <v>118.20945</v>
      </c>
      <c r="G1533">
        <v>10021100</v>
      </c>
      <c r="I1533">
        <f t="shared" si="24"/>
        <v>7.6983433064999217E-5</v>
      </c>
    </row>
    <row r="1534" spans="1:9" x14ac:dyDescent="0.3">
      <c r="A1534" s="5">
        <v>43865</v>
      </c>
      <c r="B1534">
        <v>135.550003</v>
      </c>
      <c r="C1534">
        <v>136.60000600000001</v>
      </c>
      <c r="D1534">
        <v>135.08000200000001</v>
      </c>
      <c r="E1534">
        <v>135.28999300000001</v>
      </c>
      <c r="F1534">
        <v>119.91119399999999</v>
      </c>
      <c r="G1534">
        <v>9157100</v>
      </c>
      <c r="I1534">
        <f t="shared" si="24"/>
        <v>7.9753828627251837E-5</v>
      </c>
    </row>
    <row r="1535" spans="1:9" x14ac:dyDescent="0.3">
      <c r="A1535" s="5">
        <v>43866</v>
      </c>
      <c r="B1535">
        <v>136.570007</v>
      </c>
      <c r="C1535">
        <v>137.729996</v>
      </c>
      <c r="D1535">
        <v>136.009995</v>
      </c>
      <c r="E1535">
        <v>137.58999600000001</v>
      </c>
      <c r="F1535">
        <v>121.949715</v>
      </c>
      <c r="G1535">
        <v>10150700</v>
      </c>
      <c r="I1535">
        <f t="shared" si="24"/>
        <v>5.6059702283667404E-5</v>
      </c>
    </row>
    <row r="1536" spans="1:9" x14ac:dyDescent="0.3">
      <c r="A1536" s="5">
        <v>43867</v>
      </c>
      <c r="B1536">
        <v>138.240005</v>
      </c>
      <c r="C1536">
        <v>138.28999300000001</v>
      </c>
      <c r="D1536">
        <v>137.11000100000001</v>
      </c>
      <c r="E1536">
        <v>137.61000100000001</v>
      </c>
      <c r="F1536">
        <v>121.967468</v>
      </c>
      <c r="G1536">
        <v>8992300</v>
      </c>
      <c r="I1536">
        <f t="shared" si="24"/>
        <v>3.1659155029691961E-5</v>
      </c>
    </row>
    <row r="1537" spans="1:9" x14ac:dyDescent="0.3">
      <c r="A1537" s="5">
        <v>43868</v>
      </c>
      <c r="B1537">
        <v>136.729996</v>
      </c>
      <c r="C1537">
        <v>137.66999799999999</v>
      </c>
      <c r="D1537">
        <v>136.300003</v>
      </c>
      <c r="E1537">
        <v>137.16999799999999</v>
      </c>
      <c r="F1537">
        <v>121.577499</v>
      </c>
      <c r="G1537">
        <v>6379800</v>
      </c>
      <c r="I1537">
        <f t="shared" si="24"/>
        <v>4.4969567923760634E-5</v>
      </c>
    </row>
    <row r="1538" spans="1:9" x14ac:dyDescent="0.3">
      <c r="A1538" s="5">
        <v>43871</v>
      </c>
      <c r="B1538">
        <v>136.949997</v>
      </c>
      <c r="C1538">
        <v>137.85000600000001</v>
      </c>
      <c r="D1538">
        <v>136.75</v>
      </c>
      <c r="E1538">
        <v>137.740005</v>
      </c>
      <c r="F1538">
        <v>122.082733</v>
      </c>
      <c r="G1538">
        <v>5960700</v>
      </c>
      <c r="I1538">
        <f t="shared" si="24"/>
        <v>1.577103785551253E-5</v>
      </c>
    </row>
    <row r="1539" spans="1:9" x14ac:dyDescent="0.3">
      <c r="A1539" s="5">
        <v>43872</v>
      </c>
      <c r="B1539">
        <v>138.259995</v>
      </c>
      <c r="C1539">
        <v>138.820007</v>
      </c>
      <c r="D1539">
        <v>137.779999</v>
      </c>
      <c r="E1539">
        <v>138</v>
      </c>
      <c r="F1539">
        <v>122.31313299999999</v>
      </c>
      <c r="G1539">
        <v>6578600</v>
      </c>
      <c r="I1539">
        <f t="shared" si="24"/>
        <v>2.9496925633201594E-5</v>
      </c>
    </row>
    <row r="1540" spans="1:9" x14ac:dyDescent="0.3">
      <c r="A1540" s="5">
        <v>43873</v>
      </c>
      <c r="B1540">
        <v>138.60000600000001</v>
      </c>
      <c r="C1540">
        <v>139.28999300000001</v>
      </c>
      <c r="D1540">
        <v>137.800003</v>
      </c>
      <c r="E1540">
        <v>138</v>
      </c>
      <c r="F1540">
        <v>122.31313299999999</v>
      </c>
      <c r="G1540">
        <v>7958000</v>
      </c>
      <c r="I1540">
        <f t="shared" si="24"/>
        <v>5.4600046192011966E-5</v>
      </c>
    </row>
    <row r="1541" spans="1:9" x14ac:dyDescent="0.3">
      <c r="A1541" s="5">
        <v>43874</v>
      </c>
      <c r="B1541">
        <v>137.75</v>
      </c>
      <c r="C1541">
        <v>138.33999600000001</v>
      </c>
      <c r="D1541">
        <v>136.39999399999999</v>
      </c>
      <c r="E1541">
        <v>137.88000500000001</v>
      </c>
      <c r="F1541">
        <v>122.20678700000001</v>
      </c>
      <c r="G1541">
        <v>7447500</v>
      </c>
      <c r="I1541">
        <f t="shared" si="24"/>
        <v>1.20523301936134E-4</v>
      </c>
    </row>
    <row r="1542" spans="1:9" x14ac:dyDescent="0.3">
      <c r="A1542" s="5">
        <v>43875</v>
      </c>
      <c r="B1542">
        <v>137.83999600000001</v>
      </c>
      <c r="C1542">
        <v>138.19000199999999</v>
      </c>
      <c r="D1542">
        <v>136.94000199999999</v>
      </c>
      <c r="E1542">
        <v>137.46000699999999</v>
      </c>
      <c r="F1542">
        <v>121.834526</v>
      </c>
      <c r="G1542">
        <v>6627600</v>
      </c>
      <c r="I1542">
        <f t="shared" si="24"/>
        <v>3.8259949114849919E-5</v>
      </c>
    </row>
    <row r="1543" spans="1:9" x14ac:dyDescent="0.3">
      <c r="A1543" s="5">
        <v>43879</v>
      </c>
      <c r="B1543">
        <v>137.33999600000001</v>
      </c>
      <c r="C1543">
        <v>137.71000699999999</v>
      </c>
      <c r="D1543">
        <v>135.050003</v>
      </c>
      <c r="E1543">
        <v>135.63999899999999</v>
      </c>
      <c r="F1543">
        <v>120.22137499999999</v>
      </c>
      <c r="G1543">
        <v>8996400</v>
      </c>
      <c r="I1543">
        <f t="shared" si="24"/>
        <v>1.1404747497315189E-4</v>
      </c>
    </row>
    <row r="1544" spans="1:9" x14ac:dyDescent="0.3">
      <c r="A1544" s="5">
        <v>43880</v>
      </c>
      <c r="B1544">
        <v>136.91000399999999</v>
      </c>
      <c r="C1544">
        <v>138.38999899999999</v>
      </c>
      <c r="D1544">
        <v>136.33999600000001</v>
      </c>
      <c r="E1544">
        <v>137.490005</v>
      </c>
      <c r="F1544">
        <v>121.861115</v>
      </c>
      <c r="G1544">
        <v>7071200</v>
      </c>
      <c r="I1544">
        <f t="shared" si="24"/>
        <v>1.0519508459854435E-4</v>
      </c>
    </row>
    <row r="1545" spans="1:9" x14ac:dyDescent="0.3">
      <c r="A1545" s="5">
        <v>43881</v>
      </c>
      <c r="B1545">
        <v>137.16999799999999</v>
      </c>
      <c r="C1545">
        <v>138.36000100000001</v>
      </c>
      <c r="D1545">
        <v>136.529999</v>
      </c>
      <c r="E1545">
        <v>137.490005</v>
      </c>
      <c r="F1545">
        <v>121.861115</v>
      </c>
      <c r="G1545">
        <v>7422800</v>
      </c>
      <c r="I1545">
        <f t="shared" si="24"/>
        <v>8.7254994346278318E-5</v>
      </c>
    </row>
    <row r="1546" spans="1:9" x14ac:dyDescent="0.3">
      <c r="A1546" s="5">
        <v>43882</v>
      </c>
      <c r="B1546">
        <v>136.550003</v>
      </c>
      <c r="C1546">
        <v>136.91999799999999</v>
      </c>
      <c r="D1546">
        <v>134.91999799999999</v>
      </c>
      <c r="E1546">
        <v>135.80999800000001</v>
      </c>
      <c r="F1546">
        <v>120.372086</v>
      </c>
      <c r="G1546">
        <v>9772800</v>
      </c>
      <c r="I1546">
        <f t="shared" si="24"/>
        <v>1.0098259387030645E-4</v>
      </c>
    </row>
    <row r="1547" spans="1:9" x14ac:dyDescent="0.3">
      <c r="A1547" s="5">
        <v>43885</v>
      </c>
      <c r="B1547">
        <v>131.44000199999999</v>
      </c>
      <c r="C1547">
        <v>133.199997</v>
      </c>
      <c r="D1547">
        <v>130.800003</v>
      </c>
      <c r="E1547">
        <v>132.16000399999999</v>
      </c>
      <c r="F1547">
        <v>117.136993</v>
      </c>
      <c r="G1547">
        <v>13618400</v>
      </c>
      <c r="I1547">
        <f t="shared" si="24"/>
        <v>1.547491804434744E-4</v>
      </c>
    </row>
    <row r="1548" spans="1:9" x14ac:dyDescent="0.3">
      <c r="A1548" s="5">
        <v>43886</v>
      </c>
      <c r="B1548">
        <v>131</v>
      </c>
      <c r="C1548">
        <v>132.229996</v>
      </c>
      <c r="D1548">
        <v>125.589996</v>
      </c>
      <c r="E1548">
        <v>126.260002</v>
      </c>
      <c r="F1548">
        <v>111.90767700000001</v>
      </c>
      <c r="G1548">
        <v>20797200</v>
      </c>
      <c r="I1548">
        <f t="shared" ref="I1548:I1611" si="25">LN(C1548/B1548)*(LN(C1548/B1548)-LN(E1548/B1548))+LN(D1548/B1548)*(LN(D1548/B1548)-LN(E1548/B1548))</f>
        <v>6.5615499837847543E-4</v>
      </c>
    </row>
    <row r="1549" spans="1:9" x14ac:dyDescent="0.3">
      <c r="A1549" s="5">
        <v>43887</v>
      </c>
      <c r="B1549">
        <v>126.93</v>
      </c>
      <c r="C1549">
        <v>128.949997</v>
      </c>
      <c r="D1549">
        <v>126.339996</v>
      </c>
      <c r="E1549">
        <v>126.639999</v>
      </c>
      <c r="F1549">
        <v>112.24447600000001</v>
      </c>
      <c r="G1549">
        <v>24825600</v>
      </c>
      <c r="I1549">
        <f t="shared" si="25"/>
        <v>2.9645615859383653E-4</v>
      </c>
    </row>
    <row r="1550" spans="1:9" x14ac:dyDescent="0.3">
      <c r="A1550" s="5">
        <v>43888</v>
      </c>
      <c r="B1550">
        <v>122.910004</v>
      </c>
      <c r="C1550">
        <v>125.620003</v>
      </c>
      <c r="D1550">
        <v>121.300003</v>
      </c>
      <c r="E1550">
        <v>121.370003</v>
      </c>
      <c r="F1550">
        <v>107.573532</v>
      </c>
      <c r="G1550">
        <v>23005500</v>
      </c>
      <c r="I1550">
        <f t="shared" si="25"/>
        <v>7.5822659208952484E-4</v>
      </c>
    </row>
    <row r="1551" spans="1:9" x14ac:dyDescent="0.3">
      <c r="A1551" s="5">
        <v>43889</v>
      </c>
      <c r="B1551">
        <v>117.519997</v>
      </c>
      <c r="C1551">
        <v>118.489998</v>
      </c>
      <c r="D1551">
        <v>112.660004</v>
      </c>
      <c r="E1551">
        <v>116.110001</v>
      </c>
      <c r="F1551">
        <v>102.911438</v>
      </c>
      <c r="G1551">
        <v>45931400</v>
      </c>
      <c r="I1551">
        <f t="shared" si="25"/>
        <v>1.4407178519806392E-3</v>
      </c>
    </row>
    <row r="1552" spans="1:9" x14ac:dyDescent="0.3">
      <c r="A1552" s="5">
        <v>43892</v>
      </c>
      <c r="B1552">
        <v>116.629997</v>
      </c>
      <c r="C1552">
        <v>121.58000199999999</v>
      </c>
      <c r="D1552">
        <v>114.459999</v>
      </c>
      <c r="E1552">
        <v>121.519997</v>
      </c>
      <c r="F1552">
        <v>107.706467</v>
      </c>
      <c r="G1552">
        <v>27355400</v>
      </c>
      <c r="I1552">
        <f t="shared" si="25"/>
        <v>1.1446326550177553E-3</v>
      </c>
    </row>
    <row r="1553" spans="1:9" x14ac:dyDescent="0.3">
      <c r="A1553" s="5">
        <v>43893</v>
      </c>
      <c r="B1553">
        <v>120.970001</v>
      </c>
      <c r="C1553">
        <v>122.949997</v>
      </c>
      <c r="D1553">
        <v>116.239998</v>
      </c>
      <c r="E1553">
        <v>116.959999</v>
      </c>
      <c r="F1553">
        <v>103.664818</v>
      </c>
      <c r="G1553">
        <v>32547700</v>
      </c>
      <c r="I1553">
        <f t="shared" si="25"/>
        <v>1.0571700229295648E-3</v>
      </c>
    </row>
    <row r="1554" spans="1:9" x14ac:dyDescent="0.3">
      <c r="A1554" s="5">
        <v>43894</v>
      </c>
      <c r="B1554">
        <v>118.33000199999999</v>
      </c>
      <c r="C1554">
        <v>120.19000200000001</v>
      </c>
      <c r="D1554">
        <v>114.699997</v>
      </c>
      <c r="E1554">
        <v>119.849998</v>
      </c>
      <c r="F1554">
        <v>106.226311</v>
      </c>
      <c r="G1554">
        <v>25795900</v>
      </c>
      <c r="I1554">
        <f t="shared" si="25"/>
        <v>1.4126435545551597E-3</v>
      </c>
    </row>
    <row r="1555" spans="1:9" x14ac:dyDescent="0.3">
      <c r="A1555" s="5">
        <v>43895</v>
      </c>
      <c r="B1555">
        <v>115.66999800000001</v>
      </c>
      <c r="C1555">
        <v>116.43</v>
      </c>
      <c r="D1555">
        <v>112.58000199999999</v>
      </c>
      <c r="E1555">
        <v>113.970001</v>
      </c>
      <c r="F1555">
        <v>101.014702</v>
      </c>
      <c r="G1555">
        <v>25025600</v>
      </c>
      <c r="I1555">
        <f t="shared" si="25"/>
        <v>4.7212122454911817E-4</v>
      </c>
    </row>
    <row r="1556" spans="1:9" x14ac:dyDescent="0.3">
      <c r="A1556" s="5">
        <v>43896</v>
      </c>
      <c r="B1556">
        <v>106.260002</v>
      </c>
      <c r="C1556">
        <v>110.32</v>
      </c>
      <c r="D1556">
        <v>105.019997</v>
      </c>
      <c r="E1556">
        <v>108.08000199999999</v>
      </c>
      <c r="F1556">
        <v>95.794242999999994</v>
      </c>
      <c r="G1556">
        <v>38159400</v>
      </c>
      <c r="I1556">
        <f t="shared" si="25"/>
        <v>1.1063119262812626E-3</v>
      </c>
    </row>
    <row r="1557" spans="1:9" x14ac:dyDescent="0.3">
      <c r="A1557" s="5">
        <v>43899</v>
      </c>
      <c r="B1557">
        <v>96.57</v>
      </c>
      <c r="C1557">
        <v>99.230002999999996</v>
      </c>
      <c r="D1557">
        <v>93</v>
      </c>
      <c r="E1557">
        <v>93.440002000000007</v>
      </c>
      <c r="F1557">
        <v>82.818398000000002</v>
      </c>
      <c r="G1557">
        <v>40352000</v>
      </c>
      <c r="I1557">
        <f t="shared" si="25"/>
        <v>1.8114193409232734E-3</v>
      </c>
    </row>
    <row r="1558" spans="1:9" x14ac:dyDescent="0.3">
      <c r="A1558" s="5">
        <v>43900</v>
      </c>
      <c r="B1558">
        <v>99</v>
      </c>
      <c r="C1558">
        <v>101.279999</v>
      </c>
      <c r="D1558">
        <v>94.580001999999993</v>
      </c>
      <c r="E1558">
        <v>100.699997</v>
      </c>
      <c r="F1558">
        <v>89.253128000000004</v>
      </c>
      <c r="G1558">
        <v>31102700</v>
      </c>
      <c r="I1558">
        <f t="shared" si="25"/>
        <v>2.9945005688694361E-3</v>
      </c>
    </row>
    <row r="1559" spans="1:9" x14ac:dyDescent="0.3">
      <c r="A1559" s="5">
        <v>43901</v>
      </c>
      <c r="B1559">
        <v>97.699996999999996</v>
      </c>
      <c r="C1559">
        <v>100.050003</v>
      </c>
      <c r="D1559">
        <v>94.550003000000004</v>
      </c>
      <c r="E1559">
        <v>95.959998999999996</v>
      </c>
      <c r="F1559">
        <v>85.051948999999993</v>
      </c>
      <c r="G1559">
        <v>38127000</v>
      </c>
      <c r="I1559">
        <f t="shared" si="25"/>
        <v>1.4771892532511627E-3</v>
      </c>
    </row>
    <row r="1560" spans="1:9" x14ac:dyDescent="0.3">
      <c r="A1560" s="5">
        <v>43902</v>
      </c>
      <c r="B1560">
        <v>89.589995999999999</v>
      </c>
      <c r="C1560">
        <v>96.959998999999996</v>
      </c>
      <c r="D1560">
        <v>86.32</v>
      </c>
      <c r="E1560">
        <v>88.050003000000004</v>
      </c>
      <c r="F1560">
        <v>78.041106999999997</v>
      </c>
      <c r="G1560">
        <v>49725200</v>
      </c>
      <c r="I1560">
        <f t="shared" si="25"/>
        <v>8.3582145632333602E-3</v>
      </c>
    </row>
    <row r="1561" spans="1:9" x14ac:dyDescent="0.3">
      <c r="A1561" s="5">
        <v>43903</v>
      </c>
      <c r="B1561">
        <v>95.989998</v>
      </c>
      <c r="C1561">
        <v>103.989998</v>
      </c>
      <c r="D1561">
        <v>92</v>
      </c>
      <c r="E1561">
        <v>103.910004</v>
      </c>
      <c r="F1561">
        <v>92.098251000000005</v>
      </c>
      <c r="G1561">
        <v>38543300</v>
      </c>
      <c r="I1561">
        <f t="shared" si="25"/>
        <v>5.2299811993671E-3</v>
      </c>
    </row>
    <row r="1562" spans="1:9" x14ac:dyDescent="0.3">
      <c r="A1562" s="5">
        <v>43906</v>
      </c>
      <c r="B1562">
        <v>85.199996999999996</v>
      </c>
      <c r="C1562">
        <v>93.980002999999996</v>
      </c>
      <c r="D1562">
        <v>84.550003000000004</v>
      </c>
      <c r="E1562">
        <v>88.360000999999997</v>
      </c>
      <c r="F1562">
        <v>78.315856999999994</v>
      </c>
      <c r="G1562">
        <v>38589700</v>
      </c>
      <c r="I1562">
        <f t="shared" si="25"/>
        <v>6.3854588028315123E-3</v>
      </c>
    </row>
    <row r="1563" spans="1:9" x14ac:dyDescent="0.3">
      <c r="A1563" s="5">
        <v>43907</v>
      </c>
      <c r="B1563">
        <v>90.889999000000003</v>
      </c>
      <c r="C1563">
        <v>97.440002000000007</v>
      </c>
      <c r="D1563">
        <v>87.5</v>
      </c>
      <c r="E1563">
        <v>93.760002</v>
      </c>
      <c r="F1563">
        <v>83.102035999999998</v>
      </c>
      <c r="G1563">
        <v>35239800</v>
      </c>
      <c r="I1563">
        <f t="shared" si="25"/>
        <v>5.305543380322901E-3</v>
      </c>
    </row>
    <row r="1564" spans="1:9" x14ac:dyDescent="0.3">
      <c r="A1564" s="5">
        <v>43908</v>
      </c>
      <c r="B1564">
        <v>87.669998000000007</v>
      </c>
      <c r="C1564">
        <v>90.790001000000004</v>
      </c>
      <c r="D1564">
        <v>80.360000999999997</v>
      </c>
      <c r="E1564">
        <v>83.889999000000003</v>
      </c>
      <c r="F1564">
        <v>74.353972999999996</v>
      </c>
      <c r="G1564">
        <v>41525600</v>
      </c>
      <c r="I1564">
        <f t="shared" si="25"/>
        <v>6.5069126141880929E-3</v>
      </c>
    </row>
    <row r="1565" spans="1:9" x14ac:dyDescent="0.3">
      <c r="A1565" s="5">
        <v>43909</v>
      </c>
      <c r="B1565">
        <v>81.559997999999993</v>
      </c>
      <c r="C1565">
        <v>88.110000999999997</v>
      </c>
      <c r="D1565">
        <v>76.910004000000001</v>
      </c>
      <c r="E1565">
        <v>85.300003000000004</v>
      </c>
      <c r="F1565">
        <v>75.603706000000003</v>
      </c>
      <c r="G1565">
        <v>32175100</v>
      </c>
      <c r="I1565">
        <f t="shared" si="25"/>
        <v>8.5817178906172423E-3</v>
      </c>
    </row>
    <row r="1566" spans="1:9" x14ac:dyDescent="0.3">
      <c r="A1566" s="5">
        <v>43910</v>
      </c>
      <c r="B1566">
        <v>86.300003000000004</v>
      </c>
      <c r="C1566">
        <v>89.459998999999996</v>
      </c>
      <c r="D1566">
        <v>82.480002999999996</v>
      </c>
      <c r="E1566">
        <v>83.5</v>
      </c>
      <c r="F1566">
        <v>74.008324000000002</v>
      </c>
      <c r="G1566">
        <v>30150800</v>
      </c>
      <c r="I1566">
        <f t="shared" si="25"/>
        <v>3.0358439849221298E-3</v>
      </c>
    </row>
    <row r="1567" spans="1:9" x14ac:dyDescent="0.3">
      <c r="A1567" s="5">
        <v>43913</v>
      </c>
      <c r="B1567">
        <v>82.68</v>
      </c>
      <c r="C1567">
        <v>83.75</v>
      </c>
      <c r="D1567">
        <v>78.089995999999999</v>
      </c>
      <c r="E1567">
        <v>79.029999000000004</v>
      </c>
      <c r="F1567">
        <v>70.046424999999999</v>
      </c>
      <c r="G1567">
        <v>32536600</v>
      </c>
      <c r="I1567">
        <f t="shared" si="25"/>
        <v>1.4293227512485079E-3</v>
      </c>
    </row>
    <row r="1568" spans="1:9" x14ac:dyDescent="0.3">
      <c r="A1568" s="5">
        <v>43914</v>
      </c>
      <c r="B1568">
        <v>84.900002000000001</v>
      </c>
      <c r="C1568">
        <v>90.099997999999999</v>
      </c>
      <c r="D1568">
        <v>82.900002000000001</v>
      </c>
      <c r="E1568">
        <v>88.43</v>
      </c>
      <c r="F1568">
        <v>78.377906999999993</v>
      </c>
      <c r="G1568">
        <v>34363200</v>
      </c>
      <c r="I1568">
        <f t="shared" si="25"/>
        <v>2.6516014223209659E-3</v>
      </c>
    </row>
    <row r="1569" spans="1:9" x14ac:dyDescent="0.3">
      <c r="A1569" s="5">
        <v>43915</v>
      </c>
      <c r="B1569">
        <v>89.239998</v>
      </c>
      <c r="C1569">
        <v>95.150002000000001</v>
      </c>
      <c r="D1569">
        <v>84.540001000000004</v>
      </c>
      <c r="E1569">
        <v>91.730002999999996</v>
      </c>
      <c r="F1569">
        <v>81.302788000000007</v>
      </c>
      <c r="G1569">
        <v>38111700</v>
      </c>
      <c r="I1569">
        <f t="shared" si="25"/>
        <v>6.763579141733438E-3</v>
      </c>
    </row>
    <row r="1570" spans="1:9" x14ac:dyDescent="0.3">
      <c r="A1570" s="5">
        <v>43916</v>
      </c>
      <c r="B1570">
        <v>94.080001999999993</v>
      </c>
      <c r="C1570">
        <v>98.57</v>
      </c>
      <c r="D1570">
        <v>93.540001000000004</v>
      </c>
      <c r="E1570">
        <v>98.120002999999997</v>
      </c>
      <c r="F1570">
        <v>86.966414999999998</v>
      </c>
      <c r="G1570">
        <v>29826300</v>
      </c>
      <c r="I1570">
        <f t="shared" si="25"/>
        <v>4.8849121735825148E-4</v>
      </c>
    </row>
    <row r="1571" spans="1:9" x14ac:dyDescent="0.3">
      <c r="A1571" s="5">
        <v>43917</v>
      </c>
      <c r="B1571">
        <v>93.190002000000007</v>
      </c>
      <c r="C1571">
        <v>94.839995999999999</v>
      </c>
      <c r="D1571">
        <v>90.550003000000004</v>
      </c>
      <c r="E1571">
        <v>91.129997000000003</v>
      </c>
      <c r="F1571">
        <v>80.770981000000006</v>
      </c>
      <c r="G1571">
        <v>30041500</v>
      </c>
      <c r="I1571">
        <f t="shared" si="25"/>
        <v>8.8383767559227825E-4</v>
      </c>
    </row>
    <row r="1572" spans="1:9" x14ac:dyDescent="0.3">
      <c r="A1572" s="5">
        <v>43920</v>
      </c>
      <c r="B1572">
        <v>90.650002000000001</v>
      </c>
      <c r="C1572">
        <v>94.089995999999999</v>
      </c>
      <c r="D1572">
        <v>89.300003000000004</v>
      </c>
      <c r="E1572">
        <v>93.5</v>
      </c>
      <c r="F1572">
        <v>82.871596999999994</v>
      </c>
      <c r="G1572">
        <v>21656900</v>
      </c>
      <c r="I1572">
        <f t="shared" si="25"/>
        <v>9.238894547391103E-4</v>
      </c>
    </row>
    <row r="1573" spans="1:9" x14ac:dyDescent="0.3">
      <c r="A1573" s="5">
        <v>43921</v>
      </c>
      <c r="B1573">
        <v>92.050003000000004</v>
      </c>
      <c r="C1573">
        <v>94.169998000000007</v>
      </c>
      <c r="D1573">
        <v>89.339995999999999</v>
      </c>
      <c r="E1573">
        <v>90.029999000000004</v>
      </c>
      <c r="F1573">
        <v>79.796028000000007</v>
      </c>
      <c r="G1573">
        <v>23379300</v>
      </c>
      <c r="I1573">
        <f t="shared" si="25"/>
        <v>1.253603322284048E-3</v>
      </c>
    </row>
    <row r="1574" spans="1:9" x14ac:dyDescent="0.3">
      <c r="A1574" s="5">
        <v>43922</v>
      </c>
      <c r="B1574">
        <v>85.099997999999999</v>
      </c>
      <c r="C1574">
        <v>86.559997999999993</v>
      </c>
      <c r="D1574">
        <v>83.25</v>
      </c>
      <c r="E1574">
        <v>84.360000999999997</v>
      </c>
      <c r="F1574">
        <v>74.770568999999995</v>
      </c>
      <c r="G1574">
        <v>28029600</v>
      </c>
      <c r="I1574">
        <f t="shared" si="25"/>
        <v>7.2904829215350196E-4</v>
      </c>
    </row>
    <row r="1575" spans="1:9" x14ac:dyDescent="0.3">
      <c r="A1575" s="5">
        <v>43923</v>
      </c>
      <c r="B1575">
        <v>83.510002</v>
      </c>
      <c r="C1575">
        <v>87.910004000000001</v>
      </c>
      <c r="D1575">
        <v>82.959998999999996</v>
      </c>
      <c r="E1575">
        <v>87.510002</v>
      </c>
      <c r="F1575">
        <v>77.562492000000006</v>
      </c>
      <c r="G1575">
        <v>24018000</v>
      </c>
      <c r="I1575">
        <f t="shared" si="25"/>
        <v>5.8699314509663182E-4</v>
      </c>
    </row>
    <row r="1576" spans="1:9" x14ac:dyDescent="0.3">
      <c r="A1576" s="5">
        <v>43924</v>
      </c>
      <c r="B1576">
        <v>86</v>
      </c>
      <c r="C1576">
        <v>87.480002999999996</v>
      </c>
      <c r="D1576">
        <v>82.769997000000004</v>
      </c>
      <c r="E1576">
        <v>84.050003000000004</v>
      </c>
      <c r="F1576">
        <v>75.269913000000003</v>
      </c>
      <c r="G1576">
        <v>21199400</v>
      </c>
      <c r="I1576">
        <f t="shared" si="25"/>
        <v>1.2699689812306469E-3</v>
      </c>
    </row>
    <row r="1577" spans="1:9" x14ac:dyDescent="0.3">
      <c r="A1577" s="5">
        <v>43927</v>
      </c>
      <c r="B1577">
        <v>88.989998</v>
      </c>
      <c r="C1577">
        <v>90.989998</v>
      </c>
      <c r="D1577">
        <v>87.699996999999996</v>
      </c>
      <c r="E1577">
        <v>89.459998999999996</v>
      </c>
      <c r="F1577">
        <v>80.114768999999995</v>
      </c>
      <c r="G1577">
        <v>26820800</v>
      </c>
      <c r="I1577">
        <f t="shared" si="25"/>
        <v>6.6704186306235915E-4</v>
      </c>
    </row>
    <row r="1578" spans="1:9" x14ac:dyDescent="0.3">
      <c r="A1578" s="5">
        <v>43928</v>
      </c>
      <c r="B1578">
        <v>94.449996999999996</v>
      </c>
      <c r="C1578">
        <v>94.5</v>
      </c>
      <c r="D1578">
        <v>90.379997000000003</v>
      </c>
      <c r="E1578">
        <v>90.639999000000003</v>
      </c>
      <c r="F1578">
        <v>81.171509</v>
      </c>
      <c r="G1578">
        <v>22563800</v>
      </c>
      <c r="I1578">
        <f t="shared" si="25"/>
        <v>1.4860554190533368E-4</v>
      </c>
    </row>
    <row r="1579" spans="1:9" x14ac:dyDescent="0.3">
      <c r="A1579" s="5">
        <v>43929</v>
      </c>
      <c r="B1579">
        <v>92.099997999999999</v>
      </c>
      <c r="C1579">
        <v>94.860000999999997</v>
      </c>
      <c r="D1579">
        <v>90.550003000000004</v>
      </c>
      <c r="E1579">
        <v>94.300003000000004</v>
      </c>
      <c r="F1579">
        <v>84.449180999999996</v>
      </c>
      <c r="G1579">
        <v>22903300</v>
      </c>
      <c r="I1579">
        <f t="shared" si="25"/>
        <v>8.6356336289841198E-4</v>
      </c>
    </row>
    <row r="1580" spans="1:9" x14ac:dyDescent="0.3">
      <c r="A1580" s="5">
        <v>43930</v>
      </c>
      <c r="B1580">
        <v>96.919998000000007</v>
      </c>
      <c r="C1580">
        <v>104.389999</v>
      </c>
      <c r="D1580">
        <v>96.889999000000003</v>
      </c>
      <c r="E1580">
        <v>102.760002</v>
      </c>
      <c r="F1580">
        <v>92.025413999999998</v>
      </c>
      <c r="G1580">
        <v>42055900</v>
      </c>
      <c r="I1580">
        <f t="shared" si="25"/>
        <v>1.1867005254194666E-3</v>
      </c>
    </row>
    <row r="1581" spans="1:9" x14ac:dyDescent="0.3">
      <c r="A1581" s="5">
        <v>43934</v>
      </c>
      <c r="B1581">
        <v>103.110001</v>
      </c>
      <c r="C1581">
        <v>103.110001</v>
      </c>
      <c r="D1581">
        <v>97.300003000000004</v>
      </c>
      <c r="E1581">
        <v>98.190002000000007</v>
      </c>
      <c r="F1581">
        <v>87.932816000000003</v>
      </c>
      <c r="G1581">
        <v>26911900</v>
      </c>
      <c r="I1581">
        <f t="shared" si="25"/>
        <v>5.2808794208265733E-4</v>
      </c>
    </row>
    <row r="1582" spans="1:9" x14ac:dyDescent="0.3">
      <c r="A1582" s="5">
        <v>43935</v>
      </c>
      <c r="B1582">
        <v>101.019997</v>
      </c>
      <c r="C1582">
        <v>102</v>
      </c>
      <c r="D1582">
        <v>93.639999000000003</v>
      </c>
      <c r="E1582">
        <v>95.5</v>
      </c>
      <c r="F1582">
        <v>85.523810999999995</v>
      </c>
      <c r="G1582">
        <v>46151300</v>
      </c>
      <c r="I1582">
        <f t="shared" si="25"/>
        <v>2.1277822079603702E-3</v>
      </c>
    </row>
    <row r="1583" spans="1:9" x14ac:dyDescent="0.3">
      <c r="A1583" s="5">
        <v>43936</v>
      </c>
      <c r="B1583">
        <v>91.150002000000001</v>
      </c>
      <c r="C1583">
        <v>92.029999000000004</v>
      </c>
      <c r="D1583">
        <v>90.129997000000003</v>
      </c>
      <c r="E1583">
        <v>90.790001000000004</v>
      </c>
      <c r="F1583">
        <v>81.305824000000001</v>
      </c>
      <c r="G1583">
        <v>30118600</v>
      </c>
      <c r="I1583">
        <f t="shared" si="25"/>
        <v>2.1244456433732774E-4</v>
      </c>
    </row>
    <row r="1584" spans="1:9" x14ac:dyDescent="0.3">
      <c r="A1584" s="5">
        <v>43937</v>
      </c>
      <c r="B1584">
        <v>90.230002999999996</v>
      </c>
      <c r="C1584">
        <v>90.57</v>
      </c>
      <c r="D1584">
        <v>87.050003000000004</v>
      </c>
      <c r="E1584">
        <v>87.330001999999993</v>
      </c>
      <c r="F1584">
        <v>78.207274999999996</v>
      </c>
      <c r="G1584">
        <v>32449600</v>
      </c>
      <c r="I1584">
        <f t="shared" si="25"/>
        <v>2.5223219167529946E-4</v>
      </c>
    </row>
    <row r="1585" spans="1:9" x14ac:dyDescent="0.3">
      <c r="A1585" s="5">
        <v>43938</v>
      </c>
      <c r="B1585">
        <v>92</v>
      </c>
      <c r="C1585">
        <v>95.699996999999996</v>
      </c>
      <c r="D1585">
        <v>90.959998999999996</v>
      </c>
      <c r="E1585">
        <v>95.18</v>
      </c>
      <c r="F1585">
        <v>85.237251000000001</v>
      </c>
      <c r="G1585">
        <v>30191900</v>
      </c>
      <c r="I1585">
        <f t="shared" si="25"/>
        <v>7.3040222634565663E-4</v>
      </c>
    </row>
    <row r="1586" spans="1:9" x14ac:dyDescent="0.3">
      <c r="A1586" s="5">
        <v>43941</v>
      </c>
      <c r="B1586">
        <v>92.470000999999996</v>
      </c>
      <c r="C1586">
        <v>94.709998999999996</v>
      </c>
      <c r="D1586">
        <v>90.459998999999996</v>
      </c>
      <c r="E1586">
        <v>91.709998999999996</v>
      </c>
      <c r="F1586">
        <v>82.129722999999998</v>
      </c>
      <c r="G1586">
        <v>23679400</v>
      </c>
      <c r="I1586">
        <f t="shared" si="25"/>
        <v>1.0720318845986142E-3</v>
      </c>
    </row>
    <row r="1587" spans="1:9" x14ac:dyDescent="0.3">
      <c r="A1587" s="5">
        <v>43942</v>
      </c>
      <c r="B1587">
        <v>88.620002999999997</v>
      </c>
      <c r="C1587">
        <v>91.379997000000003</v>
      </c>
      <c r="D1587">
        <v>88.330001999999993</v>
      </c>
      <c r="E1587">
        <v>89.050003000000004</v>
      </c>
      <c r="F1587">
        <v>79.747596999999999</v>
      </c>
      <c r="G1587">
        <v>23035000</v>
      </c>
      <c r="I1587">
        <f t="shared" si="25"/>
        <v>8.1874590664617866E-4</v>
      </c>
    </row>
    <row r="1588" spans="1:9" x14ac:dyDescent="0.3">
      <c r="A1588" s="5">
        <v>43943</v>
      </c>
      <c r="B1588">
        <v>90.690002000000007</v>
      </c>
      <c r="C1588">
        <v>91.870002999999997</v>
      </c>
      <c r="D1588">
        <v>89.18</v>
      </c>
      <c r="E1588">
        <v>89.339995999999999</v>
      </c>
      <c r="F1588">
        <v>80.007309000000006</v>
      </c>
      <c r="G1588">
        <v>16662400</v>
      </c>
      <c r="I1588">
        <f t="shared" si="25"/>
        <v>3.9109897135507232E-4</v>
      </c>
    </row>
    <row r="1589" spans="1:9" x14ac:dyDescent="0.3">
      <c r="A1589" s="5">
        <v>43944</v>
      </c>
      <c r="B1589">
        <v>89.739998</v>
      </c>
      <c r="C1589">
        <v>91.279999000000004</v>
      </c>
      <c r="D1589">
        <v>89.260002</v>
      </c>
      <c r="E1589">
        <v>89.389999000000003</v>
      </c>
      <c r="F1589">
        <v>80.052070999999998</v>
      </c>
      <c r="G1589">
        <v>16638800</v>
      </c>
      <c r="I1589">
        <f t="shared" si="25"/>
        <v>3.6381040670655011E-4</v>
      </c>
    </row>
    <row r="1590" spans="1:9" x14ac:dyDescent="0.3">
      <c r="A1590" s="5">
        <v>43945</v>
      </c>
      <c r="B1590">
        <v>90.639999000000003</v>
      </c>
      <c r="C1590">
        <v>91.099997999999999</v>
      </c>
      <c r="D1590">
        <v>88.489998</v>
      </c>
      <c r="E1590">
        <v>90.709998999999996</v>
      </c>
      <c r="F1590">
        <v>81.234191999999993</v>
      </c>
      <c r="G1590">
        <v>15809200</v>
      </c>
      <c r="I1590">
        <f t="shared" si="25"/>
        <v>6.1654182772773235E-4</v>
      </c>
    </row>
    <row r="1591" spans="1:9" x14ac:dyDescent="0.3">
      <c r="A1591" s="5">
        <v>43948</v>
      </c>
      <c r="B1591">
        <v>91.940002000000007</v>
      </c>
      <c r="C1591">
        <v>95.629997000000003</v>
      </c>
      <c r="D1591">
        <v>91.540001000000004</v>
      </c>
      <c r="E1591">
        <v>94.620002999999997</v>
      </c>
      <c r="F1591">
        <v>84.735741000000004</v>
      </c>
      <c r="G1591">
        <v>22870200</v>
      </c>
      <c r="I1591">
        <f t="shared" si="25"/>
        <v>5.6209823330183794E-4</v>
      </c>
    </row>
    <row r="1592" spans="1:9" x14ac:dyDescent="0.3">
      <c r="A1592" s="5">
        <v>43949</v>
      </c>
      <c r="B1592">
        <v>97.809997999999993</v>
      </c>
      <c r="C1592">
        <v>98.360000999999997</v>
      </c>
      <c r="D1592">
        <v>95.029999000000004</v>
      </c>
      <c r="E1592">
        <v>95.290001000000004</v>
      </c>
      <c r="F1592">
        <v>85.335739000000004</v>
      </c>
      <c r="G1592">
        <v>20238900</v>
      </c>
      <c r="I1592">
        <f t="shared" si="25"/>
        <v>2.5659038703211215E-4</v>
      </c>
    </row>
    <row r="1593" spans="1:9" x14ac:dyDescent="0.3">
      <c r="A1593" s="5">
        <v>43950</v>
      </c>
      <c r="B1593">
        <v>99.080001999999993</v>
      </c>
      <c r="C1593">
        <v>99.449996999999996</v>
      </c>
      <c r="D1593">
        <v>97.269997000000004</v>
      </c>
      <c r="E1593">
        <v>97.860000999999997</v>
      </c>
      <c r="F1593">
        <v>87.637268000000006</v>
      </c>
      <c r="G1593">
        <v>20462600</v>
      </c>
      <c r="I1593">
        <f t="shared" si="25"/>
        <v>1.7156848953902223E-4</v>
      </c>
    </row>
    <row r="1594" spans="1:9" x14ac:dyDescent="0.3">
      <c r="A1594" s="5">
        <v>43951</v>
      </c>
      <c r="B1594">
        <v>95.599997999999999</v>
      </c>
      <c r="C1594">
        <v>96.839995999999999</v>
      </c>
      <c r="D1594">
        <v>94.550003000000004</v>
      </c>
      <c r="E1594">
        <v>95.760002</v>
      </c>
      <c r="F1594">
        <v>85.756653</v>
      </c>
      <c r="G1594">
        <v>19127600</v>
      </c>
      <c r="I1594">
        <f t="shared" si="25"/>
        <v>2.849690581642785E-4</v>
      </c>
    </row>
    <row r="1595" spans="1:9" x14ac:dyDescent="0.3">
      <c r="A1595" s="5">
        <v>43952</v>
      </c>
      <c r="B1595">
        <v>93.5</v>
      </c>
      <c r="C1595">
        <v>93.739998</v>
      </c>
      <c r="D1595">
        <v>91.839995999999999</v>
      </c>
      <c r="E1595">
        <v>93.25</v>
      </c>
      <c r="F1595">
        <v>83.508849999999995</v>
      </c>
      <c r="G1595">
        <v>18547700</v>
      </c>
      <c r="I1595">
        <f t="shared" si="25"/>
        <v>2.8636910504491214E-4</v>
      </c>
    </row>
    <row r="1596" spans="1:9" x14ac:dyDescent="0.3">
      <c r="A1596" s="5">
        <v>43955</v>
      </c>
      <c r="B1596">
        <v>92.019997000000004</v>
      </c>
      <c r="C1596">
        <v>92.669998000000007</v>
      </c>
      <c r="D1596">
        <v>90.800003000000004</v>
      </c>
      <c r="E1596">
        <v>92.139999000000003</v>
      </c>
      <c r="F1596">
        <v>82.514809</v>
      </c>
      <c r="G1596">
        <v>15725900</v>
      </c>
      <c r="I1596">
        <f t="shared" si="25"/>
        <v>2.3589760042893497E-4</v>
      </c>
    </row>
    <row r="1597" spans="1:9" x14ac:dyDescent="0.3">
      <c r="A1597" s="5">
        <v>43956</v>
      </c>
      <c r="B1597">
        <v>93.650002000000001</v>
      </c>
      <c r="C1597">
        <v>94.209998999999996</v>
      </c>
      <c r="D1597">
        <v>91.900002000000001</v>
      </c>
      <c r="E1597">
        <v>92</v>
      </c>
      <c r="F1597">
        <v>82.389420000000001</v>
      </c>
      <c r="G1597">
        <v>18064100</v>
      </c>
      <c r="I1597">
        <f t="shared" si="25"/>
        <v>1.6203583993884768E-4</v>
      </c>
    </row>
    <row r="1598" spans="1:9" x14ac:dyDescent="0.3">
      <c r="A1598" s="5">
        <v>43957</v>
      </c>
      <c r="B1598">
        <v>92.160004000000001</v>
      </c>
      <c r="C1598">
        <v>92.760002</v>
      </c>
      <c r="D1598">
        <v>89.93</v>
      </c>
      <c r="E1598">
        <v>90.269997000000004</v>
      </c>
      <c r="F1598">
        <v>80.840141000000003</v>
      </c>
      <c r="G1598">
        <v>20978000</v>
      </c>
      <c r="I1598">
        <f t="shared" si="25"/>
        <v>2.6900813456556404E-4</v>
      </c>
    </row>
    <row r="1599" spans="1:9" x14ac:dyDescent="0.3">
      <c r="A1599" s="5">
        <v>43958</v>
      </c>
      <c r="B1599">
        <v>91.339995999999999</v>
      </c>
      <c r="C1599">
        <v>92.910004000000001</v>
      </c>
      <c r="D1599">
        <v>90.580001999999993</v>
      </c>
      <c r="E1599">
        <v>91.209998999999996</v>
      </c>
      <c r="F1599">
        <v>81.681961000000001</v>
      </c>
      <c r="G1599">
        <v>16771900</v>
      </c>
      <c r="I1599">
        <f t="shared" si="25"/>
        <v>3.7263270614827041E-4</v>
      </c>
    </row>
    <row r="1600" spans="1:9" x14ac:dyDescent="0.3">
      <c r="A1600" s="5">
        <v>43959</v>
      </c>
      <c r="B1600">
        <v>92.800003000000004</v>
      </c>
      <c r="C1600">
        <v>94.080001999999993</v>
      </c>
      <c r="D1600">
        <v>92.110000999999997</v>
      </c>
      <c r="E1600">
        <v>92.699996999999996</v>
      </c>
      <c r="F1600">
        <v>83.016304000000005</v>
      </c>
      <c r="G1600">
        <v>20487800</v>
      </c>
      <c r="I1600">
        <f t="shared" si="25"/>
        <v>2.5008010235981736E-4</v>
      </c>
    </row>
    <row r="1601" spans="1:9" x14ac:dyDescent="0.3">
      <c r="A1601" s="5">
        <v>43962</v>
      </c>
      <c r="B1601">
        <v>91.110000999999997</v>
      </c>
      <c r="C1601">
        <v>91.110000999999997</v>
      </c>
      <c r="D1601">
        <v>89.330001999999993</v>
      </c>
      <c r="E1601">
        <v>89.970000999999996</v>
      </c>
      <c r="F1601">
        <v>80.571503000000007</v>
      </c>
      <c r="G1601">
        <v>31907600</v>
      </c>
      <c r="I1601">
        <f t="shared" si="25"/>
        <v>1.4085162286300398E-4</v>
      </c>
    </row>
    <row r="1602" spans="1:9" x14ac:dyDescent="0.3">
      <c r="A1602" s="5">
        <v>43963</v>
      </c>
      <c r="B1602">
        <v>90.150002000000001</v>
      </c>
      <c r="C1602">
        <v>90.790001000000004</v>
      </c>
      <c r="D1602">
        <v>86.900002000000001</v>
      </c>
      <c r="E1602">
        <v>87.029999000000004</v>
      </c>
      <c r="F1602">
        <v>77.938598999999996</v>
      </c>
      <c r="G1602">
        <v>27962900</v>
      </c>
      <c r="I1602">
        <f t="shared" si="25"/>
        <v>3.5409697960691342E-4</v>
      </c>
    </row>
    <row r="1603" spans="1:9" x14ac:dyDescent="0.3">
      <c r="A1603" s="5">
        <v>43964</v>
      </c>
      <c r="B1603">
        <v>86.379997000000003</v>
      </c>
      <c r="C1603">
        <v>86.860000999999997</v>
      </c>
      <c r="D1603">
        <v>83.400002000000001</v>
      </c>
      <c r="E1603">
        <v>84.029999000000004</v>
      </c>
      <c r="F1603">
        <v>75.251998999999998</v>
      </c>
      <c r="G1603">
        <v>35451600</v>
      </c>
      <c r="I1603">
        <f t="shared" si="25"/>
        <v>4.4776047106737462E-4</v>
      </c>
    </row>
    <row r="1604" spans="1:9" x14ac:dyDescent="0.3">
      <c r="A1604" s="5">
        <v>43965</v>
      </c>
      <c r="B1604">
        <v>82.720000999999996</v>
      </c>
      <c r="C1604">
        <v>88.110000999999997</v>
      </c>
      <c r="D1604">
        <v>82.400002000000001</v>
      </c>
      <c r="E1604">
        <v>87.519997000000004</v>
      </c>
      <c r="F1604">
        <v>78.377433999999994</v>
      </c>
      <c r="G1604">
        <v>35152500</v>
      </c>
      <c r="I1604">
        <f t="shared" si="25"/>
        <v>6.5776809108132974E-4</v>
      </c>
    </row>
    <row r="1605" spans="1:9" x14ac:dyDescent="0.3">
      <c r="A1605" s="5">
        <v>43966</v>
      </c>
      <c r="B1605">
        <v>86.849997999999999</v>
      </c>
      <c r="C1605">
        <v>87.279999000000004</v>
      </c>
      <c r="D1605">
        <v>85.300003000000004</v>
      </c>
      <c r="E1605">
        <v>85.900002000000001</v>
      </c>
      <c r="F1605">
        <v>76.926651000000007</v>
      </c>
      <c r="G1605">
        <v>26099000</v>
      </c>
      <c r="I1605">
        <f t="shared" si="25"/>
        <v>2.0493743964138694E-4</v>
      </c>
    </row>
    <row r="1606" spans="1:9" x14ac:dyDescent="0.3">
      <c r="A1606" s="5">
        <v>43969</v>
      </c>
      <c r="B1606">
        <v>88.690002000000007</v>
      </c>
      <c r="C1606">
        <v>91.150002000000001</v>
      </c>
      <c r="D1606">
        <v>87.879997000000003</v>
      </c>
      <c r="E1606">
        <v>90.449996999999996</v>
      </c>
      <c r="F1606">
        <v>81.001343000000006</v>
      </c>
      <c r="G1606">
        <v>30504400</v>
      </c>
      <c r="I1606">
        <f t="shared" si="25"/>
        <v>4.7539039558106412E-4</v>
      </c>
    </row>
    <row r="1607" spans="1:9" x14ac:dyDescent="0.3">
      <c r="A1607" s="5">
        <v>43970</v>
      </c>
      <c r="B1607">
        <v>90.050003000000004</v>
      </c>
      <c r="C1607">
        <v>91.199996999999996</v>
      </c>
      <c r="D1607">
        <v>88.589995999999999</v>
      </c>
      <c r="E1607">
        <v>88.669998000000007</v>
      </c>
      <c r="F1607">
        <v>79.407287999999994</v>
      </c>
      <c r="G1607">
        <v>19597300</v>
      </c>
      <c r="I1607">
        <f t="shared" si="25"/>
        <v>3.7175935768735732E-4</v>
      </c>
    </row>
    <row r="1608" spans="1:9" x14ac:dyDescent="0.3">
      <c r="A1608" s="5">
        <v>43971</v>
      </c>
      <c r="B1608">
        <v>90.709998999999996</v>
      </c>
      <c r="C1608">
        <v>92.389999000000003</v>
      </c>
      <c r="D1608">
        <v>90.370002999999997</v>
      </c>
      <c r="E1608">
        <v>91.330001999999993</v>
      </c>
      <c r="F1608">
        <v>81.789435999999995</v>
      </c>
      <c r="G1608">
        <v>20552400</v>
      </c>
      <c r="I1608">
        <f t="shared" si="25"/>
        <v>2.5144217695870268E-4</v>
      </c>
    </row>
    <row r="1609" spans="1:9" x14ac:dyDescent="0.3">
      <c r="A1609" s="5">
        <v>43972</v>
      </c>
      <c r="B1609">
        <v>90.269997000000004</v>
      </c>
      <c r="C1609">
        <v>91.760002</v>
      </c>
      <c r="D1609">
        <v>89.669998000000007</v>
      </c>
      <c r="E1609">
        <v>90.169998000000007</v>
      </c>
      <c r="F1609">
        <v>80.750602999999998</v>
      </c>
      <c r="G1609">
        <v>14621400</v>
      </c>
      <c r="I1609">
        <f t="shared" si="25"/>
        <v>3.2324942619750297E-4</v>
      </c>
    </row>
    <row r="1610" spans="1:9" x14ac:dyDescent="0.3">
      <c r="A1610" s="5">
        <v>43973</v>
      </c>
      <c r="B1610">
        <v>90.010002</v>
      </c>
      <c r="C1610">
        <v>90.360000999999997</v>
      </c>
      <c r="D1610">
        <v>88.720000999999996</v>
      </c>
      <c r="E1610">
        <v>89.470000999999996</v>
      </c>
      <c r="F1610">
        <v>80.123711</v>
      </c>
      <c r="G1610">
        <v>13557900</v>
      </c>
      <c r="I1610">
        <f t="shared" si="25"/>
        <v>1.5993243312500673E-4</v>
      </c>
    </row>
    <row r="1611" spans="1:9" x14ac:dyDescent="0.3">
      <c r="A1611" s="5">
        <v>43977</v>
      </c>
      <c r="B1611">
        <v>92.889999000000003</v>
      </c>
      <c r="C1611">
        <v>97.5</v>
      </c>
      <c r="D1611">
        <v>92.610000999999997</v>
      </c>
      <c r="E1611">
        <v>95.82</v>
      </c>
      <c r="F1611">
        <v>85.810378999999998</v>
      </c>
      <c r="G1611">
        <v>41233900</v>
      </c>
      <c r="I1611">
        <f t="shared" si="25"/>
        <v>9.4473546440410441E-4</v>
      </c>
    </row>
    <row r="1612" spans="1:9" x14ac:dyDescent="0.3">
      <c r="A1612" s="5">
        <v>43978</v>
      </c>
      <c r="B1612">
        <v>102.07</v>
      </c>
      <c r="C1612">
        <v>102.58000199999999</v>
      </c>
      <c r="D1612">
        <v>98.800003000000004</v>
      </c>
      <c r="E1612">
        <v>101.370003</v>
      </c>
      <c r="F1612">
        <v>90.780608999999998</v>
      </c>
      <c r="G1612">
        <v>39402000</v>
      </c>
      <c r="I1612">
        <f t="shared" ref="I1612:I1675" si="26">LN(C1612/B1612)*(LN(C1612/B1612)-LN(E1612/B1612))+LN(D1612/B1612)*(LN(D1612/B1612)-LN(E1612/B1612))</f>
        <v>8.9529933884968139E-4</v>
      </c>
    </row>
    <row r="1613" spans="1:9" x14ac:dyDescent="0.3">
      <c r="A1613" s="5">
        <v>43979</v>
      </c>
      <c r="B1613">
        <v>102.94000200000001</v>
      </c>
      <c r="C1613">
        <v>102.949997</v>
      </c>
      <c r="D1613">
        <v>99.400002000000001</v>
      </c>
      <c r="E1613">
        <v>99.860000999999997</v>
      </c>
      <c r="F1613">
        <v>89.428344999999993</v>
      </c>
      <c r="G1613">
        <v>24713900</v>
      </c>
      <c r="I1613">
        <f t="shared" si="26"/>
        <v>1.6452973335789951E-4</v>
      </c>
    </row>
    <row r="1614" spans="1:9" x14ac:dyDescent="0.3">
      <c r="A1614" s="5">
        <v>43980</v>
      </c>
      <c r="B1614">
        <v>98.660004000000001</v>
      </c>
      <c r="C1614">
        <v>99.18</v>
      </c>
      <c r="D1614">
        <v>96.779999000000004</v>
      </c>
      <c r="E1614">
        <v>97.309997999999993</v>
      </c>
      <c r="F1614">
        <v>87.144722000000002</v>
      </c>
      <c r="G1614">
        <v>26526400</v>
      </c>
      <c r="I1614">
        <f t="shared" si="26"/>
        <v>2.0513344527917413E-4</v>
      </c>
    </row>
    <row r="1615" spans="1:9" x14ac:dyDescent="0.3">
      <c r="A1615" s="5">
        <v>43983</v>
      </c>
      <c r="B1615">
        <v>97.75</v>
      </c>
      <c r="C1615">
        <v>99.510002</v>
      </c>
      <c r="D1615">
        <v>97.379997000000003</v>
      </c>
      <c r="E1615">
        <v>98.599997999999999</v>
      </c>
      <c r="F1615">
        <v>88.299965</v>
      </c>
      <c r="G1615">
        <v>15176800</v>
      </c>
      <c r="I1615">
        <f t="shared" si="26"/>
        <v>2.1115696890523387E-4</v>
      </c>
    </row>
    <row r="1616" spans="1:9" x14ac:dyDescent="0.3">
      <c r="A1616" s="5">
        <v>43984</v>
      </c>
      <c r="B1616">
        <v>100.279999</v>
      </c>
      <c r="C1616">
        <v>100.41999800000001</v>
      </c>
      <c r="D1616">
        <v>97.93</v>
      </c>
      <c r="E1616">
        <v>98.93</v>
      </c>
      <c r="F1616">
        <v>88.595505000000003</v>
      </c>
      <c r="G1616">
        <v>21195000</v>
      </c>
      <c r="I1616">
        <f t="shared" si="26"/>
        <v>2.6177294226239014E-4</v>
      </c>
    </row>
    <row r="1617" spans="1:9" x14ac:dyDescent="0.3">
      <c r="A1617" s="5">
        <v>43985</v>
      </c>
      <c r="B1617">
        <v>101.58000199999999</v>
      </c>
      <c r="C1617">
        <v>104.91999800000001</v>
      </c>
      <c r="D1617">
        <v>101.05999799999999</v>
      </c>
      <c r="E1617">
        <v>104.269997</v>
      </c>
      <c r="F1617">
        <v>93.377662999999998</v>
      </c>
      <c r="G1617">
        <v>25941100</v>
      </c>
      <c r="I1617">
        <f t="shared" si="26"/>
        <v>3.6153079350638873E-4</v>
      </c>
    </row>
    <row r="1618" spans="1:9" x14ac:dyDescent="0.3">
      <c r="A1618" s="5">
        <v>43986</v>
      </c>
      <c r="B1618">
        <v>103.82</v>
      </c>
      <c r="C1618">
        <v>106.610001</v>
      </c>
      <c r="D1618">
        <v>102.790001</v>
      </c>
      <c r="E1618">
        <v>106.44000200000001</v>
      </c>
      <c r="F1618">
        <v>95.320992000000004</v>
      </c>
      <c r="G1618">
        <v>26784700</v>
      </c>
      <c r="I1618">
        <f t="shared" si="26"/>
        <v>3.90226310328299E-4</v>
      </c>
    </row>
    <row r="1619" spans="1:9" x14ac:dyDescent="0.3">
      <c r="A1619" s="5">
        <v>43987</v>
      </c>
      <c r="B1619">
        <v>114.93</v>
      </c>
      <c r="C1619">
        <v>115.769997</v>
      </c>
      <c r="D1619">
        <v>109.529999</v>
      </c>
      <c r="E1619">
        <v>111.230003</v>
      </c>
      <c r="F1619">
        <v>99.610611000000006</v>
      </c>
      <c r="G1619">
        <v>42231000</v>
      </c>
      <c r="I1619">
        <f t="shared" si="26"/>
        <v>1.0325285065110607E-3</v>
      </c>
    </row>
    <row r="1620" spans="1:9" x14ac:dyDescent="0.3">
      <c r="A1620" s="5">
        <v>43990</v>
      </c>
      <c r="B1620">
        <v>113.410004</v>
      </c>
      <c r="C1620">
        <v>114.19000200000001</v>
      </c>
      <c r="D1620">
        <v>111.94000200000001</v>
      </c>
      <c r="E1620">
        <v>113.449997</v>
      </c>
      <c r="F1620">
        <v>101.598709</v>
      </c>
      <c r="G1620">
        <v>24881800</v>
      </c>
      <c r="I1620">
        <f t="shared" si="26"/>
        <v>2.1937565720285155E-4</v>
      </c>
    </row>
    <row r="1621" spans="1:9" x14ac:dyDescent="0.3">
      <c r="A1621" s="5">
        <v>43991</v>
      </c>
      <c r="B1621">
        <v>110.650002</v>
      </c>
      <c r="C1621">
        <v>111.629997</v>
      </c>
      <c r="D1621">
        <v>109.010002</v>
      </c>
      <c r="E1621">
        <v>110.540001</v>
      </c>
      <c r="F1621">
        <v>98.992705999999998</v>
      </c>
      <c r="G1621">
        <v>17031100</v>
      </c>
      <c r="I1621">
        <f t="shared" si="26"/>
        <v>2.9464821075461206E-4</v>
      </c>
    </row>
    <row r="1622" spans="1:9" x14ac:dyDescent="0.3">
      <c r="A1622" s="5">
        <v>43992</v>
      </c>
      <c r="B1622">
        <v>110.459999</v>
      </c>
      <c r="C1622">
        <v>110.510002</v>
      </c>
      <c r="D1622">
        <v>105.849998</v>
      </c>
      <c r="E1622">
        <v>106.05999799999999</v>
      </c>
      <c r="F1622">
        <v>94.980682000000002</v>
      </c>
      <c r="G1622">
        <v>24913300</v>
      </c>
      <c r="I1622">
        <f t="shared" si="26"/>
        <v>1.0309391841522704E-4</v>
      </c>
    </row>
    <row r="1623" spans="1:9" x14ac:dyDescent="0.3">
      <c r="A1623" s="5">
        <v>43993</v>
      </c>
      <c r="B1623">
        <v>100.029999</v>
      </c>
      <c r="C1623">
        <v>101.58000199999999</v>
      </c>
      <c r="D1623">
        <v>96.540001000000004</v>
      </c>
      <c r="E1623">
        <v>97.209998999999996</v>
      </c>
      <c r="F1623">
        <v>87.055183</v>
      </c>
      <c r="G1623">
        <v>36259200</v>
      </c>
      <c r="I1623">
        <f t="shared" si="26"/>
        <v>9.2176547537458405E-4</v>
      </c>
    </row>
    <row r="1624" spans="1:9" x14ac:dyDescent="0.3">
      <c r="A1624" s="5">
        <v>43994</v>
      </c>
      <c r="B1624">
        <v>100.709999</v>
      </c>
      <c r="C1624">
        <v>101.129997</v>
      </c>
      <c r="D1624">
        <v>97.330001999999993</v>
      </c>
      <c r="E1624">
        <v>99.870002999999997</v>
      </c>
      <c r="F1624">
        <v>89.437302000000003</v>
      </c>
      <c r="G1624">
        <v>24856800</v>
      </c>
      <c r="I1624">
        <f t="shared" si="26"/>
        <v>9.3163787193042426E-4</v>
      </c>
    </row>
    <row r="1625" spans="1:9" x14ac:dyDescent="0.3">
      <c r="A1625" s="5">
        <v>43997</v>
      </c>
      <c r="B1625">
        <v>96.419998000000007</v>
      </c>
      <c r="C1625">
        <v>101.43</v>
      </c>
      <c r="D1625">
        <v>95.870002999999997</v>
      </c>
      <c r="E1625">
        <v>101.25</v>
      </c>
      <c r="F1625">
        <v>90.673141000000001</v>
      </c>
      <c r="G1625">
        <v>22153600</v>
      </c>
      <c r="I1625">
        <f t="shared" si="26"/>
        <v>4.0231014544773731E-4</v>
      </c>
    </row>
    <row r="1626" spans="1:9" x14ac:dyDescent="0.3">
      <c r="A1626" s="5">
        <v>43998</v>
      </c>
      <c r="B1626">
        <v>105.370003</v>
      </c>
      <c r="C1626">
        <v>105.68</v>
      </c>
      <c r="D1626">
        <v>99.309997999999993</v>
      </c>
      <c r="E1626">
        <v>102.05999799999999</v>
      </c>
      <c r="F1626">
        <v>91.398537000000005</v>
      </c>
      <c r="G1626">
        <v>22193600</v>
      </c>
      <c r="I1626">
        <f t="shared" si="26"/>
        <v>1.7202834652057081E-3</v>
      </c>
    </row>
    <row r="1627" spans="1:9" x14ac:dyDescent="0.3">
      <c r="A1627" s="5">
        <v>43999</v>
      </c>
      <c r="B1627">
        <v>102.529999</v>
      </c>
      <c r="C1627">
        <v>102.540001</v>
      </c>
      <c r="D1627">
        <v>99.209998999999996</v>
      </c>
      <c r="E1627">
        <v>99.480002999999996</v>
      </c>
      <c r="F1627">
        <v>89.088050999999993</v>
      </c>
      <c r="G1627">
        <v>15639800</v>
      </c>
      <c r="I1627">
        <f t="shared" si="26"/>
        <v>9.241755236539788E-5</v>
      </c>
    </row>
    <row r="1628" spans="1:9" x14ac:dyDescent="0.3">
      <c r="A1628" s="5">
        <v>44000</v>
      </c>
      <c r="B1628">
        <v>98.669998000000007</v>
      </c>
      <c r="C1628">
        <v>100.519997</v>
      </c>
      <c r="D1628">
        <v>98.129997000000003</v>
      </c>
      <c r="E1628">
        <v>98.940002000000007</v>
      </c>
      <c r="F1628">
        <v>88.604461999999998</v>
      </c>
      <c r="G1628">
        <v>16591900</v>
      </c>
      <c r="I1628">
        <f t="shared" si="26"/>
        <v>3.3940957230179031E-4</v>
      </c>
    </row>
    <row r="1629" spans="1:9" x14ac:dyDescent="0.3">
      <c r="A1629" s="5">
        <v>44001</v>
      </c>
      <c r="B1629">
        <v>100.529999</v>
      </c>
      <c r="C1629">
        <v>100.599998</v>
      </c>
      <c r="D1629">
        <v>96.730002999999996</v>
      </c>
      <c r="E1629">
        <v>97.809997999999993</v>
      </c>
      <c r="F1629">
        <v>87.592506</v>
      </c>
      <c r="G1629">
        <v>40371200</v>
      </c>
      <c r="I1629">
        <f t="shared" si="26"/>
        <v>4.4741074453678029E-4</v>
      </c>
    </row>
    <row r="1630" spans="1:9" x14ac:dyDescent="0.3">
      <c r="A1630" s="5">
        <v>44004</v>
      </c>
      <c r="B1630">
        <v>97.25</v>
      </c>
      <c r="C1630">
        <v>97.949996999999996</v>
      </c>
      <c r="D1630">
        <v>96.540001000000004</v>
      </c>
      <c r="E1630">
        <v>96.75</v>
      </c>
      <c r="F1630">
        <v>86.643234000000007</v>
      </c>
      <c r="G1630">
        <v>16216900</v>
      </c>
      <c r="I1630">
        <f t="shared" si="26"/>
        <v>1.0433124971452446E-4</v>
      </c>
    </row>
    <row r="1631" spans="1:9" x14ac:dyDescent="0.3">
      <c r="A1631" s="5">
        <v>44005</v>
      </c>
      <c r="B1631">
        <v>98.970000999999996</v>
      </c>
      <c r="C1631">
        <v>99.970000999999996</v>
      </c>
      <c r="D1631">
        <v>97.849997999999999</v>
      </c>
      <c r="E1631">
        <v>97.93</v>
      </c>
      <c r="F1631">
        <v>87.699973999999997</v>
      </c>
      <c r="G1631">
        <v>15381400</v>
      </c>
      <c r="I1631">
        <f t="shared" si="26"/>
        <v>2.1657378642096981E-4</v>
      </c>
    </row>
    <row r="1632" spans="1:9" x14ac:dyDescent="0.3">
      <c r="A1632" s="5">
        <v>44006</v>
      </c>
      <c r="B1632">
        <v>96.75</v>
      </c>
      <c r="C1632">
        <v>96.839995999999999</v>
      </c>
      <c r="D1632">
        <v>94.309997999999993</v>
      </c>
      <c r="E1632">
        <v>94.660004000000001</v>
      </c>
      <c r="F1632">
        <v>84.771568000000002</v>
      </c>
      <c r="G1632">
        <v>22919800</v>
      </c>
      <c r="I1632">
        <f t="shared" si="26"/>
        <v>1.1579015002651827E-4</v>
      </c>
    </row>
    <row r="1633" spans="1:9" x14ac:dyDescent="0.3">
      <c r="A1633" s="5">
        <v>44007</v>
      </c>
      <c r="B1633">
        <v>94.349997999999999</v>
      </c>
      <c r="C1633">
        <v>98.209998999999996</v>
      </c>
      <c r="D1633">
        <v>94.260002</v>
      </c>
      <c r="E1633">
        <v>97.959998999999996</v>
      </c>
      <c r="F1633">
        <v>87.726830000000007</v>
      </c>
      <c r="G1633">
        <v>25743600</v>
      </c>
      <c r="I1633">
        <f t="shared" si="26"/>
        <v>1.3894215375284842E-4</v>
      </c>
    </row>
    <row r="1634" spans="1:9" x14ac:dyDescent="0.3">
      <c r="A1634" s="5">
        <v>44008</v>
      </c>
      <c r="B1634">
        <v>95.110000999999997</v>
      </c>
      <c r="C1634">
        <v>95.370002999999997</v>
      </c>
      <c r="D1634">
        <v>92</v>
      </c>
      <c r="E1634">
        <v>92.589995999999999</v>
      </c>
      <c r="F1634">
        <v>82.917809000000005</v>
      </c>
      <c r="G1634">
        <v>41896300</v>
      </c>
      <c r="I1634">
        <f t="shared" si="26"/>
        <v>2.9328361051555817E-4</v>
      </c>
    </row>
    <row r="1635" spans="1:9" x14ac:dyDescent="0.3">
      <c r="A1635" s="5">
        <v>44011</v>
      </c>
      <c r="B1635">
        <v>93.400002000000001</v>
      </c>
      <c r="C1635">
        <v>94.489998</v>
      </c>
      <c r="D1635">
        <v>92.18</v>
      </c>
      <c r="E1635">
        <v>93</v>
      </c>
      <c r="F1635">
        <v>83.284972999999994</v>
      </c>
      <c r="G1635">
        <v>18499700</v>
      </c>
      <c r="I1635">
        <f t="shared" si="26"/>
        <v>3.0086209295357793E-4</v>
      </c>
    </row>
    <row r="1636" spans="1:9" x14ac:dyDescent="0.3">
      <c r="A1636" s="5">
        <v>44012</v>
      </c>
      <c r="B1636">
        <v>92.830001999999993</v>
      </c>
      <c r="C1636">
        <v>94.660004000000001</v>
      </c>
      <c r="D1636">
        <v>92.57</v>
      </c>
      <c r="E1636">
        <v>94.059997999999993</v>
      </c>
      <c r="F1636">
        <v>84.234229999999997</v>
      </c>
      <c r="G1636">
        <v>19137000</v>
      </c>
      <c r="I1636">
        <f t="shared" si="26"/>
        <v>1.6891857869830683E-4</v>
      </c>
    </row>
    <row r="1637" spans="1:9" x14ac:dyDescent="0.3">
      <c r="A1637" s="5">
        <v>44013</v>
      </c>
      <c r="B1637">
        <v>94.889999000000003</v>
      </c>
      <c r="C1637">
        <v>95.709998999999996</v>
      </c>
      <c r="D1637">
        <v>93.029999000000004</v>
      </c>
      <c r="E1637">
        <v>93.260002</v>
      </c>
      <c r="F1637">
        <v>83.517807000000005</v>
      </c>
      <c r="G1637">
        <v>18755700</v>
      </c>
      <c r="I1637">
        <f t="shared" si="26"/>
        <v>2.7200929367462664E-4</v>
      </c>
    </row>
    <row r="1638" spans="1:9" x14ac:dyDescent="0.3">
      <c r="A1638" s="5">
        <v>44014</v>
      </c>
      <c r="B1638">
        <v>94.739998</v>
      </c>
      <c r="C1638">
        <v>94.959998999999996</v>
      </c>
      <c r="D1638">
        <v>91.93</v>
      </c>
      <c r="E1638">
        <v>92.660004000000001</v>
      </c>
      <c r="F1638">
        <v>83.789101000000002</v>
      </c>
      <c r="G1638">
        <v>27845600</v>
      </c>
      <c r="I1638">
        <f t="shared" si="26"/>
        <v>2.9501667278857387E-4</v>
      </c>
    </row>
    <row r="1639" spans="1:9" x14ac:dyDescent="0.3">
      <c r="A1639" s="5">
        <v>44018</v>
      </c>
      <c r="B1639">
        <v>94.43</v>
      </c>
      <c r="C1639">
        <v>95.199996999999996</v>
      </c>
      <c r="D1639">
        <v>93.480002999999996</v>
      </c>
      <c r="E1639">
        <v>95</v>
      </c>
      <c r="F1639">
        <v>85.905060000000006</v>
      </c>
      <c r="G1639">
        <v>18625300</v>
      </c>
      <c r="I1639">
        <f t="shared" si="26"/>
        <v>1.8016713842232258E-4</v>
      </c>
    </row>
    <row r="1640" spans="1:9" x14ac:dyDescent="0.3">
      <c r="A1640" s="5">
        <v>44019</v>
      </c>
      <c r="B1640">
        <v>93.82</v>
      </c>
      <c r="C1640">
        <v>94.099997999999999</v>
      </c>
      <c r="D1640">
        <v>92</v>
      </c>
      <c r="E1640">
        <v>92.32</v>
      </c>
      <c r="F1640">
        <v>83.481644000000003</v>
      </c>
      <c r="G1640">
        <v>25757200</v>
      </c>
      <c r="I1640">
        <f t="shared" si="26"/>
        <v>1.249282786159644E-4</v>
      </c>
    </row>
    <row r="1641" spans="1:9" x14ac:dyDescent="0.3">
      <c r="A1641" s="5">
        <v>44020</v>
      </c>
      <c r="B1641">
        <v>92.290001000000004</v>
      </c>
      <c r="C1641">
        <v>93.339995999999999</v>
      </c>
      <c r="D1641">
        <v>91.800003000000004</v>
      </c>
      <c r="E1641">
        <v>93.300003000000004</v>
      </c>
      <c r="F1641">
        <v>84.367835999999997</v>
      </c>
      <c r="G1641">
        <v>18762200</v>
      </c>
      <c r="I1641">
        <f t="shared" si="26"/>
        <v>9.1130077598925634E-5</v>
      </c>
    </row>
    <row r="1642" spans="1:9" x14ac:dyDescent="0.3">
      <c r="A1642" s="5">
        <v>44021</v>
      </c>
      <c r="B1642">
        <v>93.519997000000004</v>
      </c>
      <c r="C1642">
        <v>94.120002999999997</v>
      </c>
      <c r="D1642">
        <v>90.779999000000004</v>
      </c>
      <c r="E1642">
        <v>91.279999000000004</v>
      </c>
      <c r="F1642">
        <v>82.541199000000006</v>
      </c>
      <c r="G1642">
        <v>25600800</v>
      </c>
      <c r="I1642">
        <f t="shared" si="26"/>
        <v>3.5927811590470227E-4</v>
      </c>
    </row>
    <row r="1643" spans="1:9" x14ac:dyDescent="0.3">
      <c r="A1643" s="5">
        <v>44022</v>
      </c>
      <c r="B1643">
        <v>92</v>
      </c>
      <c r="C1643">
        <v>96.839995999999999</v>
      </c>
      <c r="D1643">
        <v>91.870002999999997</v>
      </c>
      <c r="E1643">
        <v>96.269997000000004</v>
      </c>
      <c r="F1643">
        <v>87.053466999999998</v>
      </c>
      <c r="G1643">
        <v>28954200</v>
      </c>
      <c r="I1643">
        <f t="shared" si="26"/>
        <v>3.6882556013500764E-4</v>
      </c>
    </row>
    <row r="1644" spans="1:9" x14ac:dyDescent="0.3">
      <c r="A1644" s="5">
        <v>44025</v>
      </c>
      <c r="B1644">
        <v>98.730002999999996</v>
      </c>
      <c r="C1644">
        <v>99.269997000000004</v>
      </c>
      <c r="D1644">
        <v>96.230002999999996</v>
      </c>
      <c r="E1644">
        <v>97.650002000000001</v>
      </c>
      <c r="F1644">
        <v>88.301383999999999</v>
      </c>
      <c r="G1644">
        <v>32079200</v>
      </c>
      <c r="I1644">
        <f t="shared" si="26"/>
        <v>4.6544657560840578E-4</v>
      </c>
    </row>
    <row r="1645" spans="1:9" x14ac:dyDescent="0.3">
      <c r="A1645" s="5">
        <v>44026</v>
      </c>
      <c r="B1645">
        <v>98.370002999999997</v>
      </c>
      <c r="C1645">
        <v>99.949996999999996</v>
      </c>
      <c r="D1645">
        <v>96.639999000000003</v>
      </c>
      <c r="E1645">
        <v>98.209998999999996</v>
      </c>
      <c r="F1645">
        <v>88.807747000000006</v>
      </c>
      <c r="G1645">
        <v>42731700</v>
      </c>
      <c r="I1645">
        <f t="shared" si="26"/>
        <v>5.6577192927340829E-4</v>
      </c>
    </row>
    <row r="1646" spans="1:9" x14ac:dyDescent="0.3">
      <c r="A1646" s="5">
        <v>44027</v>
      </c>
      <c r="B1646">
        <v>100.889999</v>
      </c>
      <c r="C1646">
        <v>101.290001</v>
      </c>
      <c r="D1646">
        <v>98.650002000000001</v>
      </c>
      <c r="E1646">
        <v>99.730002999999996</v>
      </c>
      <c r="F1646">
        <v>90.182243</v>
      </c>
      <c r="G1646">
        <v>22508400</v>
      </c>
      <c r="I1646">
        <f t="shared" si="26"/>
        <v>3.0588588602669688E-4</v>
      </c>
    </row>
    <row r="1647" spans="1:9" x14ac:dyDescent="0.3">
      <c r="A1647" s="5">
        <v>44028</v>
      </c>
      <c r="B1647">
        <v>98.779999000000004</v>
      </c>
      <c r="C1647">
        <v>101.220001</v>
      </c>
      <c r="D1647">
        <v>98.550003000000004</v>
      </c>
      <c r="E1647">
        <v>100.010002</v>
      </c>
      <c r="F1647">
        <v>90.435424999999995</v>
      </c>
      <c r="G1647">
        <v>16886900</v>
      </c>
      <c r="I1647">
        <f t="shared" si="26"/>
        <v>3.2773465816336066E-4</v>
      </c>
    </row>
    <row r="1648" spans="1:9" x14ac:dyDescent="0.3">
      <c r="A1648" s="5">
        <v>44029</v>
      </c>
      <c r="B1648">
        <v>100</v>
      </c>
      <c r="C1648">
        <v>100.08000199999999</v>
      </c>
      <c r="D1648">
        <v>98.139999000000003</v>
      </c>
      <c r="E1648">
        <v>98.160004000000001</v>
      </c>
      <c r="F1648">
        <v>88.762550000000005</v>
      </c>
      <c r="G1648">
        <v>16137700</v>
      </c>
      <c r="I1648">
        <f t="shared" si="26"/>
        <v>1.9317794679665729E-5</v>
      </c>
    </row>
    <row r="1649" spans="1:9" x14ac:dyDescent="0.3">
      <c r="A1649" s="5">
        <v>44032</v>
      </c>
      <c r="B1649">
        <v>97.43</v>
      </c>
      <c r="C1649">
        <v>98.389999000000003</v>
      </c>
      <c r="D1649">
        <v>97.260002</v>
      </c>
      <c r="E1649">
        <v>97.300003000000004</v>
      </c>
      <c r="F1649">
        <v>87.984879000000006</v>
      </c>
      <c r="G1649">
        <v>14458100</v>
      </c>
      <c r="I1649">
        <f t="shared" si="26"/>
        <v>1.0994708969661374E-4</v>
      </c>
    </row>
    <row r="1650" spans="1:9" x14ac:dyDescent="0.3">
      <c r="A1650" s="5">
        <v>44033</v>
      </c>
      <c r="B1650">
        <v>97.709998999999996</v>
      </c>
      <c r="C1650">
        <v>100.050003</v>
      </c>
      <c r="D1650">
        <v>97.639999000000003</v>
      </c>
      <c r="E1650">
        <v>99.410004000000001</v>
      </c>
      <c r="F1650">
        <v>89.892876000000001</v>
      </c>
      <c r="G1650">
        <v>17798100</v>
      </c>
      <c r="I1650">
        <f t="shared" si="26"/>
        <v>1.6474918598395914E-4</v>
      </c>
    </row>
    <row r="1651" spans="1:9" x14ac:dyDescent="0.3">
      <c r="A1651" s="5">
        <v>44034</v>
      </c>
      <c r="B1651">
        <v>99.650002000000001</v>
      </c>
      <c r="C1651">
        <v>100.129997</v>
      </c>
      <c r="D1651">
        <v>97.529999000000004</v>
      </c>
      <c r="E1651">
        <v>98.690002000000007</v>
      </c>
      <c r="F1651">
        <v>89.241805999999997</v>
      </c>
      <c r="G1651">
        <v>14271200</v>
      </c>
      <c r="I1651">
        <f t="shared" si="26"/>
        <v>3.2386319577489263E-4</v>
      </c>
    </row>
    <row r="1652" spans="1:9" x14ac:dyDescent="0.3">
      <c r="A1652" s="5">
        <v>44035</v>
      </c>
      <c r="B1652">
        <v>98.5</v>
      </c>
      <c r="C1652">
        <v>99.349997999999999</v>
      </c>
      <c r="D1652">
        <v>97.970000999999996</v>
      </c>
      <c r="E1652">
        <v>98.980002999999996</v>
      </c>
      <c r="F1652">
        <v>89.504035999999999</v>
      </c>
      <c r="G1652">
        <v>12870200</v>
      </c>
      <c r="I1652">
        <f t="shared" si="26"/>
        <v>8.7395455473976744E-5</v>
      </c>
    </row>
    <row r="1653" spans="1:9" x14ac:dyDescent="0.3">
      <c r="A1653" s="5">
        <v>44036</v>
      </c>
      <c r="B1653">
        <v>99.599997999999999</v>
      </c>
      <c r="C1653">
        <v>99.800003000000004</v>
      </c>
      <c r="D1653">
        <v>97.940002000000007</v>
      </c>
      <c r="E1653">
        <v>98.279999000000004</v>
      </c>
      <c r="F1653">
        <v>88.871048000000002</v>
      </c>
      <c r="G1653">
        <v>12744200</v>
      </c>
      <c r="I1653">
        <f t="shared" si="26"/>
        <v>8.9032931926707744E-5</v>
      </c>
    </row>
    <row r="1654" spans="1:9" x14ac:dyDescent="0.3">
      <c r="A1654" s="5">
        <v>44039</v>
      </c>
      <c r="B1654">
        <v>97.510002</v>
      </c>
      <c r="C1654">
        <v>97.629997000000003</v>
      </c>
      <c r="D1654">
        <v>96.169998000000007</v>
      </c>
      <c r="E1654">
        <v>96.900002000000001</v>
      </c>
      <c r="F1654">
        <v>87.623160999999996</v>
      </c>
      <c r="G1654">
        <v>11959100</v>
      </c>
      <c r="I1654">
        <f t="shared" si="26"/>
        <v>1.1387095186793787E-4</v>
      </c>
    </row>
    <row r="1655" spans="1:9" x14ac:dyDescent="0.3">
      <c r="A1655" s="5">
        <v>44040</v>
      </c>
      <c r="B1655">
        <v>96.5</v>
      </c>
      <c r="C1655">
        <v>97.889999000000003</v>
      </c>
      <c r="D1655">
        <v>96.5</v>
      </c>
      <c r="E1655">
        <v>97.32</v>
      </c>
      <c r="F1655">
        <v>88.002953000000005</v>
      </c>
      <c r="G1655">
        <v>11754300</v>
      </c>
      <c r="I1655">
        <f t="shared" si="26"/>
        <v>8.3518220522439918E-5</v>
      </c>
    </row>
    <row r="1656" spans="1:9" x14ac:dyDescent="0.3">
      <c r="A1656" s="5">
        <v>44041</v>
      </c>
      <c r="B1656">
        <v>97.07</v>
      </c>
      <c r="C1656">
        <v>99.709998999999996</v>
      </c>
      <c r="D1656">
        <v>97</v>
      </c>
      <c r="E1656">
        <v>99.68</v>
      </c>
      <c r="F1656">
        <v>90.137016000000003</v>
      </c>
      <c r="G1656">
        <v>12743500</v>
      </c>
      <c r="I1656">
        <f t="shared" si="26"/>
        <v>2.7735234359689612E-5</v>
      </c>
    </row>
    <row r="1657" spans="1:9" x14ac:dyDescent="0.3">
      <c r="A1657" s="5">
        <v>44042</v>
      </c>
      <c r="B1657">
        <v>97.540001000000004</v>
      </c>
      <c r="C1657">
        <v>97.739998</v>
      </c>
      <c r="D1657">
        <v>96.050003000000004</v>
      </c>
      <c r="E1657">
        <v>97.019997000000004</v>
      </c>
      <c r="F1657">
        <v>87.731682000000006</v>
      </c>
      <c r="G1657">
        <v>14834800</v>
      </c>
      <c r="I1657">
        <f t="shared" si="26"/>
        <v>1.6982296039287038E-4</v>
      </c>
    </row>
    <row r="1658" spans="1:9" x14ac:dyDescent="0.3">
      <c r="A1658" s="5">
        <v>44043</v>
      </c>
      <c r="B1658">
        <v>96.480002999999996</v>
      </c>
      <c r="C1658">
        <v>96.93</v>
      </c>
      <c r="D1658">
        <v>95.25</v>
      </c>
      <c r="E1658">
        <v>96.639999000000003</v>
      </c>
      <c r="F1658">
        <v>87.388053999999997</v>
      </c>
      <c r="G1658">
        <v>14535000</v>
      </c>
      <c r="I1658">
        <f t="shared" si="26"/>
        <v>1.9983108780187637E-4</v>
      </c>
    </row>
    <row r="1659" spans="1:9" x14ac:dyDescent="0.3">
      <c r="A1659" s="5">
        <v>44046</v>
      </c>
      <c r="B1659">
        <v>97.019997000000004</v>
      </c>
      <c r="C1659">
        <v>97.57</v>
      </c>
      <c r="D1659">
        <v>95.849997999999999</v>
      </c>
      <c r="E1659">
        <v>96.099997999999999</v>
      </c>
      <c r="F1659">
        <v>86.899749999999997</v>
      </c>
      <c r="G1659">
        <v>12962800</v>
      </c>
      <c r="I1659">
        <f t="shared" si="26"/>
        <v>1.1741999172602108E-4</v>
      </c>
    </row>
    <row r="1660" spans="1:9" x14ac:dyDescent="0.3">
      <c r="A1660" s="5">
        <v>44047</v>
      </c>
      <c r="B1660">
        <v>95.910004000000001</v>
      </c>
      <c r="C1660">
        <v>95.949996999999996</v>
      </c>
      <c r="D1660">
        <v>95.029999000000004</v>
      </c>
      <c r="E1660">
        <v>95.550003000000004</v>
      </c>
      <c r="F1660">
        <v>86.402405000000002</v>
      </c>
      <c r="G1660">
        <v>13366200</v>
      </c>
      <c r="I1660">
        <f t="shared" si="26"/>
        <v>5.2043176109380628E-5</v>
      </c>
    </row>
    <row r="1661" spans="1:9" x14ac:dyDescent="0.3">
      <c r="A1661" s="5">
        <v>44048</v>
      </c>
      <c r="B1661">
        <v>95.870002999999997</v>
      </c>
      <c r="C1661">
        <v>98.470000999999996</v>
      </c>
      <c r="D1661">
        <v>95.720000999999996</v>
      </c>
      <c r="E1661">
        <v>97.209998999999996</v>
      </c>
      <c r="F1661">
        <v>87.903480999999999</v>
      </c>
      <c r="G1661">
        <v>15260900</v>
      </c>
      <c r="I1661">
        <f t="shared" si="26"/>
        <v>3.6879653190575334E-4</v>
      </c>
    </row>
    <row r="1662" spans="1:9" x14ac:dyDescent="0.3">
      <c r="A1662" s="5">
        <v>44049</v>
      </c>
      <c r="B1662">
        <v>97.580001999999993</v>
      </c>
      <c r="C1662">
        <v>98.099997999999999</v>
      </c>
      <c r="D1662">
        <v>96.540001000000004</v>
      </c>
      <c r="E1662">
        <v>97.239998</v>
      </c>
      <c r="F1662">
        <v>87.930610999999999</v>
      </c>
      <c r="G1662">
        <v>10482100</v>
      </c>
      <c r="I1662">
        <f t="shared" si="26"/>
        <v>1.2421122146504907E-4</v>
      </c>
    </row>
    <row r="1663" spans="1:9" x14ac:dyDescent="0.3">
      <c r="A1663" s="5">
        <v>44050</v>
      </c>
      <c r="B1663">
        <v>96.93</v>
      </c>
      <c r="C1663">
        <v>99.489998</v>
      </c>
      <c r="D1663">
        <v>96.559997999999993</v>
      </c>
      <c r="E1663">
        <v>99.379997000000003</v>
      </c>
      <c r="F1663">
        <v>89.865746000000001</v>
      </c>
      <c r="G1663">
        <v>14743700</v>
      </c>
      <c r="I1663">
        <f t="shared" si="26"/>
        <v>1.3893161386965524E-4</v>
      </c>
    </row>
    <row r="1664" spans="1:9" x14ac:dyDescent="0.3">
      <c r="A1664" s="5">
        <v>44053</v>
      </c>
      <c r="B1664">
        <v>100.110001</v>
      </c>
      <c r="C1664">
        <v>102.040001</v>
      </c>
      <c r="D1664">
        <v>100.029999</v>
      </c>
      <c r="E1664">
        <v>100.639999</v>
      </c>
      <c r="F1664">
        <v>91.005127000000002</v>
      </c>
      <c r="G1664">
        <v>14989900</v>
      </c>
      <c r="I1664">
        <f t="shared" si="26"/>
        <v>2.6866446419019616E-4</v>
      </c>
    </row>
    <row r="1665" spans="1:9" x14ac:dyDescent="0.3">
      <c r="A1665" s="5">
        <v>44054</v>
      </c>
      <c r="B1665">
        <v>103.860001</v>
      </c>
      <c r="C1665">
        <v>106.160004</v>
      </c>
      <c r="D1665">
        <v>103.510002</v>
      </c>
      <c r="E1665">
        <v>103.82</v>
      </c>
      <c r="F1665">
        <v>93.880684000000002</v>
      </c>
      <c r="G1665">
        <v>31518600</v>
      </c>
      <c r="I1665">
        <f t="shared" si="26"/>
        <v>4.9829879672490761E-4</v>
      </c>
    </row>
    <row r="1666" spans="1:9" x14ac:dyDescent="0.3">
      <c r="A1666" s="5">
        <v>44055</v>
      </c>
      <c r="B1666">
        <v>106.160004</v>
      </c>
      <c r="C1666">
        <v>106.43</v>
      </c>
      <c r="D1666">
        <v>101.709999</v>
      </c>
      <c r="E1666">
        <v>102.94000200000001</v>
      </c>
      <c r="F1666">
        <v>93.084923000000003</v>
      </c>
      <c r="G1666">
        <v>19240800</v>
      </c>
      <c r="I1666">
        <f t="shared" si="26"/>
        <v>5.9943674590958915E-4</v>
      </c>
    </row>
    <row r="1667" spans="1:9" x14ac:dyDescent="0.3">
      <c r="A1667" s="5">
        <v>44056</v>
      </c>
      <c r="B1667">
        <v>102</v>
      </c>
      <c r="C1667">
        <v>103.360001</v>
      </c>
      <c r="D1667">
        <v>101.639999</v>
      </c>
      <c r="E1667">
        <v>102.370003</v>
      </c>
      <c r="F1667">
        <v>92.569489000000004</v>
      </c>
      <c r="G1667">
        <v>13598600</v>
      </c>
      <c r="I1667">
        <f t="shared" si="26"/>
        <v>1.5277965964896183E-4</v>
      </c>
    </row>
    <row r="1668" spans="1:9" x14ac:dyDescent="0.3">
      <c r="A1668" s="5">
        <v>44057</v>
      </c>
      <c r="B1668">
        <v>101.5</v>
      </c>
      <c r="C1668">
        <v>103.30999799999999</v>
      </c>
      <c r="D1668">
        <v>101.41999800000001</v>
      </c>
      <c r="E1668">
        <v>102.410004</v>
      </c>
      <c r="F1668">
        <v>92.605675000000005</v>
      </c>
      <c r="G1668">
        <v>12134400</v>
      </c>
      <c r="I1668">
        <f t="shared" si="26"/>
        <v>1.6231470339884464E-4</v>
      </c>
    </row>
    <row r="1669" spans="1:9" x14ac:dyDescent="0.3">
      <c r="A1669" s="5">
        <v>44060</v>
      </c>
      <c r="B1669">
        <v>101.5</v>
      </c>
      <c r="C1669">
        <v>102</v>
      </c>
      <c r="D1669">
        <v>99.529999000000004</v>
      </c>
      <c r="E1669">
        <v>99.709998999999996</v>
      </c>
      <c r="F1669">
        <v>90.164139000000006</v>
      </c>
      <c r="G1669">
        <v>14988000</v>
      </c>
      <c r="I1669">
        <f t="shared" si="26"/>
        <v>1.4699584675973869E-4</v>
      </c>
    </row>
    <row r="1670" spans="1:9" x14ac:dyDescent="0.3">
      <c r="A1670" s="5">
        <v>44061</v>
      </c>
      <c r="B1670">
        <v>99.910004000000001</v>
      </c>
      <c r="C1670">
        <v>99.910004000000001</v>
      </c>
      <c r="D1670">
        <v>98.120002999999997</v>
      </c>
      <c r="E1670">
        <v>98.32</v>
      </c>
      <c r="F1670">
        <v>88.907227000000006</v>
      </c>
      <c r="G1670">
        <v>13246500</v>
      </c>
      <c r="I1670">
        <f t="shared" si="26"/>
        <v>3.681186236514942E-5</v>
      </c>
    </row>
    <row r="1671" spans="1:9" x14ac:dyDescent="0.3">
      <c r="A1671" s="5">
        <v>44062</v>
      </c>
      <c r="B1671">
        <v>98.919998000000007</v>
      </c>
      <c r="C1671">
        <v>100.589996</v>
      </c>
      <c r="D1671">
        <v>98.339995999999999</v>
      </c>
      <c r="E1671">
        <v>98.550003000000004</v>
      </c>
      <c r="F1671">
        <v>89.115211000000002</v>
      </c>
      <c r="G1671">
        <v>13533000</v>
      </c>
      <c r="I1671">
        <f t="shared" si="26"/>
        <v>3.5555476339710037E-4</v>
      </c>
    </row>
    <row r="1672" spans="1:9" x14ac:dyDescent="0.3">
      <c r="A1672" s="5">
        <v>44063</v>
      </c>
      <c r="B1672">
        <v>97.260002</v>
      </c>
      <c r="C1672">
        <v>98.029999000000004</v>
      </c>
      <c r="D1672">
        <v>96.800003000000004</v>
      </c>
      <c r="E1672">
        <v>97.370002999999997</v>
      </c>
      <c r="F1672">
        <v>88.048164</v>
      </c>
      <c r="G1672">
        <v>13672600</v>
      </c>
      <c r="I1672">
        <f t="shared" si="26"/>
        <v>8.1104853304014594E-5</v>
      </c>
    </row>
    <row r="1673" spans="1:9" x14ac:dyDescent="0.3">
      <c r="A1673" s="5">
        <v>44064</v>
      </c>
      <c r="B1673">
        <v>97.269997000000004</v>
      </c>
      <c r="C1673">
        <v>98.57</v>
      </c>
      <c r="D1673">
        <v>96.940002000000007</v>
      </c>
      <c r="E1673">
        <v>97.32</v>
      </c>
      <c r="F1673">
        <v>88.002953000000005</v>
      </c>
      <c r="G1673">
        <v>12228300</v>
      </c>
      <c r="I1673">
        <f t="shared" si="26"/>
        <v>1.8273403459719367E-4</v>
      </c>
    </row>
    <row r="1674" spans="1:9" x14ac:dyDescent="0.3">
      <c r="A1674" s="5">
        <v>44067</v>
      </c>
      <c r="B1674">
        <v>98.449996999999996</v>
      </c>
      <c r="C1674">
        <v>100.209999</v>
      </c>
      <c r="D1674">
        <v>97.419998000000007</v>
      </c>
      <c r="E1674">
        <v>100.05999799999999</v>
      </c>
      <c r="F1674">
        <v>90.480643999999998</v>
      </c>
      <c r="G1674">
        <v>17898300</v>
      </c>
      <c r="I1674">
        <f t="shared" si="26"/>
        <v>3.0775885686765359E-4</v>
      </c>
    </row>
    <row r="1675" spans="1:9" x14ac:dyDescent="0.3">
      <c r="A1675" s="5">
        <v>44068</v>
      </c>
      <c r="B1675">
        <v>101.269997</v>
      </c>
      <c r="C1675">
        <v>101.980003</v>
      </c>
      <c r="D1675">
        <v>99.800003000000004</v>
      </c>
      <c r="E1675">
        <v>100.5</v>
      </c>
      <c r="F1675">
        <v>90.878517000000002</v>
      </c>
      <c r="G1675">
        <v>13648900</v>
      </c>
      <c r="I1675">
        <f t="shared" si="26"/>
        <v>2.0433710025853424E-4</v>
      </c>
    </row>
    <row r="1676" spans="1:9" x14ac:dyDescent="0.3">
      <c r="A1676" s="5">
        <v>44069</v>
      </c>
      <c r="B1676">
        <v>99.940002000000007</v>
      </c>
      <c r="C1676">
        <v>100.269997</v>
      </c>
      <c r="D1676">
        <v>99.050003000000004</v>
      </c>
      <c r="E1676">
        <v>99.089995999999999</v>
      </c>
      <c r="F1676">
        <v>89.603499999999997</v>
      </c>
      <c r="G1676">
        <v>12052400</v>
      </c>
      <c r="I1676">
        <f t="shared" ref="I1676:I1739" si="27">LN(C1676/B1676)*(LN(C1676/B1676)-LN(E1676/B1676))+LN(D1676/B1676)*(LN(D1676/B1676)-LN(E1676/B1676))</f>
        <v>4.263501284117539E-5</v>
      </c>
    </row>
    <row r="1677" spans="1:9" x14ac:dyDescent="0.3">
      <c r="A1677" s="5">
        <v>44070</v>
      </c>
      <c r="B1677">
        <v>99</v>
      </c>
      <c r="C1677">
        <v>102.650002</v>
      </c>
      <c r="D1677">
        <v>99</v>
      </c>
      <c r="E1677">
        <v>102.349998</v>
      </c>
      <c r="F1677">
        <v>92.551392000000007</v>
      </c>
      <c r="G1677">
        <v>22163900</v>
      </c>
      <c r="I1677">
        <f t="shared" si="27"/>
        <v>1.059682577507053E-4</v>
      </c>
    </row>
    <row r="1678" spans="1:9" x14ac:dyDescent="0.3">
      <c r="A1678" s="5">
        <v>44071</v>
      </c>
      <c r="B1678">
        <v>103.139999</v>
      </c>
      <c r="C1678">
        <v>103.25</v>
      </c>
      <c r="D1678">
        <v>101.80999799999999</v>
      </c>
      <c r="E1678">
        <v>102.769997</v>
      </c>
      <c r="F1678">
        <v>92.931197999999995</v>
      </c>
      <c r="G1678">
        <v>13756700</v>
      </c>
      <c r="I1678">
        <f t="shared" si="27"/>
        <v>1.2677654462419776E-4</v>
      </c>
    </row>
    <row r="1679" spans="1:9" x14ac:dyDescent="0.3">
      <c r="A1679" s="5">
        <v>44074</v>
      </c>
      <c r="B1679">
        <v>102.120003</v>
      </c>
      <c r="C1679">
        <v>102.18</v>
      </c>
      <c r="D1679">
        <v>100.019997</v>
      </c>
      <c r="E1679">
        <v>100.19000200000001</v>
      </c>
      <c r="F1679">
        <v>90.598197999999996</v>
      </c>
      <c r="G1679">
        <v>14219400</v>
      </c>
      <c r="I1679">
        <f t="shared" si="27"/>
        <v>4.6839008990807803E-5</v>
      </c>
    </row>
    <row r="1680" spans="1:9" x14ac:dyDescent="0.3">
      <c r="A1680" s="5">
        <v>44075</v>
      </c>
      <c r="B1680">
        <v>99.550003000000004</v>
      </c>
      <c r="C1680">
        <v>100.870003</v>
      </c>
      <c r="D1680">
        <v>99.040001000000004</v>
      </c>
      <c r="E1680">
        <v>100.139999</v>
      </c>
      <c r="F1680">
        <v>90.552986000000004</v>
      </c>
      <c r="G1680">
        <v>11595600</v>
      </c>
      <c r="I1680">
        <f t="shared" si="27"/>
        <v>1.5240896376044887E-4</v>
      </c>
    </row>
    <row r="1681" spans="1:9" x14ac:dyDescent="0.3">
      <c r="A1681" s="5">
        <v>44076</v>
      </c>
      <c r="B1681">
        <v>99.949996999999996</v>
      </c>
      <c r="C1681">
        <v>101.94000200000001</v>
      </c>
      <c r="D1681">
        <v>99.559997999999993</v>
      </c>
      <c r="E1681">
        <v>101.650002</v>
      </c>
      <c r="F1681">
        <v>91.918426999999994</v>
      </c>
      <c r="G1681">
        <v>14475700</v>
      </c>
      <c r="I1681">
        <f t="shared" si="27"/>
        <v>1.3738543160364962E-4</v>
      </c>
    </row>
    <row r="1682" spans="1:9" x14ac:dyDescent="0.3">
      <c r="A1682" s="5">
        <v>44077</v>
      </c>
      <c r="B1682">
        <v>103.32</v>
      </c>
      <c r="C1682">
        <v>104.989998</v>
      </c>
      <c r="D1682">
        <v>100.639999</v>
      </c>
      <c r="E1682">
        <v>101.33000199999999</v>
      </c>
      <c r="F1682">
        <v>91.629058999999998</v>
      </c>
      <c r="G1682">
        <v>23281200</v>
      </c>
      <c r="I1682">
        <f t="shared" si="27"/>
        <v>7.4850437215204376E-4</v>
      </c>
    </row>
    <row r="1683" spans="1:9" x14ac:dyDescent="0.3">
      <c r="A1683" s="5">
        <v>44078</v>
      </c>
      <c r="B1683">
        <v>104.050003</v>
      </c>
      <c r="C1683">
        <v>105.209999</v>
      </c>
      <c r="D1683">
        <v>101.370003</v>
      </c>
      <c r="E1683">
        <v>103.519997</v>
      </c>
      <c r="F1683">
        <v>93.609382999999994</v>
      </c>
      <c r="G1683">
        <v>26325500</v>
      </c>
      <c r="I1683">
        <f t="shared" si="27"/>
        <v>7.2719153224957349E-4</v>
      </c>
    </row>
    <row r="1684" spans="1:9" x14ac:dyDescent="0.3">
      <c r="A1684" s="5">
        <v>44082</v>
      </c>
      <c r="B1684">
        <v>102.980003</v>
      </c>
      <c r="C1684">
        <v>103.57</v>
      </c>
      <c r="D1684">
        <v>99.480002999999996</v>
      </c>
      <c r="E1684">
        <v>99.919998000000007</v>
      </c>
      <c r="F1684">
        <v>90.354042000000007</v>
      </c>
      <c r="G1684">
        <v>22108600</v>
      </c>
      <c r="I1684">
        <f t="shared" si="27"/>
        <v>3.5756655184689291E-4</v>
      </c>
    </row>
    <row r="1685" spans="1:9" x14ac:dyDescent="0.3">
      <c r="A1685" s="5">
        <v>44083</v>
      </c>
      <c r="B1685">
        <v>100.800003</v>
      </c>
      <c r="C1685">
        <v>101.69000200000001</v>
      </c>
      <c r="D1685">
        <v>99.559997999999993</v>
      </c>
      <c r="E1685">
        <v>100.870003</v>
      </c>
      <c r="F1685">
        <v>91.213104000000001</v>
      </c>
      <c r="G1685">
        <v>13434000</v>
      </c>
      <c r="I1685">
        <f t="shared" si="27"/>
        <v>2.3297815371355095E-4</v>
      </c>
    </row>
    <row r="1686" spans="1:9" x14ac:dyDescent="0.3">
      <c r="A1686" s="5">
        <v>44084</v>
      </c>
      <c r="B1686">
        <v>101.400002</v>
      </c>
      <c r="C1686">
        <v>102.41999800000001</v>
      </c>
      <c r="D1686">
        <v>99.639999000000003</v>
      </c>
      <c r="E1686">
        <v>99.830001999999993</v>
      </c>
      <c r="F1686">
        <v>90.272675000000007</v>
      </c>
      <c r="G1686">
        <v>15922800</v>
      </c>
      <c r="I1686">
        <f t="shared" si="27"/>
        <v>2.8971645349210712E-4</v>
      </c>
    </row>
    <row r="1687" spans="1:9" x14ac:dyDescent="0.3">
      <c r="A1687" s="5">
        <v>44085</v>
      </c>
      <c r="B1687">
        <v>99.970000999999996</v>
      </c>
      <c r="C1687">
        <v>101.360001</v>
      </c>
      <c r="D1687">
        <v>99.589995999999999</v>
      </c>
      <c r="E1687">
        <v>101.07</v>
      </c>
      <c r="F1687">
        <v>91.393951000000001</v>
      </c>
      <c r="G1687">
        <v>13784300</v>
      </c>
      <c r="I1687">
        <f t="shared" si="27"/>
        <v>9.5744401236110157E-5</v>
      </c>
    </row>
    <row r="1688" spans="1:9" x14ac:dyDescent="0.3">
      <c r="A1688" s="5">
        <v>44088</v>
      </c>
      <c r="B1688">
        <v>101.510002</v>
      </c>
      <c r="C1688">
        <v>103.459999</v>
      </c>
      <c r="D1688">
        <v>101.370003</v>
      </c>
      <c r="E1688">
        <v>102.470001</v>
      </c>
      <c r="F1688">
        <v>92.65992</v>
      </c>
      <c r="G1688">
        <v>19017400</v>
      </c>
      <c r="I1688">
        <f t="shared" si="27"/>
        <v>1.9784640503380056E-4</v>
      </c>
    </row>
    <row r="1689" spans="1:9" x14ac:dyDescent="0.3">
      <c r="A1689" s="5">
        <v>44089</v>
      </c>
      <c r="B1689">
        <v>102.730003</v>
      </c>
      <c r="C1689">
        <v>102.849998</v>
      </c>
      <c r="D1689">
        <v>99.139999000000003</v>
      </c>
      <c r="E1689">
        <v>99.279999000000004</v>
      </c>
      <c r="F1689">
        <v>89.775313999999995</v>
      </c>
      <c r="G1689">
        <v>23683000</v>
      </c>
      <c r="I1689">
        <f t="shared" si="27"/>
        <v>9.1436871838908952E-5</v>
      </c>
    </row>
    <row r="1690" spans="1:9" x14ac:dyDescent="0.3">
      <c r="A1690" s="5">
        <v>44090</v>
      </c>
      <c r="B1690">
        <v>99.43</v>
      </c>
      <c r="C1690">
        <v>101.129997</v>
      </c>
      <c r="D1690">
        <v>98.760002</v>
      </c>
      <c r="E1690">
        <v>99.699996999999996</v>
      </c>
      <c r="F1690">
        <v>90.155113</v>
      </c>
      <c r="G1690">
        <v>19270600</v>
      </c>
      <c r="I1690">
        <f t="shared" si="27"/>
        <v>3.0547731474287392E-4</v>
      </c>
    </row>
    <row r="1691" spans="1:9" x14ac:dyDescent="0.3">
      <c r="A1691" s="5">
        <v>44091</v>
      </c>
      <c r="B1691">
        <v>98.699996999999996</v>
      </c>
      <c r="C1691">
        <v>99.339995999999999</v>
      </c>
      <c r="D1691">
        <v>97.709998999999996</v>
      </c>
      <c r="E1691">
        <v>98.559997999999993</v>
      </c>
      <c r="F1691">
        <v>89.124251999999998</v>
      </c>
      <c r="G1691">
        <v>18290100</v>
      </c>
      <c r="I1691">
        <f t="shared" si="27"/>
        <v>1.3826682132635367E-4</v>
      </c>
    </row>
    <row r="1692" spans="1:9" x14ac:dyDescent="0.3">
      <c r="A1692" s="5">
        <v>44092</v>
      </c>
      <c r="B1692">
        <v>97.889999000000003</v>
      </c>
      <c r="C1692">
        <v>99.489998</v>
      </c>
      <c r="D1692">
        <v>97.440002000000007</v>
      </c>
      <c r="E1692">
        <v>98.349997999999999</v>
      </c>
      <c r="F1692">
        <v>88.934341000000003</v>
      </c>
      <c r="G1692">
        <v>20121600</v>
      </c>
      <c r="I1692">
        <f t="shared" si="27"/>
        <v>2.2967560698936644E-4</v>
      </c>
    </row>
    <row r="1693" spans="1:9" x14ac:dyDescent="0.3">
      <c r="A1693" s="5">
        <v>44095</v>
      </c>
      <c r="B1693">
        <v>95.199996999999996</v>
      </c>
      <c r="C1693">
        <v>96.050003000000004</v>
      </c>
      <c r="D1693">
        <v>93.82</v>
      </c>
      <c r="E1693">
        <v>95.309997999999993</v>
      </c>
      <c r="F1693">
        <v>86.185387000000006</v>
      </c>
      <c r="G1693">
        <v>28378800</v>
      </c>
      <c r="I1693">
        <f t="shared" si="27"/>
        <v>2.9882596918607256E-4</v>
      </c>
    </row>
    <row r="1694" spans="1:9" x14ac:dyDescent="0.3">
      <c r="A1694" s="5">
        <v>44096</v>
      </c>
      <c r="B1694">
        <v>94.959998999999996</v>
      </c>
      <c r="C1694">
        <v>95.660004000000001</v>
      </c>
      <c r="D1694">
        <v>93.669998000000007</v>
      </c>
      <c r="E1694">
        <v>94.269997000000004</v>
      </c>
      <c r="F1694">
        <v>85.244949000000005</v>
      </c>
      <c r="G1694">
        <v>19257000</v>
      </c>
      <c r="I1694">
        <f t="shared" si="27"/>
        <v>1.9483738042832188E-4</v>
      </c>
    </row>
    <row r="1695" spans="1:9" x14ac:dyDescent="0.3">
      <c r="A1695" s="5">
        <v>44097</v>
      </c>
      <c r="B1695">
        <v>94.779999000000004</v>
      </c>
      <c r="C1695">
        <v>95.349997999999999</v>
      </c>
      <c r="D1695">
        <v>92.660004000000001</v>
      </c>
      <c r="E1695">
        <v>92.739998</v>
      </c>
      <c r="F1695">
        <v>83.861419999999995</v>
      </c>
      <c r="G1695">
        <v>19952700</v>
      </c>
      <c r="I1695">
        <f t="shared" si="27"/>
        <v>1.8593392194712294E-4</v>
      </c>
    </row>
    <row r="1696" spans="1:9" x14ac:dyDescent="0.3">
      <c r="A1696" s="5">
        <v>44098</v>
      </c>
      <c r="B1696">
        <v>92.32</v>
      </c>
      <c r="C1696">
        <v>94.300003000000004</v>
      </c>
      <c r="D1696">
        <v>91.379997000000003</v>
      </c>
      <c r="E1696">
        <v>92.660004000000001</v>
      </c>
      <c r="F1696">
        <v>83.789101000000002</v>
      </c>
      <c r="G1696">
        <v>18366500</v>
      </c>
      <c r="I1696">
        <f t="shared" si="27"/>
        <v>5.1465834335092157E-4</v>
      </c>
    </row>
    <row r="1697" spans="1:9" x14ac:dyDescent="0.3">
      <c r="A1697" s="5">
        <v>44099</v>
      </c>
      <c r="B1697">
        <v>92.050003000000004</v>
      </c>
      <c r="C1697">
        <v>93.720000999999996</v>
      </c>
      <c r="D1697">
        <v>91.870002999999997</v>
      </c>
      <c r="E1697">
        <v>93.470000999999996</v>
      </c>
      <c r="F1697">
        <v>84.521545000000003</v>
      </c>
      <c r="G1697">
        <v>13293100</v>
      </c>
      <c r="I1697">
        <f t="shared" si="27"/>
        <v>8.182120886341551E-5</v>
      </c>
    </row>
    <row r="1698" spans="1:9" x14ac:dyDescent="0.3">
      <c r="A1698" s="5">
        <v>44102</v>
      </c>
      <c r="B1698">
        <v>95.059997999999993</v>
      </c>
      <c r="C1698">
        <v>96.93</v>
      </c>
      <c r="D1698">
        <v>94.349997999999999</v>
      </c>
      <c r="E1698">
        <v>96.160004000000001</v>
      </c>
      <c r="F1698">
        <v>86.954025000000001</v>
      </c>
      <c r="G1698">
        <v>20894100</v>
      </c>
      <c r="I1698">
        <f t="shared" si="27"/>
        <v>2.9783030761488995E-4</v>
      </c>
    </row>
    <row r="1699" spans="1:9" x14ac:dyDescent="0.3">
      <c r="A1699" s="5">
        <v>44103</v>
      </c>
      <c r="B1699">
        <v>96.029999000000004</v>
      </c>
      <c r="C1699">
        <v>96.029999000000004</v>
      </c>
      <c r="D1699">
        <v>94.330001999999993</v>
      </c>
      <c r="E1699">
        <v>95.349997999999999</v>
      </c>
      <c r="F1699">
        <v>86.221549999999993</v>
      </c>
      <c r="G1699">
        <v>12848200</v>
      </c>
      <c r="I1699">
        <f t="shared" si="27"/>
        <v>1.9209900153944291E-4</v>
      </c>
    </row>
    <row r="1700" spans="1:9" x14ac:dyDescent="0.3">
      <c r="A1700" s="5">
        <v>44104</v>
      </c>
      <c r="B1700">
        <v>95.349997999999999</v>
      </c>
      <c r="C1700">
        <v>97.199996999999996</v>
      </c>
      <c r="D1700">
        <v>95.260002</v>
      </c>
      <c r="E1700">
        <v>96.269997000000004</v>
      </c>
      <c r="F1700">
        <v>87.053466999999998</v>
      </c>
      <c r="G1700">
        <v>16400600</v>
      </c>
      <c r="I1700">
        <f t="shared" si="27"/>
        <v>1.947047506758599E-4</v>
      </c>
    </row>
    <row r="1701" spans="1:9" x14ac:dyDescent="0.3">
      <c r="A1701" s="5">
        <v>44105</v>
      </c>
      <c r="B1701">
        <v>97.120002999999997</v>
      </c>
      <c r="C1701">
        <v>97.769997000000004</v>
      </c>
      <c r="D1701">
        <v>96.029999000000004</v>
      </c>
      <c r="E1701">
        <v>96.970000999999996</v>
      </c>
      <c r="F1701">
        <v>87.686454999999995</v>
      </c>
      <c r="G1701">
        <v>15778700</v>
      </c>
      <c r="I1701">
        <f t="shared" si="27"/>
        <v>1.6474887487661361E-4</v>
      </c>
    </row>
    <row r="1702" spans="1:9" x14ac:dyDescent="0.3">
      <c r="A1702" s="5">
        <v>44106</v>
      </c>
      <c r="B1702">
        <v>95.25</v>
      </c>
      <c r="C1702">
        <v>98.589995999999999</v>
      </c>
      <c r="D1702">
        <v>95.089995999999999</v>
      </c>
      <c r="E1702">
        <v>97.889999000000003</v>
      </c>
      <c r="F1702">
        <v>88.518387000000004</v>
      </c>
      <c r="G1702">
        <v>15149600</v>
      </c>
      <c r="I1702">
        <f t="shared" si="27"/>
        <v>2.9436635514241977E-4</v>
      </c>
    </row>
    <row r="1703" spans="1:9" x14ac:dyDescent="0.3">
      <c r="A1703" s="5">
        <v>44109</v>
      </c>
      <c r="B1703">
        <v>98.32</v>
      </c>
      <c r="C1703">
        <v>99.25</v>
      </c>
      <c r="D1703">
        <v>97.529999000000004</v>
      </c>
      <c r="E1703">
        <v>99.040001000000004</v>
      </c>
      <c r="F1703">
        <v>90.389319999999998</v>
      </c>
      <c r="G1703">
        <v>13871900</v>
      </c>
      <c r="I1703">
        <f t="shared" si="27"/>
        <v>1.4388753868263573E-4</v>
      </c>
    </row>
    <row r="1704" spans="1:9" x14ac:dyDescent="0.3">
      <c r="A1704" s="5">
        <v>44110</v>
      </c>
      <c r="B1704">
        <v>100.07</v>
      </c>
      <c r="C1704">
        <v>100.860001</v>
      </c>
      <c r="D1704">
        <v>97.510002</v>
      </c>
      <c r="E1704">
        <v>98.019997000000004</v>
      </c>
      <c r="F1704">
        <v>89.458420000000004</v>
      </c>
      <c r="G1704">
        <v>19220400</v>
      </c>
      <c r="I1704">
        <f t="shared" si="27"/>
        <v>3.5978307225875152E-4</v>
      </c>
    </row>
    <row r="1705" spans="1:9" x14ac:dyDescent="0.3">
      <c r="A1705" s="5">
        <v>44111</v>
      </c>
      <c r="B1705">
        <v>98.959998999999996</v>
      </c>
      <c r="C1705">
        <v>100.349998</v>
      </c>
      <c r="D1705">
        <v>98.669998000000007</v>
      </c>
      <c r="E1705">
        <v>99.730002999999996</v>
      </c>
      <c r="F1705">
        <v>91.019073000000006</v>
      </c>
      <c r="G1705">
        <v>16358500</v>
      </c>
      <c r="I1705">
        <f t="shared" si="27"/>
        <v>1.1780478327588781E-4</v>
      </c>
    </row>
    <row r="1706" spans="1:9" x14ac:dyDescent="0.3">
      <c r="A1706" s="5">
        <v>44112</v>
      </c>
      <c r="B1706">
        <v>100.510002</v>
      </c>
      <c r="C1706">
        <v>101.91999800000001</v>
      </c>
      <c r="D1706">
        <v>99.900002000000001</v>
      </c>
      <c r="E1706">
        <v>101.779999</v>
      </c>
      <c r="F1706">
        <v>92.890015000000005</v>
      </c>
      <c r="G1706">
        <v>15659000</v>
      </c>
      <c r="I1706">
        <f t="shared" si="27"/>
        <v>1.3264441511614167E-4</v>
      </c>
    </row>
    <row r="1707" spans="1:9" x14ac:dyDescent="0.3">
      <c r="A1707" s="5">
        <v>44113</v>
      </c>
      <c r="B1707">
        <v>102</v>
      </c>
      <c r="C1707">
        <v>102.110001</v>
      </c>
      <c r="D1707">
        <v>100.110001</v>
      </c>
      <c r="E1707">
        <v>101.199997</v>
      </c>
      <c r="F1707">
        <v>92.360664</v>
      </c>
      <c r="G1707">
        <v>13689100</v>
      </c>
      <c r="I1707">
        <f t="shared" si="27"/>
        <v>2.12188674614063E-4</v>
      </c>
    </row>
    <row r="1708" spans="1:9" x14ac:dyDescent="0.3">
      <c r="A1708" s="5">
        <v>44116</v>
      </c>
      <c r="B1708">
        <v>101.099998</v>
      </c>
      <c r="C1708">
        <v>103</v>
      </c>
      <c r="D1708">
        <v>100.849998</v>
      </c>
      <c r="E1708">
        <v>102.44000200000001</v>
      </c>
      <c r="F1708">
        <v>93.492355000000003</v>
      </c>
      <c r="G1708">
        <v>16058000</v>
      </c>
      <c r="I1708">
        <f t="shared" si="27"/>
        <v>1.4023469025471643E-4</v>
      </c>
    </row>
    <row r="1709" spans="1:9" x14ac:dyDescent="0.3">
      <c r="A1709" s="5">
        <v>44117</v>
      </c>
      <c r="B1709">
        <v>103</v>
      </c>
      <c r="C1709">
        <v>103.220001</v>
      </c>
      <c r="D1709">
        <v>100.260002</v>
      </c>
      <c r="E1709">
        <v>100.779999</v>
      </c>
      <c r="F1709">
        <v>91.977348000000006</v>
      </c>
      <c r="G1709">
        <v>21697300</v>
      </c>
      <c r="I1709">
        <f t="shared" si="27"/>
        <v>1.9052026483330509E-4</v>
      </c>
    </row>
    <row r="1710" spans="1:9" x14ac:dyDescent="0.3">
      <c r="A1710" s="5">
        <v>44118</v>
      </c>
      <c r="B1710">
        <v>101.029999</v>
      </c>
      <c r="C1710">
        <v>101.93</v>
      </c>
      <c r="D1710">
        <v>100.099998</v>
      </c>
      <c r="E1710">
        <v>100.220001</v>
      </c>
      <c r="F1710">
        <v>91.466262999999998</v>
      </c>
      <c r="G1710">
        <v>15204100</v>
      </c>
      <c r="I1710">
        <f t="shared" si="27"/>
        <v>1.6112712507275869E-4</v>
      </c>
    </row>
    <row r="1711" spans="1:9" x14ac:dyDescent="0.3">
      <c r="A1711" s="5">
        <v>44119</v>
      </c>
      <c r="B1711">
        <v>99.099997999999999</v>
      </c>
      <c r="C1711">
        <v>101.779999</v>
      </c>
      <c r="D1711">
        <v>99.040001000000004</v>
      </c>
      <c r="E1711">
        <v>101.720001</v>
      </c>
      <c r="F1711">
        <v>92.835257999999996</v>
      </c>
      <c r="G1711">
        <v>17171200</v>
      </c>
      <c r="I1711">
        <f t="shared" si="27"/>
        <v>3.1904281132123005E-5</v>
      </c>
    </row>
    <row r="1712" spans="1:9" x14ac:dyDescent="0.3">
      <c r="A1712" s="5">
        <v>44120</v>
      </c>
      <c r="B1712">
        <v>101.410004</v>
      </c>
      <c r="C1712">
        <v>102.33000199999999</v>
      </c>
      <c r="D1712">
        <v>100.720001</v>
      </c>
      <c r="E1712">
        <v>101.510002</v>
      </c>
      <c r="F1712">
        <v>92.643592999999996</v>
      </c>
      <c r="G1712">
        <v>13275000</v>
      </c>
      <c r="I1712">
        <f t="shared" si="27"/>
        <v>1.2600243037223297E-4</v>
      </c>
    </row>
    <row r="1713" spans="1:9" x14ac:dyDescent="0.3">
      <c r="A1713" s="5">
        <v>44123</v>
      </c>
      <c r="B1713">
        <v>101.599998</v>
      </c>
      <c r="C1713">
        <v>101.870003</v>
      </c>
      <c r="D1713">
        <v>99.559997999999993</v>
      </c>
      <c r="E1713">
        <v>99.800003000000004</v>
      </c>
      <c r="F1713">
        <v>91.082947000000004</v>
      </c>
      <c r="G1713">
        <v>11725700</v>
      </c>
      <c r="I1713">
        <f t="shared" si="27"/>
        <v>1.0332152821673145E-4</v>
      </c>
    </row>
    <row r="1714" spans="1:9" x14ac:dyDescent="0.3">
      <c r="A1714" s="5">
        <v>44124</v>
      </c>
      <c r="B1714">
        <v>100.30999799999999</v>
      </c>
      <c r="C1714">
        <v>101.769997</v>
      </c>
      <c r="D1714">
        <v>100.120003</v>
      </c>
      <c r="E1714">
        <v>100.370003</v>
      </c>
      <c r="F1714">
        <v>91.603172000000001</v>
      </c>
      <c r="G1714">
        <v>11257100</v>
      </c>
      <c r="I1714">
        <f t="shared" si="27"/>
        <v>2.0488826525783278E-4</v>
      </c>
    </row>
    <row r="1715" spans="1:9" x14ac:dyDescent="0.3">
      <c r="A1715" s="5">
        <v>44125</v>
      </c>
      <c r="B1715">
        <v>100.360001</v>
      </c>
      <c r="C1715">
        <v>100.989998</v>
      </c>
      <c r="D1715">
        <v>99.330001999999993</v>
      </c>
      <c r="E1715">
        <v>99.370002999999997</v>
      </c>
      <c r="F1715">
        <v>90.690521000000004</v>
      </c>
      <c r="G1715">
        <v>10730500</v>
      </c>
      <c r="I1715">
        <f t="shared" si="27"/>
        <v>1.053488362476753E-4</v>
      </c>
    </row>
    <row r="1716" spans="1:9" x14ac:dyDescent="0.3">
      <c r="A1716" s="5">
        <v>44126</v>
      </c>
      <c r="B1716">
        <v>99.32</v>
      </c>
      <c r="C1716">
        <v>103.239998</v>
      </c>
      <c r="D1716">
        <v>99.309997999999993</v>
      </c>
      <c r="E1716">
        <v>102.879997</v>
      </c>
      <c r="F1716">
        <v>93.893929</v>
      </c>
      <c r="G1716">
        <v>14837200</v>
      </c>
      <c r="I1716">
        <f t="shared" si="27"/>
        <v>1.3877349019669326E-4</v>
      </c>
    </row>
    <row r="1717" spans="1:9" x14ac:dyDescent="0.3">
      <c r="A1717" s="5">
        <v>44127</v>
      </c>
      <c r="B1717">
        <v>103.5</v>
      </c>
      <c r="C1717">
        <v>104.449997</v>
      </c>
      <c r="D1717">
        <v>102.93</v>
      </c>
      <c r="E1717">
        <v>103.80999799999999</v>
      </c>
      <c r="F1717">
        <v>94.742690999999994</v>
      </c>
      <c r="G1717">
        <v>15087600</v>
      </c>
      <c r="I1717">
        <f t="shared" si="27"/>
        <v>1.031701811970776E-4</v>
      </c>
    </row>
    <row r="1718" spans="1:9" x14ac:dyDescent="0.3">
      <c r="A1718" s="5">
        <v>44130</v>
      </c>
      <c r="B1718">
        <v>102.650002</v>
      </c>
      <c r="C1718">
        <v>102.699997</v>
      </c>
      <c r="D1718">
        <v>100.25</v>
      </c>
      <c r="E1718">
        <v>101.239998</v>
      </c>
      <c r="F1718">
        <v>92.397171</v>
      </c>
      <c r="G1718">
        <v>12410700</v>
      </c>
      <c r="I1718">
        <f t="shared" si="27"/>
        <v>2.3945643447757065E-4</v>
      </c>
    </row>
    <row r="1719" spans="1:9" x14ac:dyDescent="0.3">
      <c r="A1719" s="5">
        <v>44131</v>
      </c>
      <c r="B1719">
        <v>100.510002</v>
      </c>
      <c r="C1719">
        <v>100.91999800000001</v>
      </c>
      <c r="D1719">
        <v>99.160004000000001</v>
      </c>
      <c r="E1719">
        <v>99.330001999999993</v>
      </c>
      <c r="F1719">
        <v>90.653998999999999</v>
      </c>
      <c r="G1719">
        <v>10391700</v>
      </c>
      <c r="I1719">
        <f t="shared" si="27"/>
        <v>8.7809906738859316E-5</v>
      </c>
    </row>
    <row r="1720" spans="1:9" x14ac:dyDescent="0.3">
      <c r="A1720" s="5">
        <v>44132</v>
      </c>
      <c r="B1720">
        <v>97.5</v>
      </c>
      <c r="C1720">
        <v>98.300003000000004</v>
      </c>
      <c r="D1720">
        <v>96.07</v>
      </c>
      <c r="E1720">
        <v>96.540001000000004</v>
      </c>
      <c r="F1720">
        <v>88.107703999999998</v>
      </c>
      <c r="G1720">
        <v>16389500</v>
      </c>
      <c r="I1720">
        <f t="shared" si="27"/>
        <v>2.1974314541323774E-4</v>
      </c>
    </row>
    <row r="1721" spans="1:9" x14ac:dyDescent="0.3">
      <c r="A1721" s="5">
        <v>44133</v>
      </c>
      <c r="B1721">
        <v>96.120002999999997</v>
      </c>
      <c r="C1721">
        <v>97.980002999999996</v>
      </c>
      <c r="D1721">
        <v>95.239998</v>
      </c>
      <c r="E1721">
        <v>97.169998000000007</v>
      </c>
      <c r="F1721">
        <v>88.682654999999997</v>
      </c>
      <c r="G1721">
        <v>14208800</v>
      </c>
      <c r="I1721">
        <f t="shared" si="27"/>
        <v>3.4362352288708258E-4</v>
      </c>
    </row>
    <row r="1722" spans="1:9" x14ac:dyDescent="0.3">
      <c r="A1722" s="5">
        <v>44134</v>
      </c>
      <c r="B1722">
        <v>97.910004000000001</v>
      </c>
      <c r="C1722">
        <v>98.419998000000007</v>
      </c>
      <c r="D1722">
        <v>96.230002999999996</v>
      </c>
      <c r="E1722">
        <v>98.040001000000004</v>
      </c>
      <c r="F1722">
        <v>89.476676999999995</v>
      </c>
      <c r="G1722">
        <v>15194500</v>
      </c>
      <c r="I1722">
        <f t="shared" si="27"/>
        <v>3.4261292246250813E-4</v>
      </c>
    </row>
    <row r="1723" spans="1:9" x14ac:dyDescent="0.3">
      <c r="A1723" s="5">
        <v>44137</v>
      </c>
      <c r="B1723">
        <v>99.389999000000003</v>
      </c>
      <c r="C1723">
        <v>100.879997</v>
      </c>
      <c r="D1723">
        <v>97.860000999999997</v>
      </c>
      <c r="E1723">
        <v>100.25</v>
      </c>
      <c r="F1723">
        <v>91.493651999999997</v>
      </c>
      <c r="G1723">
        <v>15011600</v>
      </c>
      <c r="I1723">
        <f t="shared" si="27"/>
        <v>4.6754849602928707E-4</v>
      </c>
    </row>
    <row r="1724" spans="1:9" x14ac:dyDescent="0.3">
      <c r="A1724" s="5">
        <v>44138</v>
      </c>
      <c r="B1724">
        <v>103.019997</v>
      </c>
      <c r="C1724">
        <v>104.739998</v>
      </c>
      <c r="D1724">
        <v>102.69000200000001</v>
      </c>
      <c r="E1724">
        <v>103.410004</v>
      </c>
      <c r="F1724">
        <v>94.377632000000006</v>
      </c>
      <c r="G1724">
        <v>17482600</v>
      </c>
      <c r="I1724">
        <f t="shared" si="27"/>
        <v>2.3401669786556905E-4</v>
      </c>
    </row>
    <row r="1725" spans="1:9" x14ac:dyDescent="0.3">
      <c r="A1725" s="5">
        <v>44139</v>
      </c>
      <c r="B1725">
        <v>101</v>
      </c>
      <c r="C1725">
        <v>102.07</v>
      </c>
      <c r="D1725">
        <v>98.93</v>
      </c>
      <c r="E1725">
        <v>100.25</v>
      </c>
      <c r="F1725">
        <v>91.493651999999997</v>
      </c>
      <c r="G1725">
        <v>18886500</v>
      </c>
      <c r="I1725">
        <f t="shared" si="27"/>
        <v>4.6407826437802385E-4</v>
      </c>
    </row>
    <row r="1726" spans="1:9" x14ac:dyDescent="0.3">
      <c r="A1726" s="5">
        <v>44140</v>
      </c>
      <c r="B1726">
        <v>101.05999799999999</v>
      </c>
      <c r="C1726">
        <v>105.099998</v>
      </c>
      <c r="D1726">
        <v>101</v>
      </c>
      <c r="E1726">
        <v>104.349998</v>
      </c>
      <c r="F1726">
        <v>95.235534999999999</v>
      </c>
      <c r="G1726">
        <v>17837400</v>
      </c>
      <c r="I1726">
        <f t="shared" si="27"/>
        <v>3.0009908801730516E-4</v>
      </c>
    </row>
    <row r="1727" spans="1:9" x14ac:dyDescent="0.3">
      <c r="A1727" s="5">
        <v>44141</v>
      </c>
      <c r="B1727">
        <v>105.029999</v>
      </c>
      <c r="C1727">
        <v>105.099998</v>
      </c>
      <c r="D1727">
        <v>102.389999</v>
      </c>
      <c r="E1727">
        <v>102.959999</v>
      </c>
      <c r="F1727">
        <v>93.966926999999998</v>
      </c>
      <c r="G1727">
        <v>12552800</v>
      </c>
      <c r="I1727">
        <f t="shared" si="27"/>
        <v>1.5503047136977257E-4</v>
      </c>
    </row>
    <row r="1728" spans="1:9" x14ac:dyDescent="0.3">
      <c r="A1728" s="5">
        <v>44144</v>
      </c>
      <c r="B1728">
        <v>113.160004</v>
      </c>
      <c r="C1728">
        <v>118.900002</v>
      </c>
      <c r="D1728">
        <v>110.349998</v>
      </c>
      <c r="E1728">
        <v>116.900002</v>
      </c>
      <c r="F1728">
        <v>106.689346</v>
      </c>
      <c r="G1728">
        <v>47792400</v>
      </c>
      <c r="I1728">
        <f t="shared" si="27"/>
        <v>2.2893198615999023E-3</v>
      </c>
    </row>
    <row r="1729" spans="1:9" x14ac:dyDescent="0.3">
      <c r="A1729" s="5">
        <v>44145</v>
      </c>
      <c r="B1729">
        <v>117.349998</v>
      </c>
      <c r="C1729">
        <v>117.449997</v>
      </c>
      <c r="D1729">
        <v>114.69000200000001</v>
      </c>
      <c r="E1729">
        <v>116.519997</v>
      </c>
      <c r="F1729">
        <v>106.342529</v>
      </c>
      <c r="G1729">
        <v>20539300</v>
      </c>
      <c r="I1729">
        <f t="shared" si="27"/>
        <v>3.6972372408179872E-4</v>
      </c>
    </row>
    <row r="1730" spans="1:9" x14ac:dyDescent="0.3">
      <c r="A1730" s="5">
        <v>44146</v>
      </c>
      <c r="B1730">
        <v>116.889999</v>
      </c>
      <c r="C1730">
        <v>116.959999</v>
      </c>
      <c r="D1730">
        <v>113.959999</v>
      </c>
      <c r="E1730">
        <v>114.779999</v>
      </c>
      <c r="F1730">
        <v>104.754524</v>
      </c>
      <c r="G1730">
        <v>14443400</v>
      </c>
      <c r="I1730">
        <f t="shared" si="27"/>
        <v>1.9327365728501436E-4</v>
      </c>
    </row>
    <row r="1731" spans="1:9" x14ac:dyDescent="0.3">
      <c r="A1731" s="5">
        <v>44147</v>
      </c>
      <c r="B1731">
        <v>112.529999</v>
      </c>
      <c r="C1731">
        <v>113.959999</v>
      </c>
      <c r="D1731">
        <v>112.05999799999999</v>
      </c>
      <c r="E1731">
        <v>113.370003</v>
      </c>
      <c r="F1731">
        <v>103.46769</v>
      </c>
      <c r="G1731">
        <v>22063000</v>
      </c>
      <c r="I1731">
        <f t="shared" si="27"/>
        <v>1.1419063450648049E-4</v>
      </c>
    </row>
    <row r="1732" spans="1:9" x14ac:dyDescent="0.3">
      <c r="A1732" s="5">
        <v>44148</v>
      </c>
      <c r="B1732">
        <v>114.699997</v>
      </c>
      <c r="C1732">
        <v>114.860001</v>
      </c>
      <c r="D1732">
        <v>113.57</v>
      </c>
      <c r="E1732">
        <v>114.08000199999999</v>
      </c>
      <c r="F1732">
        <v>104.115669</v>
      </c>
      <c r="G1732">
        <v>11847900</v>
      </c>
      <c r="I1732">
        <f t="shared" si="27"/>
        <v>5.3859351925432644E-5</v>
      </c>
    </row>
    <row r="1733" spans="1:9" x14ac:dyDescent="0.3">
      <c r="A1733" s="5">
        <v>44151</v>
      </c>
      <c r="B1733">
        <v>117.790001</v>
      </c>
      <c r="C1733">
        <v>118.610001</v>
      </c>
      <c r="D1733">
        <v>115.730003</v>
      </c>
      <c r="E1733">
        <v>117.300003</v>
      </c>
      <c r="F1733">
        <v>107.05441999999999</v>
      </c>
      <c r="G1733">
        <v>19858600</v>
      </c>
      <c r="I1733">
        <f t="shared" si="27"/>
        <v>3.147905290837497E-4</v>
      </c>
    </row>
    <row r="1734" spans="1:9" x14ac:dyDescent="0.3">
      <c r="A1734" s="5">
        <v>44152</v>
      </c>
      <c r="B1734">
        <v>115.389999</v>
      </c>
      <c r="C1734">
        <v>116.44000200000001</v>
      </c>
      <c r="D1734">
        <v>114.58000199999999</v>
      </c>
      <c r="E1734">
        <v>116.110001</v>
      </c>
      <c r="F1734">
        <v>105.968346</v>
      </c>
      <c r="G1734">
        <v>14553200</v>
      </c>
      <c r="I1734">
        <f t="shared" si="27"/>
        <v>1.1915100890668329E-4</v>
      </c>
    </row>
    <row r="1735" spans="1:9" x14ac:dyDescent="0.3">
      <c r="A1735" s="5">
        <v>44153</v>
      </c>
      <c r="B1735">
        <v>117.339996</v>
      </c>
      <c r="C1735">
        <v>118.610001</v>
      </c>
      <c r="D1735">
        <v>115.199997</v>
      </c>
      <c r="E1735">
        <v>115.25</v>
      </c>
      <c r="F1735">
        <v>105.18347199999999</v>
      </c>
      <c r="G1735">
        <v>12571200</v>
      </c>
      <c r="I1735">
        <f t="shared" si="27"/>
        <v>3.1734660260523127E-4</v>
      </c>
    </row>
    <row r="1736" spans="1:9" x14ac:dyDescent="0.3">
      <c r="A1736" s="5">
        <v>44154</v>
      </c>
      <c r="B1736">
        <v>114.18</v>
      </c>
      <c r="C1736">
        <v>115.82</v>
      </c>
      <c r="D1736">
        <v>113.55999799999999</v>
      </c>
      <c r="E1736">
        <v>115.55999799999999</v>
      </c>
      <c r="F1736">
        <v>105.466385</v>
      </c>
      <c r="G1736">
        <v>10202500</v>
      </c>
      <c r="I1736">
        <f t="shared" si="27"/>
        <v>1.2710939144252941E-4</v>
      </c>
    </row>
    <row r="1737" spans="1:9" x14ac:dyDescent="0.3">
      <c r="A1737" s="5">
        <v>44155</v>
      </c>
      <c r="B1737">
        <v>114.43</v>
      </c>
      <c r="C1737">
        <v>115.650002</v>
      </c>
      <c r="D1737">
        <v>114.089996</v>
      </c>
      <c r="E1737">
        <v>114.57</v>
      </c>
      <c r="F1737">
        <v>104.56287399999999</v>
      </c>
      <c r="G1737">
        <v>12718900</v>
      </c>
      <c r="I1737">
        <f t="shared" si="27"/>
        <v>1.1199493250330322E-4</v>
      </c>
    </row>
    <row r="1738" spans="1:9" x14ac:dyDescent="0.3">
      <c r="A1738" s="5">
        <v>44158</v>
      </c>
      <c r="B1738">
        <v>116.050003</v>
      </c>
      <c r="C1738">
        <v>118.16999800000001</v>
      </c>
      <c r="D1738">
        <v>115.57</v>
      </c>
      <c r="E1738">
        <v>117.870003</v>
      </c>
      <c r="F1738">
        <v>107.574631</v>
      </c>
      <c r="G1738">
        <v>13209200</v>
      </c>
      <c r="I1738">
        <f t="shared" si="27"/>
        <v>1.2769249256055636E-4</v>
      </c>
    </row>
    <row r="1739" spans="1:9" x14ac:dyDescent="0.3">
      <c r="A1739" s="5">
        <v>44159</v>
      </c>
      <c r="B1739">
        <v>120.07</v>
      </c>
      <c r="C1739">
        <v>123.5</v>
      </c>
      <c r="D1739">
        <v>119.709999</v>
      </c>
      <c r="E1739">
        <v>123.32</v>
      </c>
      <c r="F1739">
        <v>112.548592</v>
      </c>
      <c r="G1739">
        <v>20121600</v>
      </c>
      <c r="I1739">
        <f t="shared" si="27"/>
        <v>1.3029544415739408E-4</v>
      </c>
    </row>
    <row r="1740" spans="1:9" x14ac:dyDescent="0.3">
      <c r="A1740" s="5">
        <v>44160</v>
      </c>
      <c r="B1740">
        <v>121.370003</v>
      </c>
      <c r="C1740">
        <v>122.379997</v>
      </c>
      <c r="D1740">
        <v>120.470001</v>
      </c>
      <c r="E1740">
        <v>122.029999</v>
      </c>
      <c r="F1740">
        <v>111.371269</v>
      </c>
      <c r="G1740">
        <v>11715600</v>
      </c>
      <c r="I1740">
        <f t="shared" ref="I1740:I1803" si="28">LN(C1740/B1740)*(LN(C1740/B1740)-LN(E1740/B1740))+LN(D1740/B1740)*(LN(D1740/B1740)-LN(E1740/B1740))</f>
        <v>1.1949722048061135E-4</v>
      </c>
    </row>
    <row r="1741" spans="1:9" x14ac:dyDescent="0.3">
      <c r="A1741" s="5">
        <v>44162</v>
      </c>
      <c r="B1741">
        <v>122</v>
      </c>
      <c r="C1741">
        <v>122.349998</v>
      </c>
      <c r="D1741">
        <v>121.08000199999999</v>
      </c>
      <c r="E1741">
        <v>121.220001</v>
      </c>
      <c r="F1741">
        <v>110.63201100000001</v>
      </c>
      <c r="G1741">
        <v>5983600</v>
      </c>
      <c r="I1741">
        <f t="shared" si="28"/>
        <v>3.5328171796848033E-5</v>
      </c>
    </row>
    <row r="1742" spans="1:9" x14ac:dyDescent="0.3">
      <c r="A1742" s="5">
        <v>44165</v>
      </c>
      <c r="B1742">
        <v>120</v>
      </c>
      <c r="C1742">
        <v>120.720001</v>
      </c>
      <c r="D1742">
        <v>117.769997</v>
      </c>
      <c r="E1742">
        <v>117.879997</v>
      </c>
      <c r="F1742">
        <v>107.583748</v>
      </c>
      <c r="G1742">
        <v>14411800</v>
      </c>
      <c r="I1742">
        <f t="shared" si="28"/>
        <v>1.5992595480166649E-4</v>
      </c>
    </row>
    <row r="1743" spans="1:9" x14ac:dyDescent="0.3">
      <c r="A1743" s="5">
        <v>44166</v>
      </c>
      <c r="B1743">
        <v>120.339996</v>
      </c>
      <c r="C1743">
        <v>121.58000199999999</v>
      </c>
      <c r="D1743">
        <v>119.629997</v>
      </c>
      <c r="E1743">
        <v>119.739998</v>
      </c>
      <c r="F1743">
        <v>109.281296</v>
      </c>
      <c r="G1743">
        <v>12668900</v>
      </c>
      <c r="I1743">
        <f t="shared" si="28"/>
        <v>1.6177126945610926E-4</v>
      </c>
    </row>
    <row r="1744" spans="1:9" x14ac:dyDescent="0.3">
      <c r="A1744" s="5">
        <v>44167</v>
      </c>
      <c r="B1744">
        <v>119.699997</v>
      </c>
      <c r="C1744">
        <v>122.30999799999999</v>
      </c>
      <c r="D1744">
        <v>119.269997</v>
      </c>
      <c r="E1744">
        <v>122.040001</v>
      </c>
      <c r="F1744">
        <v>111.380394</v>
      </c>
      <c r="G1744">
        <v>10811300</v>
      </c>
      <c r="I1744">
        <f t="shared" si="28"/>
        <v>1.302931065563384E-4</v>
      </c>
    </row>
    <row r="1745" spans="1:9" x14ac:dyDescent="0.3">
      <c r="A1745" s="5">
        <v>44168</v>
      </c>
      <c r="B1745">
        <v>121.849998</v>
      </c>
      <c r="C1745">
        <v>121.889999</v>
      </c>
      <c r="D1745">
        <v>120.360001</v>
      </c>
      <c r="E1745">
        <v>121.239998</v>
      </c>
      <c r="F1745">
        <v>110.65026899999999</v>
      </c>
      <c r="G1745">
        <v>12904400</v>
      </c>
      <c r="I1745">
        <f t="shared" si="28"/>
        <v>9.1383276898556969E-5</v>
      </c>
    </row>
    <row r="1746" spans="1:9" x14ac:dyDescent="0.3">
      <c r="A1746" s="5">
        <v>44169</v>
      </c>
      <c r="B1746">
        <v>122.480003</v>
      </c>
      <c r="C1746">
        <v>123.290001</v>
      </c>
      <c r="D1746">
        <v>121.69000200000001</v>
      </c>
      <c r="E1746">
        <v>122.339996</v>
      </c>
      <c r="F1746">
        <v>111.65419</v>
      </c>
      <c r="G1746">
        <v>13583700</v>
      </c>
      <c r="I1746">
        <f t="shared" si="28"/>
        <v>8.5459252005652372E-5</v>
      </c>
    </row>
    <row r="1747" spans="1:9" x14ac:dyDescent="0.3">
      <c r="A1747" s="5">
        <v>44172</v>
      </c>
      <c r="B1747">
        <v>121.150002</v>
      </c>
      <c r="C1747">
        <v>122.16999800000001</v>
      </c>
      <c r="D1747">
        <v>120.209999</v>
      </c>
      <c r="E1747">
        <v>121.879997</v>
      </c>
      <c r="F1747">
        <v>111.23436700000001</v>
      </c>
      <c r="G1747">
        <v>9724300</v>
      </c>
      <c r="I1747">
        <f t="shared" si="28"/>
        <v>1.2739152179841196E-4</v>
      </c>
    </row>
    <row r="1748" spans="1:9" x14ac:dyDescent="0.3">
      <c r="A1748" s="5">
        <v>44173</v>
      </c>
      <c r="B1748">
        <v>121.040001</v>
      </c>
      <c r="C1748">
        <v>122.33000199999999</v>
      </c>
      <c r="D1748">
        <v>120.760002</v>
      </c>
      <c r="E1748">
        <v>122</v>
      </c>
      <c r="F1748">
        <v>111.343895</v>
      </c>
      <c r="G1748">
        <v>9592100</v>
      </c>
      <c r="I1748">
        <f t="shared" si="28"/>
        <v>5.2296604480581925E-5</v>
      </c>
    </row>
    <row r="1749" spans="1:9" x14ac:dyDescent="0.3">
      <c r="A1749" s="5">
        <v>44174</v>
      </c>
      <c r="B1749">
        <v>123.16999800000001</v>
      </c>
      <c r="C1749">
        <v>123.300003</v>
      </c>
      <c r="D1749">
        <v>120.44000200000001</v>
      </c>
      <c r="E1749">
        <v>121.050003</v>
      </c>
      <c r="F1749">
        <v>110.47687500000001</v>
      </c>
      <c r="G1749">
        <v>13073900</v>
      </c>
      <c r="I1749">
        <f t="shared" si="28"/>
        <v>1.3266260249253809E-4</v>
      </c>
    </row>
    <row r="1750" spans="1:9" x14ac:dyDescent="0.3">
      <c r="A1750" s="5">
        <v>44175</v>
      </c>
      <c r="B1750">
        <v>119.989998</v>
      </c>
      <c r="C1750">
        <v>120.779999</v>
      </c>
      <c r="D1750">
        <v>119.55999799999999</v>
      </c>
      <c r="E1750">
        <v>120.269997</v>
      </c>
      <c r="F1750">
        <v>109.764984</v>
      </c>
      <c r="G1750">
        <v>13668400</v>
      </c>
      <c r="I1750">
        <f t="shared" si="28"/>
        <v>4.9024815792805389E-5</v>
      </c>
    </row>
    <row r="1751" spans="1:9" x14ac:dyDescent="0.3">
      <c r="A1751" s="5">
        <v>44176</v>
      </c>
      <c r="B1751">
        <v>118.94000200000001</v>
      </c>
      <c r="C1751">
        <v>120.019997</v>
      </c>
      <c r="D1751">
        <v>118.370003</v>
      </c>
      <c r="E1751">
        <v>119.55999799999999</v>
      </c>
      <c r="F1751">
        <v>109.117012</v>
      </c>
      <c r="G1751">
        <v>9981600</v>
      </c>
      <c r="I1751">
        <f t="shared" si="28"/>
        <v>8.2763707943061317E-5</v>
      </c>
    </row>
    <row r="1752" spans="1:9" x14ac:dyDescent="0.3">
      <c r="A1752" s="5">
        <v>44179</v>
      </c>
      <c r="B1752">
        <v>121.339996</v>
      </c>
      <c r="C1752">
        <v>121.41999800000001</v>
      </c>
      <c r="D1752">
        <v>118.110001</v>
      </c>
      <c r="E1752">
        <v>118.300003</v>
      </c>
      <c r="F1752">
        <v>107.96706399999999</v>
      </c>
      <c r="G1752">
        <v>12112400</v>
      </c>
      <c r="I1752">
        <f t="shared" si="28"/>
        <v>6.0525290697501505E-5</v>
      </c>
    </row>
    <row r="1753" spans="1:9" x14ac:dyDescent="0.3">
      <c r="A1753" s="5">
        <v>44180</v>
      </c>
      <c r="B1753">
        <v>119.290001</v>
      </c>
      <c r="C1753">
        <v>120.900002</v>
      </c>
      <c r="D1753">
        <v>118.620003</v>
      </c>
      <c r="E1753">
        <v>120.32</v>
      </c>
      <c r="F1753">
        <v>109.810631</v>
      </c>
      <c r="G1753">
        <v>12590200</v>
      </c>
      <c r="I1753">
        <f t="shared" si="28"/>
        <v>1.4461680070617855E-4</v>
      </c>
    </row>
    <row r="1754" spans="1:9" x14ac:dyDescent="0.3">
      <c r="A1754" s="5">
        <v>44181</v>
      </c>
      <c r="B1754">
        <v>120.300003</v>
      </c>
      <c r="C1754">
        <v>121.08000199999999</v>
      </c>
      <c r="D1754">
        <v>119.860001</v>
      </c>
      <c r="E1754">
        <v>120.66999800000001</v>
      </c>
      <c r="F1754">
        <v>110.130066</v>
      </c>
      <c r="G1754">
        <v>11169400</v>
      </c>
      <c r="I1754">
        <f t="shared" si="28"/>
        <v>4.6600956565889671E-5</v>
      </c>
    </row>
    <row r="1755" spans="1:9" x14ac:dyDescent="0.3">
      <c r="A1755" s="5">
        <v>44182</v>
      </c>
      <c r="B1755">
        <v>121.260002</v>
      </c>
      <c r="C1755">
        <v>121.449997</v>
      </c>
      <c r="D1755">
        <v>119.58000199999999</v>
      </c>
      <c r="E1755">
        <v>119.66999800000001</v>
      </c>
      <c r="F1755">
        <v>109.21740699999999</v>
      </c>
      <c r="G1755">
        <v>11618000</v>
      </c>
      <c r="I1755">
        <f t="shared" si="28"/>
        <v>3.3611686904717426E-5</v>
      </c>
    </row>
    <row r="1756" spans="1:9" x14ac:dyDescent="0.3">
      <c r="A1756" s="5">
        <v>44183</v>
      </c>
      <c r="B1756">
        <v>119.139999</v>
      </c>
      <c r="C1756">
        <v>119.879997</v>
      </c>
      <c r="D1756">
        <v>118.269997</v>
      </c>
      <c r="E1756">
        <v>119.08000199999999</v>
      </c>
      <c r="F1756">
        <v>108.678955</v>
      </c>
      <c r="G1756">
        <v>28954800</v>
      </c>
      <c r="I1756">
        <f t="shared" si="28"/>
        <v>9.1483810776971539E-5</v>
      </c>
    </row>
    <row r="1757" spans="1:9" x14ac:dyDescent="0.3">
      <c r="A1757" s="5">
        <v>44186</v>
      </c>
      <c r="B1757">
        <v>123.16999800000001</v>
      </c>
      <c r="C1757">
        <v>125</v>
      </c>
      <c r="D1757">
        <v>121.089996</v>
      </c>
      <c r="E1757">
        <v>123.550003</v>
      </c>
      <c r="F1757">
        <v>112.75851400000001</v>
      </c>
      <c r="G1757">
        <v>28323600</v>
      </c>
      <c r="I1757">
        <f t="shared" si="28"/>
        <v>5.1461457530973761E-4</v>
      </c>
    </row>
    <row r="1758" spans="1:9" x14ac:dyDescent="0.3">
      <c r="A1758" s="5">
        <v>44187</v>
      </c>
      <c r="B1758">
        <v>123.389999</v>
      </c>
      <c r="C1758">
        <v>123.519997</v>
      </c>
      <c r="D1758">
        <v>121.610001</v>
      </c>
      <c r="E1758">
        <v>121.66999800000001</v>
      </c>
      <c r="F1758">
        <v>111.042709</v>
      </c>
      <c r="G1758">
        <v>11788200</v>
      </c>
      <c r="I1758">
        <f t="shared" si="28"/>
        <v>2.3057519145271544E-5</v>
      </c>
    </row>
    <row r="1759" spans="1:9" x14ac:dyDescent="0.3">
      <c r="A1759" s="5">
        <v>44188</v>
      </c>
      <c r="B1759">
        <v>122.779999</v>
      </c>
      <c r="C1759">
        <v>126.519997</v>
      </c>
      <c r="D1759">
        <v>122.349998</v>
      </c>
      <c r="E1759">
        <v>125.07</v>
      </c>
      <c r="F1759">
        <v>114.145752</v>
      </c>
      <c r="G1759">
        <v>14973200</v>
      </c>
      <c r="I1759">
        <f t="shared" si="28"/>
        <v>4.2301684892400918E-4</v>
      </c>
    </row>
    <row r="1760" spans="1:9" x14ac:dyDescent="0.3">
      <c r="A1760" s="5">
        <v>44189</v>
      </c>
      <c r="B1760">
        <v>125.089996</v>
      </c>
      <c r="C1760">
        <v>125.550003</v>
      </c>
      <c r="D1760">
        <v>123.57</v>
      </c>
      <c r="E1760">
        <v>124.519997</v>
      </c>
      <c r="F1760">
        <v>113.643776</v>
      </c>
      <c r="G1760">
        <v>4164900</v>
      </c>
      <c r="I1760">
        <f t="shared" si="28"/>
        <v>1.2386857749222793E-4</v>
      </c>
    </row>
    <row r="1761" spans="1:9" x14ac:dyDescent="0.3">
      <c r="A1761" s="5">
        <v>44193</v>
      </c>
      <c r="B1761">
        <v>125.82</v>
      </c>
      <c r="C1761">
        <v>126.650002</v>
      </c>
      <c r="D1761">
        <v>124.790001</v>
      </c>
      <c r="E1761">
        <v>125.339996</v>
      </c>
      <c r="F1761">
        <v>114.39215900000001</v>
      </c>
      <c r="G1761">
        <v>8072600</v>
      </c>
      <c r="I1761">
        <f t="shared" si="28"/>
        <v>1.0451243287149556E-4</v>
      </c>
    </row>
    <row r="1762" spans="1:9" x14ac:dyDescent="0.3">
      <c r="A1762" s="5">
        <v>44194</v>
      </c>
      <c r="B1762">
        <v>126.199997</v>
      </c>
      <c r="C1762">
        <v>126.279999</v>
      </c>
      <c r="D1762">
        <v>124.889999</v>
      </c>
      <c r="E1762">
        <v>125.010002</v>
      </c>
      <c r="F1762">
        <v>114.090988</v>
      </c>
      <c r="G1762">
        <v>8389200</v>
      </c>
      <c r="I1762">
        <f t="shared" si="28"/>
        <v>1.6427138187682099E-5</v>
      </c>
    </row>
    <row r="1763" spans="1:9" x14ac:dyDescent="0.3">
      <c r="A1763" s="5">
        <v>44195</v>
      </c>
      <c r="B1763">
        <v>125.489998</v>
      </c>
      <c r="C1763">
        <v>125.849998</v>
      </c>
      <c r="D1763">
        <v>124.900002</v>
      </c>
      <c r="E1763">
        <v>125.360001</v>
      </c>
      <c r="F1763">
        <v>114.410416</v>
      </c>
      <c r="G1763">
        <v>7398000</v>
      </c>
      <c r="I1763">
        <f t="shared" si="28"/>
        <v>2.8499699788831512E-5</v>
      </c>
    </row>
    <row r="1764" spans="1:9" x14ac:dyDescent="0.3">
      <c r="A1764" s="5">
        <v>44196</v>
      </c>
      <c r="B1764">
        <v>125.089996</v>
      </c>
      <c r="C1764">
        <v>127.33000199999999</v>
      </c>
      <c r="D1764">
        <v>124.82</v>
      </c>
      <c r="E1764">
        <v>127.07</v>
      </c>
      <c r="F1764">
        <v>115.971054</v>
      </c>
      <c r="G1764">
        <v>8580200</v>
      </c>
      <c r="I1764">
        <f t="shared" si="28"/>
        <v>7.488174319731584E-5</v>
      </c>
    </row>
    <row r="1765" spans="1:9" x14ac:dyDescent="0.3">
      <c r="A1765" s="5">
        <v>44200</v>
      </c>
      <c r="B1765">
        <v>127.5</v>
      </c>
      <c r="C1765">
        <v>127.860001</v>
      </c>
      <c r="D1765">
        <v>124.779999</v>
      </c>
      <c r="E1765">
        <v>125.870003</v>
      </c>
      <c r="F1765">
        <v>114.875862</v>
      </c>
      <c r="G1765">
        <v>16819900</v>
      </c>
      <c r="I1765">
        <f t="shared" si="28"/>
        <v>2.3178229475908597E-4</v>
      </c>
    </row>
    <row r="1766" spans="1:9" x14ac:dyDescent="0.3">
      <c r="A1766" s="5">
        <v>44201</v>
      </c>
      <c r="B1766">
        <v>124.989998</v>
      </c>
      <c r="C1766">
        <v>126.300003</v>
      </c>
      <c r="D1766">
        <v>123.769997</v>
      </c>
      <c r="E1766">
        <v>125.650002</v>
      </c>
      <c r="F1766">
        <v>115.500946</v>
      </c>
      <c r="G1766">
        <v>13731200</v>
      </c>
      <c r="I1766">
        <f t="shared" si="28"/>
        <v>2.0166718475697119E-4</v>
      </c>
    </row>
    <row r="1767" spans="1:9" x14ac:dyDescent="0.3">
      <c r="A1767" s="5">
        <v>44202</v>
      </c>
      <c r="B1767">
        <v>129.88000500000001</v>
      </c>
      <c r="C1767">
        <v>132.770004</v>
      </c>
      <c r="D1767">
        <v>127.879997</v>
      </c>
      <c r="E1767">
        <v>131.550003</v>
      </c>
      <c r="F1767">
        <v>120.92437</v>
      </c>
      <c r="G1767">
        <v>24909100</v>
      </c>
      <c r="I1767">
        <f t="shared" si="28"/>
        <v>6.4225363691511187E-4</v>
      </c>
    </row>
    <row r="1768" spans="1:9" x14ac:dyDescent="0.3">
      <c r="A1768" s="5">
        <v>44203</v>
      </c>
      <c r="B1768">
        <v>135.69000199999999</v>
      </c>
      <c r="C1768">
        <v>138.19000199999999</v>
      </c>
      <c r="D1768">
        <v>134.91999799999999</v>
      </c>
      <c r="E1768">
        <v>135.86999499999999</v>
      </c>
      <c r="F1768">
        <v>124.895447</v>
      </c>
      <c r="G1768">
        <v>21940400</v>
      </c>
      <c r="I1768">
        <f t="shared" si="28"/>
        <v>3.490350267714571E-4</v>
      </c>
    </row>
    <row r="1769" spans="1:9" x14ac:dyDescent="0.3">
      <c r="A1769" s="5">
        <v>44204</v>
      </c>
      <c r="B1769">
        <v>135.970001</v>
      </c>
      <c r="C1769">
        <v>136.35000600000001</v>
      </c>
      <c r="D1769">
        <v>134.11999499999999</v>
      </c>
      <c r="E1769">
        <v>136.020004</v>
      </c>
      <c r="F1769">
        <v>125.033348</v>
      </c>
      <c r="G1769">
        <v>12035100</v>
      </c>
      <c r="I1769">
        <f t="shared" si="28"/>
        <v>1.9947330181337093E-4</v>
      </c>
    </row>
    <row r="1770" spans="1:9" x14ac:dyDescent="0.3">
      <c r="A1770" s="5">
        <v>44207</v>
      </c>
      <c r="B1770">
        <v>134.58000200000001</v>
      </c>
      <c r="C1770">
        <v>138.199997</v>
      </c>
      <c r="D1770">
        <v>134.11000100000001</v>
      </c>
      <c r="E1770">
        <v>138.050003</v>
      </c>
      <c r="F1770">
        <v>126.89939099999999</v>
      </c>
      <c r="G1770">
        <v>15937900</v>
      </c>
      <c r="I1770">
        <f t="shared" si="28"/>
        <v>1.301240627717655E-4</v>
      </c>
    </row>
    <row r="1771" spans="1:9" x14ac:dyDescent="0.3">
      <c r="A1771" s="5">
        <v>44208</v>
      </c>
      <c r="B1771">
        <v>139.44000199999999</v>
      </c>
      <c r="C1771">
        <v>141.66000399999999</v>
      </c>
      <c r="D1771">
        <v>138.83000200000001</v>
      </c>
      <c r="E1771">
        <v>140.220001</v>
      </c>
      <c r="F1771">
        <v>128.89408900000001</v>
      </c>
      <c r="G1771">
        <v>18033500</v>
      </c>
      <c r="I1771">
        <f t="shared" si="28"/>
        <v>2.0506321344267587E-4</v>
      </c>
    </row>
    <row r="1772" spans="1:9" x14ac:dyDescent="0.3">
      <c r="A1772" s="5">
        <v>44209</v>
      </c>
      <c r="B1772">
        <v>138.58999600000001</v>
      </c>
      <c r="C1772">
        <v>140.78999300000001</v>
      </c>
      <c r="D1772">
        <v>138.10000600000001</v>
      </c>
      <c r="E1772">
        <v>140.35000600000001</v>
      </c>
      <c r="F1772">
        <v>129.01359600000001</v>
      </c>
      <c r="G1772">
        <v>14816800</v>
      </c>
      <c r="I1772">
        <f t="shared" si="28"/>
        <v>1.0653609396997308E-4</v>
      </c>
    </row>
    <row r="1773" spans="1:9" x14ac:dyDescent="0.3">
      <c r="A1773" s="5">
        <v>44210</v>
      </c>
      <c r="B1773">
        <v>140.490005</v>
      </c>
      <c r="C1773">
        <v>142.75</v>
      </c>
      <c r="D1773">
        <v>140</v>
      </c>
      <c r="E1773">
        <v>141.16999799999999</v>
      </c>
      <c r="F1773">
        <v>129.767349</v>
      </c>
      <c r="G1773">
        <v>18565600</v>
      </c>
      <c r="I1773">
        <f t="shared" si="28"/>
        <v>2.0669635697267413E-4</v>
      </c>
    </row>
    <row r="1774" spans="1:9" x14ac:dyDescent="0.3">
      <c r="A1774" s="5">
        <v>44211</v>
      </c>
      <c r="B1774">
        <v>137.429993</v>
      </c>
      <c r="C1774">
        <v>141.64999399999999</v>
      </c>
      <c r="D1774">
        <v>137.009995</v>
      </c>
      <c r="E1774">
        <v>138.63999899999999</v>
      </c>
      <c r="F1774">
        <v>127.441689</v>
      </c>
      <c r="G1774">
        <v>27881000</v>
      </c>
      <c r="I1774">
        <f t="shared" si="28"/>
        <v>6.8580764287665174E-4</v>
      </c>
    </row>
    <row r="1775" spans="1:9" x14ac:dyDescent="0.3">
      <c r="A1775" s="5">
        <v>44215</v>
      </c>
      <c r="B1775">
        <v>139.86000100000001</v>
      </c>
      <c r="C1775">
        <v>140.699997</v>
      </c>
      <c r="D1775">
        <v>137.820007</v>
      </c>
      <c r="E1775">
        <v>138.03999300000001</v>
      </c>
      <c r="F1775">
        <v>126.89014400000001</v>
      </c>
      <c r="G1775">
        <v>19843800</v>
      </c>
      <c r="I1775">
        <f t="shared" si="28"/>
        <v>1.3772483967870405E-4</v>
      </c>
    </row>
    <row r="1776" spans="1:9" x14ac:dyDescent="0.3">
      <c r="A1776" s="5">
        <v>44216</v>
      </c>
      <c r="B1776">
        <v>137.820007</v>
      </c>
      <c r="C1776">
        <v>138.16999799999999</v>
      </c>
      <c r="D1776">
        <v>135.44000199999999</v>
      </c>
      <c r="E1776">
        <v>135.970001</v>
      </c>
      <c r="F1776">
        <v>124.987358</v>
      </c>
      <c r="G1776">
        <v>16028800</v>
      </c>
      <c r="I1776">
        <f t="shared" si="28"/>
        <v>1.0874173332272696E-4</v>
      </c>
    </row>
    <row r="1777" spans="1:9" x14ac:dyDescent="0.3">
      <c r="A1777" s="5">
        <v>44217</v>
      </c>
      <c r="B1777">
        <v>135.69000199999999</v>
      </c>
      <c r="C1777">
        <v>136.16000399999999</v>
      </c>
      <c r="D1777">
        <v>134.320007</v>
      </c>
      <c r="E1777">
        <v>134.83000200000001</v>
      </c>
      <c r="F1777">
        <v>123.939453</v>
      </c>
      <c r="G1777">
        <v>13411700</v>
      </c>
      <c r="I1777">
        <f t="shared" si="28"/>
        <v>7.2398629923726212E-5</v>
      </c>
    </row>
    <row r="1778" spans="1:9" x14ac:dyDescent="0.3">
      <c r="A1778" s="5">
        <v>44218</v>
      </c>
      <c r="B1778">
        <v>132.69000199999999</v>
      </c>
      <c r="C1778">
        <v>134.39999399999999</v>
      </c>
      <c r="D1778">
        <v>132.199997</v>
      </c>
      <c r="E1778">
        <v>133.78999300000001</v>
      </c>
      <c r="F1778">
        <v>122.98344400000001</v>
      </c>
      <c r="G1778">
        <v>12933200</v>
      </c>
      <c r="I1778">
        <f t="shared" si="28"/>
        <v>1.0248082221477015E-4</v>
      </c>
    </row>
    <row r="1779" spans="1:9" x14ac:dyDescent="0.3">
      <c r="A1779" s="5">
        <v>44221</v>
      </c>
      <c r="B1779">
        <v>132.13999899999999</v>
      </c>
      <c r="C1779">
        <v>133.16999799999999</v>
      </c>
      <c r="D1779">
        <v>130.05999800000001</v>
      </c>
      <c r="E1779">
        <v>132.11999499999999</v>
      </c>
      <c r="F1779">
        <v>121.448318</v>
      </c>
      <c r="G1779">
        <v>14212800</v>
      </c>
      <c r="I1779">
        <f t="shared" si="28"/>
        <v>3.1079430785948495E-4</v>
      </c>
    </row>
    <row r="1780" spans="1:9" x14ac:dyDescent="0.3">
      <c r="A1780" s="5">
        <v>44222</v>
      </c>
      <c r="B1780">
        <v>132.75</v>
      </c>
      <c r="C1780">
        <v>133.16999799999999</v>
      </c>
      <c r="D1780">
        <v>131.33999600000001</v>
      </c>
      <c r="E1780">
        <v>131.58000200000001</v>
      </c>
      <c r="F1780">
        <v>120.951942</v>
      </c>
      <c r="G1780">
        <v>11307800</v>
      </c>
      <c r="I1780">
        <f t="shared" si="28"/>
        <v>5.7437496725375715E-5</v>
      </c>
    </row>
    <row r="1781" spans="1:9" x14ac:dyDescent="0.3">
      <c r="A1781" s="5">
        <v>44223</v>
      </c>
      <c r="B1781">
        <v>129.58999600000001</v>
      </c>
      <c r="C1781">
        <v>129.85000600000001</v>
      </c>
      <c r="D1781">
        <v>127.349998</v>
      </c>
      <c r="E1781">
        <v>127.860001</v>
      </c>
      <c r="F1781">
        <v>117.532425</v>
      </c>
      <c r="G1781">
        <v>17603900</v>
      </c>
      <c r="I1781">
        <f t="shared" si="28"/>
        <v>1.0064472297887538E-4</v>
      </c>
    </row>
    <row r="1782" spans="1:9" x14ac:dyDescent="0.3">
      <c r="A1782" s="5">
        <v>44224</v>
      </c>
      <c r="B1782">
        <v>129.89999399999999</v>
      </c>
      <c r="C1782">
        <v>132.16999799999999</v>
      </c>
      <c r="D1782">
        <v>128.990005</v>
      </c>
      <c r="E1782">
        <v>130.11000100000001</v>
      </c>
      <c r="F1782">
        <v>119.60069300000001</v>
      </c>
      <c r="G1782">
        <v>13761800</v>
      </c>
      <c r="I1782">
        <f t="shared" si="28"/>
        <v>3.3291515769570462E-4</v>
      </c>
    </row>
    <row r="1783" spans="1:9" x14ac:dyDescent="0.3">
      <c r="A1783" s="5">
        <v>44225</v>
      </c>
      <c r="B1783">
        <v>131.19000199999999</v>
      </c>
      <c r="C1783">
        <v>131.720001</v>
      </c>
      <c r="D1783">
        <v>128.19000199999999</v>
      </c>
      <c r="E1783">
        <v>128.66999799999999</v>
      </c>
      <c r="F1783">
        <v>118.277008</v>
      </c>
      <c r="G1783">
        <v>14808100</v>
      </c>
      <c r="I1783">
        <f t="shared" si="28"/>
        <v>1.8091298442414542E-4</v>
      </c>
    </row>
    <row r="1784" spans="1:9" x14ac:dyDescent="0.3">
      <c r="A1784" s="5">
        <v>44228</v>
      </c>
      <c r="B1784">
        <v>129.39999399999999</v>
      </c>
      <c r="C1784">
        <v>130.070007</v>
      </c>
      <c r="D1784">
        <v>128.479996</v>
      </c>
      <c r="E1784">
        <v>129.61999499999999</v>
      </c>
      <c r="F1784">
        <v>119.15026899999999</v>
      </c>
      <c r="G1784">
        <v>11080700</v>
      </c>
      <c r="I1784">
        <f t="shared" si="28"/>
        <v>8.0929345224532172E-5</v>
      </c>
    </row>
    <row r="1785" spans="1:9" x14ac:dyDescent="0.3">
      <c r="A1785" s="5">
        <v>44229</v>
      </c>
      <c r="B1785">
        <v>131.94000199999999</v>
      </c>
      <c r="C1785">
        <v>134.38999899999999</v>
      </c>
      <c r="D1785">
        <v>131.220001</v>
      </c>
      <c r="E1785">
        <v>133.61000100000001</v>
      </c>
      <c r="F1785">
        <v>122.817978</v>
      </c>
      <c r="G1785">
        <v>12253600</v>
      </c>
      <c r="I1785">
        <f t="shared" si="28"/>
        <v>2.0586520173733385E-4</v>
      </c>
    </row>
    <row r="1786" spans="1:9" x14ac:dyDescent="0.3">
      <c r="A1786" s="5">
        <v>44230</v>
      </c>
      <c r="B1786">
        <v>133.64999399999999</v>
      </c>
      <c r="C1786">
        <v>135.759995</v>
      </c>
      <c r="D1786">
        <v>133.509995</v>
      </c>
      <c r="E1786">
        <v>135.13999899999999</v>
      </c>
      <c r="F1786">
        <v>124.224411</v>
      </c>
      <c r="G1786">
        <v>10600800</v>
      </c>
      <c r="I1786">
        <f t="shared" si="28"/>
        <v>8.4417945279258801E-5</v>
      </c>
    </row>
    <row r="1787" spans="1:9" x14ac:dyDescent="0.3">
      <c r="A1787" s="5">
        <v>44231</v>
      </c>
      <c r="B1787">
        <v>135.470001</v>
      </c>
      <c r="C1787">
        <v>138.66000399999999</v>
      </c>
      <c r="D1787">
        <v>135.470001</v>
      </c>
      <c r="E1787">
        <v>138.25</v>
      </c>
      <c r="F1787">
        <v>127.08322099999999</v>
      </c>
      <c r="G1787">
        <v>12419500</v>
      </c>
      <c r="I1787">
        <f t="shared" si="28"/>
        <v>6.8922953330259124E-5</v>
      </c>
    </row>
    <row r="1788" spans="1:9" x14ac:dyDescent="0.3">
      <c r="A1788" s="5">
        <v>44232</v>
      </c>
      <c r="B1788">
        <v>139.38999899999999</v>
      </c>
      <c r="C1788">
        <v>139.490005</v>
      </c>
      <c r="D1788">
        <v>137.38000500000001</v>
      </c>
      <c r="E1788">
        <v>137.979996</v>
      </c>
      <c r="F1788">
        <v>126.835007</v>
      </c>
      <c r="G1788">
        <v>10051300</v>
      </c>
      <c r="I1788">
        <f t="shared" si="28"/>
        <v>7.1103843518837746E-5</v>
      </c>
    </row>
    <row r="1789" spans="1:9" x14ac:dyDescent="0.3">
      <c r="A1789" s="5">
        <v>44235</v>
      </c>
      <c r="B1789">
        <v>138.199997</v>
      </c>
      <c r="C1789">
        <v>140.300003</v>
      </c>
      <c r="D1789">
        <v>138.179993</v>
      </c>
      <c r="E1789">
        <v>140.13999899999999</v>
      </c>
      <c r="F1789">
        <v>128.820526</v>
      </c>
      <c r="G1789">
        <v>10136400</v>
      </c>
      <c r="I1789">
        <f t="shared" si="28"/>
        <v>1.9247828554883341E-5</v>
      </c>
    </row>
    <row r="1790" spans="1:9" x14ac:dyDescent="0.3">
      <c r="A1790" s="5">
        <v>44236</v>
      </c>
      <c r="B1790">
        <v>139.429993</v>
      </c>
      <c r="C1790">
        <v>139.979996</v>
      </c>
      <c r="D1790">
        <v>138.53999300000001</v>
      </c>
      <c r="E1790">
        <v>139.58000200000001</v>
      </c>
      <c r="F1790">
        <v>128.30577099999999</v>
      </c>
      <c r="G1790">
        <v>8614800</v>
      </c>
      <c r="I1790">
        <f t="shared" si="28"/>
        <v>5.9157535748727652E-5</v>
      </c>
    </row>
    <row r="1791" spans="1:9" x14ac:dyDescent="0.3">
      <c r="A1791" s="5">
        <v>44237</v>
      </c>
      <c r="B1791">
        <v>140</v>
      </c>
      <c r="C1791">
        <v>140.86999499999999</v>
      </c>
      <c r="D1791">
        <v>139.03999300000001</v>
      </c>
      <c r="E1791">
        <v>139.66000399999999</v>
      </c>
      <c r="F1791">
        <v>128.37930299999999</v>
      </c>
      <c r="G1791">
        <v>10323200</v>
      </c>
      <c r="I1791">
        <f t="shared" si="28"/>
        <v>8.405635665288276E-5</v>
      </c>
    </row>
    <row r="1792" spans="1:9" x14ac:dyDescent="0.3">
      <c r="A1792" s="5">
        <v>44238</v>
      </c>
      <c r="B1792">
        <v>139.66000399999999</v>
      </c>
      <c r="C1792">
        <v>140.550003</v>
      </c>
      <c r="D1792">
        <v>138.220001</v>
      </c>
      <c r="E1792">
        <v>139.270004</v>
      </c>
      <c r="F1792">
        <v>128.02082799999999</v>
      </c>
      <c r="G1792">
        <v>9201000</v>
      </c>
      <c r="I1792">
        <f t="shared" si="28"/>
        <v>1.3655270274155922E-4</v>
      </c>
    </row>
    <row r="1793" spans="1:9" x14ac:dyDescent="0.3">
      <c r="A1793" s="5">
        <v>44239</v>
      </c>
      <c r="B1793">
        <v>139.050003</v>
      </c>
      <c r="C1793">
        <v>141.61000100000001</v>
      </c>
      <c r="D1793">
        <v>139</v>
      </c>
      <c r="E1793">
        <v>141.25</v>
      </c>
      <c r="F1793">
        <v>129.84089700000001</v>
      </c>
      <c r="G1793">
        <v>8324600</v>
      </c>
      <c r="I1793">
        <f t="shared" si="28"/>
        <v>5.2212298304620955E-5</v>
      </c>
    </row>
    <row r="1794" spans="1:9" x14ac:dyDescent="0.3">
      <c r="A1794" s="5">
        <v>44243</v>
      </c>
      <c r="B1794">
        <v>143.550003</v>
      </c>
      <c r="C1794">
        <v>145.320007</v>
      </c>
      <c r="D1794">
        <v>142.39999399999999</v>
      </c>
      <c r="E1794">
        <v>144.64999399999999</v>
      </c>
      <c r="F1794">
        <v>132.96624800000001</v>
      </c>
      <c r="G1794">
        <v>12130600</v>
      </c>
      <c r="I1794">
        <f t="shared" si="28"/>
        <v>1.8273057027384565E-4</v>
      </c>
    </row>
    <row r="1795" spans="1:9" x14ac:dyDescent="0.3">
      <c r="A1795" s="5">
        <v>44244</v>
      </c>
      <c r="B1795">
        <v>143.949997</v>
      </c>
      <c r="C1795">
        <v>145.38000500000001</v>
      </c>
      <c r="D1795">
        <v>143.11999499999999</v>
      </c>
      <c r="E1795">
        <v>145.10000600000001</v>
      </c>
      <c r="F1795">
        <v>133.379898</v>
      </c>
      <c r="G1795">
        <v>10810100</v>
      </c>
      <c r="I1795">
        <f t="shared" si="28"/>
        <v>9.8508391646912261E-5</v>
      </c>
    </row>
    <row r="1796" spans="1:9" x14ac:dyDescent="0.3">
      <c r="A1796" s="5">
        <v>44245</v>
      </c>
      <c r="B1796">
        <v>144</v>
      </c>
      <c r="C1796">
        <v>145.78999300000001</v>
      </c>
      <c r="D1796">
        <v>143.39999399999999</v>
      </c>
      <c r="E1796">
        <v>145.58999600000001</v>
      </c>
      <c r="F1796">
        <v>133.830322</v>
      </c>
      <c r="G1796">
        <v>10587800</v>
      </c>
      <c r="I1796">
        <f t="shared" si="28"/>
        <v>8.0243695596363398E-5</v>
      </c>
    </row>
    <row r="1797" spans="1:9" x14ac:dyDescent="0.3">
      <c r="A1797" s="5">
        <v>44246</v>
      </c>
      <c r="B1797">
        <v>145.86000100000001</v>
      </c>
      <c r="C1797">
        <v>148.83999600000001</v>
      </c>
      <c r="D1797">
        <v>145.86000100000001</v>
      </c>
      <c r="E1797">
        <v>148.020004</v>
      </c>
      <c r="F1797">
        <v>136.06405599999999</v>
      </c>
      <c r="G1797">
        <v>11969800</v>
      </c>
      <c r="I1797">
        <f t="shared" si="28"/>
        <v>1.117298550060177E-4</v>
      </c>
    </row>
    <row r="1798" spans="1:9" x14ac:dyDescent="0.3">
      <c r="A1798" s="5">
        <v>44249</v>
      </c>
      <c r="B1798">
        <v>146.86999499999999</v>
      </c>
      <c r="C1798">
        <v>150.19000199999999</v>
      </c>
      <c r="D1798">
        <v>146.78999300000001</v>
      </c>
      <c r="E1798">
        <v>149.41000399999999</v>
      </c>
      <c r="F1798">
        <v>137.34178199999999</v>
      </c>
      <c r="G1798">
        <v>11488400</v>
      </c>
      <c r="I1798">
        <f t="shared" si="28"/>
        <v>1.2603194868362694E-4</v>
      </c>
    </row>
    <row r="1799" spans="1:9" x14ac:dyDescent="0.3">
      <c r="A1799" s="5">
        <v>44250</v>
      </c>
      <c r="B1799">
        <v>151.509995</v>
      </c>
      <c r="C1799">
        <v>152.30999800000001</v>
      </c>
      <c r="D1799">
        <v>149.58999600000001</v>
      </c>
      <c r="E1799">
        <v>150.61000100000001</v>
      </c>
      <c r="F1799">
        <v>138.44487000000001</v>
      </c>
      <c r="G1799">
        <v>16234400</v>
      </c>
      <c r="I1799">
        <f t="shared" si="28"/>
        <v>1.4577614388568393E-4</v>
      </c>
    </row>
    <row r="1800" spans="1:9" x14ac:dyDescent="0.3">
      <c r="A1800" s="5">
        <v>44251</v>
      </c>
      <c r="B1800">
        <v>150.11000100000001</v>
      </c>
      <c r="C1800">
        <v>153.759995</v>
      </c>
      <c r="D1800">
        <v>150.11000100000001</v>
      </c>
      <c r="E1800">
        <v>153.259995</v>
      </c>
      <c r="F1800">
        <v>140.880798</v>
      </c>
      <c r="G1800">
        <v>15061400</v>
      </c>
      <c r="I1800">
        <f t="shared" si="28"/>
        <v>7.8250828583705654E-5</v>
      </c>
    </row>
    <row r="1801" spans="1:9" x14ac:dyDescent="0.3">
      <c r="A1801" s="5">
        <v>44252</v>
      </c>
      <c r="B1801">
        <v>154.270004</v>
      </c>
      <c r="C1801">
        <v>154.89999399999999</v>
      </c>
      <c r="D1801">
        <v>150.58999600000001</v>
      </c>
      <c r="E1801">
        <v>151.179993</v>
      </c>
      <c r="F1801">
        <v>138.968796</v>
      </c>
      <c r="G1801">
        <v>18127700</v>
      </c>
      <c r="I1801">
        <f t="shared" si="28"/>
        <v>1.9347330202914859E-4</v>
      </c>
    </row>
    <row r="1802" spans="1:9" x14ac:dyDescent="0.3">
      <c r="A1802" s="5">
        <v>44253</v>
      </c>
      <c r="B1802">
        <v>150.300003</v>
      </c>
      <c r="C1802">
        <v>150.86999499999999</v>
      </c>
      <c r="D1802">
        <v>146.509995</v>
      </c>
      <c r="E1802">
        <v>147.16999799999999</v>
      </c>
      <c r="F1802">
        <v>135.282715</v>
      </c>
      <c r="G1802">
        <v>19829200</v>
      </c>
      <c r="I1802">
        <f t="shared" si="28"/>
        <v>2.0878031302213747E-4</v>
      </c>
    </row>
    <row r="1803" spans="1:9" x14ac:dyDescent="0.3">
      <c r="A1803" s="5">
        <v>44256</v>
      </c>
      <c r="B1803">
        <v>149.520004</v>
      </c>
      <c r="C1803">
        <v>151.38000500000001</v>
      </c>
      <c r="D1803">
        <v>148.479996</v>
      </c>
      <c r="E1803">
        <v>150.5</v>
      </c>
      <c r="F1803">
        <v>138.34371899999999</v>
      </c>
      <c r="G1803">
        <v>14845500</v>
      </c>
      <c r="I1803">
        <f t="shared" si="28"/>
        <v>1.6639789402855934E-4</v>
      </c>
    </row>
    <row r="1804" spans="1:9" x14ac:dyDescent="0.3">
      <c r="A1804" s="5">
        <v>44257</v>
      </c>
      <c r="B1804">
        <v>150.08000200000001</v>
      </c>
      <c r="C1804">
        <v>151.779999</v>
      </c>
      <c r="D1804">
        <v>149.83999600000001</v>
      </c>
      <c r="E1804">
        <v>150.009995</v>
      </c>
      <c r="F1804">
        <v>137.89329499999999</v>
      </c>
      <c r="G1804">
        <v>14221700</v>
      </c>
      <c r="I1804">
        <f t="shared" ref="I1804:I1867" si="29">LN(C1804/B1804)*(LN(C1804/B1804)-LN(E1804/B1804))+LN(D1804/B1804)*(LN(D1804/B1804)-LN(E1804/B1804))</f>
        <v>1.3393871302167548E-4</v>
      </c>
    </row>
    <row r="1805" spans="1:9" x14ac:dyDescent="0.3">
      <c r="A1805" s="5">
        <v>44258</v>
      </c>
      <c r="B1805">
        <v>151.229996</v>
      </c>
      <c r="C1805">
        <v>154.979996</v>
      </c>
      <c r="D1805">
        <v>150.820007</v>
      </c>
      <c r="E1805">
        <v>152.91000399999999</v>
      </c>
      <c r="F1805">
        <v>140.559067</v>
      </c>
      <c r="G1805">
        <v>14324100</v>
      </c>
      <c r="I1805">
        <f t="shared" si="29"/>
        <v>3.6672280469129655E-4</v>
      </c>
    </row>
    <row r="1806" spans="1:9" x14ac:dyDescent="0.3">
      <c r="A1806" s="5">
        <v>44259</v>
      </c>
      <c r="B1806">
        <v>152.61000100000001</v>
      </c>
      <c r="C1806">
        <v>154.38000500000001</v>
      </c>
      <c r="D1806">
        <v>148.61999499999999</v>
      </c>
      <c r="E1806">
        <v>150.55999800000001</v>
      </c>
      <c r="F1806">
        <v>138.398911</v>
      </c>
      <c r="G1806">
        <v>20093900</v>
      </c>
      <c r="I1806">
        <f t="shared" si="29"/>
        <v>6.3251339800983995E-4</v>
      </c>
    </row>
    <row r="1807" spans="1:9" x14ac:dyDescent="0.3">
      <c r="A1807" s="5">
        <v>44260</v>
      </c>
      <c r="B1807">
        <v>153.220001</v>
      </c>
      <c r="C1807">
        <v>153.490005</v>
      </c>
      <c r="D1807">
        <v>147.970001</v>
      </c>
      <c r="E1807">
        <v>150.91000399999999</v>
      </c>
      <c r="F1807">
        <v>138.72061199999999</v>
      </c>
      <c r="G1807">
        <v>18465100</v>
      </c>
      <c r="I1807">
        <f t="shared" si="29"/>
        <v>7.1578853420472166E-4</v>
      </c>
    </row>
    <row r="1808" spans="1:9" x14ac:dyDescent="0.3">
      <c r="A1808" s="5">
        <v>44263</v>
      </c>
      <c r="B1808">
        <v>152.470001</v>
      </c>
      <c r="C1808">
        <v>155.46000699999999</v>
      </c>
      <c r="D1808">
        <v>150.75</v>
      </c>
      <c r="E1808">
        <v>152.91000399999999</v>
      </c>
      <c r="F1808">
        <v>140.559067</v>
      </c>
      <c r="G1808">
        <v>17133300</v>
      </c>
      <c r="I1808">
        <f t="shared" si="29"/>
        <v>4.8259981614779237E-4</v>
      </c>
    </row>
    <row r="1809" spans="1:9" x14ac:dyDescent="0.3">
      <c r="A1809" s="5">
        <v>44264</v>
      </c>
      <c r="B1809">
        <v>151.5</v>
      </c>
      <c r="C1809">
        <v>154.25</v>
      </c>
      <c r="D1809">
        <v>149.820007</v>
      </c>
      <c r="E1809">
        <v>151.83000200000001</v>
      </c>
      <c r="F1809">
        <v>139.56632999999999</v>
      </c>
      <c r="G1809">
        <v>16238800</v>
      </c>
      <c r="I1809">
        <f t="shared" si="29"/>
        <v>4.330717709996987E-4</v>
      </c>
    </row>
    <row r="1810" spans="1:9" x14ac:dyDescent="0.3">
      <c r="A1810" s="5">
        <v>44265</v>
      </c>
      <c r="B1810">
        <v>151.91000399999999</v>
      </c>
      <c r="C1810">
        <v>156.16000399999999</v>
      </c>
      <c r="D1810">
        <v>151.509995</v>
      </c>
      <c r="E1810">
        <v>155.13000500000001</v>
      </c>
      <c r="F1810">
        <v>142.599762</v>
      </c>
      <c r="G1810">
        <v>14342200</v>
      </c>
      <c r="I1810">
        <f t="shared" si="29"/>
        <v>2.4485660613720049E-4</v>
      </c>
    </row>
    <row r="1811" spans="1:9" x14ac:dyDescent="0.3">
      <c r="A1811" s="5">
        <v>44266</v>
      </c>
      <c r="B1811">
        <v>154.11000100000001</v>
      </c>
      <c r="C1811">
        <v>156.14999399999999</v>
      </c>
      <c r="D1811">
        <v>153.36000100000001</v>
      </c>
      <c r="E1811">
        <v>154.320007</v>
      </c>
      <c r="F1811">
        <v>141.85519400000001</v>
      </c>
      <c r="G1811">
        <v>11771500</v>
      </c>
      <c r="I1811">
        <f t="shared" si="29"/>
        <v>1.8546884500618028E-4</v>
      </c>
    </row>
    <row r="1812" spans="1:9" x14ac:dyDescent="0.3">
      <c r="A1812" s="5">
        <v>44267</v>
      </c>
      <c r="B1812">
        <v>156.86000100000001</v>
      </c>
      <c r="C1812">
        <v>157.63000500000001</v>
      </c>
      <c r="D1812">
        <v>155.070007</v>
      </c>
      <c r="E1812">
        <v>156.14999399999999</v>
      </c>
      <c r="F1812">
        <v>143.53736900000001</v>
      </c>
      <c r="G1812">
        <v>12849500</v>
      </c>
      <c r="I1812">
        <f t="shared" si="29"/>
        <v>1.2584925985851283E-4</v>
      </c>
    </row>
    <row r="1813" spans="1:9" x14ac:dyDescent="0.3">
      <c r="A1813" s="5">
        <v>44270</v>
      </c>
      <c r="B1813">
        <v>156.35000600000001</v>
      </c>
      <c r="C1813">
        <v>156.91999799999999</v>
      </c>
      <c r="D1813">
        <v>153.96000699999999</v>
      </c>
      <c r="E1813">
        <v>155.36999499999999</v>
      </c>
      <c r="F1813">
        <v>142.82037399999999</v>
      </c>
      <c r="G1813">
        <v>12101100</v>
      </c>
      <c r="I1813">
        <f t="shared" si="29"/>
        <v>1.7655564747400549E-4</v>
      </c>
    </row>
    <row r="1814" spans="1:9" x14ac:dyDescent="0.3">
      <c r="A1814" s="5">
        <v>44271</v>
      </c>
      <c r="B1814">
        <v>154.08999600000001</v>
      </c>
      <c r="C1814">
        <v>154.60000600000001</v>
      </c>
      <c r="D1814">
        <v>152.19000199999999</v>
      </c>
      <c r="E1814">
        <v>153.509995</v>
      </c>
      <c r="F1814">
        <v>141.11061100000001</v>
      </c>
      <c r="G1814">
        <v>12805600</v>
      </c>
      <c r="I1814">
        <f t="shared" si="29"/>
        <v>1.3052645582292921E-4</v>
      </c>
    </row>
    <row r="1815" spans="1:9" x14ac:dyDescent="0.3">
      <c r="A1815" s="5">
        <v>44272</v>
      </c>
      <c r="B1815">
        <v>155.33999600000001</v>
      </c>
      <c r="C1815">
        <v>156.88000500000001</v>
      </c>
      <c r="D1815">
        <v>153.050003</v>
      </c>
      <c r="E1815">
        <v>155.08999600000001</v>
      </c>
      <c r="F1815">
        <v>142.56300400000001</v>
      </c>
      <c r="G1815">
        <v>13952400</v>
      </c>
      <c r="I1815">
        <f t="shared" si="29"/>
        <v>3.0985464064930111E-4</v>
      </c>
    </row>
    <row r="1816" spans="1:9" x14ac:dyDescent="0.3">
      <c r="A1816" s="5">
        <v>44273</v>
      </c>
      <c r="B1816">
        <v>157.60000600000001</v>
      </c>
      <c r="C1816">
        <v>161.69000199999999</v>
      </c>
      <c r="D1816">
        <v>157.11000100000001</v>
      </c>
      <c r="E1816">
        <v>157.64999399999999</v>
      </c>
      <c r="F1816">
        <v>144.91622899999999</v>
      </c>
      <c r="G1816">
        <v>21898500</v>
      </c>
      <c r="I1816">
        <f t="shared" si="29"/>
        <v>6.5898068804911116E-4</v>
      </c>
    </row>
    <row r="1817" spans="1:9" x14ac:dyDescent="0.3">
      <c r="A1817" s="5">
        <v>44274</v>
      </c>
      <c r="B1817">
        <v>155.509995</v>
      </c>
      <c r="C1817">
        <v>155.94000199999999</v>
      </c>
      <c r="D1817">
        <v>151.19000199999999</v>
      </c>
      <c r="E1817">
        <v>155.13999899999999</v>
      </c>
      <c r="F1817">
        <v>142.60896299999999</v>
      </c>
      <c r="G1817">
        <v>54418800</v>
      </c>
      <c r="I1817">
        <f t="shared" si="29"/>
        <v>7.4079239397968719E-4</v>
      </c>
    </row>
    <row r="1818" spans="1:9" x14ac:dyDescent="0.3">
      <c r="A1818" s="5">
        <v>44277</v>
      </c>
      <c r="B1818">
        <v>152.800003</v>
      </c>
      <c r="C1818">
        <v>153.970001</v>
      </c>
      <c r="D1818">
        <v>150.61000100000001</v>
      </c>
      <c r="E1818">
        <v>150.970001</v>
      </c>
      <c r="F1818">
        <v>138.77577199999999</v>
      </c>
      <c r="G1818">
        <v>19944800</v>
      </c>
      <c r="I1818">
        <f t="shared" si="29"/>
        <v>1.8455650706543234E-4</v>
      </c>
    </row>
    <row r="1819" spans="1:9" x14ac:dyDescent="0.3">
      <c r="A1819" s="5">
        <v>44278</v>
      </c>
      <c r="B1819">
        <v>150.33000200000001</v>
      </c>
      <c r="C1819">
        <v>152.11999499999999</v>
      </c>
      <c r="D1819">
        <v>148.96000699999999</v>
      </c>
      <c r="E1819">
        <v>149.46000699999999</v>
      </c>
      <c r="F1819">
        <v>137.38777200000001</v>
      </c>
      <c r="G1819">
        <v>17076300</v>
      </c>
      <c r="I1819">
        <f t="shared" si="29"/>
        <v>2.3948832792424556E-4</v>
      </c>
    </row>
    <row r="1820" spans="1:9" x14ac:dyDescent="0.3">
      <c r="A1820" s="5">
        <v>44279</v>
      </c>
      <c r="B1820">
        <v>150</v>
      </c>
      <c r="C1820">
        <v>153.179993</v>
      </c>
      <c r="D1820">
        <v>149.86000100000001</v>
      </c>
      <c r="E1820">
        <v>150.61999499999999</v>
      </c>
      <c r="F1820">
        <v>138.45404099999999</v>
      </c>
      <c r="G1820">
        <v>13079800</v>
      </c>
      <c r="I1820">
        <f t="shared" si="29"/>
        <v>3.5828394406772686E-4</v>
      </c>
    </row>
    <row r="1821" spans="1:9" x14ac:dyDescent="0.3">
      <c r="A1821" s="5">
        <v>44280</v>
      </c>
      <c r="B1821">
        <v>150</v>
      </c>
      <c r="C1821">
        <v>152.970001</v>
      </c>
      <c r="D1821">
        <v>149.33000200000001</v>
      </c>
      <c r="E1821">
        <v>152.550003</v>
      </c>
      <c r="F1821">
        <v>140.22816499999999</v>
      </c>
      <c r="G1821">
        <v>15608300</v>
      </c>
      <c r="I1821">
        <f t="shared" si="29"/>
        <v>1.4941031888194949E-4</v>
      </c>
    </row>
    <row r="1822" spans="1:9" x14ac:dyDescent="0.3">
      <c r="A1822" s="5">
        <v>44281</v>
      </c>
      <c r="B1822">
        <v>154.300003</v>
      </c>
      <c r="C1822">
        <v>155.449997</v>
      </c>
      <c r="D1822">
        <v>152.550003</v>
      </c>
      <c r="E1822">
        <v>155.08999600000001</v>
      </c>
      <c r="F1822">
        <v>142.56300400000001</v>
      </c>
      <c r="G1822">
        <v>16754400</v>
      </c>
      <c r="I1822">
        <f t="shared" si="29"/>
        <v>2.0557060043878845E-4</v>
      </c>
    </row>
    <row r="1823" spans="1:9" x14ac:dyDescent="0.3">
      <c r="A1823" s="5">
        <v>44284</v>
      </c>
      <c r="B1823">
        <v>152.11999499999999</v>
      </c>
      <c r="C1823">
        <v>153.729996</v>
      </c>
      <c r="D1823">
        <v>151.03999300000001</v>
      </c>
      <c r="E1823">
        <v>152.679993</v>
      </c>
      <c r="F1823">
        <v>140.347656</v>
      </c>
      <c r="G1823">
        <v>17570300</v>
      </c>
      <c r="I1823">
        <f t="shared" si="29"/>
        <v>1.4910231793499956E-4</v>
      </c>
    </row>
    <row r="1824" spans="1:9" x14ac:dyDescent="0.3">
      <c r="A1824" s="5">
        <v>44285</v>
      </c>
      <c r="B1824">
        <v>154.46000699999999</v>
      </c>
      <c r="C1824">
        <v>155.86999499999999</v>
      </c>
      <c r="D1824">
        <v>153.88000500000001</v>
      </c>
      <c r="E1824">
        <v>154.479996</v>
      </c>
      <c r="F1824">
        <v>142.00225800000001</v>
      </c>
      <c r="G1824">
        <v>13184300</v>
      </c>
      <c r="I1824">
        <f t="shared" si="29"/>
        <v>9.6039439792430155E-5</v>
      </c>
    </row>
    <row r="1825" spans="1:9" x14ac:dyDescent="0.3">
      <c r="A1825" s="5">
        <v>44286</v>
      </c>
      <c r="B1825">
        <v>153.279999</v>
      </c>
      <c r="C1825">
        <v>154.490005</v>
      </c>
      <c r="D1825">
        <v>152.11999499999999</v>
      </c>
      <c r="E1825">
        <v>152.229996</v>
      </c>
      <c r="F1825">
        <v>139.933975</v>
      </c>
      <c r="G1825">
        <v>16736700</v>
      </c>
      <c r="I1825">
        <f t="shared" si="29"/>
        <v>1.2136888318048954E-4</v>
      </c>
    </row>
    <row r="1826" spans="1:9" x14ac:dyDescent="0.3">
      <c r="A1826" s="5">
        <v>44287</v>
      </c>
      <c r="B1826">
        <v>151.89999399999999</v>
      </c>
      <c r="C1826">
        <v>153.78999300000001</v>
      </c>
      <c r="D1826">
        <v>151.550003</v>
      </c>
      <c r="E1826">
        <v>153.71000699999999</v>
      </c>
      <c r="F1826">
        <v>141.294479</v>
      </c>
      <c r="G1826">
        <v>16561500</v>
      </c>
      <c r="I1826">
        <f t="shared" si="29"/>
        <v>3.9078404169088802E-5</v>
      </c>
    </row>
    <row r="1827" spans="1:9" x14ac:dyDescent="0.3">
      <c r="A1827" s="5">
        <v>44291</v>
      </c>
      <c r="B1827">
        <v>154.39999399999999</v>
      </c>
      <c r="C1827">
        <v>154.94000199999999</v>
      </c>
      <c r="D1827">
        <v>152.60000600000001</v>
      </c>
      <c r="E1827">
        <v>153.61999499999999</v>
      </c>
      <c r="F1827">
        <v>142.04342700000001</v>
      </c>
      <c r="G1827">
        <v>13508000</v>
      </c>
      <c r="I1827">
        <f t="shared" si="29"/>
        <v>1.0799151825190096E-4</v>
      </c>
    </row>
    <row r="1828" spans="1:9" x14ac:dyDescent="0.3">
      <c r="A1828" s="5">
        <v>44292</v>
      </c>
      <c r="B1828">
        <v>152.78999300000001</v>
      </c>
      <c r="C1828">
        <v>154.279999</v>
      </c>
      <c r="D1828">
        <v>151.86000100000001</v>
      </c>
      <c r="E1828">
        <v>152.53999300000001</v>
      </c>
      <c r="F1828">
        <v>141.04480000000001</v>
      </c>
      <c r="G1828">
        <v>13071600</v>
      </c>
      <c r="I1828">
        <f t="shared" si="29"/>
        <v>1.3735143031707052E-4</v>
      </c>
    </row>
    <row r="1829" spans="1:9" x14ac:dyDescent="0.3">
      <c r="A1829" s="5">
        <v>44293</v>
      </c>
      <c r="B1829">
        <v>153.10000600000001</v>
      </c>
      <c r="C1829">
        <v>155.229996</v>
      </c>
      <c r="D1829">
        <v>152.64999399999999</v>
      </c>
      <c r="E1829">
        <v>154.929993</v>
      </c>
      <c r="F1829">
        <v>143.25470000000001</v>
      </c>
      <c r="G1829">
        <v>16903500</v>
      </c>
      <c r="I1829">
        <f t="shared" si="29"/>
        <v>7.0369915503340404E-5</v>
      </c>
    </row>
    <row r="1830" spans="1:9" x14ac:dyDescent="0.3">
      <c r="A1830" s="5">
        <v>44294</v>
      </c>
      <c r="B1830">
        <v>154</v>
      </c>
      <c r="C1830">
        <v>155.509995</v>
      </c>
      <c r="D1830">
        <v>152.30999800000001</v>
      </c>
      <c r="E1830">
        <v>155.11999499999999</v>
      </c>
      <c r="F1830">
        <v>143.430374</v>
      </c>
      <c r="G1830">
        <v>12335500</v>
      </c>
      <c r="I1830">
        <f t="shared" si="29"/>
        <v>2.2622723921969558E-4</v>
      </c>
    </row>
    <row r="1831" spans="1:9" x14ac:dyDescent="0.3">
      <c r="A1831" s="5">
        <v>44295</v>
      </c>
      <c r="B1831">
        <v>155.80999800000001</v>
      </c>
      <c r="C1831">
        <v>157.03999300000001</v>
      </c>
      <c r="D1831">
        <v>154.970001</v>
      </c>
      <c r="E1831">
        <v>156.279999</v>
      </c>
      <c r="F1831">
        <v>144.50297499999999</v>
      </c>
      <c r="G1831">
        <v>12122400</v>
      </c>
      <c r="I1831">
        <f t="shared" si="29"/>
        <v>8.3650291143440303E-5</v>
      </c>
    </row>
    <row r="1832" spans="1:9" x14ac:dyDescent="0.3">
      <c r="A1832" s="5">
        <v>44298</v>
      </c>
      <c r="B1832">
        <v>155.58000200000001</v>
      </c>
      <c r="C1832">
        <v>157.25</v>
      </c>
      <c r="D1832">
        <v>155.570007</v>
      </c>
      <c r="E1832">
        <v>155.949997</v>
      </c>
      <c r="F1832">
        <v>144.19781499999999</v>
      </c>
      <c r="G1832">
        <v>12273400</v>
      </c>
      <c r="I1832">
        <f t="shared" si="29"/>
        <v>8.8790002133235221E-5</v>
      </c>
    </row>
    <row r="1833" spans="1:9" x14ac:dyDescent="0.3">
      <c r="A1833" s="5">
        <v>44299</v>
      </c>
      <c r="B1833">
        <v>154.75</v>
      </c>
      <c r="C1833">
        <v>155.199997</v>
      </c>
      <c r="D1833">
        <v>152.429993</v>
      </c>
      <c r="E1833">
        <v>154.08999600000001</v>
      </c>
      <c r="F1833">
        <v>142.47799699999999</v>
      </c>
      <c r="G1833">
        <v>16113600</v>
      </c>
      <c r="I1833">
        <f t="shared" si="29"/>
        <v>1.8445534104848867E-4</v>
      </c>
    </row>
    <row r="1834" spans="1:9" x14ac:dyDescent="0.3">
      <c r="A1834" s="5">
        <v>44300</v>
      </c>
      <c r="B1834">
        <v>151.470001</v>
      </c>
      <c r="C1834">
        <v>153.83000200000001</v>
      </c>
      <c r="D1834">
        <v>150.929993</v>
      </c>
      <c r="E1834">
        <v>151.21000699999999</v>
      </c>
      <c r="F1834">
        <v>139.81501800000001</v>
      </c>
      <c r="G1834">
        <v>19939600</v>
      </c>
      <c r="I1834">
        <f t="shared" si="29"/>
        <v>2.7220783044275103E-4</v>
      </c>
    </row>
    <row r="1835" spans="1:9" x14ac:dyDescent="0.3">
      <c r="A1835" s="5">
        <v>44301</v>
      </c>
      <c r="B1835">
        <v>151.25</v>
      </c>
      <c r="C1835">
        <v>152.199997</v>
      </c>
      <c r="D1835">
        <v>149.320007</v>
      </c>
      <c r="E1835">
        <v>152.16999799999999</v>
      </c>
      <c r="F1835">
        <v>140.702698</v>
      </c>
      <c r="G1835">
        <v>17694100</v>
      </c>
      <c r="I1835">
        <f t="shared" si="29"/>
        <v>2.440403259134589E-4</v>
      </c>
    </row>
    <row r="1836" spans="1:9" x14ac:dyDescent="0.3">
      <c r="A1836" s="5">
        <v>44302</v>
      </c>
      <c r="B1836">
        <v>153.86999499999999</v>
      </c>
      <c r="C1836">
        <v>154.509995</v>
      </c>
      <c r="D1836">
        <v>152.69000199999999</v>
      </c>
      <c r="E1836">
        <v>153.300003</v>
      </c>
      <c r="F1836">
        <v>141.74754300000001</v>
      </c>
      <c r="G1836">
        <v>13773400</v>
      </c>
      <c r="I1836">
        <f t="shared" si="29"/>
        <v>6.3326706791783029E-5</v>
      </c>
    </row>
    <row r="1837" spans="1:9" x14ac:dyDescent="0.3">
      <c r="A1837" s="5">
        <v>44305</v>
      </c>
      <c r="B1837">
        <v>153.41999799999999</v>
      </c>
      <c r="C1837">
        <v>153.88000500000001</v>
      </c>
      <c r="D1837">
        <v>152.220001</v>
      </c>
      <c r="E1837">
        <v>152.64999399999999</v>
      </c>
      <c r="F1837">
        <v>141.14651499999999</v>
      </c>
      <c r="G1837">
        <v>11900200</v>
      </c>
      <c r="I1837">
        <f t="shared" si="29"/>
        <v>4.6177332657301196E-5</v>
      </c>
    </row>
    <row r="1838" spans="1:9" x14ac:dyDescent="0.3">
      <c r="A1838" s="5">
        <v>44306</v>
      </c>
      <c r="B1838">
        <v>151.740005</v>
      </c>
      <c r="C1838">
        <v>151.75</v>
      </c>
      <c r="D1838">
        <v>148.64999399999999</v>
      </c>
      <c r="E1838">
        <v>149.270004</v>
      </c>
      <c r="F1838">
        <v>138.02122499999999</v>
      </c>
      <c r="G1838">
        <v>13716700</v>
      </c>
      <c r="I1838">
        <f t="shared" si="29"/>
        <v>8.6719985913940258E-5</v>
      </c>
    </row>
    <row r="1839" spans="1:9" x14ac:dyDescent="0.3">
      <c r="A1839" s="5">
        <v>44307</v>
      </c>
      <c r="B1839">
        <v>147.78999300000001</v>
      </c>
      <c r="C1839">
        <v>150.61000100000001</v>
      </c>
      <c r="D1839">
        <v>146.78999300000001</v>
      </c>
      <c r="E1839">
        <v>150.53999300000001</v>
      </c>
      <c r="F1839">
        <v>139.19549599999999</v>
      </c>
      <c r="G1839">
        <v>12236700</v>
      </c>
      <c r="I1839">
        <f t="shared" si="29"/>
        <v>1.8005510982893318E-4</v>
      </c>
    </row>
    <row r="1840" spans="1:9" x14ac:dyDescent="0.3">
      <c r="A1840" s="5">
        <v>44308</v>
      </c>
      <c r="B1840">
        <v>150.229996</v>
      </c>
      <c r="C1840">
        <v>150.300003</v>
      </c>
      <c r="D1840">
        <v>147.259995</v>
      </c>
      <c r="E1840">
        <v>147.36999499999999</v>
      </c>
      <c r="F1840">
        <v>136.26440400000001</v>
      </c>
      <c r="G1840">
        <v>15256100</v>
      </c>
      <c r="I1840">
        <f t="shared" si="29"/>
        <v>2.4081833278516458E-5</v>
      </c>
    </row>
    <row r="1841" spans="1:9" x14ac:dyDescent="0.3">
      <c r="A1841" s="5">
        <v>44309</v>
      </c>
      <c r="B1841">
        <v>147.179993</v>
      </c>
      <c r="C1841">
        <v>151.13000500000001</v>
      </c>
      <c r="D1841">
        <v>146.69000199999999</v>
      </c>
      <c r="E1841">
        <v>150.19000199999999</v>
      </c>
      <c r="F1841">
        <v>138.87191799999999</v>
      </c>
      <c r="G1841">
        <v>14041900</v>
      </c>
      <c r="I1841">
        <f t="shared" si="29"/>
        <v>2.4387352977960745E-4</v>
      </c>
    </row>
    <row r="1842" spans="1:9" x14ac:dyDescent="0.3">
      <c r="A1842" s="5">
        <v>44312</v>
      </c>
      <c r="B1842">
        <v>150.779999</v>
      </c>
      <c r="C1842">
        <v>152.46000699999999</v>
      </c>
      <c r="D1842">
        <v>150.38000500000001</v>
      </c>
      <c r="E1842">
        <v>150.55999800000001</v>
      </c>
      <c r="F1842">
        <v>139.214035</v>
      </c>
      <c r="G1842">
        <v>10799100</v>
      </c>
      <c r="I1842">
        <f t="shared" si="29"/>
        <v>1.4213419881560141E-4</v>
      </c>
    </row>
    <row r="1843" spans="1:9" x14ac:dyDescent="0.3">
      <c r="A1843" s="5">
        <v>44313</v>
      </c>
      <c r="B1843">
        <v>150.5</v>
      </c>
      <c r="C1843">
        <v>151.570007</v>
      </c>
      <c r="D1843">
        <v>150.11000100000001</v>
      </c>
      <c r="E1843">
        <v>151.25</v>
      </c>
      <c r="F1843">
        <v>139.852036</v>
      </c>
      <c r="G1843">
        <v>12821200</v>
      </c>
      <c r="I1843">
        <f t="shared" si="29"/>
        <v>3.4604190172575769E-5</v>
      </c>
    </row>
    <row r="1844" spans="1:9" x14ac:dyDescent="0.3">
      <c r="A1844" s="5">
        <v>44314</v>
      </c>
      <c r="B1844">
        <v>152.429993</v>
      </c>
      <c r="C1844">
        <v>152.88999899999999</v>
      </c>
      <c r="D1844">
        <v>151.39999399999999</v>
      </c>
      <c r="E1844">
        <v>152.229996</v>
      </c>
      <c r="F1844">
        <v>140.75817900000001</v>
      </c>
      <c r="G1844">
        <v>8943700</v>
      </c>
      <c r="I1844">
        <f t="shared" si="29"/>
        <v>5.0104364752991259E-5</v>
      </c>
    </row>
    <row r="1845" spans="1:9" x14ac:dyDescent="0.3">
      <c r="A1845" s="5">
        <v>44315</v>
      </c>
      <c r="B1845">
        <v>153.53999300000001</v>
      </c>
      <c r="C1845">
        <v>155.279999</v>
      </c>
      <c r="D1845">
        <v>153.199997</v>
      </c>
      <c r="E1845">
        <v>155.19000199999999</v>
      </c>
      <c r="F1845">
        <v>143.49511699999999</v>
      </c>
      <c r="G1845">
        <v>12976900</v>
      </c>
      <c r="I1845">
        <f t="shared" si="29"/>
        <v>3.5143456176056739E-5</v>
      </c>
    </row>
    <row r="1846" spans="1:9" x14ac:dyDescent="0.3">
      <c r="A1846" s="5">
        <v>44316</v>
      </c>
      <c r="B1846">
        <v>154.10000600000001</v>
      </c>
      <c r="C1846">
        <v>154.490005</v>
      </c>
      <c r="D1846">
        <v>153.009995</v>
      </c>
      <c r="E1846">
        <v>153.80999800000001</v>
      </c>
      <c r="F1846">
        <v>142.21910099999999</v>
      </c>
      <c r="G1846">
        <v>11705100</v>
      </c>
      <c r="I1846">
        <f t="shared" si="29"/>
        <v>4.8167744409394771E-5</v>
      </c>
    </row>
    <row r="1847" spans="1:9" x14ac:dyDescent="0.3">
      <c r="A1847" s="5">
        <v>44319</v>
      </c>
      <c r="B1847">
        <v>154.85000600000001</v>
      </c>
      <c r="C1847">
        <v>155.479996</v>
      </c>
      <c r="D1847">
        <v>153.13000500000001</v>
      </c>
      <c r="E1847">
        <v>153.36000100000001</v>
      </c>
      <c r="F1847">
        <v>141.80304000000001</v>
      </c>
      <c r="G1847">
        <v>11801100</v>
      </c>
      <c r="I1847">
        <f t="shared" si="29"/>
        <v>7.2505380077434733E-5</v>
      </c>
    </row>
    <row r="1848" spans="1:9" x14ac:dyDescent="0.3">
      <c r="A1848" s="5">
        <v>44320</v>
      </c>
      <c r="B1848">
        <v>152.86999499999999</v>
      </c>
      <c r="C1848">
        <v>155.63999899999999</v>
      </c>
      <c r="D1848">
        <v>152.13999899999999</v>
      </c>
      <c r="E1848">
        <v>155.479996</v>
      </c>
      <c r="F1848">
        <v>143.76324500000001</v>
      </c>
      <c r="G1848">
        <v>12977700</v>
      </c>
      <c r="I1848">
        <f t="shared" si="29"/>
        <v>1.2241861002152543E-4</v>
      </c>
    </row>
    <row r="1849" spans="1:9" x14ac:dyDescent="0.3">
      <c r="A1849" s="5">
        <v>44321</v>
      </c>
      <c r="B1849">
        <v>156</v>
      </c>
      <c r="C1849">
        <v>158.279999</v>
      </c>
      <c r="D1849">
        <v>154.63000500000001</v>
      </c>
      <c r="E1849">
        <v>157.520004</v>
      </c>
      <c r="F1849">
        <v>145.649506</v>
      </c>
      <c r="G1849">
        <v>10506700</v>
      </c>
      <c r="I1849">
        <f t="shared" si="29"/>
        <v>2.3317411333462137E-4</v>
      </c>
    </row>
    <row r="1850" spans="1:9" x14ac:dyDescent="0.3">
      <c r="A1850" s="5">
        <v>44322</v>
      </c>
      <c r="B1850">
        <v>158.070007</v>
      </c>
      <c r="C1850">
        <v>160.820007</v>
      </c>
      <c r="D1850">
        <v>157.16000399999999</v>
      </c>
      <c r="E1850">
        <v>160.69000199999999</v>
      </c>
      <c r="F1850">
        <v>148.580658</v>
      </c>
      <c r="G1850">
        <v>13542400</v>
      </c>
      <c r="I1850">
        <f t="shared" si="29"/>
        <v>1.4219532504813163E-4</v>
      </c>
    </row>
    <row r="1851" spans="1:9" x14ac:dyDescent="0.3">
      <c r="A1851" s="5">
        <v>44323</v>
      </c>
      <c r="B1851">
        <v>157.220001</v>
      </c>
      <c r="C1851">
        <v>161.5</v>
      </c>
      <c r="D1851">
        <v>157.020004</v>
      </c>
      <c r="E1851">
        <v>161.240005</v>
      </c>
      <c r="F1851">
        <v>149.08918800000001</v>
      </c>
      <c r="G1851">
        <v>14257800</v>
      </c>
      <c r="I1851">
        <f t="shared" si="29"/>
        <v>7.7032667584337966E-5</v>
      </c>
    </row>
    <row r="1852" spans="1:9" x14ac:dyDescent="0.3">
      <c r="A1852" s="5">
        <v>44326</v>
      </c>
      <c r="B1852">
        <v>161.5</v>
      </c>
      <c r="C1852">
        <v>163.729996</v>
      </c>
      <c r="D1852">
        <v>161.11999499999999</v>
      </c>
      <c r="E1852">
        <v>161.220001</v>
      </c>
      <c r="F1852">
        <v>149.07067900000001</v>
      </c>
      <c r="G1852">
        <v>14014300</v>
      </c>
      <c r="I1852">
        <f t="shared" si="29"/>
        <v>2.1331992336297978E-4</v>
      </c>
    </row>
    <row r="1853" spans="1:9" x14ac:dyDescent="0.3">
      <c r="A1853" s="5">
        <v>44327</v>
      </c>
      <c r="B1853">
        <v>161.08000200000001</v>
      </c>
      <c r="C1853">
        <v>162.38999899999999</v>
      </c>
      <c r="D1853">
        <v>158.03999300000001</v>
      </c>
      <c r="E1853">
        <v>158.53999300000001</v>
      </c>
      <c r="F1853">
        <v>146.59266700000001</v>
      </c>
      <c r="G1853">
        <v>15451700</v>
      </c>
      <c r="I1853">
        <f t="shared" si="29"/>
        <v>2.5452773466847303E-4</v>
      </c>
    </row>
    <row r="1854" spans="1:9" x14ac:dyDescent="0.3">
      <c r="A1854" s="5">
        <v>44328</v>
      </c>
      <c r="B1854">
        <v>159.61000100000001</v>
      </c>
      <c r="C1854">
        <v>160.779999</v>
      </c>
      <c r="D1854">
        <v>157.029999</v>
      </c>
      <c r="E1854">
        <v>157.449997</v>
      </c>
      <c r="F1854">
        <v>145.58479299999999</v>
      </c>
      <c r="G1854">
        <v>14381700</v>
      </c>
      <c r="I1854">
        <f t="shared" si="29"/>
        <v>1.9638666376330021E-4</v>
      </c>
    </row>
    <row r="1855" spans="1:9" x14ac:dyDescent="0.3">
      <c r="A1855" s="5">
        <v>44329</v>
      </c>
      <c r="B1855">
        <v>158.179993</v>
      </c>
      <c r="C1855">
        <v>162.449997</v>
      </c>
      <c r="D1855">
        <v>157.679993</v>
      </c>
      <c r="E1855">
        <v>161.5</v>
      </c>
      <c r="F1855">
        <v>149.32959</v>
      </c>
      <c r="G1855">
        <v>15395000</v>
      </c>
      <c r="I1855">
        <f t="shared" si="29"/>
        <v>2.3201201858490076E-4</v>
      </c>
    </row>
    <row r="1856" spans="1:9" x14ac:dyDescent="0.3">
      <c r="A1856" s="5">
        <v>44330</v>
      </c>
      <c r="B1856">
        <v>162.38999899999999</v>
      </c>
      <c r="C1856">
        <v>164.449997</v>
      </c>
      <c r="D1856">
        <v>161.990005</v>
      </c>
      <c r="E1856">
        <v>164.009995</v>
      </c>
      <c r="F1856">
        <v>151.65042099999999</v>
      </c>
      <c r="G1856">
        <v>10584000</v>
      </c>
      <c r="I1856">
        <f t="shared" si="29"/>
        <v>6.4336067613242467E-5</v>
      </c>
    </row>
    <row r="1857" spans="1:9" x14ac:dyDescent="0.3">
      <c r="A1857" s="5">
        <v>44333</v>
      </c>
      <c r="B1857">
        <v>163.36999499999999</v>
      </c>
      <c r="C1857">
        <v>164.85000600000001</v>
      </c>
      <c r="D1857">
        <v>163.029999</v>
      </c>
      <c r="E1857">
        <v>164.66999799999999</v>
      </c>
      <c r="F1857">
        <v>152.260696</v>
      </c>
      <c r="G1857">
        <v>9886800</v>
      </c>
      <c r="I1857">
        <f t="shared" si="29"/>
        <v>3.0705430067062419E-5</v>
      </c>
    </row>
    <row r="1858" spans="1:9" x14ac:dyDescent="0.3">
      <c r="A1858" s="5">
        <v>44334</v>
      </c>
      <c r="B1858">
        <v>164.679993</v>
      </c>
      <c r="C1858">
        <v>165.5</v>
      </c>
      <c r="D1858">
        <v>162.240005</v>
      </c>
      <c r="E1858">
        <v>162.35000600000001</v>
      </c>
      <c r="F1858">
        <v>150.115555</v>
      </c>
      <c r="G1858">
        <v>11098100</v>
      </c>
      <c r="I1858">
        <f t="shared" si="29"/>
        <v>1.0556748285800899E-4</v>
      </c>
    </row>
    <row r="1859" spans="1:9" x14ac:dyDescent="0.3">
      <c r="A1859" s="5">
        <v>44335</v>
      </c>
      <c r="B1859">
        <v>161</v>
      </c>
      <c r="C1859">
        <v>161.179993</v>
      </c>
      <c r="D1859">
        <v>158.63999899999999</v>
      </c>
      <c r="E1859">
        <v>161.11000100000001</v>
      </c>
      <c r="F1859">
        <v>148.96899400000001</v>
      </c>
      <c r="G1859">
        <v>13278900</v>
      </c>
      <c r="I1859">
        <f t="shared" si="29"/>
        <v>2.2863208741407101E-4</v>
      </c>
    </row>
    <row r="1860" spans="1:9" x14ac:dyDescent="0.3">
      <c r="A1860" s="5">
        <v>44336</v>
      </c>
      <c r="B1860">
        <v>160.83000200000001</v>
      </c>
      <c r="C1860">
        <v>161.86000100000001</v>
      </c>
      <c r="D1860">
        <v>159.520004</v>
      </c>
      <c r="E1860">
        <v>160.83000200000001</v>
      </c>
      <c r="F1860">
        <v>148.710114</v>
      </c>
      <c r="G1860">
        <v>10426000</v>
      </c>
      <c r="I1860">
        <f t="shared" si="29"/>
        <v>1.0764285347378779E-4</v>
      </c>
    </row>
    <row r="1861" spans="1:9" x14ac:dyDescent="0.3">
      <c r="A1861" s="5">
        <v>44337</v>
      </c>
      <c r="B1861">
        <v>161.33999600000001</v>
      </c>
      <c r="C1861">
        <v>163.220001</v>
      </c>
      <c r="D1861">
        <v>160.94000199999999</v>
      </c>
      <c r="E1861">
        <v>162.66000399999999</v>
      </c>
      <c r="F1861">
        <v>150.402176</v>
      </c>
      <c r="G1861">
        <v>10249000</v>
      </c>
      <c r="I1861">
        <f t="shared" si="29"/>
        <v>6.6203869569820924E-5</v>
      </c>
    </row>
    <row r="1862" spans="1:9" x14ac:dyDescent="0.3">
      <c r="A1862" s="5">
        <v>44340</v>
      </c>
      <c r="B1862">
        <v>163.36000100000001</v>
      </c>
      <c r="C1862">
        <v>164.229996</v>
      </c>
      <c r="D1862">
        <v>162.11999499999999</v>
      </c>
      <c r="E1862">
        <v>163.53999300000001</v>
      </c>
      <c r="F1862">
        <v>151.215836</v>
      </c>
      <c r="G1862">
        <v>9440300</v>
      </c>
      <c r="I1862">
        <f t="shared" si="29"/>
        <v>8.8811853764982052E-5</v>
      </c>
    </row>
    <row r="1863" spans="1:9" x14ac:dyDescent="0.3">
      <c r="A1863" s="5">
        <v>44341</v>
      </c>
      <c r="B1863">
        <v>163.85000600000001</v>
      </c>
      <c r="C1863">
        <v>165.699997</v>
      </c>
      <c r="D1863">
        <v>161.55999800000001</v>
      </c>
      <c r="E1863">
        <v>161.85000600000001</v>
      </c>
      <c r="F1863">
        <v>149.653244</v>
      </c>
      <c r="G1863">
        <v>12609100</v>
      </c>
      <c r="I1863">
        <f t="shared" si="29"/>
        <v>2.891882791666656E-4</v>
      </c>
    </row>
    <row r="1864" spans="1:9" x14ac:dyDescent="0.3">
      <c r="A1864" s="5">
        <v>44342</v>
      </c>
      <c r="B1864">
        <v>163.570007</v>
      </c>
      <c r="C1864">
        <v>163.740005</v>
      </c>
      <c r="D1864">
        <v>161.30999800000001</v>
      </c>
      <c r="E1864">
        <v>161.83000200000001</v>
      </c>
      <c r="F1864">
        <v>149.63475</v>
      </c>
      <c r="G1864">
        <v>13058300</v>
      </c>
      <c r="I1864">
        <f t="shared" si="29"/>
        <v>5.6966790432462372E-5</v>
      </c>
    </row>
    <row r="1865" spans="1:9" x14ac:dyDescent="0.3">
      <c r="A1865" s="5">
        <v>44343</v>
      </c>
      <c r="B1865">
        <v>163.949997</v>
      </c>
      <c r="C1865">
        <v>164.75</v>
      </c>
      <c r="D1865">
        <v>162.570007</v>
      </c>
      <c r="E1865">
        <v>164.35000600000001</v>
      </c>
      <c r="F1865">
        <v>151.96482800000001</v>
      </c>
      <c r="G1865">
        <v>15707500</v>
      </c>
      <c r="I1865">
        <f t="shared" si="29"/>
        <v>1.0387990079348142E-4</v>
      </c>
    </row>
    <row r="1866" spans="1:9" x14ac:dyDescent="0.3">
      <c r="A1866" s="5">
        <v>44344</v>
      </c>
      <c r="B1866">
        <v>164.679993</v>
      </c>
      <c r="C1866">
        <v>164.94000199999999</v>
      </c>
      <c r="D1866">
        <v>163.259995</v>
      </c>
      <c r="E1866">
        <v>164.240005</v>
      </c>
      <c r="F1866">
        <v>151.86308299999999</v>
      </c>
      <c r="G1866">
        <v>10291300</v>
      </c>
      <c r="I1866">
        <f t="shared" si="29"/>
        <v>5.8539071080989778E-5</v>
      </c>
    </row>
    <row r="1867" spans="1:9" x14ac:dyDescent="0.3">
      <c r="A1867" s="5">
        <v>44348</v>
      </c>
      <c r="B1867">
        <v>165.86999499999999</v>
      </c>
      <c r="C1867">
        <v>166.91000399999999</v>
      </c>
      <c r="D1867">
        <v>165.479996</v>
      </c>
      <c r="E1867">
        <v>166.050003</v>
      </c>
      <c r="F1867">
        <v>153.53671299999999</v>
      </c>
      <c r="G1867">
        <v>9445400</v>
      </c>
      <c r="I1867">
        <f t="shared" si="29"/>
        <v>4.0383177683464841E-5</v>
      </c>
    </row>
    <row r="1868" spans="1:9" x14ac:dyDescent="0.3">
      <c r="A1868" s="5">
        <v>44349</v>
      </c>
      <c r="B1868">
        <v>167.259995</v>
      </c>
      <c r="C1868">
        <v>167.44000199999999</v>
      </c>
      <c r="D1868">
        <v>165.529999</v>
      </c>
      <c r="E1868">
        <v>166.05999800000001</v>
      </c>
      <c r="F1868">
        <v>153.545975</v>
      </c>
      <c r="G1868">
        <v>10498600</v>
      </c>
      <c r="I1868">
        <f t="shared" ref="I1868:I1931" si="30">LN(C1868/B1868)*(LN(C1868/B1868)-LN(E1868/B1868))+LN(D1868/B1868)*(LN(D1868/B1868)-LN(E1868/B1868))</f>
        <v>4.2138164331422665E-5</v>
      </c>
    </row>
    <row r="1869" spans="1:9" x14ac:dyDescent="0.3">
      <c r="A1869" s="5">
        <v>44350</v>
      </c>
      <c r="B1869">
        <v>165.41000399999999</v>
      </c>
      <c r="C1869">
        <v>167.25</v>
      </c>
      <c r="D1869">
        <v>164.66000399999999</v>
      </c>
      <c r="E1869">
        <v>166.16999799999999</v>
      </c>
      <c r="F1869">
        <v>153.647659</v>
      </c>
      <c r="G1869">
        <v>13354400</v>
      </c>
      <c r="I1869">
        <f t="shared" si="30"/>
        <v>1.131511541497521E-4</v>
      </c>
    </row>
    <row r="1870" spans="1:9" x14ac:dyDescent="0.3">
      <c r="A1870" s="5">
        <v>44351</v>
      </c>
      <c r="B1870">
        <v>166.21000699999999</v>
      </c>
      <c r="C1870">
        <v>166.66999799999999</v>
      </c>
      <c r="D1870">
        <v>165.029999</v>
      </c>
      <c r="E1870">
        <v>166.44000199999999</v>
      </c>
      <c r="F1870">
        <v>153.89733899999999</v>
      </c>
      <c r="G1870">
        <v>8510800</v>
      </c>
      <c r="I1870">
        <f t="shared" si="30"/>
        <v>6.443172892640717E-5</v>
      </c>
    </row>
    <row r="1871" spans="1:9" x14ac:dyDescent="0.3">
      <c r="A1871" s="5">
        <v>44354</v>
      </c>
      <c r="B1871">
        <v>167</v>
      </c>
      <c r="C1871">
        <v>167.10000600000001</v>
      </c>
      <c r="D1871">
        <v>165.13999899999999</v>
      </c>
      <c r="E1871">
        <v>165.66000399999999</v>
      </c>
      <c r="F1871">
        <v>153.176117</v>
      </c>
      <c r="G1871">
        <v>7267200</v>
      </c>
      <c r="I1871">
        <f t="shared" si="30"/>
        <v>4.0394031332186791E-5</v>
      </c>
    </row>
    <row r="1872" spans="1:9" x14ac:dyDescent="0.3">
      <c r="A1872" s="5">
        <v>44355</v>
      </c>
      <c r="B1872">
        <v>164.490005</v>
      </c>
      <c r="C1872">
        <v>165.759995</v>
      </c>
      <c r="D1872">
        <v>163.16000399999999</v>
      </c>
      <c r="E1872">
        <v>165</v>
      </c>
      <c r="F1872">
        <v>152.565842</v>
      </c>
      <c r="G1872">
        <v>10370700</v>
      </c>
      <c r="I1872">
        <f t="shared" si="30"/>
        <v>1.26385810486817E-4</v>
      </c>
    </row>
    <row r="1873" spans="1:9" x14ac:dyDescent="0.3">
      <c r="A1873" s="5">
        <v>44356</v>
      </c>
      <c r="B1873">
        <v>164.13999899999999</v>
      </c>
      <c r="C1873">
        <v>164.220001</v>
      </c>
      <c r="D1873">
        <v>162.279999</v>
      </c>
      <c r="E1873">
        <v>162.94000199999999</v>
      </c>
      <c r="F1873">
        <v>150.66108700000001</v>
      </c>
      <c r="G1873">
        <v>12377400</v>
      </c>
      <c r="I1873">
        <f t="shared" si="30"/>
        <v>5.0069179635379615E-5</v>
      </c>
    </row>
    <row r="1874" spans="1:9" x14ac:dyDescent="0.3">
      <c r="A1874" s="5">
        <v>44357</v>
      </c>
      <c r="B1874">
        <v>164.36000100000001</v>
      </c>
      <c r="C1874">
        <v>165.240005</v>
      </c>
      <c r="D1874">
        <v>160.30999800000001</v>
      </c>
      <c r="E1874">
        <v>160.39999399999999</v>
      </c>
      <c r="F1874">
        <v>148.31248500000001</v>
      </c>
      <c r="G1874">
        <v>12119400</v>
      </c>
      <c r="I1874">
        <f t="shared" si="30"/>
        <v>1.7274715842994506E-4</v>
      </c>
    </row>
    <row r="1875" spans="1:9" x14ac:dyDescent="0.3">
      <c r="A1875" s="5">
        <v>44358</v>
      </c>
      <c r="B1875">
        <v>160.429993</v>
      </c>
      <c r="C1875">
        <v>161.199997</v>
      </c>
      <c r="D1875">
        <v>159.05999800000001</v>
      </c>
      <c r="E1875">
        <v>160.28999300000001</v>
      </c>
      <c r="F1875">
        <v>148.21078499999999</v>
      </c>
      <c r="G1875">
        <v>13683800</v>
      </c>
      <c r="I1875">
        <f t="shared" si="30"/>
        <v>9.3170262236475228E-5</v>
      </c>
    </row>
    <row r="1876" spans="1:9" x14ac:dyDescent="0.3">
      <c r="A1876" s="5">
        <v>44361</v>
      </c>
      <c r="B1876">
        <v>160.14999399999999</v>
      </c>
      <c r="C1876">
        <v>160.33000200000001</v>
      </c>
      <c r="D1876">
        <v>156.66000399999999</v>
      </c>
      <c r="E1876">
        <v>157.570007</v>
      </c>
      <c r="F1876">
        <v>145.695786</v>
      </c>
      <c r="G1876">
        <v>19917900</v>
      </c>
      <c r="I1876">
        <f t="shared" si="30"/>
        <v>1.4712078065890022E-4</v>
      </c>
    </row>
    <row r="1877" spans="1:9" x14ac:dyDescent="0.3">
      <c r="A1877" s="5">
        <v>44362</v>
      </c>
      <c r="B1877">
        <v>156.699997</v>
      </c>
      <c r="C1877">
        <v>156.91999799999999</v>
      </c>
      <c r="D1877">
        <v>154.13000500000001</v>
      </c>
      <c r="E1877">
        <v>155.179993</v>
      </c>
      <c r="F1877">
        <v>143.48584</v>
      </c>
      <c r="G1877">
        <v>24485500</v>
      </c>
      <c r="I1877">
        <f t="shared" si="30"/>
        <v>1.2791562138470474E-4</v>
      </c>
    </row>
    <row r="1878" spans="1:9" x14ac:dyDescent="0.3">
      <c r="A1878" s="5">
        <v>44363</v>
      </c>
      <c r="B1878">
        <v>154.729996</v>
      </c>
      <c r="C1878">
        <v>157.61999499999999</v>
      </c>
      <c r="D1878">
        <v>153.11000100000001</v>
      </c>
      <c r="E1878">
        <v>156.270004</v>
      </c>
      <c r="F1878">
        <v>144.49371300000001</v>
      </c>
      <c r="G1878">
        <v>25321200</v>
      </c>
      <c r="I1878">
        <f t="shared" si="30"/>
        <v>3.7419073080263834E-4</v>
      </c>
    </row>
    <row r="1879" spans="1:9" x14ac:dyDescent="0.3">
      <c r="A1879" s="5">
        <v>44364</v>
      </c>
      <c r="B1879">
        <v>157.10000600000001</v>
      </c>
      <c r="C1879">
        <v>157.46000699999999</v>
      </c>
      <c r="D1879">
        <v>151.25</v>
      </c>
      <c r="E1879">
        <v>151.759995</v>
      </c>
      <c r="F1879">
        <v>140.32359299999999</v>
      </c>
      <c r="G1879">
        <v>29722400</v>
      </c>
      <c r="I1879">
        <f t="shared" si="30"/>
        <v>2.1213723797952871E-4</v>
      </c>
    </row>
    <row r="1880" spans="1:9" x14ac:dyDescent="0.3">
      <c r="A1880" s="5">
        <v>44365</v>
      </c>
      <c r="B1880">
        <v>149.300003</v>
      </c>
      <c r="C1880">
        <v>149.699997</v>
      </c>
      <c r="D1880">
        <v>147.55999800000001</v>
      </c>
      <c r="E1880">
        <v>147.91999799999999</v>
      </c>
      <c r="F1880">
        <v>136.77299500000001</v>
      </c>
      <c r="G1880">
        <v>43595700</v>
      </c>
      <c r="I1880">
        <f t="shared" si="30"/>
        <v>6.0569356597077051E-5</v>
      </c>
    </row>
    <row r="1881" spans="1:9" x14ac:dyDescent="0.3">
      <c r="A1881" s="5">
        <v>44368</v>
      </c>
      <c r="B1881">
        <v>149.08000200000001</v>
      </c>
      <c r="C1881">
        <v>151.199997</v>
      </c>
      <c r="D1881">
        <v>149.020004</v>
      </c>
      <c r="E1881">
        <v>150.429993</v>
      </c>
      <c r="F1881">
        <v>139.09381099999999</v>
      </c>
      <c r="G1881">
        <v>18664800</v>
      </c>
      <c r="I1881">
        <f t="shared" si="30"/>
        <v>7.5884110068325758E-5</v>
      </c>
    </row>
    <row r="1882" spans="1:9" x14ac:dyDescent="0.3">
      <c r="A1882" s="5">
        <v>44369</v>
      </c>
      <c r="B1882">
        <v>150.60000600000001</v>
      </c>
      <c r="C1882">
        <v>150.970001</v>
      </c>
      <c r="D1882">
        <v>148.66000399999999</v>
      </c>
      <c r="E1882">
        <v>150.21000699999999</v>
      </c>
      <c r="F1882">
        <v>138.89039600000001</v>
      </c>
      <c r="G1882">
        <v>14251200</v>
      </c>
      <c r="I1882">
        <f t="shared" si="30"/>
        <v>1.4686871148530289E-4</v>
      </c>
    </row>
    <row r="1883" spans="1:9" x14ac:dyDescent="0.3">
      <c r="A1883" s="5">
        <v>44370</v>
      </c>
      <c r="B1883">
        <v>150.199997</v>
      </c>
      <c r="C1883">
        <v>152.03999300000001</v>
      </c>
      <c r="D1883">
        <v>150.08999600000001</v>
      </c>
      <c r="E1883">
        <v>151.11999499999999</v>
      </c>
      <c r="F1883">
        <v>139.73182700000001</v>
      </c>
      <c r="G1883">
        <v>12733300</v>
      </c>
      <c r="I1883">
        <f t="shared" si="30"/>
        <v>7.8910919719820568E-5</v>
      </c>
    </row>
    <row r="1884" spans="1:9" x14ac:dyDescent="0.3">
      <c r="A1884" s="5">
        <v>44371</v>
      </c>
      <c r="B1884">
        <v>151.91999799999999</v>
      </c>
      <c r="C1884">
        <v>153.11999499999999</v>
      </c>
      <c r="D1884">
        <v>151.220001</v>
      </c>
      <c r="E1884">
        <v>152.509995</v>
      </c>
      <c r="F1884">
        <v>141.01709</v>
      </c>
      <c r="G1884">
        <v>13733200</v>
      </c>
      <c r="I1884">
        <f t="shared" si="30"/>
        <v>7.0636357051042371E-5</v>
      </c>
    </row>
    <row r="1885" spans="1:9" x14ac:dyDescent="0.3">
      <c r="A1885" s="5">
        <v>44372</v>
      </c>
      <c r="B1885">
        <v>152.58999600000001</v>
      </c>
      <c r="C1885">
        <v>154.5</v>
      </c>
      <c r="D1885">
        <v>151.66999799999999</v>
      </c>
      <c r="E1885">
        <v>154.050003</v>
      </c>
      <c r="F1885">
        <v>142.44101000000001</v>
      </c>
      <c r="G1885">
        <v>15484900</v>
      </c>
      <c r="I1885">
        <f t="shared" si="30"/>
        <v>1.3044421720263087E-4</v>
      </c>
    </row>
    <row r="1886" spans="1:9" x14ac:dyDescent="0.3">
      <c r="A1886" s="5">
        <v>44375</v>
      </c>
      <c r="B1886">
        <v>153.699997</v>
      </c>
      <c r="C1886">
        <v>154.479996</v>
      </c>
      <c r="D1886">
        <v>152.11999499999999</v>
      </c>
      <c r="E1886">
        <v>154.33000200000001</v>
      </c>
      <c r="F1886">
        <v>142.699905</v>
      </c>
      <c r="G1886">
        <v>14125800</v>
      </c>
      <c r="I1886">
        <f t="shared" si="30"/>
        <v>1.5395542807882532E-4</v>
      </c>
    </row>
    <row r="1887" spans="1:9" x14ac:dyDescent="0.3">
      <c r="A1887" s="5">
        <v>44376</v>
      </c>
      <c r="B1887">
        <v>155</v>
      </c>
      <c r="C1887">
        <v>156.30999800000001</v>
      </c>
      <c r="D1887">
        <v>153.61000100000001</v>
      </c>
      <c r="E1887">
        <v>154.13999899999999</v>
      </c>
      <c r="F1887">
        <v>142.524216</v>
      </c>
      <c r="G1887">
        <v>14528700</v>
      </c>
      <c r="I1887">
        <f t="shared" si="30"/>
        <v>1.4868356954765113E-4</v>
      </c>
    </row>
    <row r="1888" spans="1:9" x14ac:dyDescent="0.3">
      <c r="A1888" s="5">
        <v>44377</v>
      </c>
      <c r="B1888">
        <v>153.75</v>
      </c>
      <c r="C1888">
        <v>156.08000200000001</v>
      </c>
      <c r="D1888">
        <v>153.71000699999999</v>
      </c>
      <c r="E1888">
        <v>155.53999300000001</v>
      </c>
      <c r="F1888">
        <v>143.818726</v>
      </c>
      <c r="G1888">
        <v>12531000</v>
      </c>
      <c r="I1888">
        <f t="shared" si="30"/>
        <v>5.5207647432879466E-5</v>
      </c>
    </row>
    <row r="1889" spans="1:9" x14ac:dyDescent="0.3">
      <c r="A1889" s="5">
        <v>44378</v>
      </c>
      <c r="B1889">
        <v>156.259995</v>
      </c>
      <c r="C1889">
        <v>157.13999899999999</v>
      </c>
      <c r="D1889">
        <v>155.41999799999999</v>
      </c>
      <c r="E1889">
        <v>157.08000200000001</v>
      </c>
      <c r="F1889">
        <v>145.24269100000001</v>
      </c>
      <c r="G1889">
        <v>10479400</v>
      </c>
      <c r="I1889">
        <f t="shared" si="30"/>
        <v>5.9410080374190094E-5</v>
      </c>
    </row>
    <row r="1890" spans="1:9" x14ac:dyDescent="0.3">
      <c r="A1890" s="5">
        <v>44379</v>
      </c>
      <c r="B1890">
        <v>155.949997</v>
      </c>
      <c r="C1890">
        <v>156.320007</v>
      </c>
      <c r="D1890">
        <v>155.11999499999999</v>
      </c>
      <c r="E1890">
        <v>156.029999</v>
      </c>
      <c r="F1890">
        <v>145.10316499999999</v>
      </c>
      <c r="G1890">
        <v>11424000</v>
      </c>
      <c r="I1890">
        <f t="shared" si="30"/>
        <v>3.561512972877574E-5</v>
      </c>
    </row>
    <row r="1891" spans="1:9" x14ac:dyDescent="0.3">
      <c r="A1891" s="5">
        <v>44383</v>
      </c>
      <c r="B1891">
        <v>155.779999</v>
      </c>
      <c r="C1891">
        <v>155.779999</v>
      </c>
      <c r="D1891">
        <v>152.35000600000001</v>
      </c>
      <c r="E1891">
        <v>153.41000399999999</v>
      </c>
      <c r="F1891">
        <v>142.666687</v>
      </c>
      <c r="G1891">
        <v>15083400</v>
      </c>
      <c r="I1891">
        <f t="shared" si="30"/>
        <v>1.5437013186100283E-4</v>
      </c>
    </row>
    <row r="1892" spans="1:9" x14ac:dyDescent="0.3">
      <c r="A1892" s="5">
        <v>44384</v>
      </c>
      <c r="B1892">
        <v>152.009995</v>
      </c>
      <c r="C1892">
        <v>154.279999</v>
      </c>
      <c r="D1892">
        <v>151.550003</v>
      </c>
      <c r="E1892">
        <v>153.58999600000001</v>
      </c>
      <c r="F1892">
        <v>142.83406099999999</v>
      </c>
      <c r="G1892">
        <v>12271800</v>
      </c>
      <c r="I1892">
        <f t="shared" si="30"/>
        <v>1.0696556494719429E-4</v>
      </c>
    </row>
    <row r="1893" spans="1:9" x14ac:dyDescent="0.3">
      <c r="A1893" s="5">
        <v>44385</v>
      </c>
      <c r="B1893">
        <v>151.61000100000001</v>
      </c>
      <c r="C1893">
        <v>152.529999</v>
      </c>
      <c r="D1893">
        <v>150.03999300000001</v>
      </c>
      <c r="E1893">
        <v>150.94000199999999</v>
      </c>
      <c r="F1893">
        <v>140.36965900000001</v>
      </c>
      <c r="G1893">
        <v>17834600</v>
      </c>
      <c r="I1893">
        <f t="shared" si="30"/>
        <v>1.2565042666986089E-4</v>
      </c>
    </row>
    <row r="1894" spans="1:9" x14ac:dyDescent="0.3">
      <c r="A1894" s="5">
        <v>44386</v>
      </c>
      <c r="B1894">
        <v>153.050003</v>
      </c>
      <c r="C1894">
        <v>156.14999399999999</v>
      </c>
      <c r="D1894">
        <v>152.58000200000001</v>
      </c>
      <c r="E1894">
        <v>155.770004</v>
      </c>
      <c r="F1894">
        <v>144.86142000000001</v>
      </c>
      <c r="G1894">
        <v>13694500</v>
      </c>
      <c r="I1894">
        <f t="shared" si="30"/>
        <v>1.124960920020373E-4</v>
      </c>
    </row>
    <row r="1895" spans="1:9" x14ac:dyDescent="0.3">
      <c r="A1895" s="5">
        <v>44389</v>
      </c>
      <c r="B1895">
        <v>154.35000600000001</v>
      </c>
      <c r="C1895">
        <v>159.16000399999999</v>
      </c>
      <c r="D1895">
        <v>153.94000199999999</v>
      </c>
      <c r="E1895">
        <v>158</v>
      </c>
      <c r="F1895">
        <v>146.93525700000001</v>
      </c>
      <c r="G1895">
        <v>19940400</v>
      </c>
      <c r="I1895">
        <f t="shared" si="30"/>
        <v>2.9371810599079112E-4</v>
      </c>
    </row>
    <row r="1896" spans="1:9" x14ac:dyDescent="0.3">
      <c r="A1896" s="5">
        <v>44390</v>
      </c>
      <c r="B1896">
        <v>156.050003</v>
      </c>
      <c r="C1896">
        <v>157.38999899999999</v>
      </c>
      <c r="D1896">
        <v>153.5</v>
      </c>
      <c r="E1896">
        <v>155.64999399999999</v>
      </c>
      <c r="F1896">
        <v>144.74980199999999</v>
      </c>
      <c r="G1896">
        <v>22671700</v>
      </c>
      <c r="I1896">
        <f t="shared" si="30"/>
        <v>3.242216097589286E-4</v>
      </c>
    </row>
    <row r="1897" spans="1:9" x14ac:dyDescent="0.3">
      <c r="A1897" s="5">
        <v>44391</v>
      </c>
      <c r="B1897">
        <v>155.949997</v>
      </c>
      <c r="C1897">
        <v>157.279999</v>
      </c>
      <c r="D1897">
        <v>152.949997</v>
      </c>
      <c r="E1897">
        <v>155.11999499999999</v>
      </c>
      <c r="F1897">
        <v>144.25692699999999</v>
      </c>
      <c r="G1897">
        <v>14622800</v>
      </c>
      <c r="I1897">
        <f t="shared" si="30"/>
        <v>3.9108536585885748E-4</v>
      </c>
    </row>
    <row r="1898" spans="1:9" x14ac:dyDescent="0.3">
      <c r="A1898" s="5">
        <v>44392</v>
      </c>
      <c r="B1898">
        <v>153.89999399999999</v>
      </c>
      <c r="C1898">
        <v>156.529999</v>
      </c>
      <c r="D1898">
        <v>153.699997</v>
      </c>
      <c r="E1898">
        <v>155.46000699999999</v>
      </c>
      <c r="F1898">
        <v>144.573105</v>
      </c>
      <c r="G1898">
        <v>11539300</v>
      </c>
      <c r="I1898">
        <f t="shared" si="30"/>
        <v>1.3103227576570056E-4</v>
      </c>
    </row>
    <row r="1899" spans="1:9" x14ac:dyDescent="0.3">
      <c r="A1899" s="5">
        <v>44393</v>
      </c>
      <c r="B1899">
        <v>155.96000699999999</v>
      </c>
      <c r="C1899">
        <v>156.279999</v>
      </c>
      <c r="D1899">
        <v>151.020004</v>
      </c>
      <c r="E1899">
        <v>151.91000399999999</v>
      </c>
      <c r="F1899">
        <v>141.27171300000001</v>
      </c>
      <c r="G1899">
        <v>14002700</v>
      </c>
      <c r="I1899">
        <f t="shared" si="30"/>
        <v>2.4726161982581169E-4</v>
      </c>
    </row>
    <row r="1900" spans="1:9" x14ac:dyDescent="0.3">
      <c r="A1900" s="5">
        <v>44396</v>
      </c>
      <c r="B1900">
        <v>148.550003</v>
      </c>
      <c r="C1900">
        <v>149.820007</v>
      </c>
      <c r="D1900">
        <v>145.71000699999999</v>
      </c>
      <c r="E1900">
        <v>146.970001</v>
      </c>
      <c r="F1900">
        <v>136.677673</v>
      </c>
      <c r="G1900">
        <v>22172900</v>
      </c>
      <c r="I1900">
        <f t="shared" si="30"/>
        <v>3.2970443626278631E-4</v>
      </c>
    </row>
    <row r="1901" spans="1:9" x14ac:dyDescent="0.3">
      <c r="A1901" s="5">
        <v>44397</v>
      </c>
      <c r="B1901">
        <v>146.520004</v>
      </c>
      <c r="C1901">
        <v>151.11999499999999</v>
      </c>
      <c r="D1901">
        <v>146.33000200000001</v>
      </c>
      <c r="E1901">
        <v>149.71000699999999</v>
      </c>
      <c r="F1901">
        <v>139.22576900000001</v>
      </c>
      <c r="G1901">
        <v>15385200</v>
      </c>
      <c r="I1901">
        <f t="shared" si="30"/>
        <v>3.1940471382555289E-4</v>
      </c>
    </row>
    <row r="1902" spans="1:9" x14ac:dyDescent="0.3">
      <c r="A1902" s="5">
        <v>44398</v>
      </c>
      <c r="B1902">
        <v>152.050003</v>
      </c>
      <c r="C1902">
        <v>153.64999399999999</v>
      </c>
      <c r="D1902">
        <v>151.36000100000001</v>
      </c>
      <c r="E1902">
        <v>152.86000100000001</v>
      </c>
      <c r="F1902">
        <v>142.15519699999999</v>
      </c>
      <c r="G1902">
        <v>12356700</v>
      </c>
      <c r="I1902">
        <f t="shared" si="30"/>
        <v>9.881187568298069E-5</v>
      </c>
    </row>
    <row r="1903" spans="1:9" x14ac:dyDescent="0.3">
      <c r="A1903" s="5">
        <v>44399</v>
      </c>
      <c r="B1903">
        <v>152.88000500000001</v>
      </c>
      <c r="C1903">
        <v>153.44000199999999</v>
      </c>
      <c r="D1903">
        <v>149.970001</v>
      </c>
      <c r="E1903">
        <v>150.929993</v>
      </c>
      <c r="F1903">
        <v>140.36033599999999</v>
      </c>
      <c r="G1903">
        <v>9913300</v>
      </c>
      <c r="I1903">
        <f t="shared" si="30"/>
        <v>1.8293215358898969E-4</v>
      </c>
    </row>
    <row r="1904" spans="1:9" x14ac:dyDescent="0.3">
      <c r="A1904" s="5">
        <v>44400</v>
      </c>
      <c r="B1904">
        <v>151.479996</v>
      </c>
      <c r="C1904">
        <v>152.83999600000001</v>
      </c>
      <c r="D1904">
        <v>150.25</v>
      </c>
      <c r="E1904">
        <v>150.63999899999999</v>
      </c>
      <c r="F1904">
        <v>140.09065200000001</v>
      </c>
      <c r="G1904">
        <v>9666100</v>
      </c>
      <c r="I1904">
        <f t="shared" si="30"/>
        <v>1.5072489974529506E-4</v>
      </c>
    </row>
    <row r="1905" spans="1:9" x14ac:dyDescent="0.3">
      <c r="A1905" s="5">
        <v>44403</v>
      </c>
      <c r="B1905">
        <v>150.19000199999999</v>
      </c>
      <c r="C1905">
        <v>151.96000699999999</v>
      </c>
      <c r="D1905">
        <v>150.16999799999999</v>
      </c>
      <c r="E1905">
        <v>151.64999399999999</v>
      </c>
      <c r="F1905">
        <v>141.029922</v>
      </c>
      <c r="G1905">
        <v>8208000</v>
      </c>
      <c r="I1905">
        <f t="shared" si="30"/>
        <v>2.5232914485369979E-5</v>
      </c>
    </row>
    <row r="1906" spans="1:9" x14ac:dyDescent="0.3">
      <c r="A1906" s="5">
        <v>44404</v>
      </c>
      <c r="B1906">
        <v>150.39999399999999</v>
      </c>
      <c r="C1906">
        <v>152.490005</v>
      </c>
      <c r="D1906">
        <v>149.800003</v>
      </c>
      <c r="E1906">
        <v>151.449997</v>
      </c>
      <c r="F1906">
        <v>140.84393299999999</v>
      </c>
      <c r="G1906">
        <v>11218700</v>
      </c>
      <c r="I1906">
        <f t="shared" si="30"/>
        <v>1.3823336471666044E-4</v>
      </c>
    </row>
    <row r="1907" spans="1:9" x14ac:dyDescent="0.3">
      <c r="A1907" s="5">
        <v>44405</v>
      </c>
      <c r="B1907">
        <v>152.28999300000001</v>
      </c>
      <c r="C1907">
        <v>152.770004</v>
      </c>
      <c r="D1907">
        <v>150.88000500000001</v>
      </c>
      <c r="E1907">
        <v>151.699997</v>
      </c>
      <c r="F1907">
        <v>141.076447</v>
      </c>
      <c r="G1907">
        <v>9217300</v>
      </c>
      <c r="I1907">
        <f t="shared" si="30"/>
        <v>7.2534587439339692E-5</v>
      </c>
    </row>
    <row r="1908" spans="1:9" x14ac:dyDescent="0.3">
      <c r="A1908" s="5">
        <v>44406</v>
      </c>
      <c r="B1908">
        <v>153.13999899999999</v>
      </c>
      <c r="C1908">
        <v>153.86999499999999</v>
      </c>
      <c r="D1908">
        <v>151.91000399999999</v>
      </c>
      <c r="E1908">
        <v>153</v>
      </c>
      <c r="F1908">
        <v>142.28537</v>
      </c>
      <c r="G1908">
        <v>9063500</v>
      </c>
      <c r="I1908">
        <f t="shared" si="30"/>
        <v>8.4621187924439792E-5</v>
      </c>
    </row>
    <row r="1909" spans="1:9" x14ac:dyDescent="0.3">
      <c r="A1909" s="5">
        <v>44407</v>
      </c>
      <c r="B1909">
        <v>152.58000200000001</v>
      </c>
      <c r="C1909">
        <v>153.66999799999999</v>
      </c>
      <c r="D1909">
        <v>151.199997</v>
      </c>
      <c r="E1909">
        <v>151.779999</v>
      </c>
      <c r="F1909">
        <v>141.15081799999999</v>
      </c>
      <c r="G1909">
        <v>9805200</v>
      </c>
      <c r="I1909">
        <f t="shared" si="30"/>
        <v>1.2287791649611036E-4</v>
      </c>
    </row>
    <row r="1910" spans="1:9" x14ac:dyDescent="0.3">
      <c r="A1910" s="5">
        <v>44410</v>
      </c>
      <c r="B1910">
        <v>152.029999</v>
      </c>
      <c r="C1910">
        <v>154.449997</v>
      </c>
      <c r="D1910">
        <v>151.070007</v>
      </c>
      <c r="E1910">
        <v>151.16999799999999</v>
      </c>
      <c r="F1910">
        <v>140.583527</v>
      </c>
      <c r="G1910">
        <v>10203200</v>
      </c>
      <c r="I1910">
        <f t="shared" si="30"/>
        <v>3.4318416285322446E-4</v>
      </c>
    </row>
    <row r="1911" spans="1:9" x14ac:dyDescent="0.3">
      <c r="A1911" s="5">
        <v>44411</v>
      </c>
      <c r="B1911">
        <v>151.949997</v>
      </c>
      <c r="C1911">
        <v>153.320007</v>
      </c>
      <c r="D1911">
        <v>149.520004</v>
      </c>
      <c r="E1911">
        <v>152.88999899999999</v>
      </c>
      <c r="F1911">
        <v>142.18308999999999</v>
      </c>
      <c r="G1911">
        <v>10394800</v>
      </c>
      <c r="I1911">
        <f t="shared" si="30"/>
        <v>3.8452925899540823E-4</v>
      </c>
    </row>
    <row r="1912" spans="1:9" x14ac:dyDescent="0.3">
      <c r="A1912" s="5">
        <v>44412</v>
      </c>
      <c r="B1912">
        <v>151.25</v>
      </c>
      <c r="C1912">
        <v>153.36999499999999</v>
      </c>
      <c r="D1912">
        <v>150.91000399999999</v>
      </c>
      <c r="E1912">
        <v>151.240005</v>
      </c>
      <c r="F1912">
        <v>140.64863600000001</v>
      </c>
      <c r="G1912">
        <v>10155000</v>
      </c>
      <c r="I1912">
        <f t="shared" si="30"/>
        <v>1.9957897775289848E-4</v>
      </c>
    </row>
    <row r="1913" spans="1:9" x14ac:dyDescent="0.3">
      <c r="A1913" s="5">
        <v>44413</v>
      </c>
      <c r="B1913">
        <v>152.279999</v>
      </c>
      <c r="C1913">
        <v>153.69000199999999</v>
      </c>
      <c r="D1913">
        <v>152.009995</v>
      </c>
      <c r="E1913">
        <v>153.14999399999999</v>
      </c>
      <c r="F1913">
        <v>142.42486600000001</v>
      </c>
      <c r="G1913">
        <v>9151500</v>
      </c>
      <c r="I1913">
        <f t="shared" si="30"/>
        <v>4.5700231078726052E-5</v>
      </c>
    </row>
    <row r="1914" spans="1:9" x14ac:dyDescent="0.3">
      <c r="A1914" s="5">
        <v>44414</v>
      </c>
      <c r="B1914">
        <v>155.19000199999999</v>
      </c>
      <c r="C1914">
        <v>157.820007</v>
      </c>
      <c r="D1914">
        <v>155.11000100000001</v>
      </c>
      <c r="E1914">
        <v>157.5</v>
      </c>
      <c r="F1914">
        <v>146.47024500000001</v>
      </c>
      <c r="G1914">
        <v>13328800</v>
      </c>
      <c r="I1914">
        <f t="shared" si="30"/>
        <v>4.1994153401545933E-5</v>
      </c>
    </row>
    <row r="1915" spans="1:9" x14ac:dyDescent="0.3">
      <c r="A1915" s="5">
        <v>44417</v>
      </c>
      <c r="B1915">
        <v>157.520004</v>
      </c>
      <c r="C1915">
        <v>158.550003</v>
      </c>
      <c r="D1915">
        <v>155.89999399999999</v>
      </c>
      <c r="E1915">
        <v>157.33000200000001</v>
      </c>
      <c r="F1915">
        <v>146.31214900000001</v>
      </c>
      <c r="G1915">
        <v>9516900</v>
      </c>
      <c r="I1915">
        <f t="shared" si="30"/>
        <v>1.4473639599976116E-4</v>
      </c>
    </row>
    <row r="1916" spans="1:9" x14ac:dyDescent="0.3">
      <c r="A1916" s="5">
        <v>44418</v>
      </c>
      <c r="B1916">
        <v>156.740005</v>
      </c>
      <c r="C1916">
        <v>159.979996</v>
      </c>
      <c r="D1916">
        <v>156.30999800000001</v>
      </c>
      <c r="E1916">
        <v>159.259995</v>
      </c>
      <c r="F1916">
        <v>148.10701</v>
      </c>
      <c r="G1916">
        <v>8667000</v>
      </c>
      <c r="I1916">
        <f t="shared" si="30"/>
        <v>1.436553468778831E-4</v>
      </c>
    </row>
    <row r="1917" spans="1:9" x14ac:dyDescent="0.3">
      <c r="A1917" s="5">
        <v>44419</v>
      </c>
      <c r="B1917">
        <v>160</v>
      </c>
      <c r="C1917">
        <v>161.5</v>
      </c>
      <c r="D1917">
        <v>159.08000200000001</v>
      </c>
      <c r="E1917">
        <v>161.16000399999999</v>
      </c>
      <c r="F1917">
        <v>149.873932</v>
      </c>
      <c r="G1917">
        <v>9156500</v>
      </c>
      <c r="I1917">
        <f t="shared" si="30"/>
        <v>9.457588835011307E-5</v>
      </c>
    </row>
    <row r="1918" spans="1:9" x14ac:dyDescent="0.3">
      <c r="A1918" s="5">
        <v>44420</v>
      </c>
      <c r="B1918">
        <v>161.88000500000001</v>
      </c>
      <c r="C1918">
        <v>162.36999499999999</v>
      </c>
      <c r="D1918">
        <v>160.550003</v>
      </c>
      <c r="E1918">
        <v>161.78999300000001</v>
      </c>
      <c r="F1918">
        <v>150.45979299999999</v>
      </c>
      <c r="G1918">
        <v>8844200</v>
      </c>
      <c r="I1918">
        <f t="shared" si="30"/>
        <v>7.4287761866136316E-5</v>
      </c>
    </row>
    <row r="1919" spans="1:9" x14ac:dyDescent="0.3">
      <c r="A1919" s="5">
        <v>44421</v>
      </c>
      <c r="B1919">
        <v>161.78999300000001</v>
      </c>
      <c r="C1919">
        <v>162.16000399999999</v>
      </c>
      <c r="D1919">
        <v>159.570007</v>
      </c>
      <c r="E1919">
        <v>159.979996</v>
      </c>
      <c r="F1919">
        <v>148.77654999999999</v>
      </c>
      <c r="G1919">
        <v>8980900</v>
      </c>
      <c r="I1919">
        <f t="shared" si="30"/>
        <v>6.637187709682287E-5</v>
      </c>
    </row>
    <row r="1920" spans="1:9" x14ac:dyDescent="0.3">
      <c r="A1920" s="5">
        <v>44424</v>
      </c>
      <c r="B1920">
        <v>158.94000199999999</v>
      </c>
      <c r="C1920">
        <v>159.029999</v>
      </c>
      <c r="D1920">
        <v>156.779999</v>
      </c>
      <c r="E1920">
        <v>158.929993</v>
      </c>
      <c r="F1920">
        <v>147.800095</v>
      </c>
      <c r="G1920">
        <v>8755800</v>
      </c>
      <c r="I1920">
        <f t="shared" si="30"/>
        <v>1.8672550951490138E-4</v>
      </c>
    </row>
    <row r="1921" spans="1:9" x14ac:dyDescent="0.3">
      <c r="A1921" s="5">
        <v>44425</v>
      </c>
      <c r="B1921">
        <v>157.570007</v>
      </c>
      <c r="C1921">
        <v>158.86000100000001</v>
      </c>
      <c r="D1921">
        <v>155.270004</v>
      </c>
      <c r="E1921">
        <v>157.009995</v>
      </c>
      <c r="F1921">
        <v>146.014557</v>
      </c>
      <c r="G1921">
        <v>9347200</v>
      </c>
      <c r="I1921">
        <f t="shared" si="30"/>
        <v>2.5937166108042629E-4</v>
      </c>
    </row>
    <row r="1922" spans="1:9" x14ac:dyDescent="0.3">
      <c r="A1922" s="5">
        <v>44426</v>
      </c>
      <c r="B1922">
        <v>156.30999800000001</v>
      </c>
      <c r="C1922">
        <v>158.009995</v>
      </c>
      <c r="D1922">
        <v>155.33999600000001</v>
      </c>
      <c r="E1922">
        <v>155.58000200000001</v>
      </c>
      <c r="F1922">
        <v>144.684708</v>
      </c>
      <c r="G1922">
        <v>8065500</v>
      </c>
      <c r="I1922">
        <f t="shared" si="30"/>
        <v>1.772558727869369E-4</v>
      </c>
    </row>
    <row r="1923" spans="1:9" x14ac:dyDescent="0.3">
      <c r="A1923" s="5">
        <v>44427</v>
      </c>
      <c r="B1923">
        <v>153.16000399999999</v>
      </c>
      <c r="C1923">
        <v>155.55999800000001</v>
      </c>
      <c r="D1923">
        <v>153.009995</v>
      </c>
      <c r="E1923">
        <v>154.279999</v>
      </c>
      <c r="F1923">
        <v>143.47575399999999</v>
      </c>
      <c r="G1923">
        <v>9517700</v>
      </c>
      <c r="I1923">
        <f t="shared" si="30"/>
        <v>1.3656595365903854E-4</v>
      </c>
    </row>
    <row r="1924" spans="1:9" x14ac:dyDescent="0.3">
      <c r="A1924" s="5">
        <v>44428</v>
      </c>
      <c r="B1924">
        <v>154.35000600000001</v>
      </c>
      <c r="C1924">
        <v>154.89999399999999</v>
      </c>
      <c r="D1924">
        <v>153.16000399999999</v>
      </c>
      <c r="E1924">
        <v>154.720001</v>
      </c>
      <c r="F1924">
        <v>143.884918</v>
      </c>
      <c r="G1924">
        <v>6974100</v>
      </c>
      <c r="I1924">
        <f t="shared" si="30"/>
        <v>8.2568120400320979E-5</v>
      </c>
    </row>
    <row r="1925" spans="1:9" x14ac:dyDescent="0.3">
      <c r="A1925" s="5">
        <v>44431</v>
      </c>
      <c r="B1925">
        <v>155.33000200000001</v>
      </c>
      <c r="C1925">
        <v>157.08999600000001</v>
      </c>
      <c r="D1925">
        <v>155.240005</v>
      </c>
      <c r="E1925">
        <v>156.699997</v>
      </c>
      <c r="F1925">
        <v>145.726257</v>
      </c>
      <c r="G1925">
        <v>7934600</v>
      </c>
      <c r="I1925">
        <f t="shared" si="30"/>
        <v>3.34318183977707E-5</v>
      </c>
    </row>
    <row r="1926" spans="1:9" x14ac:dyDescent="0.3">
      <c r="A1926" s="5">
        <v>44432</v>
      </c>
      <c r="B1926">
        <v>157</v>
      </c>
      <c r="C1926">
        <v>158.550003</v>
      </c>
      <c r="D1926">
        <v>156.86999499999999</v>
      </c>
      <c r="E1926">
        <v>157.66999799999999</v>
      </c>
      <c r="F1926">
        <v>146.62835699999999</v>
      </c>
      <c r="G1926">
        <v>7670900</v>
      </c>
      <c r="I1926">
        <f t="shared" si="30"/>
        <v>5.8893454762557378E-5</v>
      </c>
    </row>
    <row r="1927" spans="1:9" x14ac:dyDescent="0.3">
      <c r="A1927" s="5">
        <v>44433</v>
      </c>
      <c r="B1927">
        <v>158.509995</v>
      </c>
      <c r="C1927">
        <v>161.779999</v>
      </c>
      <c r="D1927">
        <v>157.800003</v>
      </c>
      <c r="E1927">
        <v>160.91999799999999</v>
      </c>
      <c r="F1927">
        <v>149.65074200000001</v>
      </c>
      <c r="G1927">
        <v>11335000</v>
      </c>
      <c r="I1927">
        <f t="shared" si="30"/>
        <v>1.9673221354843528E-4</v>
      </c>
    </row>
    <row r="1928" spans="1:9" x14ac:dyDescent="0.3">
      <c r="A1928" s="5">
        <v>44434</v>
      </c>
      <c r="B1928">
        <v>162.259995</v>
      </c>
      <c r="C1928">
        <v>163.83000200000001</v>
      </c>
      <c r="D1928">
        <v>161.14999399999999</v>
      </c>
      <c r="E1928">
        <v>161.75</v>
      </c>
      <c r="F1928">
        <v>150.42259200000001</v>
      </c>
      <c r="G1928">
        <v>11027500</v>
      </c>
      <c r="I1928">
        <f t="shared" si="30"/>
        <v>1.4854858089433158E-4</v>
      </c>
    </row>
    <row r="1929" spans="1:9" x14ac:dyDescent="0.3">
      <c r="A1929" s="5">
        <v>44435</v>
      </c>
      <c r="B1929">
        <v>161.75</v>
      </c>
      <c r="C1929">
        <v>163.16000399999999</v>
      </c>
      <c r="D1929">
        <v>161.259995</v>
      </c>
      <c r="E1929">
        <v>163.050003</v>
      </c>
      <c r="F1929">
        <v>151.63157699999999</v>
      </c>
      <c r="G1929">
        <v>8780200</v>
      </c>
      <c r="I1929">
        <f t="shared" si="30"/>
        <v>3.9345769015907855E-5</v>
      </c>
    </row>
    <row r="1930" spans="1:9" x14ac:dyDescent="0.3">
      <c r="A1930" s="5">
        <v>44438</v>
      </c>
      <c r="B1930">
        <v>163.21000699999999</v>
      </c>
      <c r="C1930">
        <v>163.490005</v>
      </c>
      <c r="D1930">
        <v>159.88000500000001</v>
      </c>
      <c r="E1930">
        <v>160.44000199999999</v>
      </c>
      <c r="F1930">
        <v>149.20434599999999</v>
      </c>
      <c r="G1930">
        <v>7937600</v>
      </c>
      <c r="I1930">
        <f t="shared" si="30"/>
        <v>1.0435685758405386E-4</v>
      </c>
    </row>
    <row r="1931" spans="1:9" x14ac:dyDescent="0.3">
      <c r="A1931" s="5">
        <v>44439</v>
      </c>
      <c r="B1931">
        <v>160.44000199999999</v>
      </c>
      <c r="C1931">
        <v>161.36999499999999</v>
      </c>
      <c r="D1931">
        <v>159.35000600000001</v>
      </c>
      <c r="E1931">
        <v>159.949997</v>
      </c>
      <c r="F1931">
        <v>148.748672</v>
      </c>
      <c r="G1931">
        <v>12340800</v>
      </c>
      <c r="I1931">
        <f t="shared" si="30"/>
        <v>7.6704434204709476E-5</v>
      </c>
    </row>
    <row r="1932" spans="1:9" x14ac:dyDescent="0.3">
      <c r="A1932" s="5">
        <v>44440</v>
      </c>
      <c r="B1932">
        <v>160.220001</v>
      </c>
      <c r="C1932">
        <v>160.759995</v>
      </c>
      <c r="D1932">
        <v>158.970001</v>
      </c>
      <c r="E1932">
        <v>159.720001</v>
      </c>
      <c r="F1932">
        <v>148.534775</v>
      </c>
      <c r="G1932">
        <v>8729900</v>
      </c>
      <c r="I1932">
        <f t="shared" ref="I1932:I1995" si="31">LN(C1932/B1932)*(LN(C1932/B1932)-LN(E1932/B1932))+LN(D1932/B1932)*(LN(D1932/B1932)-LN(E1932/B1932))</f>
        <v>5.8702692094993865E-5</v>
      </c>
    </row>
    <row r="1933" spans="1:9" x14ac:dyDescent="0.3">
      <c r="A1933" s="5">
        <v>44441</v>
      </c>
      <c r="B1933">
        <v>160.020004</v>
      </c>
      <c r="C1933">
        <v>161.61000100000001</v>
      </c>
      <c r="D1933">
        <v>159.429993</v>
      </c>
      <c r="E1933">
        <v>160.46000699999999</v>
      </c>
      <c r="F1933">
        <v>149.22294600000001</v>
      </c>
      <c r="G1933">
        <v>8813300</v>
      </c>
      <c r="I1933">
        <f t="shared" si="31"/>
        <v>9.4395636261499169E-5</v>
      </c>
    </row>
    <row r="1934" spans="1:9" x14ac:dyDescent="0.3">
      <c r="A1934" s="5">
        <v>44442</v>
      </c>
      <c r="B1934">
        <v>160.38999899999999</v>
      </c>
      <c r="C1934">
        <v>160.88999899999999</v>
      </c>
      <c r="D1934">
        <v>159.14999399999999</v>
      </c>
      <c r="E1934">
        <v>159.490005</v>
      </c>
      <c r="F1934">
        <v>148.320908</v>
      </c>
      <c r="G1934">
        <v>7959700</v>
      </c>
      <c r="I1934">
        <f t="shared" si="31"/>
        <v>4.3766128644828325E-5</v>
      </c>
    </row>
    <row r="1935" spans="1:9" x14ac:dyDescent="0.3">
      <c r="A1935" s="5">
        <v>44446</v>
      </c>
      <c r="B1935">
        <v>159.990005</v>
      </c>
      <c r="C1935">
        <v>161.38000500000001</v>
      </c>
      <c r="D1935">
        <v>158.96000699999999</v>
      </c>
      <c r="E1935">
        <v>159.21000699999999</v>
      </c>
      <c r="F1935">
        <v>148.06050099999999</v>
      </c>
      <c r="G1935">
        <v>9285600</v>
      </c>
      <c r="I1935">
        <f t="shared" si="31"/>
        <v>1.2725819069782349E-4</v>
      </c>
    </row>
    <row r="1936" spans="1:9" x14ac:dyDescent="0.3">
      <c r="A1936" s="5">
        <v>44447</v>
      </c>
      <c r="B1936">
        <v>158.88999899999999</v>
      </c>
      <c r="C1936">
        <v>159.58000200000001</v>
      </c>
      <c r="D1936">
        <v>158.03999300000001</v>
      </c>
      <c r="E1936">
        <v>158.5</v>
      </c>
      <c r="F1936">
        <v>147.400192</v>
      </c>
      <c r="G1936">
        <v>7852700</v>
      </c>
      <c r="I1936">
        <f t="shared" si="31"/>
        <v>4.5016467962044227E-5</v>
      </c>
    </row>
    <row r="1937" spans="1:9" x14ac:dyDescent="0.3">
      <c r="A1937" s="5">
        <v>44448</v>
      </c>
      <c r="B1937">
        <v>158.270004</v>
      </c>
      <c r="C1937">
        <v>160.83000200000001</v>
      </c>
      <c r="D1937">
        <v>158.08000200000001</v>
      </c>
      <c r="E1937">
        <v>159.19000199999999</v>
      </c>
      <c r="F1937">
        <v>148.041901</v>
      </c>
      <c r="G1937">
        <v>7904300</v>
      </c>
      <c r="I1937">
        <f t="shared" si="31"/>
        <v>1.7286226931227588E-4</v>
      </c>
    </row>
    <row r="1938" spans="1:9" x14ac:dyDescent="0.3">
      <c r="A1938" s="5">
        <v>44449</v>
      </c>
      <c r="B1938">
        <v>160.55999800000001</v>
      </c>
      <c r="C1938">
        <v>160.720001</v>
      </c>
      <c r="D1938">
        <v>157.220001</v>
      </c>
      <c r="E1938">
        <v>157.36000100000001</v>
      </c>
      <c r="F1938">
        <v>146.340057</v>
      </c>
      <c r="G1938">
        <v>8311600</v>
      </c>
      <c r="I1938">
        <f t="shared" si="31"/>
        <v>3.9754573406853547E-5</v>
      </c>
    </row>
    <row r="1939" spans="1:9" x14ac:dyDescent="0.3">
      <c r="A1939" s="5">
        <v>44452</v>
      </c>
      <c r="B1939">
        <v>158.529999</v>
      </c>
      <c r="C1939">
        <v>160.050003</v>
      </c>
      <c r="D1939">
        <v>158.070007</v>
      </c>
      <c r="E1939">
        <v>159.86000100000001</v>
      </c>
      <c r="F1939">
        <v>148.66497799999999</v>
      </c>
      <c r="G1939">
        <v>10052800</v>
      </c>
      <c r="I1939">
        <f t="shared" si="31"/>
        <v>4.4055786977389571E-5</v>
      </c>
    </row>
    <row r="1940" spans="1:9" x14ac:dyDescent="0.3">
      <c r="A1940" s="5">
        <v>44453</v>
      </c>
      <c r="B1940">
        <v>160.449997</v>
      </c>
      <c r="C1940">
        <v>161.33999600000001</v>
      </c>
      <c r="D1940">
        <v>156.259995</v>
      </c>
      <c r="E1940">
        <v>157.070007</v>
      </c>
      <c r="F1940">
        <v>146.07034300000001</v>
      </c>
      <c r="G1940">
        <v>11685600</v>
      </c>
      <c r="I1940">
        <f t="shared" si="31"/>
        <v>2.8518261633293373E-4</v>
      </c>
    </row>
    <row r="1941" spans="1:9" x14ac:dyDescent="0.3">
      <c r="A1941" s="5">
        <v>44454</v>
      </c>
      <c r="B1941">
        <v>156.720001</v>
      </c>
      <c r="C1941">
        <v>158.69000199999999</v>
      </c>
      <c r="D1941">
        <v>156.470001</v>
      </c>
      <c r="E1941">
        <v>158.16000399999999</v>
      </c>
      <c r="F1941">
        <v>147.08401499999999</v>
      </c>
      <c r="G1941">
        <v>11691500</v>
      </c>
      <c r="I1941">
        <f t="shared" si="31"/>
        <v>5.8941271025831759E-5</v>
      </c>
    </row>
    <row r="1942" spans="1:9" x14ac:dyDescent="0.3">
      <c r="A1942" s="5">
        <v>44455</v>
      </c>
      <c r="B1942">
        <v>159.41000399999999</v>
      </c>
      <c r="C1942">
        <v>160.85000600000001</v>
      </c>
      <c r="D1942">
        <v>157.220001</v>
      </c>
      <c r="E1942">
        <v>158.08999600000001</v>
      </c>
      <c r="F1942">
        <v>147.01890599999999</v>
      </c>
      <c r="G1942">
        <v>10880900</v>
      </c>
      <c r="I1942">
        <f t="shared" si="31"/>
        <v>2.3198303272221633E-4</v>
      </c>
    </row>
    <row r="1943" spans="1:9" x14ac:dyDescent="0.3">
      <c r="A1943" s="5">
        <v>44456</v>
      </c>
      <c r="B1943">
        <v>157.38000500000001</v>
      </c>
      <c r="C1943">
        <v>159.009995</v>
      </c>
      <c r="D1943">
        <v>157</v>
      </c>
      <c r="E1943">
        <v>157.679993</v>
      </c>
      <c r="F1943">
        <v>146.637619</v>
      </c>
      <c r="G1943">
        <v>25581600</v>
      </c>
      <c r="I1943">
        <f t="shared" si="31"/>
        <v>9.6993845964818499E-5</v>
      </c>
    </row>
    <row r="1944" spans="1:9" x14ac:dyDescent="0.3">
      <c r="A1944" s="5">
        <v>44459</v>
      </c>
      <c r="B1944">
        <v>153.88999899999999</v>
      </c>
      <c r="C1944">
        <v>154.55999800000001</v>
      </c>
      <c r="D1944">
        <v>150.490005</v>
      </c>
      <c r="E1944">
        <v>152.96000699999999</v>
      </c>
      <c r="F1944">
        <v>142.24818400000001</v>
      </c>
      <c r="G1944">
        <v>15819900</v>
      </c>
      <c r="I1944">
        <f t="shared" si="31"/>
        <v>4.089200530526789E-4</v>
      </c>
    </row>
    <row r="1945" spans="1:9" x14ac:dyDescent="0.3">
      <c r="A1945" s="5">
        <v>44460</v>
      </c>
      <c r="B1945">
        <v>153.529999</v>
      </c>
      <c r="C1945">
        <v>154.550003</v>
      </c>
      <c r="D1945">
        <v>152.58000200000001</v>
      </c>
      <c r="E1945">
        <v>152.979996</v>
      </c>
      <c r="F1945">
        <v>142.26676900000001</v>
      </c>
      <c r="G1945">
        <v>8999900</v>
      </c>
      <c r="I1945">
        <f t="shared" si="31"/>
        <v>8.3861444393293176E-5</v>
      </c>
    </row>
    <row r="1946" spans="1:9" x14ac:dyDescent="0.3">
      <c r="A1946" s="5">
        <v>44461</v>
      </c>
      <c r="B1946">
        <v>155.199997</v>
      </c>
      <c r="C1946">
        <v>157.25</v>
      </c>
      <c r="D1946">
        <v>155.10000600000001</v>
      </c>
      <c r="E1946">
        <v>155.91000399999999</v>
      </c>
      <c r="F1946">
        <v>144.99160800000001</v>
      </c>
      <c r="G1946">
        <v>11236200</v>
      </c>
      <c r="I1946">
        <f t="shared" si="31"/>
        <v>1.156570652264984E-4</v>
      </c>
    </row>
    <row r="1947" spans="1:9" x14ac:dyDescent="0.3">
      <c r="A1947" s="5">
        <v>44462</v>
      </c>
      <c r="B1947">
        <v>158</v>
      </c>
      <c r="C1947">
        <v>161.71000699999999</v>
      </c>
      <c r="D1947">
        <v>157.66999799999999</v>
      </c>
      <c r="E1947">
        <v>161.179993</v>
      </c>
      <c r="F1947">
        <v>149.892517</v>
      </c>
      <c r="G1947">
        <v>12336100</v>
      </c>
      <c r="I1947">
        <f t="shared" si="31"/>
        <v>1.222300628822793E-4</v>
      </c>
    </row>
    <row r="1948" spans="1:9" x14ac:dyDescent="0.3">
      <c r="A1948" s="5">
        <v>44463</v>
      </c>
      <c r="B1948">
        <v>161.44000199999999</v>
      </c>
      <c r="C1948">
        <v>163.58999600000001</v>
      </c>
      <c r="D1948">
        <v>160.820007</v>
      </c>
      <c r="E1948">
        <v>163.03999300000001</v>
      </c>
      <c r="F1948">
        <v>151.62228400000001</v>
      </c>
      <c r="G1948">
        <v>10102400</v>
      </c>
      <c r="I1948">
        <f t="shared" si="31"/>
        <v>9.7306667461362866E-5</v>
      </c>
    </row>
    <row r="1949" spans="1:9" x14ac:dyDescent="0.3">
      <c r="A1949" s="5">
        <v>44466</v>
      </c>
      <c r="B1949">
        <v>165</v>
      </c>
      <c r="C1949">
        <v>167.39999399999999</v>
      </c>
      <c r="D1949">
        <v>164.61000100000001</v>
      </c>
      <c r="E1949">
        <v>166.979996</v>
      </c>
      <c r="F1949">
        <v>155.28633099999999</v>
      </c>
      <c r="G1949">
        <v>13220900</v>
      </c>
      <c r="I1949">
        <f t="shared" si="31"/>
        <v>7.0104403204668308E-5</v>
      </c>
    </row>
    <row r="1950" spans="1:9" x14ac:dyDescent="0.3">
      <c r="A1950" s="5">
        <v>44467</v>
      </c>
      <c r="B1950">
        <v>167.699997</v>
      </c>
      <c r="C1950">
        <v>169.300003</v>
      </c>
      <c r="D1950">
        <v>165.66000399999999</v>
      </c>
      <c r="E1950">
        <v>166.08000200000001</v>
      </c>
      <c r="F1950">
        <v>154.44937100000001</v>
      </c>
      <c r="G1950">
        <v>13387900</v>
      </c>
      <c r="I1950">
        <f t="shared" si="31"/>
        <v>2.1333279879949429E-4</v>
      </c>
    </row>
    <row r="1951" spans="1:9" x14ac:dyDescent="0.3">
      <c r="A1951" s="5">
        <v>44468</v>
      </c>
      <c r="B1951">
        <v>166.21000699999999</v>
      </c>
      <c r="C1951">
        <v>166.89999399999999</v>
      </c>
      <c r="D1951">
        <v>165.03999300000001</v>
      </c>
      <c r="E1951">
        <v>165.949997</v>
      </c>
      <c r="F1951">
        <v>154.32849100000001</v>
      </c>
      <c r="G1951">
        <v>7777100</v>
      </c>
      <c r="I1951">
        <f t="shared" si="31"/>
        <v>6.2491918300024748E-5</v>
      </c>
    </row>
    <row r="1952" spans="1:9" x14ac:dyDescent="0.3">
      <c r="A1952" s="5">
        <v>44469</v>
      </c>
      <c r="B1952">
        <v>166.91999799999999</v>
      </c>
      <c r="C1952">
        <v>166.990005</v>
      </c>
      <c r="D1952">
        <v>162.78999300000001</v>
      </c>
      <c r="E1952">
        <v>163.69000199999999</v>
      </c>
      <c r="F1952">
        <v>152.22674599999999</v>
      </c>
      <c r="G1952">
        <v>13161200</v>
      </c>
      <c r="I1952">
        <f t="shared" si="31"/>
        <v>1.4650081641943562E-4</v>
      </c>
    </row>
    <row r="1953" spans="1:9" x14ac:dyDescent="0.3">
      <c r="A1953" s="5">
        <v>44470</v>
      </c>
      <c r="B1953">
        <v>164</v>
      </c>
      <c r="C1953">
        <v>168.300003</v>
      </c>
      <c r="D1953">
        <v>163.60000600000001</v>
      </c>
      <c r="E1953">
        <v>167.13000500000001</v>
      </c>
      <c r="F1953">
        <v>155.42584199999999</v>
      </c>
      <c r="G1953">
        <v>11285000</v>
      </c>
      <c r="I1953">
        <f t="shared" si="31"/>
        <v>2.3268415146626389E-4</v>
      </c>
    </row>
    <row r="1954" spans="1:9" x14ac:dyDescent="0.3">
      <c r="A1954" s="5">
        <v>44473</v>
      </c>
      <c r="B1954">
        <v>166.970001</v>
      </c>
      <c r="C1954">
        <v>170.44000199999999</v>
      </c>
      <c r="D1954">
        <v>165.729996</v>
      </c>
      <c r="E1954">
        <v>166.949997</v>
      </c>
      <c r="F1954">
        <v>155.25842299999999</v>
      </c>
      <c r="G1954">
        <v>14120000</v>
      </c>
      <c r="I1954">
        <f t="shared" si="31"/>
        <v>4.8022796889513248E-4</v>
      </c>
    </row>
    <row r="1955" spans="1:9" x14ac:dyDescent="0.3">
      <c r="A1955" s="5">
        <v>44474</v>
      </c>
      <c r="B1955">
        <v>167.21000699999999</v>
      </c>
      <c r="C1955">
        <v>170.13999899999999</v>
      </c>
      <c r="D1955">
        <v>166.66999799999999</v>
      </c>
      <c r="E1955">
        <v>168.66000399999999</v>
      </c>
      <c r="F1955">
        <v>157.79383899999999</v>
      </c>
      <c r="G1955">
        <v>12292900</v>
      </c>
      <c r="I1955">
        <f t="shared" si="31"/>
        <v>1.90160137324986E-4</v>
      </c>
    </row>
    <row r="1956" spans="1:9" x14ac:dyDescent="0.3">
      <c r="A1956" s="5">
        <v>44475</v>
      </c>
      <c r="B1956">
        <v>167.990005</v>
      </c>
      <c r="C1956">
        <v>169.10000600000001</v>
      </c>
      <c r="D1956">
        <v>166</v>
      </c>
      <c r="E1956">
        <v>169.020004</v>
      </c>
      <c r="F1956">
        <v>158.13069200000001</v>
      </c>
      <c r="G1956">
        <v>8692600</v>
      </c>
      <c r="I1956">
        <f t="shared" si="31"/>
        <v>2.1796602513937316E-4</v>
      </c>
    </row>
    <row r="1957" spans="1:9" x14ac:dyDescent="0.3">
      <c r="A1957" s="5">
        <v>44476</v>
      </c>
      <c r="B1957">
        <v>171.199997</v>
      </c>
      <c r="C1957">
        <v>171.509995</v>
      </c>
      <c r="D1957">
        <v>169.53999300000001</v>
      </c>
      <c r="E1957">
        <v>170.08999600000001</v>
      </c>
      <c r="F1957">
        <v>159.13171399999999</v>
      </c>
      <c r="G1957">
        <v>10195400</v>
      </c>
      <c r="I1957">
        <f t="shared" si="31"/>
        <v>4.6598547503202514E-5</v>
      </c>
    </row>
    <row r="1958" spans="1:9" x14ac:dyDescent="0.3">
      <c r="A1958" s="5">
        <v>44477</v>
      </c>
      <c r="B1958">
        <v>170.020004</v>
      </c>
      <c r="C1958">
        <v>171.33999600000001</v>
      </c>
      <c r="D1958">
        <v>169.300003</v>
      </c>
      <c r="E1958">
        <v>170.220001</v>
      </c>
      <c r="F1958">
        <v>159.253342</v>
      </c>
      <c r="G1958">
        <v>8190100</v>
      </c>
      <c r="I1958">
        <f t="shared" si="31"/>
        <v>7.3717980211395801E-5</v>
      </c>
    </row>
    <row r="1959" spans="1:9" x14ac:dyDescent="0.3">
      <c r="A1959" s="5">
        <v>44480</v>
      </c>
      <c r="B1959">
        <v>170.800003</v>
      </c>
      <c r="C1959">
        <v>171.28999300000001</v>
      </c>
      <c r="D1959">
        <v>166.46000699999999</v>
      </c>
      <c r="E1959">
        <v>166.63999899999999</v>
      </c>
      <c r="F1959">
        <v>155.90400700000001</v>
      </c>
      <c r="G1959">
        <v>12154700</v>
      </c>
      <c r="I1959">
        <f t="shared" si="31"/>
        <v>1.0665797726782627E-4</v>
      </c>
    </row>
    <row r="1960" spans="1:9" x14ac:dyDescent="0.3">
      <c r="A1960" s="5">
        <v>44481</v>
      </c>
      <c r="B1960">
        <v>165.75</v>
      </c>
      <c r="C1960">
        <v>166.69000199999999</v>
      </c>
      <c r="D1960">
        <v>164.770004</v>
      </c>
      <c r="E1960">
        <v>165.36000100000001</v>
      </c>
      <c r="F1960">
        <v>154.706467</v>
      </c>
      <c r="G1960">
        <v>13032600</v>
      </c>
      <c r="I1960">
        <f t="shared" si="31"/>
        <v>6.6499010744739586E-5</v>
      </c>
    </row>
    <row r="1961" spans="1:9" x14ac:dyDescent="0.3">
      <c r="A1961" s="5">
        <v>44482</v>
      </c>
      <c r="B1961">
        <v>164.070007</v>
      </c>
      <c r="C1961">
        <v>165.41000399999999</v>
      </c>
      <c r="D1961">
        <v>160.60000600000001</v>
      </c>
      <c r="E1961">
        <v>161</v>
      </c>
      <c r="F1961">
        <v>150.62737999999999</v>
      </c>
      <c r="G1961">
        <v>22753500</v>
      </c>
      <c r="I1961">
        <f t="shared" si="31"/>
        <v>2.7298004863526707E-4</v>
      </c>
    </row>
    <row r="1962" spans="1:9" x14ac:dyDescent="0.3">
      <c r="A1962" s="5">
        <v>44483</v>
      </c>
      <c r="B1962">
        <v>161.75</v>
      </c>
      <c r="C1962">
        <v>164.009995</v>
      </c>
      <c r="D1962">
        <v>160.05999800000001</v>
      </c>
      <c r="E1962">
        <v>163.470001</v>
      </c>
      <c r="F1962">
        <v>152.938232</v>
      </c>
      <c r="G1962">
        <v>15176800</v>
      </c>
      <c r="I1962">
        <f t="shared" si="31"/>
        <v>2.6717496474847231E-4</v>
      </c>
    </row>
    <row r="1963" spans="1:9" x14ac:dyDescent="0.3">
      <c r="A1963" s="5">
        <v>44484</v>
      </c>
      <c r="B1963">
        <v>165.35000600000001</v>
      </c>
      <c r="C1963">
        <v>167.16999799999999</v>
      </c>
      <c r="D1963">
        <v>164.13999899999999</v>
      </c>
      <c r="E1963">
        <v>166.61000100000001</v>
      </c>
      <c r="F1963">
        <v>155.87591599999999</v>
      </c>
      <c r="G1963">
        <v>14267400</v>
      </c>
      <c r="I1963">
        <f t="shared" si="31"/>
        <v>1.4643340441538349E-4</v>
      </c>
    </row>
    <row r="1964" spans="1:9" x14ac:dyDescent="0.3">
      <c r="A1964" s="5">
        <v>44487</v>
      </c>
      <c r="B1964">
        <v>166.479996</v>
      </c>
      <c r="C1964">
        <v>168.61000100000001</v>
      </c>
      <c r="D1964">
        <v>165.91000399999999</v>
      </c>
      <c r="E1964">
        <v>166.550003</v>
      </c>
      <c r="F1964">
        <v>155.81982400000001</v>
      </c>
      <c r="G1964">
        <v>12672900</v>
      </c>
      <c r="I1964">
        <f t="shared" si="31"/>
        <v>1.6948509441853753E-4</v>
      </c>
    </row>
    <row r="1965" spans="1:9" x14ac:dyDescent="0.3">
      <c r="A1965" s="5">
        <v>44488</v>
      </c>
      <c r="B1965">
        <v>167.39999399999999</v>
      </c>
      <c r="C1965">
        <v>168.64999399999999</v>
      </c>
      <c r="D1965">
        <v>166.58000200000001</v>
      </c>
      <c r="E1965">
        <v>168.570007</v>
      </c>
      <c r="F1965">
        <v>157.709656</v>
      </c>
      <c r="G1965">
        <v>8053900</v>
      </c>
      <c r="I1965">
        <f t="shared" si="31"/>
        <v>6.1842811049486179E-5</v>
      </c>
    </row>
    <row r="1966" spans="1:9" x14ac:dyDescent="0.3">
      <c r="A1966" s="5">
        <v>44489</v>
      </c>
      <c r="B1966">
        <v>168.300003</v>
      </c>
      <c r="C1966">
        <v>170.86999499999999</v>
      </c>
      <c r="D1966">
        <v>167.46000699999999</v>
      </c>
      <c r="E1966">
        <v>170.83999600000001</v>
      </c>
      <c r="F1966">
        <v>159.83338900000001</v>
      </c>
      <c r="G1966">
        <v>8185600</v>
      </c>
      <c r="I1966">
        <f t="shared" si="31"/>
        <v>1.0264638736690451E-4</v>
      </c>
    </row>
    <row r="1967" spans="1:9" x14ac:dyDescent="0.3">
      <c r="A1967" s="5">
        <v>44490</v>
      </c>
      <c r="B1967">
        <v>170.759995</v>
      </c>
      <c r="C1967">
        <v>171.33000200000001</v>
      </c>
      <c r="D1967">
        <v>168.679993</v>
      </c>
      <c r="E1967">
        <v>169.5</v>
      </c>
      <c r="F1967">
        <v>158.57974200000001</v>
      </c>
      <c r="G1967">
        <v>8415200</v>
      </c>
      <c r="I1967">
        <f t="shared" si="31"/>
        <v>9.5220644462143969E-5</v>
      </c>
    </row>
    <row r="1968" spans="1:9" x14ac:dyDescent="0.3">
      <c r="A1968" s="5">
        <v>44491</v>
      </c>
      <c r="B1968">
        <v>170.029999</v>
      </c>
      <c r="C1968">
        <v>172.08999600000001</v>
      </c>
      <c r="D1968">
        <v>169.699997</v>
      </c>
      <c r="E1968">
        <v>171.779999</v>
      </c>
      <c r="F1968">
        <v>160.71284499999999</v>
      </c>
      <c r="G1968">
        <v>8817900</v>
      </c>
      <c r="I1968">
        <f t="shared" si="31"/>
        <v>4.5380031322949676E-5</v>
      </c>
    </row>
    <row r="1969" spans="1:9" x14ac:dyDescent="0.3">
      <c r="A1969" s="5">
        <v>44494</v>
      </c>
      <c r="B1969">
        <v>172.71000699999999</v>
      </c>
      <c r="C1969">
        <v>172.96000699999999</v>
      </c>
      <c r="D1969">
        <v>170.479996</v>
      </c>
      <c r="E1969">
        <v>170.94000199999999</v>
      </c>
      <c r="F1969">
        <v>159.926941</v>
      </c>
      <c r="G1969">
        <v>10159200</v>
      </c>
      <c r="I1969">
        <f t="shared" si="31"/>
        <v>5.2012517719533005E-5</v>
      </c>
    </row>
    <row r="1970" spans="1:9" x14ac:dyDescent="0.3">
      <c r="A1970" s="5">
        <v>44495</v>
      </c>
      <c r="B1970">
        <v>171</v>
      </c>
      <c r="C1970">
        <v>172.490005</v>
      </c>
      <c r="D1970">
        <v>170.53999300000001</v>
      </c>
      <c r="E1970">
        <v>171.39999399999999</v>
      </c>
      <c r="F1970">
        <v>160.357315</v>
      </c>
      <c r="G1970">
        <v>8015100</v>
      </c>
      <c r="I1970">
        <f t="shared" si="31"/>
        <v>6.854808935940339E-5</v>
      </c>
    </row>
    <row r="1971" spans="1:9" x14ac:dyDescent="0.3">
      <c r="A1971" s="5">
        <v>44496</v>
      </c>
      <c r="B1971">
        <v>170.320007</v>
      </c>
      <c r="C1971">
        <v>170.699997</v>
      </c>
      <c r="D1971">
        <v>167.33999600000001</v>
      </c>
      <c r="E1971">
        <v>167.83000200000001</v>
      </c>
      <c r="F1971">
        <v>157.01733400000001</v>
      </c>
      <c r="G1971">
        <v>9847000</v>
      </c>
      <c r="I1971">
        <f t="shared" si="31"/>
        <v>8.9398840545180117E-5</v>
      </c>
    </row>
    <row r="1972" spans="1:9" x14ac:dyDescent="0.3">
      <c r="A1972" s="5">
        <v>44497</v>
      </c>
      <c r="B1972">
        <v>168.300003</v>
      </c>
      <c r="C1972">
        <v>170.509995</v>
      </c>
      <c r="D1972">
        <v>167.96000699999999</v>
      </c>
      <c r="E1972">
        <v>170.36000100000001</v>
      </c>
      <c r="F1972">
        <v>159.384354</v>
      </c>
      <c r="G1972">
        <v>7212900</v>
      </c>
      <c r="I1972">
        <f t="shared" si="31"/>
        <v>4.0172345022350094E-5</v>
      </c>
    </row>
    <row r="1973" spans="1:9" x14ac:dyDescent="0.3">
      <c r="A1973" s="5">
        <v>44498</v>
      </c>
      <c r="B1973">
        <v>171.179993</v>
      </c>
      <c r="C1973">
        <v>172.240005</v>
      </c>
      <c r="D1973">
        <v>169.38999899999999</v>
      </c>
      <c r="E1973">
        <v>169.88999899999999</v>
      </c>
      <c r="F1973">
        <v>158.94461100000001</v>
      </c>
      <c r="G1973">
        <v>8140100</v>
      </c>
      <c r="I1973">
        <f t="shared" si="31"/>
        <v>1.1578974587075643E-4</v>
      </c>
    </row>
    <row r="1974" spans="1:9" x14ac:dyDescent="0.3">
      <c r="A1974" s="5">
        <v>44501</v>
      </c>
      <c r="B1974">
        <v>172.03999300000001</v>
      </c>
      <c r="C1974">
        <v>172.33000200000001</v>
      </c>
      <c r="D1974">
        <v>169.009995</v>
      </c>
      <c r="E1974">
        <v>169.800003</v>
      </c>
      <c r="F1974">
        <v>158.86039700000001</v>
      </c>
      <c r="G1974">
        <v>7435500</v>
      </c>
      <c r="I1974">
        <f t="shared" si="31"/>
        <v>1.0777567610392337E-4</v>
      </c>
    </row>
    <row r="1975" spans="1:9" x14ac:dyDescent="0.3">
      <c r="A1975" s="5">
        <v>44502</v>
      </c>
      <c r="B1975">
        <v>169.800003</v>
      </c>
      <c r="C1975">
        <v>171.69000199999999</v>
      </c>
      <c r="D1975">
        <v>168.91999799999999</v>
      </c>
      <c r="E1975">
        <v>170.470001</v>
      </c>
      <c r="F1975">
        <v>159.48725899999999</v>
      </c>
      <c r="G1975">
        <v>7173800</v>
      </c>
      <c r="I1975">
        <f t="shared" si="31"/>
        <v>1.2639856672691204E-4</v>
      </c>
    </row>
    <row r="1976" spans="1:9" x14ac:dyDescent="0.3">
      <c r="A1976" s="5">
        <v>44503</v>
      </c>
      <c r="B1976">
        <v>170.13000500000001</v>
      </c>
      <c r="C1976">
        <v>171.13000500000001</v>
      </c>
      <c r="D1976">
        <v>169.14999399999999</v>
      </c>
      <c r="E1976">
        <v>170.529999</v>
      </c>
      <c r="F1976">
        <v>159.54338100000001</v>
      </c>
      <c r="G1976">
        <v>8402700</v>
      </c>
      <c r="I1976">
        <f t="shared" si="31"/>
        <v>6.752479747145351E-5</v>
      </c>
    </row>
    <row r="1977" spans="1:9" x14ac:dyDescent="0.3">
      <c r="A1977" s="5">
        <v>44504</v>
      </c>
      <c r="B1977">
        <v>170</v>
      </c>
      <c r="C1977">
        <v>170.199997</v>
      </c>
      <c r="D1977">
        <v>166.490005</v>
      </c>
      <c r="E1977">
        <v>168.28999300000001</v>
      </c>
      <c r="F1977">
        <v>157.447678</v>
      </c>
      <c r="G1977">
        <v>9574200</v>
      </c>
      <c r="I1977">
        <f t="shared" si="31"/>
        <v>2.3761824208435464E-4</v>
      </c>
    </row>
    <row r="1978" spans="1:9" x14ac:dyDescent="0.3">
      <c r="A1978" s="5">
        <v>44505</v>
      </c>
      <c r="B1978">
        <v>168.89999399999999</v>
      </c>
      <c r="C1978">
        <v>170.08999600000001</v>
      </c>
      <c r="D1978">
        <v>167.41000399999999</v>
      </c>
      <c r="E1978">
        <v>168.050003</v>
      </c>
      <c r="F1978">
        <v>157.22316000000001</v>
      </c>
      <c r="G1978">
        <v>7975600</v>
      </c>
      <c r="I1978">
        <f t="shared" si="31"/>
        <v>1.1852496086943681E-4</v>
      </c>
    </row>
    <row r="1979" spans="1:9" x14ac:dyDescent="0.3">
      <c r="A1979" s="5">
        <v>44508</v>
      </c>
      <c r="B1979">
        <v>169.050003</v>
      </c>
      <c r="C1979">
        <v>170.91999799999999</v>
      </c>
      <c r="D1979">
        <v>168.740005</v>
      </c>
      <c r="E1979">
        <v>169.05999800000001</v>
      </c>
      <c r="F1979">
        <v>158.16807600000001</v>
      </c>
      <c r="G1979">
        <v>6413700</v>
      </c>
      <c r="I1979">
        <f t="shared" si="31"/>
        <v>1.2385012437196664E-4</v>
      </c>
    </row>
    <row r="1980" spans="1:9" x14ac:dyDescent="0.3">
      <c r="A1980" s="5">
        <v>44509</v>
      </c>
      <c r="B1980">
        <v>167.35000600000001</v>
      </c>
      <c r="C1980">
        <v>168.470001</v>
      </c>
      <c r="D1980">
        <v>166.60000600000001</v>
      </c>
      <c r="E1980">
        <v>167.779999</v>
      </c>
      <c r="F1980">
        <v>156.97056599999999</v>
      </c>
      <c r="G1980">
        <v>7990300</v>
      </c>
      <c r="I1980">
        <f t="shared" si="31"/>
        <v>5.907697656162024E-5</v>
      </c>
    </row>
    <row r="1981" spans="1:9" x14ac:dyDescent="0.3">
      <c r="A1981" s="5">
        <v>44510</v>
      </c>
      <c r="B1981">
        <v>167.449997</v>
      </c>
      <c r="C1981">
        <v>168.949997</v>
      </c>
      <c r="D1981">
        <v>167.08999600000001</v>
      </c>
      <c r="E1981">
        <v>167.61999499999999</v>
      </c>
      <c r="F1981">
        <v>156.82086200000001</v>
      </c>
      <c r="G1981">
        <v>6999200</v>
      </c>
      <c r="I1981">
        <f t="shared" si="31"/>
        <v>7.7297742494492148E-5</v>
      </c>
    </row>
    <row r="1982" spans="1:9" x14ac:dyDescent="0.3">
      <c r="A1982" s="5">
        <v>44511</v>
      </c>
      <c r="B1982">
        <v>167.520004</v>
      </c>
      <c r="C1982">
        <v>168.679993</v>
      </c>
      <c r="D1982">
        <v>166.89999399999999</v>
      </c>
      <c r="E1982">
        <v>167.61000100000001</v>
      </c>
      <c r="F1982">
        <v>156.811508</v>
      </c>
      <c r="G1982">
        <v>5815300</v>
      </c>
      <c r="I1982">
        <f t="shared" si="31"/>
        <v>5.9652868697626532E-5</v>
      </c>
    </row>
    <row r="1983" spans="1:9" x14ac:dyDescent="0.3">
      <c r="A1983" s="5">
        <v>44512</v>
      </c>
      <c r="B1983">
        <v>167.64999399999999</v>
      </c>
      <c r="C1983">
        <v>167.740005</v>
      </c>
      <c r="D1983">
        <v>165.720001</v>
      </c>
      <c r="E1983">
        <v>166.86000100000001</v>
      </c>
      <c r="F1983">
        <v>156.10981799999999</v>
      </c>
      <c r="G1983">
        <v>8113400</v>
      </c>
      <c r="I1983">
        <f t="shared" si="31"/>
        <v>8.2202145734190974E-5</v>
      </c>
    </row>
    <row r="1984" spans="1:9" x14ac:dyDescent="0.3">
      <c r="A1984" s="5">
        <v>44515</v>
      </c>
      <c r="B1984">
        <v>167.21000699999999</v>
      </c>
      <c r="C1984">
        <v>167.78999300000001</v>
      </c>
      <c r="D1984">
        <v>166</v>
      </c>
      <c r="E1984">
        <v>166.55999800000001</v>
      </c>
      <c r="F1984">
        <v>155.82913199999999</v>
      </c>
      <c r="G1984">
        <v>6492500</v>
      </c>
      <c r="I1984">
        <f t="shared" si="31"/>
        <v>4.9935903930979447E-5</v>
      </c>
    </row>
    <row r="1985" spans="1:9" x14ac:dyDescent="0.3">
      <c r="A1985" s="5">
        <v>44516</v>
      </c>
      <c r="B1985">
        <v>167.05999800000001</v>
      </c>
      <c r="C1985">
        <v>167.070007</v>
      </c>
      <c r="D1985">
        <v>165.11999499999999</v>
      </c>
      <c r="E1985">
        <v>165.36000100000001</v>
      </c>
      <c r="F1985">
        <v>154.706467</v>
      </c>
      <c r="G1985">
        <v>9706100</v>
      </c>
      <c r="I1985">
        <f t="shared" si="31"/>
        <v>1.7582026679589675E-5</v>
      </c>
    </row>
    <row r="1986" spans="1:9" x14ac:dyDescent="0.3">
      <c r="A1986" s="5">
        <v>44517</v>
      </c>
      <c r="B1986">
        <v>165.21000699999999</v>
      </c>
      <c r="C1986">
        <v>165.55999800000001</v>
      </c>
      <c r="D1986">
        <v>163.38999899999999</v>
      </c>
      <c r="E1986">
        <v>164.470001</v>
      </c>
      <c r="F1986">
        <v>153.87380999999999</v>
      </c>
      <c r="G1986">
        <v>9909600</v>
      </c>
      <c r="I1986">
        <f t="shared" si="31"/>
        <v>8.6959294462285995E-5</v>
      </c>
    </row>
    <row r="1987" spans="1:9" x14ac:dyDescent="0.3">
      <c r="A1987" s="5">
        <v>44518</v>
      </c>
      <c r="B1987">
        <v>164.38999899999999</v>
      </c>
      <c r="C1987">
        <v>164.85000600000001</v>
      </c>
      <c r="D1987">
        <v>162.55999800000001</v>
      </c>
      <c r="E1987">
        <v>163.050003</v>
      </c>
      <c r="F1987">
        <v>152.545288</v>
      </c>
      <c r="G1987">
        <v>8122500</v>
      </c>
      <c r="I1987">
        <f t="shared" si="31"/>
        <v>6.4372340027115608E-5</v>
      </c>
    </row>
    <row r="1988" spans="1:9" x14ac:dyDescent="0.3">
      <c r="A1988" s="5">
        <v>44519</v>
      </c>
      <c r="B1988">
        <v>161.300003</v>
      </c>
      <c r="C1988">
        <v>162.11000100000001</v>
      </c>
      <c r="D1988">
        <v>159.449997</v>
      </c>
      <c r="E1988">
        <v>160.91999799999999</v>
      </c>
      <c r="F1988">
        <v>150.55252100000001</v>
      </c>
      <c r="G1988">
        <v>12193600</v>
      </c>
      <c r="I1988">
        <f t="shared" si="31"/>
        <v>1.4276814142858698E-4</v>
      </c>
    </row>
    <row r="1989" spans="1:9" x14ac:dyDescent="0.3">
      <c r="A1989" s="5">
        <v>44522</v>
      </c>
      <c r="B1989">
        <v>164.16000399999999</v>
      </c>
      <c r="C1989">
        <v>165.979996</v>
      </c>
      <c r="D1989">
        <v>162.990005</v>
      </c>
      <c r="E1989">
        <v>164.35000600000001</v>
      </c>
      <c r="F1989">
        <v>153.76151999999999</v>
      </c>
      <c r="G1989">
        <v>14549900</v>
      </c>
      <c r="I1989">
        <f t="shared" si="31"/>
        <v>1.6824694792770339E-4</v>
      </c>
    </row>
    <row r="1990" spans="1:9" x14ac:dyDescent="0.3">
      <c r="A1990" s="5">
        <v>44523</v>
      </c>
      <c r="B1990">
        <v>165.5</v>
      </c>
      <c r="C1990">
        <v>168.55999800000001</v>
      </c>
      <c r="D1990">
        <v>165.36999499999999</v>
      </c>
      <c r="E1990">
        <v>168.279999</v>
      </c>
      <c r="F1990">
        <v>157.438354</v>
      </c>
      <c r="G1990">
        <v>12354400</v>
      </c>
      <c r="I1990">
        <f t="shared" si="31"/>
        <v>4.4166089748306033E-5</v>
      </c>
    </row>
    <row r="1991" spans="1:9" x14ac:dyDescent="0.3">
      <c r="A1991" s="5">
        <v>44524</v>
      </c>
      <c r="B1991">
        <v>168.46000699999999</v>
      </c>
      <c r="C1991">
        <v>169.44000199999999</v>
      </c>
      <c r="D1991">
        <v>166.44000199999999</v>
      </c>
      <c r="E1991">
        <v>166.96000699999999</v>
      </c>
      <c r="F1991">
        <v>156.203384</v>
      </c>
      <c r="G1991">
        <v>9629800</v>
      </c>
      <c r="I1991">
        <f t="shared" si="31"/>
        <v>1.2315718916155094E-4</v>
      </c>
    </row>
    <row r="1992" spans="1:9" x14ac:dyDescent="0.3">
      <c r="A1992" s="5">
        <v>44526</v>
      </c>
      <c r="B1992">
        <v>162.13999899999999</v>
      </c>
      <c r="C1992">
        <v>162.64999399999999</v>
      </c>
      <c r="D1992">
        <v>158.820007</v>
      </c>
      <c r="E1992">
        <v>161.929993</v>
      </c>
      <c r="F1992">
        <v>151.49743699999999</v>
      </c>
      <c r="G1992">
        <v>13619300</v>
      </c>
      <c r="I1992">
        <f t="shared" si="31"/>
        <v>4.1513830601138746E-4</v>
      </c>
    </row>
    <row r="1993" spans="1:9" x14ac:dyDescent="0.3">
      <c r="A1993" s="5">
        <v>44529</v>
      </c>
      <c r="B1993">
        <v>163.30999800000001</v>
      </c>
      <c r="C1993">
        <v>164.779999</v>
      </c>
      <c r="D1993">
        <v>159.820007</v>
      </c>
      <c r="E1993">
        <v>161.229996</v>
      </c>
      <c r="F1993">
        <v>150.84252900000001</v>
      </c>
      <c r="G1993">
        <v>12104400</v>
      </c>
      <c r="I1993">
        <f t="shared" si="31"/>
        <v>3.8490999427471222E-4</v>
      </c>
    </row>
    <row r="1994" spans="1:9" x14ac:dyDescent="0.3">
      <c r="A1994" s="5">
        <v>44530</v>
      </c>
      <c r="B1994">
        <v>159.16000399999999</v>
      </c>
      <c r="C1994">
        <v>160.63000500000001</v>
      </c>
      <c r="D1994">
        <v>158.28999300000001</v>
      </c>
      <c r="E1994">
        <v>158.83000200000001</v>
      </c>
      <c r="F1994">
        <v>148.59716800000001</v>
      </c>
      <c r="G1994">
        <v>18922600</v>
      </c>
      <c r="I1994">
        <f t="shared" si="31"/>
        <v>1.2227173315462406E-4</v>
      </c>
    </row>
    <row r="1995" spans="1:9" x14ac:dyDescent="0.3">
      <c r="A1995" s="5">
        <v>44531</v>
      </c>
      <c r="B1995">
        <v>161</v>
      </c>
      <c r="C1995">
        <v>163.270004</v>
      </c>
      <c r="D1995">
        <v>157.800003</v>
      </c>
      <c r="E1995">
        <v>157.88999899999999</v>
      </c>
      <c r="F1995">
        <v>147.71774300000001</v>
      </c>
      <c r="G1995">
        <v>12253400</v>
      </c>
      <c r="I1995">
        <f t="shared" si="31"/>
        <v>4.8057160741487052E-4</v>
      </c>
    </row>
    <row r="1996" spans="1:9" x14ac:dyDescent="0.3">
      <c r="A1996" s="5">
        <v>44532</v>
      </c>
      <c r="B1996">
        <v>159.83000200000001</v>
      </c>
      <c r="C1996">
        <v>163.25</v>
      </c>
      <c r="D1996">
        <v>158.800003</v>
      </c>
      <c r="E1996">
        <v>161.21000699999999</v>
      </c>
      <c r="F1996">
        <v>150.823837</v>
      </c>
      <c r="G1996">
        <v>12969900</v>
      </c>
      <c r="I1996">
        <f t="shared" ref="I1996:I2059" si="32">LN(C1996/B1996)*(LN(C1996/B1996)-LN(E1996/B1996))+LN(D1996/B1996)*(LN(D1996/B1996)-LN(E1996/B1996))</f>
        <v>3.6361600028733313E-4</v>
      </c>
    </row>
    <row r="1997" spans="1:9" x14ac:dyDescent="0.3">
      <c r="A1997" s="5">
        <v>44533</v>
      </c>
      <c r="B1997">
        <v>161.5</v>
      </c>
      <c r="C1997">
        <v>161.83000200000001</v>
      </c>
      <c r="D1997">
        <v>157.19000199999999</v>
      </c>
      <c r="E1997">
        <v>158.28999300000001</v>
      </c>
      <c r="F1997">
        <v>148.09196499999999</v>
      </c>
      <c r="G1997">
        <v>12681800</v>
      </c>
      <c r="I1997">
        <f t="shared" si="32"/>
        <v>2.3377962980186315E-4</v>
      </c>
    </row>
    <row r="1998" spans="1:9" x14ac:dyDescent="0.3">
      <c r="A1998" s="5">
        <v>44536</v>
      </c>
      <c r="B1998">
        <v>161.009995</v>
      </c>
      <c r="C1998">
        <v>162.61000100000001</v>
      </c>
      <c r="D1998">
        <v>159.46000699999999</v>
      </c>
      <c r="E1998">
        <v>160.16000399999999</v>
      </c>
      <c r="F1998">
        <v>149.841476</v>
      </c>
      <c r="G1998">
        <v>11186500</v>
      </c>
      <c r="I1998">
        <f t="shared" si="32"/>
        <v>1.9248807792084387E-4</v>
      </c>
    </row>
    <row r="1999" spans="1:9" x14ac:dyDescent="0.3">
      <c r="A1999" s="5">
        <v>44537</v>
      </c>
      <c r="B1999">
        <v>161.88000500000001</v>
      </c>
      <c r="C1999">
        <v>163.38999899999999</v>
      </c>
      <c r="D1999">
        <v>161.16000399999999</v>
      </c>
      <c r="E1999">
        <v>162.570007</v>
      </c>
      <c r="F1999">
        <v>152.09622200000001</v>
      </c>
      <c r="G1999">
        <v>9851600</v>
      </c>
      <c r="I1999">
        <f t="shared" si="32"/>
        <v>8.5544185786714497E-5</v>
      </c>
    </row>
    <row r="2000" spans="1:9" x14ac:dyDescent="0.3">
      <c r="A2000" s="5">
        <v>44538</v>
      </c>
      <c r="B2000">
        <v>162.66000399999999</v>
      </c>
      <c r="C2000">
        <v>163.270004</v>
      </c>
      <c r="D2000">
        <v>160.16999799999999</v>
      </c>
      <c r="E2000">
        <v>160.71000699999999</v>
      </c>
      <c r="F2000">
        <v>150.35604900000001</v>
      </c>
      <c r="G2000">
        <v>11705700</v>
      </c>
      <c r="I2000">
        <f t="shared" si="32"/>
        <v>1.1107794741940005E-4</v>
      </c>
    </row>
    <row r="2001" spans="1:9" x14ac:dyDescent="0.3">
      <c r="A2001" s="5">
        <v>44539</v>
      </c>
      <c r="B2001">
        <v>159.64999399999999</v>
      </c>
      <c r="C2001">
        <v>160.929993</v>
      </c>
      <c r="D2001">
        <v>158.64999399999999</v>
      </c>
      <c r="E2001">
        <v>160.46000699999999</v>
      </c>
      <c r="F2001">
        <v>150.12214700000001</v>
      </c>
      <c r="G2001">
        <v>11189600</v>
      </c>
      <c r="I2001">
        <f t="shared" si="32"/>
        <v>9.4635957777882535E-5</v>
      </c>
    </row>
    <row r="2002" spans="1:9" x14ac:dyDescent="0.3">
      <c r="A2002" s="5">
        <v>44540</v>
      </c>
      <c r="B2002">
        <v>161.320007</v>
      </c>
      <c r="C2002">
        <v>161.699997</v>
      </c>
      <c r="D2002">
        <v>159.13000500000001</v>
      </c>
      <c r="E2002">
        <v>159.820007</v>
      </c>
      <c r="F2002">
        <v>149.523392</v>
      </c>
      <c r="G2002">
        <v>10405400</v>
      </c>
      <c r="I2002">
        <f t="shared" si="32"/>
        <v>8.6653842887952372E-5</v>
      </c>
    </row>
    <row r="2003" spans="1:9" x14ac:dyDescent="0.3">
      <c r="A2003" s="5">
        <v>44543</v>
      </c>
      <c r="B2003">
        <v>159.5</v>
      </c>
      <c r="C2003">
        <v>159.78999300000001</v>
      </c>
      <c r="D2003">
        <v>157.279999</v>
      </c>
      <c r="E2003">
        <v>157.91999799999999</v>
      </c>
      <c r="F2003">
        <v>147.74581900000001</v>
      </c>
      <c r="G2003">
        <v>12069000</v>
      </c>
      <c r="I2003">
        <f t="shared" si="32"/>
        <v>7.8302268852293547E-5</v>
      </c>
    </row>
    <row r="2004" spans="1:9" x14ac:dyDescent="0.3">
      <c r="A2004" s="5">
        <v>44544</v>
      </c>
      <c r="B2004">
        <v>157.449997</v>
      </c>
      <c r="C2004">
        <v>160.88999899999999</v>
      </c>
      <c r="D2004">
        <v>157.300003</v>
      </c>
      <c r="E2004">
        <v>159.13000500000001</v>
      </c>
      <c r="F2004">
        <v>148.87785299999999</v>
      </c>
      <c r="G2004">
        <v>12563600</v>
      </c>
      <c r="I2004">
        <f t="shared" si="32"/>
        <v>2.4875355766736438E-4</v>
      </c>
    </row>
    <row r="2005" spans="1:9" x14ac:dyDescent="0.3">
      <c r="A2005" s="5">
        <v>44545</v>
      </c>
      <c r="B2005">
        <v>159.85000600000001</v>
      </c>
      <c r="C2005">
        <v>159.85000600000001</v>
      </c>
      <c r="D2005">
        <v>157.35000600000001</v>
      </c>
      <c r="E2005">
        <v>157.94000199999999</v>
      </c>
      <c r="F2005">
        <v>147.764511</v>
      </c>
      <c r="G2005">
        <v>14014200</v>
      </c>
      <c r="I2005">
        <f t="shared" si="32"/>
        <v>5.8994994398970465E-5</v>
      </c>
    </row>
    <row r="2006" spans="1:9" x14ac:dyDescent="0.3">
      <c r="A2006" s="5">
        <v>44546</v>
      </c>
      <c r="B2006">
        <v>160.38999899999999</v>
      </c>
      <c r="C2006">
        <v>161.820007</v>
      </c>
      <c r="D2006">
        <v>158.699997</v>
      </c>
      <c r="E2006">
        <v>160.41000399999999</v>
      </c>
      <c r="F2006">
        <v>150.07536300000001</v>
      </c>
      <c r="G2006">
        <v>19542800</v>
      </c>
      <c r="I2006">
        <f t="shared" si="32"/>
        <v>1.9120891332979553E-4</v>
      </c>
    </row>
    <row r="2007" spans="1:9" x14ac:dyDescent="0.3">
      <c r="A2007" s="5">
        <v>44547</v>
      </c>
      <c r="B2007">
        <v>159.320007</v>
      </c>
      <c r="C2007">
        <v>159.38000500000001</v>
      </c>
      <c r="D2007">
        <v>155.179993</v>
      </c>
      <c r="E2007">
        <v>156.759995</v>
      </c>
      <c r="F2007">
        <v>146.66052199999999</v>
      </c>
      <c r="G2007">
        <v>28082000</v>
      </c>
      <c r="I2007">
        <f t="shared" si="32"/>
        <v>2.7296150014642396E-4</v>
      </c>
    </row>
    <row r="2008" spans="1:9" x14ac:dyDescent="0.3">
      <c r="A2008" s="5">
        <v>44550</v>
      </c>
      <c r="B2008">
        <v>154.509995</v>
      </c>
      <c r="C2008">
        <v>154.699997</v>
      </c>
      <c r="D2008">
        <v>151.83999600000001</v>
      </c>
      <c r="E2008">
        <v>153.94000199999999</v>
      </c>
      <c r="F2008">
        <v>144.02221700000001</v>
      </c>
      <c r="G2008">
        <v>15148000</v>
      </c>
      <c r="I2008">
        <f t="shared" si="32"/>
        <v>2.4548452280674318E-4</v>
      </c>
    </row>
    <row r="2009" spans="1:9" x14ac:dyDescent="0.3">
      <c r="A2009" s="5">
        <v>44551</v>
      </c>
      <c r="B2009">
        <v>155.41000399999999</v>
      </c>
      <c r="C2009">
        <v>157.179993</v>
      </c>
      <c r="D2009">
        <v>155.08999600000001</v>
      </c>
      <c r="E2009">
        <v>156.08999600000001</v>
      </c>
      <c r="F2009">
        <v>146.033691</v>
      </c>
      <c r="G2009">
        <v>11291300</v>
      </c>
      <c r="I2009">
        <f t="shared" si="32"/>
        <v>9.205561784136055E-5</v>
      </c>
    </row>
    <row r="2010" spans="1:9" x14ac:dyDescent="0.3">
      <c r="A2010" s="5">
        <v>44552</v>
      </c>
      <c r="B2010">
        <v>155.75</v>
      </c>
      <c r="C2010">
        <v>157.05999800000001</v>
      </c>
      <c r="D2010">
        <v>155.240005</v>
      </c>
      <c r="E2010">
        <v>156.699997</v>
      </c>
      <c r="F2010">
        <v>146.60438500000001</v>
      </c>
      <c r="G2010">
        <v>7273000</v>
      </c>
      <c r="I2010">
        <f t="shared" si="32"/>
        <v>4.9921944083066821E-5</v>
      </c>
    </row>
    <row r="2011" spans="1:9" x14ac:dyDescent="0.3">
      <c r="A2011" s="5">
        <v>44553</v>
      </c>
      <c r="B2011">
        <v>157.61000100000001</v>
      </c>
      <c r="C2011">
        <v>159.11999499999999</v>
      </c>
      <c r="D2011">
        <v>157.21000699999999</v>
      </c>
      <c r="E2011">
        <v>157.259995</v>
      </c>
      <c r="F2011">
        <v>147.128311</v>
      </c>
      <c r="G2011">
        <v>8055200</v>
      </c>
      <c r="I2011">
        <f t="shared" si="32"/>
        <v>1.1292145036937357E-4</v>
      </c>
    </row>
    <row r="2012" spans="1:9" x14ac:dyDescent="0.3">
      <c r="A2012" s="5">
        <v>44557</v>
      </c>
      <c r="B2012">
        <v>157.60000600000001</v>
      </c>
      <c r="C2012">
        <v>158.199997</v>
      </c>
      <c r="D2012">
        <v>156.33999600000001</v>
      </c>
      <c r="E2012">
        <v>158.16000399999999</v>
      </c>
      <c r="F2012">
        <v>147.97030599999999</v>
      </c>
      <c r="G2012">
        <v>6188100</v>
      </c>
      <c r="I2012">
        <f t="shared" si="32"/>
        <v>9.3867442671055656E-5</v>
      </c>
    </row>
    <row r="2013" spans="1:9" x14ac:dyDescent="0.3">
      <c r="A2013" s="5">
        <v>44558</v>
      </c>
      <c r="B2013">
        <v>158.199997</v>
      </c>
      <c r="C2013">
        <v>160.14999399999999</v>
      </c>
      <c r="D2013">
        <v>158.08000200000001</v>
      </c>
      <c r="E2013">
        <v>158.63999899999999</v>
      </c>
      <c r="F2013">
        <v>148.41940299999999</v>
      </c>
      <c r="G2013">
        <v>6342300</v>
      </c>
      <c r="I2013">
        <f t="shared" si="32"/>
        <v>1.1873952399956867E-4</v>
      </c>
    </row>
    <row r="2014" spans="1:9" x14ac:dyDescent="0.3">
      <c r="A2014" s="5">
        <v>44559</v>
      </c>
      <c r="B2014">
        <v>158.85000600000001</v>
      </c>
      <c r="C2014">
        <v>159.63000500000001</v>
      </c>
      <c r="D2014">
        <v>158.14999399999999</v>
      </c>
      <c r="E2014">
        <v>158.55999800000001</v>
      </c>
      <c r="F2014">
        <v>148.344559</v>
      </c>
      <c r="G2014">
        <v>6398900</v>
      </c>
      <c r="I2014">
        <f t="shared" si="32"/>
        <v>4.4378787027240485E-5</v>
      </c>
    </row>
    <row r="2015" spans="1:9" x14ac:dyDescent="0.3">
      <c r="A2015" s="5">
        <v>44560</v>
      </c>
      <c r="B2015">
        <v>159.11000100000001</v>
      </c>
      <c r="C2015">
        <v>160.240005</v>
      </c>
      <c r="D2015">
        <v>158.36999499999999</v>
      </c>
      <c r="E2015">
        <v>158.479996</v>
      </c>
      <c r="F2015">
        <v>148.26973000000001</v>
      </c>
      <c r="G2015">
        <v>6948200</v>
      </c>
      <c r="I2015">
        <f t="shared" si="32"/>
        <v>8.1396902477074901E-5</v>
      </c>
    </row>
    <row r="2016" spans="1:9" x14ac:dyDescent="0.3">
      <c r="A2016" s="5">
        <v>44561</v>
      </c>
      <c r="B2016">
        <v>158.449997</v>
      </c>
      <c r="C2016">
        <v>159.28999300000001</v>
      </c>
      <c r="D2016">
        <v>157.96000699999999</v>
      </c>
      <c r="E2016">
        <v>158.35000600000001</v>
      </c>
      <c r="F2016">
        <v>148.148087</v>
      </c>
      <c r="G2016">
        <v>5805900</v>
      </c>
      <c r="I2016">
        <f t="shared" si="32"/>
        <v>3.8930955086844751E-5</v>
      </c>
    </row>
    <row r="2017" spans="1:9" x14ac:dyDescent="0.3">
      <c r="A2017" s="5">
        <v>44564</v>
      </c>
      <c r="B2017">
        <v>159.86000100000001</v>
      </c>
      <c r="C2017">
        <v>162.63999899999999</v>
      </c>
      <c r="D2017">
        <v>159.509995</v>
      </c>
      <c r="E2017">
        <v>161.699997</v>
      </c>
      <c r="F2017">
        <v>151.28225699999999</v>
      </c>
      <c r="G2017">
        <v>13120900</v>
      </c>
      <c r="I2017">
        <f t="shared" si="32"/>
        <v>1.2982287139107283E-4</v>
      </c>
    </row>
    <row r="2018" spans="1:9" x14ac:dyDescent="0.3">
      <c r="A2018" s="5">
        <v>44565</v>
      </c>
      <c r="B2018">
        <v>164.30999800000001</v>
      </c>
      <c r="C2018">
        <v>168.58000200000001</v>
      </c>
      <c r="D2018">
        <v>164.229996</v>
      </c>
      <c r="E2018">
        <v>167.83000200000001</v>
      </c>
      <c r="F2018">
        <v>157.01733400000001</v>
      </c>
      <c r="G2018">
        <v>20195800</v>
      </c>
      <c r="I2018">
        <f t="shared" si="32"/>
        <v>1.249546111121749E-4</v>
      </c>
    </row>
    <row r="2019" spans="1:9" x14ac:dyDescent="0.3">
      <c r="A2019" s="5">
        <v>44566</v>
      </c>
      <c r="B2019">
        <v>167.820007</v>
      </c>
      <c r="C2019">
        <v>168.36000100000001</v>
      </c>
      <c r="D2019">
        <v>163.729996</v>
      </c>
      <c r="E2019">
        <v>163.779999</v>
      </c>
      <c r="F2019">
        <v>154.14672899999999</v>
      </c>
      <c r="G2019">
        <v>17539400</v>
      </c>
      <c r="I2019">
        <f t="shared" si="32"/>
        <v>9.6137263046822285E-5</v>
      </c>
    </row>
    <row r="2020" spans="1:9" x14ac:dyDescent="0.3">
      <c r="A2020" s="5">
        <v>44567</v>
      </c>
      <c r="B2020">
        <v>166.91000399999999</v>
      </c>
      <c r="C2020">
        <v>167.36999499999999</v>
      </c>
      <c r="D2020">
        <v>163.86999499999999</v>
      </c>
      <c r="E2020">
        <v>165.520004</v>
      </c>
      <c r="F2020">
        <v>155.78439299999999</v>
      </c>
      <c r="G2020">
        <v>14047500</v>
      </c>
      <c r="I2020">
        <f t="shared" si="32"/>
        <v>2.147461523893812E-4</v>
      </c>
    </row>
    <row r="2021" spans="1:9" x14ac:dyDescent="0.3">
      <c r="A2021" s="5">
        <v>44568</v>
      </c>
      <c r="B2021">
        <v>165.66999799999999</v>
      </c>
      <c r="C2021">
        <v>167.529999</v>
      </c>
      <c r="D2021">
        <v>165.05999800000001</v>
      </c>
      <c r="E2021">
        <v>167.16000399999999</v>
      </c>
      <c r="F2021">
        <v>157.32794200000001</v>
      </c>
      <c r="G2021">
        <v>13913300</v>
      </c>
      <c r="I2021">
        <f t="shared" si="32"/>
        <v>7.1320162333194902E-5</v>
      </c>
    </row>
    <row r="2022" spans="1:9" x14ac:dyDescent="0.3">
      <c r="A2022" s="5">
        <v>44571</v>
      </c>
      <c r="B2022">
        <v>169.070007</v>
      </c>
      <c r="C2022">
        <v>169.30999800000001</v>
      </c>
      <c r="D2022">
        <v>165.529999</v>
      </c>
      <c r="E2022">
        <v>167.320007</v>
      </c>
      <c r="F2022">
        <v>157.47851600000001</v>
      </c>
      <c r="G2022">
        <v>12922500</v>
      </c>
      <c r="I2022">
        <f t="shared" si="32"/>
        <v>2.4436703682831741E-4</v>
      </c>
    </row>
    <row r="2023" spans="1:9" x14ac:dyDescent="0.3">
      <c r="A2023" s="5">
        <v>44572</v>
      </c>
      <c r="B2023">
        <v>168.259995</v>
      </c>
      <c r="C2023">
        <v>168.520004</v>
      </c>
      <c r="D2023">
        <v>166.30999800000001</v>
      </c>
      <c r="E2023">
        <v>167.490005</v>
      </c>
      <c r="F2023">
        <v>157.63853499999999</v>
      </c>
      <c r="G2023">
        <v>11854100</v>
      </c>
      <c r="I2023">
        <f t="shared" si="32"/>
        <v>9.1882544974110475E-5</v>
      </c>
    </row>
    <row r="2024" spans="1:9" x14ac:dyDescent="0.3">
      <c r="A2024" s="5">
        <v>44573</v>
      </c>
      <c r="B2024">
        <v>168.46000699999999</v>
      </c>
      <c r="C2024">
        <v>169.58999600000001</v>
      </c>
      <c r="D2024">
        <v>167.179993</v>
      </c>
      <c r="E2024">
        <v>168.44000199999999</v>
      </c>
      <c r="F2024">
        <v>158.532623</v>
      </c>
      <c r="G2024">
        <v>12568000</v>
      </c>
      <c r="I2024">
        <f t="shared" si="32"/>
        <v>1.0275850347921442E-4</v>
      </c>
    </row>
    <row r="2025" spans="1:9" x14ac:dyDescent="0.3">
      <c r="A2025" s="5">
        <v>44574</v>
      </c>
      <c r="B2025">
        <v>168.33999600000001</v>
      </c>
      <c r="C2025">
        <v>169.80999800000001</v>
      </c>
      <c r="D2025">
        <v>167.88999899999999</v>
      </c>
      <c r="E2025">
        <v>168.229996</v>
      </c>
      <c r="F2025">
        <v>158.334991</v>
      </c>
      <c r="G2025">
        <v>13623400</v>
      </c>
      <c r="I2025">
        <f t="shared" si="32"/>
        <v>8.6691508341261975E-5</v>
      </c>
    </row>
    <row r="2026" spans="1:9" x14ac:dyDescent="0.3">
      <c r="A2026" s="5">
        <v>44575</v>
      </c>
      <c r="B2026">
        <v>160.759995</v>
      </c>
      <c r="C2026">
        <v>161.029999</v>
      </c>
      <c r="D2026">
        <v>156.89999399999999</v>
      </c>
      <c r="E2026">
        <v>157.88999899999999</v>
      </c>
      <c r="F2026">
        <v>148.60318000000001</v>
      </c>
      <c r="G2026">
        <v>40158400</v>
      </c>
      <c r="I2026">
        <f t="shared" si="32"/>
        <v>1.8591673040381073E-4</v>
      </c>
    </row>
    <row r="2027" spans="1:9" x14ac:dyDescent="0.3">
      <c r="A2027" s="5">
        <v>44579</v>
      </c>
      <c r="B2027">
        <v>155.779999</v>
      </c>
      <c r="C2027">
        <v>155.779999</v>
      </c>
      <c r="D2027">
        <v>150.53999300000001</v>
      </c>
      <c r="E2027">
        <v>151.270004</v>
      </c>
      <c r="F2027">
        <v>142.37254300000001</v>
      </c>
      <c r="G2027">
        <v>32324800</v>
      </c>
      <c r="I2027">
        <f t="shared" si="32"/>
        <v>1.6552188787628409E-4</v>
      </c>
    </row>
    <row r="2028" spans="1:9" x14ac:dyDescent="0.3">
      <c r="A2028" s="5">
        <v>44580</v>
      </c>
      <c r="B2028">
        <v>151.570007</v>
      </c>
      <c r="C2028">
        <v>152.229996</v>
      </c>
      <c r="D2028">
        <v>148.550003</v>
      </c>
      <c r="E2028">
        <v>148.929993</v>
      </c>
      <c r="F2028">
        <v>140.17016599999999</v>
      </c>
      <c r="G2028">
        <v>22380000</v>
      </c>
      <c r="I2028">
        <f t="shared" si="32"/>
        <v>1.4663990087848336E-4</v>
      </c>
    </row>
    <row r="2029" spans="1:9" x14ac:dyDescent="0.3">
      <c r="A2029" s="5">
        <v>44581</v>
      </c>
      <c r="B2029">
        <v>148.990005</v>
      </c>
      <c r="C2029">
        <v>150.61000100000001</v>
      </c>
      <c r="D2029">
        <v>147.36000100000001</v>
      </c>
      <c r="E2029">
        <v>147.66000399999999</v>
      </c>
      <c r="F2029">
        <v>138.97489899999999</v>
      </c>
      <c r="G2029">
        <v>14860800</v>
      </c>
      <c r="I2029">
        <f t="shared" si="32"/>
        <v>2.3629837904792211E-4</v>
      </c>
    </row>
    <row r="2030" spans="1:9" x14ac:dyDescent="0.3">
      <c r="A2030" s="5">
        <v>44582</v>
      </c>
      <c r="B2030">
        <v>147.5</v>
      </c>
      <c r="C2030">
        <v>147.509995</v>
      </c>
      <c r="D2030">
        <v>144.270004</v>
      </c>
      <c r="E2030">
        <v>145.08000200000001</v>
      </c>
      <c r="F2030">
        <v>136.54664600000001</v>
      </c>
      <c r="G2030">
        <v>20705400</v>
      </c>
      <c r="I2030">
        <f t="shared" si="32"/>
        <v>1.2509099193457201E-4</v>
      </c>
    </row>
    <row r="2031" spans="1:9" x14ac:dyDescent="0.3">
      <c r="A2031" s="5">
        <v>44585</v>
      </c>
      <c r="B2031">
        <v>142.279999</v>
      </c>
      <c r="C2031">
        <v>145.479996</v>
      </c>
      <c r="D2031">
        <v>139.570007</v>
      </c>
      <c r="E2031">
        <v>144.949997</v>
      </c>
      <c r="F2031">
        <v>136.424271</v>
      </c>
      <c r="G2031">
        <v>28471400</v>
      </c>
      <c r="I2031">
        <f t="shared" si="32"/>
        <v>8.0852719006851764E-4</v>
      </c>
    </row>
    <row r="2032" spans="1:9" x14ac:dyDescent="0.3">
      <c r="A2032" s="5">
        <v>44586</v>
      </c>
      <c r="B2032">
        <v>143.64999399999999</v>
      </c>
      <c r="C2032">
        <v>146.85000600000001</v>
      </c>
      <c r="D2032">
        <v>140.78999300000001</v>
      </c>
      <c r="E2032">
        <v>146.529999</v>
      </c>
      <c r="F2032">
        <v>137.91134600000001</v>
      </c>
      <c r="G2032">
        <v>18915900</v>
      </c>
      <c r="I2032">
        <f t="shared" si="32"/>
        <v>8.5169001493189199E-4</v>
      </c>
    </row>
    <row r="2033" spans="1:9" x14ac:dyDescent="0.3">
      <c r="A2033" s="5">
        <v>44587</v>
      </c>
      <c r="B2033">
        <v>148.720001</v>
      </c>
      <c r="C2033">
        <v>150.570007</v>
      </c>
      <c r="D2033">
        <v>145.96000699999999</v>
      </c>
      <c r="E2033">
        <v>147.91999799999999</v>
      </c>
      <c r="F2033">
        <v>139.21957399999999</v>
      </c>
      <c r="G2033">
        <v>20709100</v>
      </c>
      <c r="I2033">
        <f t="shared" si="32"/>
        <v>4.6939441384777586E-4</v>
      </c>
    </row>
    <row r="2034" spans="1:9" x14ac:dyDescent="0.3">
      <c r="A2034" s="5">
        <v>44588</v>
      </c>
      <c r="B2034">
        <v>149.41999799999999</v>
      </c>
      <c r="C2034">
        <v>150.38000500000001</v>
      </c>
      <c r="D2034">
        <v>144.13000500000001</v>
      </c>
      <c r="E2034">
        <v>145.30999800000001</v>
      </c>
      <c r="F2034">
        <v>136.76310699999999</v>
      </c>
      <c r="G2034">
        <v>17536800</v>
      </c>
      <c r="I2034">
        <f t="shared" si="32"/>
        <v>5.1354620143002655E-4</v>
      </c>
    </row>
    <row r="2035" spans="1:9" x14ac:dyDescent="0.3">
      <c r="A2035" s="5">
        <v>44589</v>
      </c>
      <c r="B2035">
        <v>144.19000199999999</v>
      </c>
      <c r="C2035">
        <v>146.759995</v>
      </c>
      <c r="D2035">
        <v>142.16999799999999</v>
      </c>
      <c r="E2035">
        <v>146.61000100000001</v>
      </c>
      <c r="F2035">
        <v>137.98661799999999</v>
      </c>
      <c r="G2035">
        <v>14117000</v>
      </c>
      <c r="I2035">
        <f t="shared" si="32"/>
        <v>4.5193304225039482E-4</v>
      </c>
    </row>
    <row r="2036" spans="1:9" x14ac:dyDescent="0.3">
      <c r="A2036" s="5">
        <v>44592</v>
      </c>
      <c r="B2036">
        <v>145.63999899999999</v>
      </c>
      <c r="C2036">
        <v>148.78999300000001</v>
      </c>
      <c r="D2036">
        <v>144.66999799999999</v>
      </c>
      <c r="E2036">
        <v>148.60000600000001</v>
      </c>
      <c r="F2036">
        <v>139.85960399999999</v>
      </c>
      <c r="G2036">
        <v>13985700</v>
      </c>
      <c r="I2036">
        <f t="shared" si="32"/>
        <v>2.0645175619868675E-4</v>
      </c>
    </row>
    <row r="2037" spans="1:9" x14ac:dyDescent="0.3">
      <c r="A2037" s="5">
        <v>44593</v>
      </c>
      <c r="B2037">
        <v>148.69000199999999</v>
      </c>
      <c r="C2037">
        <v>151.470001</v>
      </c>
      <c r="D2037">
        <v>148.300003</v>
      </c>
      <c r="E2037">
        <v>151.14999399999999</v>
      </c>
      <c r="F2037">
        <v>142.25959800000001</v>
      </c>
      <c r="G2037">
        <v>14584900</v>
      </c>
      <c r="I2037">
        <f t="shared" si="32"/>
        <v>8.9170129994161487E-5</v>
      </c>
    </row>
    <row r="2038" spans="1:9" x14ac:dyDescent="0.3">
      <c r="A2038" s="5">
        <v>44594</v>
      </c>
      <c r="B2038">
        <v>150.5</v>
      </c>
      <c r="C2038">
        <v>150.94000199999999</v>
      </c>
      <c r="D2038">
        <v>148.070007</v>
      </c>
      <c r="E2038">
        <v>149.94000199999999</v>
      </c>
      <c r="F2038">
        <v>141.120789</v>
      </c>
      <c r="G2038">
        <v>12441100</v>
      </c>
      <c r="I2038">
        <f t="shared" si="32"/>
        <v>2.2369379445566923E-4</v>
      </c>
    </row>
    <row r="2039" spans="1:9" x14ac:dyDescent="0.3">
      <c r="A2039" s="5">
        <v>44595</v>
      </c>
      <c r="B2039">
        <v>150</v>
      </c>
      <c r="C2039">
        <v>151.64999399999999</v>
      </c>
      <c r="D2039">
        <v>148.28999300000001</v>
      </c>
      <c r="E2039">
        <v>148.699997</v>
      </c>
      <c r="F2039">
        <v>139.95372</v>
      </c>
      <c r="G2039">
        <v>12474900</v>
      </c>
      <c r="I2039">
        <f t="shared" si="32"/>
        <v>2.4656441227635455E-4</v>
      </c>
    </row>
    <row r="2040" spans="1:9" x14ac:dyDescent="0.3">
      <c r="A2040" s="5">
        <v>44596</v>
      </c>
      <c r="B2040">
        <v>149.10000600000001</v>
      </c>
      <c r="C2040">
        <v>153.5</v>
      </c>
      <c r="D2040">
        <v>148.770004</v>
      </c>
      <c r="E2040">
        <v>152.55999800000001</v>
      </c>
      <c r="F2040">
        <v>143.58667</v>
      </c>
      <c r="G2040">
        <v>16654400</v>
      </c>
      <c r="I2040">
        <f t="shared" si="32"/>
        <v>2.3438792019887577E-4</v>
      </c>
    </row>
    <row r="2041" spans="1:9" x14ac:dyDescent="0.3">
      <c r="A2041" s="5">
        <v>44599</v>
      </c>
      <c r="B2041">
        <v>153.270004</v>
      </c>
      <c r="C2041">
        <v>153.61999499999999</v>
      </c>
      <c r="D2041">
        <v>150.85000600000001</v>
      </c>
      <c r="E2041">
        <v>153.070007</v>
      </c>
      <c r="F2041">
        <v>144.06668099999999</v>
      </c>
      <c r="G2041">
        <v>12572300</v>
      </c>
      <c r="I2041">
        <f t="shared" si="32"/>
        <v>2.406901939651093E-4</v>
      </c>
    </row>
    <row r="2042" spans="1:9" x14ac:dyDescent="0.3">
      <c r="A2042" s="5">
        <v>44600</v>
      </c>
      <c r="B2042">
        <v>155</v>
      </c>
      <c r="C2042">
        <v>158.479996</v>
      </c>
      <c r="D2042">
        <v>154.800003</v>
      </c>
      <c r="E2042">
        <v>155.949997</v>
      </c>
      <c r="F2042">
        <v>146.777252</v>
      </c>
      <c r="G2042">
        <v>20411400</v>
      </c>
      <c r="I2042">
        <f t="shared" si="32"/>
        <v>3.668723034695716E-4</v>
      </c>
    </row>
    <row r="2043" spans="1:9" x14ac:dyDescent="0.3">
      <c r="A2043" s="5">
        <v>44601</v>
      </c>
      <c r="B2043">
        <v>156.58999600000001</v>
      </c>
      <c r="C2043">
        <v>157.429993</v>
      </c>
      <c r="D2043">
        <v>155.820007</v>
      </c>
      <c r="E2043">
        <v>156.60000600000001</v>
      </c>
      <c r="F2043">
        <v>147.38905299999999</v>
      </c>
      <c r="G2043">
        <v>9131100</v>
      </c>
      <c r="I2043">
        <f t="shared" si="32"/>
        <v>5.2893890825480795E-5</v>
      </c>
    </row>
    <row r="2044" spans="1:9" x14ac:dyDescent="0.3">
      <c r="A2044" s="5">
        <v>44602</v>
      </c>
      <c r="B2044">
        <v>156.66000399999999</v>
      </c>
      <c r="C2044">
        <v>159.029999</v>
      </c>
      <c r="D2044">
        <v>155.220001</v>
      </c>
      <c r="E2044">
        <v>155.949997</v>
      </c>
      <c r="F2044">
        <v>146.777252</v>
      </c>
      <c r="G2044">
        <v>16455600</v>
      </c>
      <c r="I2044">
        <f t="shared" si="32"/>
        <v>3.369818593546478E-4</v>
      </c>
    </row>
    <row r="2045" spans="1:9" x14ac:dyDescent="0.3">
      <c r="A2045" s="5">
        <v>44603</v>
      </c>
      <c r="B2045">
        <v>155.61000100000001</v>
      </c>
      <c r="C2045">
        <v>158.19000199999999</v>
      </c>
      <c r="D2045">
        <v>152.970001</v>
      </c>
      <c r="E2045">
        <v>153.91999799999999</v>
      </c>
      <c r="F2045">
        <v>144.86669900000001</v>
      </c>
      <c r="G2045">
        <v>16830000</v>
      </c>
      <c r="I2045">
        <f t="shared" si="32"/>
        <v>5.5590786358247486E-4</v>
      </c>
    </row>
    <row r="2046" spans="1:9" x14ac:dyDescent="0.3">
      <c r="A2046" s="5">
        <v>44606</v>
      </c>
      <c r="B2046">
        <v>152.729996</v>
      </c>
      <c r="C2046">
        <v>153.679993</v>
      </c>
      <c r="D2046">
        <v>150.320007</v>
      </c>
      <c r="E2046">
        <v>152.490005</v>
      </c>
      <c r="F2046">
        <v>143.520813</v>
      </c>
      <c r="G2046">
        <v>17026500</v>
      </c>
      <c r="I2046">
        <f t="shared" si="32"/>
        <v>2.7616584941010072E-4</v>
      </c>
    </row>
    <row r="2047" spans="1:9" x14ac:dyDescent="0.3">
      <c r="A2047" s="5">
        <v>44607</v>
      </c>
      <c r="B2047">
        <v>154.509995</v>
      </c>
      <c r="C2047">
        <v>155.94000199999999</v>
      </c>
      <c r="D2047">
        <v>153.85000600000001</v>
      </c>
      <c r="E2047">
        <v>154.720001</v>
      </c>
      <c r="F2047">
        <v>145.619629</v>
      </c>
      <c r="G2047">
        <v>9500000</v>
      </c>
      <c r="I2047">
        <f t="shared" si="32"/>
        <v>9.6496138655891299E-5</v>
      </c>
    </row>
    <row r="2048" spans="1:9" x14ac:dyDescent="0.3">
      <c r="A2048" s="5">
        <v>44608</v>
      </c>
      <c r="B2048">
        <v>153.740005</v>
      </c>
      <c r="C2048">
        <v>156.10000600000001</v>
      </c>
      <c r="D2048">
        <v>153.740005</v>
      </c>
      <c r="E2048">
        <v>155</v>
      </c>
      <c r="F2048">
        <v>145.883163</v>
      </c>
      <c r="G2048">
        <v>9076500</v>
      </c>
      <c r="I2048">
        <f t="shared" si="32"/>
        <v>1.0773080927744737E-4</v>
      </c>
    </row>
    <row r="2049" spans="1:9" x14ac:dyDescent="0.3">
      <c r="A2049" s="5">
        <v>44609</v>
      </c>
      <c r="B2049">
        <v>153</v>
      </c>
      <c r="C2049">
        <v>153.729996</v>
      </c>
      <c r="D2049">
        <v>150.66999799999999</v>
      </c>
      <c r="E2049">
        <v>151.429993</v>
      </c>
      <c r="F2049">
        <v>142.52311700000001</v>
      </c>
      <c r="G2049">
        <v>11367500</v>
      </c>
      <c r="I2049">
        <f t="shared" si="32"/>
        <v>1.4896384372881842E-4</v>
      </c>
    </row>
    <row r="2050" spans="1:9" x14ac:dyDescent="0.3">
      <c r="A2050" s="5">
        <v>44610</v>
      </c>
      <c r="B2050">
        <v>152.13000500000001</v>
      </c>
      <c r="C2050">
        <v>154.13999899999999</v>
      </c>
      <c r="D2050">
        <v>151.13000500000001</v>
      </c>
      <c r="E2050">
        <v>152.13999899999999</v>
      </c>
      <c r="F2050">
        <v>143.19139100000001</v>
      </c>
      <c r="G2050">
        <v>11733300</v>
      </c>
      <c r="I2050">
        <f t="shared" si="32"/>
        <v>2.1535254839625739E-4</v>
      </c>
    </row>
    <row r="2051" spans="1:9" x14ac:dyDescent="0.3">
      <c r="A2051" s="5">
        <v>44614</v>
      </c>
      <c r="B2051">
        <v>150.60000600000001</v>
      </c>
      <c r="C2051">
        <v>153.240005</v>
      </c>
      <c r="D2051">
        <v>150.41000399999999</v>
      </c>
      <c r="E2051">
        <v>151.86999499999999</v>
      </c>
      <c r="F2051">
        <v>142.93725599999999</v>
      </c>
      <c r="G2051">
        <v>11333500</v>
      </c>
      <c r="I2051">
        <f t="shared" si="32"/>
        <v>1.6825798324431715E-4</v>
      </c>
    </row>
    <row r="2052" spans="1:9" x14ac:dyDescent="0.3">
      <c r="A2052" s="5">
        <v>44615</v>
      </c>
      <c r="B2052">
        <v>153.11999499999999</v>
      </c>
      <c r="C2052">
        <v>153.300003</v>
      </c>
      <c r="D2052">
        <v>147.970001</v>
      </c>
      <c r="E2052">
        <v>148.69000199999999</v>
      </c>
      <c r="F2052">
        <v>139.944275</v>
      </c>
      <c r="G2052">
        <v>11799000</v>
      </c>
      <c r="I2052">
        <f t="shared" si="32"/>
        <v>2.0194243074997105E-4</v>
      </c>
    </row>
    <row r="2053" spans="1:9" x14ac:dyDescent="0.3">
      <c r="A2053" s="5">
        <v>44616</v>
      </c>
      <c r="B2053">
        <v>142.94000199999999</v>
      </c>
      <c r="C2053">
        <v>144.990005</v>
      </c>
      <c r="D2053">
        <v>139.779999</v>
      </c>
      <c r="E2053">
        <v>144.550003</v>
      </c>
      <c r="F2053">
        <v>136.047821</v>
      </c>
      <c r="G2053">
        <v>25655100</v>
      </c>
      <c r="I2053">
        <f t="shared" si="32"/>
        <v>7.9342548347483791E-4</v>
      </c>
    </row>
    <row r="2054" spans="1:9" x14ac:dyDescent="0.3">
      <c r="A2054" s="5">
        <v>44617</v>
      </c>
      <c r="B2054">
        <v>145.25</v>
      </c>
      <c r="C2054">
        <v>150.13000500000001</v>
      </c>
      <c r="D2054">
        <v>144.91000399999999</v>
      </c>
      <c r="E2054">
        <v>147.970001</v>
      </c>
      <c r="F2054">
        <v>139.26664700000001</v>
      </c>
      <c r="G2054">
        <v>18367700</v>
      </c>
      <c r="I2054">
        <f t="shared" si="32"/>
        <v>5.2786491638675062E-4</v>
      </c>
    </row>
    <row r="2055" spans="1:9" x14ac:dyDescent="0.3">
      <c r="A2055" s="5">
        <v>44620</v>
      </c>
      <c r="B2055">
        <v>143.550003</v>
      </c>
      <c r="C2055">
        <v>145.05999800000001</v>
      </c>
      <c r="D2055">
        <v>140.88000500000001</v>
      </c>
      <c r="E2055">
        <v>141.800003</v>
      </c>
      <c r="F2055">
        <v>133.459564</v>
      </c>
      <c r="G2055">
        <v>31315300</v>
      </c>
      <c r="I2055">
        <f t="shared" si="32"/>
        <v>3.6005338427273114E-4</v>
      </c>
    </row>
    <row r="2056" spans="1:9" x14ac:dyDescent="0.3">
      <c r="A2056" s="5">
        <v>44621</v>
      </c>
      <c r="B2056">
        <v>140.03999300000001</v>
      </c>
      <c r="C2056">
        <v>140.479996</v>
      </c>
      <c r="D2056">
        <v>133.58000200000001</v>
      </c>
      <c r="E2056">
        <v>136.449997</v>
      </c>
      <c r="F2056">
        <v>128.42424</v>
      </c>
      <c r="G2056">
        <v>36840400</v>
      </c>
      <c r="I2056">
        <f t="shared" si="32"/>
        <v>1.0952556745983176E-3</v>
      </c>
    </row>
    <row r="2057" spans="1:9" x14ac:dyDescent="0.3">
      <c r="A2057" s="5">
        <v>44622</v>
      </c>
      <c r="B2057">
        <v>137.28999300000001</v>
      </c>
      <c r="C2057">
        <v>140.03999300000001</v>
      </c>
      <c r="D2057">
        <v>136.61000100000001</v>
      </c>
      <c r="E2057">
        <v>139.279999</v>
      </c>
      <c r="F2057">
        <v>131.08779899999999</v>
      </c>
      <c r="G2057">
        <v>19405600</v>
      </c>
      <c r="I2057">
        <f t="shared" si="32"/>
        <v>2.0403268340364876E-4</v>
      </c>
    </row>
    <row r="2058" spans="1:9" x14ac:dyDescent="0.3">
      <c r="A2058" s="5">
        <v>44623</v>
      </c>
      <c r="B2058">
        <v>139.83999600000001</v>
      </c>
      <c r="C2058">
        <v>140.979996</v>
      </c>
      <c r="D2058">
        <v>137.05999800000001</v>
      </c>
      <c r="E2058">
        <v>138.28999300000001</v>
      </c>
      <c r="F2058">
        <v>130.15600599999999</v>
      </c>
      <c r="G2058">
        <v>16640800</v>
      </c>
      <c r="I2058">
        <f t="shared" si="32"/>
        <v>3.3581385777576287E-4</v>
      </c>
    </row>
    <row r="2059" spans="1:9" x14ac:dyDescent="0.3">
      <c r="A2059" s="5">
        <v>44624</v>
      </c>
      <c r="B2059">
        <v>134.94000199999999</v>
      </c>
      <c r="C2059">
        <v>135.41999799999999</v>
      </c>
      <c r="D2059">
        <v>132.39999399999999</v>
      </c>
      <c r="E2059">
        <v>134.39999399999999</v>
      </c>
      <c r="F2059">
        <v>126.494804</v>
      </c>
      <c r="G2059">
        <v>21016000</v>
      </c>
      <c r="I2059">
        <f t="shared" si="32"/>
        <v>3.117490406349327E-4</v>
      </c>
    </row>
    <row r="2060" spans="1:9" x14ac:dyDescent="0.3">
      <c r="A2060" s="5">
        <v>44627</v>
      </c>
      <c r="B2060">
        <v>132.16999799999999</v>
      </c>
      <c r="C2060">
        <v>132.69000199999999</v>
      </c>
      <c r="D2060">
        <v>128.949997</v>
      </c>
      <c r="E2060">
        <v>129.21000699999999</v>
      </c>
      <c r="F2060">
        <v>121.610085</v>
      </c>
      <c r="G2060">
        <v>27560100</v>
      </c>
      <c r="I2060">
        <f t="shared" ref="I2060:I2123" si="33">LN(C2060/B2060)*(LN(C2060/B2060)-LN(E2060/B2060))+LN(D2060/B2060)*(LN(D2060/B2060)-LN(E2060/B2060))</f>
        <v>1.5403851132226096E-4</v>
      </c>
    </row>
    <row r="2061" spans="1:9" x14ac:dyDescent="0.3">
      <c r="A2061" s="5">
        <v>44628</v>
      </c>
      <c r="B2061">
        <v>129.63999899999999</v>
      </c>
      <c r="C2061">
        <v>131.78999300000001</v>
      </c>
      <c r="D2061">
        <v>127.269997</v>
      </c>
      <c r="E2061">
        <v>128.300003</v>
      </c>
      <c r="F2061">
        <v>120.753609</v>
      </c>
      <c r="G2061">
        <v>19207800</v>
      </c>
      <c r="I2061">
        <f t="shared" si="33"/>
        <v>5.9016763291290194E-4</v>
      </c>
    </row>
    <row r="2062" spans="1:9" x14ac:dyDescent="0.3">
      <c r="A2062" s="5">
        <v>44629</v>
      </c>
      <c r="B2062">
        <v>132.89999399999999</v>
      </c>
      <c r="C2062">
        <v>135.240005</v>
      </c>
      <c r="D2062">
        <v>132.44000199999999</v>
      </c>
      <c r="E2062">
        <v>133.44000199999999</v>
      </c>
      <c r="F2062">
        <v>125.59126999999999</v>
      </c>
      <c r="G2062">
        <v>17536200</v>
      </c>
      <c r="I2062">
        <f t="shared" si="33"/>
        <v>2.5994948425017662E-4</v>
      </c>
    </row>
    <row r="2063" spans="1:9" x14ac:dyDescent="0.3">
      <c r="A2063" s="5">
        <v>44630</v>
      </c>
      <c r="B2063">
        <v>131.86000100000001</v>
      </c>
      <c r="C2063">
        <v>133.449997</v>
      </c>
      <c r="D2063">
        <v>130.320007</v>
      </c>
      <c r="E2063">
        <v>131.86000100000001</v>
      </c>
      <c r="F2063">
        <v>124.104218</v>
      </c>
      <c r="G2063">
        <v>15604200</v>
      </c>
      <c r="I2063">
        <f t="shared" si="33"/>
        <v>2.8167587559141952E-4</v>
      </c>
    </row>
    <row r="2064" spans="1:9" x14ac:dyDescent="0.3">
      <c r="A2064" s="5">
        <v>44631</v>
      </c>
      <c r="B2064">
        <v>132.490005</v>
      </c>
      <c r="C2064">
        <v>134.08000200000001</v>
      </c>
      <c r="D2064">
        <v>128.41999799999999</v>
      </c>
      <c r="E2064">
        <v>128.88999899999999</v>
      </c>
      <c r="F2064">
        <v>121.308914</v>
      </c>
      <c r="G2064">
        <v>20061800</v>
      </c>
      <c r="I2064">
        <f t="shared" si="33"/>
        <v>5.8492615258087127E-4</v>
      </c>
    </row>
    <row r="2065" spans="1:9" x14ac:dyDescent="0.3">
      <c r="A2065" s="5">
        <v>44634</v>
      </c>
      <c r="B2065">
        <v>129.46000699999999</v>
      </c>
      <c r="C2065">
        <v>132.91999799999999</v>
      </c>
      <c r="D2065">
        <v>129.229996</v>
      </c>
      <c r="E2065">
        <v>130.16999799999999</v>
      </c>
      <c r="F2065">
        <v>122.51361799999999</v>
      </c>
      <c r="G2065">
        <v>15786900</v>
      </c>
      <c r="I2065">
        <f t="shared" si="33"/>
        <v>5.6429677976025446E-4</v>
      </c>
    </row>
    <row r="2066" spans="1:9" x14ac:dyDescent="0.3">
      <c r="A2066" s="5">
        <v>44635</v>
      </c>
      <c r="B2066">
        <v>131.800003</v>
      </c>
      <c r="C2066">
        <v>133.550003</v>
      </c>
      <c r="D2066">
        <v>131.13000500000001</v>
      </c>
      <c r="E2066">
        <v>132.479996</v>
      </c>
      <c r="F2066">
        <v>124.687729</v>
      </c>
      <c r="G2066">
        <v>15096600</v>
      </c>
      <c r="I2066">
        <f t="shared" si="33"/>
        <v>1.5830647673700042E-4</v>
      </c>
    </row>
    <row r="2067" spans="1:9" x14ac:dyDescent="0.3">
      <c r="A2067" s="5">
        <v>44636</v>
      </c>
      <c r="B2067">
        <v>134.86999499999999</v>
      </c>
      <c r="C2067">
        <v>138.490005</v>
      </c>
      <c r="D2067">
        <v>134.429993</v>
      </c>
      <c r="E2067">
        <v>138.39999399999999</v>
      </c>
      <c r="F2067">
        <v>130.25953699999999</v>
      </c>
      <c r="G2067">
        <v>20354900</v>
      </c>
      <c r="I2067">
        <f t="shared" si="33"/>
        <v>1.1232659775153575E-4</v>
      </c>
    </row>
    <row r="2068" spans="1:9" x14ac:dyDescent="0.3">
      <c r="A2068" s="5">
        <v>44637</v>
      </c>
      <c r="B2068">
        <v>136.86000100000001</v>
      </c>
      <c r="C2068">
        <v>140.19000199999999</v>
      </c>
      <c r="D2068">
        <v>135.91999799999999</v>
      </c>
      <c r="E2068">
        <v>140.14999399999999</v>
      </c>
      <c r="F2068">
        <v>131.906631</v>
      </c>
      <c r="G2068">
        <v>17050500</v>
      </c>
      <c r="I2068">
        <f t="shared" si="33"/>
        <v>2.1808074680856816E-4</v>
      </c>
    </row>
    <row r="2069" spans="1:9" x14ac:dyDescent="0.3">
      <c r="A2069" s="5">
        <v>44638</v>
      </c>
      <c r="B2069">
        <v>140.19000199999999</v>
      </c>
      <c r="C2069">
        <v>140.85000600000001</v>
      </c>
      <c r="D2069">
        <v>138.46000699999999</v>
      </c>
      <c r="E2069">
        <v>140.10000600000001</v>
      </c>
      <c r="F2069">
        <v>131.85955799999999</v>
      </c>
      <c r="G2069">
        <v>23656500</v>
      </c>
      <c r="I2069">
        <f t="shared" si="33"/>
        <v>1.7128820214586951E-4</v>
      </c>
    </row>
    <row r="2070" spans="1:9" x14ac:dyDescent="0.3">
      <c r="A2070" s="5">
        <v>44641</v>
      </c>
      <c r="B2070">
        <v>140.35000600000001</v>
      </c>
      <c r="C2070">
        <v>140.759995</v>
      </c>
      <c r="D2070">
        <v>138.729996</v>
      </c>
      <c r="E2070">
        <v>139.64999399999999</v>
      </c>
      <c r="F2070">
        <v>131.43602000000001</v>
      </c>
      <c r="G2070">
        <v>12676100</v>
      </c>
      <c r="I2070">
        <f t="shared" si="33"/>
        <v>9.9830334060562536E-5</v>
      </c>
    </row>
    <row r="2071" spans="1:9" x14ac:dyDescent="0.3">
      <c r="A2071" s="5">
        <v>44642</v>
      </c>
      <c r="B2071">
        <v>142.270004</v>
      </c>
      <c r="C2071">
        <v>143.929993</v>
      </c>
      <c r="D2071">
        <v>141.720001</v>
      </c>
      <c r="E2071">
        <v>142.61999499999999</v>
      </c>
      <c r="F2071">
        <v>134.231323</v>
      </c>
      <c r="G2071">
        <v>13548600</v>
      </c>
      <c r="I2071">
        <f t="shared" si="33"/>
        <v>1.3058568681567037E-4</v>
      </c>
    </row>
    <row r="2072" spans="1:9" x14ac:dyDescent="0.3">
      <c r="A2072" s="5">
        <v>44643</v>
      </c>
      <c r="B2072">
        <v>140.979996</v>
      </c>
      <c r="C2072">
        <v>141.58999600000001</v>
      </c>
      <c r="D2072">
        <v>139.199997</v>
      </c>
      <c r="E2072">
        <v>139.779999</v>
      </c>
      <c r="F2072">
        <v>131.55838</v>
      </c>
      <c r="G2072">
        <v>12093200</v>
      </c>
      <c r="I2072">
        <f t="shared" si="33"/>
        <v>1.0838129918019961E-4</v>
      </c>
    </row>
    <row r="2073" spans="1:9" x14ac:dyDescent="0.3">
      <c r="A2073" s="5">
        <v>44644</v>
      </c>
      <c r="B2073">
        <v>140.300003</v>
      </c>
      <c r="C2073">
        <v>140.71000699999999</v>
      </c>
      <c r="D2073">
        <v>139.11000100000001</v>
      </c>
      <c r="E2073">
        <v>140.69000199999999</v>
      </c>
      <c r="F2073">
        <v>132.414841</v>
      </c>
      <c r="G2073">
        <v>10017600</v>
      </c>
      <c r="I2073">
        <f t="shared" si="33"/>
        <v>9.6616569729422193E-5</v>
      </c>
    </row>
    <row r="2074" spans="1:9" x14ac:dyDescent="0.3">
      <c r="A2074" s="5">
        <v>44645</v>
      </c>
      <c r="B2074">
        <v>141.08999600000001</v>
      </c>
      <c r="C2074">
        <v>143.179993</v>
      </c>
      <c r="D2074">
        <v>140.800003</v>
      </c>
      <c r="E2074">
        <v>141.91999799999999</v>
      </c>
      <c r="F2074">
        <v>133.57250999999999</v>
      </c>
      <c r="G2074">
        <v>8383500</v>
      </c>
      <c r="I2074">
        <f t="shared" si="33"/>
        <v>1.4627571224494493E-4</v>
      </c>
    </row>
    <row r="2075" spans="1:9" x14ac:dyDescent="0.3">
      <c r="A2075" s="5">
        <v>44648</v>
      </c>
      <c r="B2075">
        <v>140</v>
      </c>
      <c r="C2075">
        <v>140.970001</v>
      </c>
      <c r="D2075">
        <v>137.89999399999999</v>
      </c>
      <c r="E2075">
        <v>140.86999499999999</v>
      </c>
      <c r="F2075">
        <v>132.58424400000001</v>
      </c>
      <c r="G2075">
        <v>10818100</v>
      </c>
      <c r="I2075">
        <f t="shared" si="33"/>
        <v>3.2695295361529278E-4</v>
      </c>
    </row>
    <row r="2076" spans="1:9" x14ac:dyDescent="0.3">
      <c r="A2076" s="5">
        <v>44649</v>
      </c>
      <c r="B2076">
        <v>143.35000600000001</v>
      </c>
      <c r="C2076">
        <v>143.60000600000001</v>
      </c>
      <c r="D2076">
        <v>140.240005</v>
      </c>
      <c r="E2076">
        <v>141.179993</v>
      </c>
      <c r="F2076">
        <v>132.87600699999999</v>
      </c>
      <c r="G2076">
        <v>11316500</v>
      </c>
      <c r="I2076">
        <f t="shared" si="33"/>
        <v>1.7614148485186435E-4</v>
      </c>
    </row>
    <row r="2077" spans="1:9" x14ac:dyDescent="0.3">
      <c r="A2077" s="5">
        <v>44650</v>
      </c>
      <c r="B2077">
        <v>141.89999399999999</v>
      </c>
      <c r="C2077">
        <v>142.11999499999999</v>
      </c>
      <c r="D2077">
        <v>139.91000399999999</v>
      </c>
      <c r="E2077">
        <v>140.53999300000001</v>
      </c>
      <c r="F2077">
        <v>132.27366599999999</v>
      </c>
      <c r="G2077">
        <v>8771000</v>
      </c>
      <c r="I2077">
        <f t="shared" si="33"/>
        <v>8.0770650418479669E-5</v>
      </c>
    </row>
    <row r="2078" spans="1:9" x14ac:dyDescent="0.3">
      <c r="A2078" s="5">
        <v>44651</v>
      </c>
      <c r="B2078">
        <v>139.83000200000001</v>
      </c>
      <c r="C2078">
        <v>140.35000600000001</v>
      </c>
      <c r="D2078">
        <v>136.259995</v>
      </c>
      <c r="E2078">
        <v>136.320007</v>
      </c>
      <c r="F2078">
        <v>128.30188000000001</v>
      </c>
      <c r="G2078">
        <v>17353900</v>
      </c>
      <c r="I2078">
        <f t="shared" si="33"/>
        <v>1.195322711023953E-4</v>
      </c>
    </row>
    <row r="2079" spans="1:9" x14ac:dyDescent="0.3">
      <c r="A2079" s="5">
        <v>44652</v>
      </c>
      <c r="B2079">
        <v>137.39999399999999</v>
      </c>
      <c r="C2079">
        <v>137.41000399999999</v>
      </c>
      <c r="D2079">
        <v>133.800003</v>
      </c>
      <c r="E2079">
        <v>135.30999800000001</v>
      </c>
      <c r="F2079">
        <v>127.351265</v>
      </c>
      <c r="G2079">
        <v>15721300</v>
      </c>
      <c r="I2079">
        <f t="shared" si="33"/>
        <v>2.9907474678469759E-4</v>
      </c>
    </row>
    <row r="2080" spans="1:9" x14ac:dyDescent="0.3">
      <c r="A2080" s="5">
        <v>44655</v>
      </c>
      <c r="B2080">
        <v>134.11999499999999</v>
      </c>
      <c r="C2080">
        <v>136.94000199999999</v>
      </c>
      <c r="D2080">
        <v>132.88999899999999</v>
      </c>
      <c r="E2080">
        <v>135.91000399999999</v>
      </c>
      <c r="F2080">
        <v>127.916</v>
      </c>
      <c r="G2080">
        <v>17416400</v>
      </c>
      <c r="I2080">
        <f t="shared" si="33"/>
        <v>3.6413078716157306E-4</v>
      </c>
    </row>
    <row r="2081" spans="1:9" x14ac:dyDescent="0.3">
      <c r="A2081" s="5">
        <v>44656</v>
      </c>
      <c r="B2081">
        <v>134.070007</v>
      </c>
      <c r="C2081">
        <v>135.39999399999999</v>
      </c>
      <c r="D2081">
        <v>133.009995</v>
      </c>
      <c r="E2081">
        <v>133.33999600000001</v>
      </c>
      <c r="F2081">
        <v>126.427406</v>
      </c>
      <c r="G2081">
        <v>12110300</v>
      </c>
      <c r="I2081">
        <f t="shared" si="33"/>
        <v>1.710059869320818E-4</v>
      </c>
    </row>
    <row r="2082" spans="1:9" x14ac:dyDescent="0.3">
      <c r="A2082" s="5">
        <v>44657</v>
      </c>
      <c r="B2082">
        <v>131.58000200000001</v>
      </c>
      <c r="C2082">
        <v>132.55999800000001</v>
      </c>
      <c r="D2082">
        <v>130.96000699999999</v>
      </c>
      <c r="E2082">
        <v>131.490005</v>
      </c>
      <c r="F2082">
        <v>124.67330200000001</v>
      </c>
      <c r="G2082">
        <v>12914700</v>
      </c>
      <c r="I2082">
        <f t="shared" si="33"/>
        <v>7.9213791394259846E-5</v>
      </c>
    </row>
    <row r="2083" spans="1:9" x14ac:dyDescent="0.3">
      <c r="A2083" s="5">
        <v>44658</v>
      </c>
      <c r="B2083">
        <v>130.949997</v>
      </c>
      <c r="C2083">
        <v>131.91999799999999</v>
      </c>
      <c r="D2083">
        <v>128.729996</v>
      </c>
      <c r="E2083">
        <v>131.08999600000001</v>
      </c>
      <c r="F2083">
        <v>124.294044</v>
      </c>
      <c r="G2083">
        <v>12994200</v>
      </c>
      <c r="I2083">
        <f t="shared" si="33"/>
        <v>3.5720537405700941E-4</v>
      </c>
    </row>
    <row r="2084" spans="1:9" x14ac:dyDescent="0.3">
      <c r="A2084" s="5">
        <v>44659</v>
      </c>
      <c r="B2084">
        <v>131.66999799999999</v>
      </c>
      <c r="C2084">
        <v>133.89999399999999</v>
      </c>
      <c r="D2084">
        <v>131.490005</v>
      </c>
      <c r="E2084">
        <v>133.490005</v>
      </c>
      <c r="F2084">
        <v>126.56961800000001</v>
      </c>
      <c r="G2084">
        <v>13126900</v>
      </c>
      <c r="I2084">
        <f t="shared" si="33"/>
        <v>7.2151872044399291E-5</v>
      </c>
    </row>
    <row r="2085" spans="1:9" x14ac:dyDescent="0.3">
      <c r="A2085" s="5">
        <v>44662</v>
      </c>
      <c r="B2085">
        <v>133</v>
      </c>
      <c r="C2085">
        <v>134.89999399999999</v>
      </c>
      <c r="D2085">
        <v>132.570007</v>
      </c>
      <c r="E2085">
        <v>133</v>
      </c>
      <c r="F2085">
        <v>126.105026</v>
      </c>
      <c r="G2085">
        <v>10466400</v>
      </c>
      <c r="I2085">
        <f t="shared" si="33"/>
        <v>2.1168898517145946E-4</v>
      </c>
    </row>
    <row r="2086" spans="1:9" x14ac:dyDescent="0.3">
      <c r="A2086" s="5">
        <v>44663</v>
      </c>
      <c r="B2086">
        <v>132.13999899999999</v>
      </c>
      <c r="C2086">
        <v>134.58000200000001</v>
      </c>
      <c r="D2086">
        <v>130.699997</v>
      </c>
      <c r="E2086">
        <v>131.53999300000001</v>
      </c>
      <c r="F2086">
        <v>124.72071099999999</v>
      </c>
      <c r="G2086">
        <v>12989900</v>
      </c>
      <c r="I2086">
        <f t="shared" si="33"/>
        <v>4.8824165004884336E-4</v>
      </c>
    </row>
    <row r="2087" spans="1:9" x14ac:dyDescent="0.3">
      <c r="A2087" s="5">
        <v>44664</v>
      </c>
      <c r="B2087">
        <v>126.94000200000001</v>
      </c>
      <c r="C2087">
        <v>129.25</v>
      </c>
      <c r="D2087">
        <v>126.010002</v>
      </c>
      <c r="E2087">
        <v>127.300003</v>
      </c>
      <c r="F2087">
        <v>120.700531</v>
      </c>
      <c r="G2087">
        <v>30838000</v>
      </c>
      <c r="I2087">
        <f t="shared" si="33"/>
        <v>3.4904683289486629E-4</v>
      </c>
    </row>
    <row r="2088" spans="1:9" x14ac:dyDescent="0.3">
      <c r="A2088" s="5">
        <v>44665</v>
      </c>
      <c r="B2088">
        <v>126.5</v>
      </c>
      <c r="C2088">
        <v>128.300003</v>
      </c>
      <c r="D2088">
        <v>125.019997</v>
      </c>
      <c r="E2088">
        <v>126.120003</v>
      </c>
      <c r="F2088">
        <v>119.581703</v>
      </c>
      <c r="G2088">
        <v>18835200</v>
      </c>
      <c r="I2088">
        <f t="shared" si="33"/>
        <v>3.4522947732357532E-4</v>
      </c>
    </row>
    <row r="2089" spans="1:9" x14ac:dyDescent="0.3">
      <c r="A2089" s="5">
        <v>44669</v>
      </c>
      <c r="B2089">
        <v>125.66999800000001</v>
      </c>
      <c r="C2089">
        <v>129.240005</v>
      </c>
      <c r="D2089">
        <v>125.540001</v>
      </c>
      <c r="E2089">
        <v>128.46000699999999</v>
      </c>
      <c r="F2089">
        <v>121.8004</v>
      </c>
      <c r="G2089">
        <v>11834400</v>
      </c>
      <c r="I2089">
        <f t="shared" si="33"/>
        <v>1.9336793995470341E-4</v>
      </c>
    </row>
    <row r="2090" spans="1:9" x14ac:dyDescent="0.3">
      <c r="A2090" s="5">
        <v>44670</v>
      </c>
      <c r="B2090">
        <v>128.449997</v>
      </c>
      <c r="C2090">
        <v>131.320007</v>
      </c>
      <c r="D2090">
        <v>128.229996</v>
      </c>
      <c r="E2090">
        <v>131.11999499999999</v>
      </c>
      <c r="F2090">
        <v>124.322472</v>
      </c>
      <c r="G2090">
        <v>15015400</v>
      </c>
      <c r="I2090">
        <f t="shared" si="33"/>
        <v>7.1887196184628829E-5</v>
      </c>
    </row>
    <row r="2091" spans="1:9" x14ac:dyDescent="0.3">
      <c r="A2091" s="5">
        <v>44671</v>
      </c>
      <c r="B2091">
        <v>132.520004</v>
      </c>
      <c r="C2091">
        <v>133.509995</v>
      </c>
      <c r="D2091">
        <v>131.33999600000001</v>
      </c>
      <c r="E2091">
        <v>131.58000200000001</v>
      </c>
      <c r="F2091">
        <v>124.758644</v>
      </c>
      <c r="G2091">
        <v>13430200</v>
      </c>
      <c r="I2091">
        <f t="shared" si="33"/>
        <v>1.2470539468916725E-4</v>
      </c>
    </row>
    <row r="2092" spans="1:9" x14ac:dyDescent="0.3">
      <c r="A2092" s="5">
        <v>44672</v>
      </c>
      <c r="B2092">
        <v>132.220001</v>
      </c>
      <c r="C2092">
        <v>132.80999800000001</v>
      </c>
      <c r="D2092">
        <v>129.96000699999999</v>
      </c>
      <c r="E2092">
        <v>130.55999800000001</v>
      </c>
      <c r="F2092">
        <v>123.79151899999999</v>
      </c>
      <c r="G2092">
        <v>12174200</v>
      </c>
      <c r="I2092">
        <f t="shared" si="33"/>
        <v>1.5548645957738359E-4</v>
      </c>
    </row>
    <row r="2093" spans="1:9" x14ac:dyDescent="0.3">
      <c r="A2093" s="5">
        <v>44673</v>
      </c>
      <c r="B2093">
        <v>130.279999</v>
      </c>
      <c r="C2093">
        <v>130.520004</v>
      </c>
      <c r="D2093">
        <v>126.69000200000001</v>
      </c>
      <c r="E2093">
        <v>126.80999799999999</v>
      </c>
      <c r="F2093">
        <v>120.235924</v>
      </c>
      <c r="G2093">
        <v>14318800</v>
      </c>
      <c r="I2093">
        <f t="shared" si="33"/>
        <v>7.9528485832754725E-5</v>
      </c>
    </row>
    <row r="2094" spans="1:9" x14ac:dyDescent="0.3">
      <c r="A2094" s="5">
        <v>44676</v>
      </c>
      <c r="B2094">
        <v>126.010002</v>
      </c>
      <c r="C2094">
        <v>127.120003</v>
      </c>
      <c r="D2094">
        <v>123.110001</v>
      </c>
      <c r="E2094">
        <v>126.769997</v>
      </c>
      <c r="F2094">
        <v>120.19800600000001</v>
      </c>
      <c r="G2094">
        <v>17149000</v>
      </c>
      <c r="I2094">
        <f t="shared" si="33"/>
        <v>7.0628293005651067E-4</v>
      </c>
    </row>
    <row r="2095" spans="1:9" x14ac:dyDescent="0.3">
      <c r="A2095" s="5">
        <v>44677</v>
      </c>
      <c r="B2095">
        <v>124.639999</v>
      </c>
      <c r="C2095">
        <v>126.410004</v>
      </c>
      <c r="D2095">
        <v>122.870003</v>
      </c>
      <c r="E2095">
        <v>123.019997</v>
      </c>
      <c r="F2095">
        <v>116.642403</v>
      </c>
      <c r="G2095">
        <v>17209500</v>
      </c>
      <c r="I2095">
        <f t="shared" si="33"/>
        <v>4.007681613219093E-4</v>
      </c>
    </row>
    <row r="2096" spans="1:9" x14ac:dyDescent="0.3">
      <c r="A2096" s="5">
        <v>44678</v>
      </c>
      <c r="B2096">
        <v>122.33000199999999</v>
      </c>
      <c r="C2096">
        <v>123.55999799999999</v>
      </c>
      <c r="D2096">
        <v>121.220001</v>
      </c>
      <c r="E2096">
        <v>121.41999800000001</v>
      </c>
      <c r="F2096">
        <v>115.12535099999999</v>
      </c>
      <c r="G2096">
        <v>17215200</v>
      </c>
      <c r="I2096">
        <f t="shared" si="33"/>
        <v>1.8981818885305756E-4</v>
      </c>
    </row>
    <row r="2097" spans="1:9" x14ac:dyDescent="0.3">
      <c r="A2097" s="5">
        <v>44679</v>
      </c>
      <c r="B2097">
        <v>122.80999799999999</v>
      </c>
      <c r="C2097">
        <v>123.650002</v>
      </c>
      <c r="D2097">
        <v>121.139999</v>
      </c>
      <c r="E2097">
        <v>123.339996</v>
      </c>
      <c r="F2097">
        <v>116.94581599999999</v>
      </c>
      <c r="G2097">
        <v>13015600</v>
      </c>
      <c r="I2097">
        <f t="shared" si="33"/>
        <v>2.635296063015035E-4</v>
      </c>
    </row>
    <row r="2098" spans="1:9" x14ac:dyDescent="0.3">
      <c r="A2098" s="5">
        <v>44680</v>
      </c>
      <c r="B2098">
        <v>123.050003</v>
      </c>
      <c r="C2098">
        <v>123.610001</v>
      </c>
      <c r="D2098">
        <v>118.900002</v>
      </c>
      <c r="E2098">
        <v>119.360001</v>
      </c>
      <c r="F2098">
        <v>113.17215</v>
      </c>
      <c r="G2098">
        <v>14874800</v>
      </c>
      <c r="I2098">
        <f t="shared" si="33"/>
        <v>2.9133954147590491E-4</v>
      </c>
    </row>
    <row r="2099" spans="1:9" x14ac:dyDescent="0.3">
      <c r="A2099" s="5">
        <v>44683</v>
      </c>
      <c r="B2099">
        <v>119.879997</v>
      </c>
      <c r="C2099">
        <v>120.709999</v>
      </c>
      <c r="D2099">
        <v>118.220001</v>
      </c>
      <c r="E2099">
        <v>120.449997</v>
      </c>
      <c r="F2099">
        <v>114.20564299999999</v>
      </c>
      <c r="G2099">
        <v>18545000</v>
      </c>
      <c r="I2099">
        <f t="shared" si="33"/>
        <v>2.7545316307417747E-4</v>
      </c>
    </row>
    <row r="2100" spans="1:9" x14ac:dyDescent="0.3">
      <c r="A2100" s="5">
        <v>44684</v>
      </c>
      <c r="B2100">
        <v>121.529999</v>
      </c>
      <c r="C2100">
        <v>124.16999800000001</v>
      </c>
      <c r="D2100">
        <v>120.779999</v>
      </c>
      <c r="E2100">
        <v>123.029999</v>
      </c>
      <c r="F2100">
        <v>116.651878</v>
      </c>
      <c r="G2100">
        <v>15720900</v>
      </c>
      <c r="I2100">
        <f t="shared" si="33"/>
        <v>3.124741476451051E-4</v>
      </c>
    </row>
    <row r="2101" spans="1:9" x14ac:dyDescent="0.3">
      <c r="A2101" s="5">
        <v>44685</v>
      </c>
      <c r="B2101">
        <v>122.800003</v>
      </c>
      <c r="C2101">
        <v>127.400002</v>
      </c>
      <c r="D2101">
        <v>122.739998</v>
      </c>
      <c r="E2101">
        <v>127.099998</v>
      </c>
      <c r="F2101">
        <v>120.510895</v>
      </c>
      <c r="G2101">
        <v>17128500</v>
      </c>
      <c r="I2101">
        <f t="shared" si="33"/>
        <v>1.0376052407089957E-4</v>
      </c>
    </row>
    <row r="2102" spans="1:9" x14ac:dyDescent="0.3">
      <c r="A2102" s="5">
        <v>44686</v>
      </c>
      <c r="B2102">
        <v>125.25</v>
      </c>
      <c r="C2102">
        <v>126.099998</v>
      </c>
      <c r="D2102">
        <v>122.160004</v>
      </c>
      <c r="E2102">
        <v>123.91999800000001</v>
      </c>
      <c r="F2102">
        <v>117.49575</v>
      </c>
      <c r="G2102">
        <v>15055400</v>
      </c>
      <c r="I2102">
        <f t="shared" si="33"/>
        <v>4.7527550176437413E-4</v>
      </c>
    </row>
    <row r="2103" spans="1:9" x14ac:dyDescent="0.3">
      <c r="A2103" s="5">
        <v>44687</v>
      </c>
      <c r="B2103">
        <v>123.800003</v>
      </c>
      <c r="C2103">
        <v>124.290001</v>
      </c>
      <c r="D2103">
        <v>121.18</v>
      </c>
      <c r="E2103">
        <v>123.720001</v>
      </c>
      <c r="F2103">
        <v>117.306107</v>
      </c>
      <c r="G2103">
        <v>14417900</v>
      </c>
      <c r="I2103">
        <f t="shared" si="33"/>
        <v>4.6187669031061109E-4</v>
      </c>
    </row>
    <row r="2104" spans="1:9" x14ac:dyDescent="0.3">
      <c r="A2104" s="5">
        <v>44690</v>
      </c>
      <c r="B2104">
        <v>122.110001</v>
      </c>
      <c r="C2104">
        <v>123.33000199999999</v>
      </c>
      <c r="D2104">
        <v>120.5</v>
      </c>
      <c r="E2104">
        <v>121.860001</v>
      </c>
      <c r="F2104">
        <v>115.542542</v>
      </c>
      <c r="G2104">
        <v>14312300</v>
      </c>
      <c r="I2104">
        <f t="shared" si="33"/>
        <v>2.6816506819682428E-4</v>
      </c>
    </row>
    <row r="2105" spans="1:9" x14ac:dyDescent="0.3">
      <c r="A2105" s="5">
        <v>44691</v>
      </c>
      <c r="B2105">
        <v>123.110001</v>
      </c>
      <c r="C2105">
        <v>123.779999</v>
      </c>
      <c r="D2105">
        <v>117.55999799999999</v>
      </c>
      <c r="E2105">
        <v>118.889999</v>
      </c>
      <c r="F2105">
        <v>112.72650899999999</v>
      </c>
      <c r="G2105">
        <v>16382400</v>
      </c>
      <c r="I2105">
        <f t="shared" si="33"/>
        <v>7.3771738156897741E-4</v>
      </c>
    </row>
    <row r="2106" spans="1:9" x14ac:dyDescent="0.3">
      <c r="A2106" s="5">
        <v>44692</v>
      </c>
      <c r="B2106">
        <v>119.300003</v>
      </c>
      <c r="C2106">
        <v>122.889999</v>
      </c>
      <c r="D2106">
        <v>117.94000200000001</v>
      </c>
      <c r="E2106">
        <v>118.139999</v>
      </c>
      <c r="F2106">
        <v>112.015396</v>
      </c>
      <c r="G2106">
        <v>14630300</v>
      </c>
      <c r="I2106">
        <f t="shared" si="33"/>
        <v>1.1881400138204783E-3</v>
      </c>
    </row>
    <row r="2107" spans="1:9" x14ac:dyDescent="0.3">
      <c r="A2107" s="5">
        <v>44693</v>
      </c>
      <c r="B2107">
        <v>117</v>
      </c>
      <c r="C2107">
        <v>118.32</v>
      </c>
      <c r="D2107">
        <v>115.370003</v>
      </c>
      <c r="E2107">
        <v>118.040001</v>
      </c>
      <c r="F2107">
        <v>111.920586</v>
      </c>
      <c r="G2107">
        <v>16318800</v>
      </c>
      <c r="I2107">
        <f t="shared" si="33"/>
        <v>3.4756510491389299E-4</v>
      </c>
    </row>
    <row r="2108" spans="1:9" x14ac:dyDescent="0.3">
      <c r="A2108" s="5">
        <v>44694</v>
      </c>
      <c r="B2108">
        <v>119.410004</v>
      </c>
      <c r="C2108">
        <v>120.25</v>
      </c>
      <c r="D2108">
        <v>117.959999</v>
      </c>
      <c r="E2108">
        <v>119.089996</v>
      </c>
      <c r="F2108">
        <v>112.916138</v>
      </c>
      <c r="G2108">
        <v>10443200</v>
      </c>
      <c r="I2108">
        <f t="shared" si="33"/>
        <v>1.8442979690579358E-4</v>
      </c>
    </row>
    <row r="2109" spans="1:9" x14ac:dyDescent="0.3">
      <c r="A2109" s="5">
        <v>44697</v>
      </c>
      <c r="B2109">
        <v>118.540001</v>
      </c>
      <c r="C2109">
        <v>119.459999</v>
      </c>
      <c r="D2109">
        <v>117.230003</v>
      </c>
      <c r="E2109">
        <v>118.260002</v>
      </c>
      <c r="F2109">
        <v>112.12917299999999</v>
      </c>
      <c r="G2109">
        <v>10269000</v>
      </c>
      <c r="I2109">
        <f t="shared" si="33"/>
        <v>1.7526371172924254E-4</v>
      </c>
    </row>
    <row r="2110" spans="1:9" x14ac:dyDescent="0.3">
      <c r="A2110" s="5">
        <v>44698</v>
      </c>
      <c r="B2110">
        <v>121.040001</v>
      </c>
      <c r="C2110">
        <v>122.970001</v>
      </c>
      <c r="D2110">
        <v>120.80999799999999</v>
      </c>
      <c r="E2110">
        <v>122.18</v>
      </c>
      <c r="F2110">
        <v>115.845947</v>
      </c>
      <c r="G2110">
        <v>11160200</v>
      </c>
      <c r="I2110">
        <f t="shared" si="33"/>
        <v>1.2340465575180317E-4</v>
      </c>
    </row>
    <row r="2111" spans="1:9" x14ac:dyDescent="0.3">
      <c r="A2111" s="5">
        <v>44699</v>
      </c>
      <c r="B2111">
        <v>121.300003</v>
      </c>
      <c r="C2111">
        <v>121.970001</v>
      </c>
      <c r="D2111">
        <v>119.529999</v>
      </c>
      <c r="E2111">
        <v>120.089996</v>
      </c>
      <c r="F2111">
        <v>113.864304</v>
      </c>
      <c r="G2111">
        <v>12664900</v>
      </c>
      <c r="I2111">
        <f t="shared" si="33"/>
        <v>1.5426997267326068E-4</v>
      </c>
    </row>
    <row r="2112" spans="1:9" x14ac:dyDescent="0.3">
      <c r="A2112" s="5">
        <v>44700</v>
      </c>
      <c r="B2112">
        <v>118.19000200000001</v>
      </c>
      <c r="C2112">
        <v>119.650002</v>
      </c>
      <c r="D2112">
        <v>117.629997</v>
      </c>
      <c r="E2112">
        <v>118.30999799999999</v>
      </c>
      <c r="F2112">
        <v>112.176575</v>
      </c>
      <c r="G2112">
        <v>12765800</v>
      </c>
      <c r="I2112">
        <f t="shared" si="33"/>
        <v>1.6565058260375467E-4</v>
      </c>
    </row>
    <row r="2113" spans="1:9" x14ac:dyDescent="0.3">
      <c r="A2113" s="5">
        <v>44701</v>
      </c>
      <c r="B2113">
        <v>119.459999</v>
      </c>
      <c r="C2113">
        <v>119.66999800000001</v>
      </c>
      <c r="D2113">
        <v>115.019997</v>
      </c>
      <c r="E2113">
        <v>117.339996</v>
      </c>
      <c r="F2113">
        <v>111.256866</v>
      </c>
      <c r="G2113">
        <v>13150100</v>
      </c>
      <c r="I2113">
        <f t="shared" si="33"/>
        <v>7.9089677919687382E-4</v>
      </c>
    </row>
    <row r="2114" spans="1:9" x14ac:dyDescent="0.3">
      <c r="A2114" s="5">
        <v>44704</v>
      </c>
      <c r="B2114">
        <v>120.459999</v>
      </c>
      <c r="C2114">
        <v>126.57</v>
      </c>
      <c r="D2114">
        <v>120.449997</v>
      </c>
      <c r="E2114">
        <v>124.599998</v>
      </c>
      <c r="F2114">
        <v>118.140495</v>
      </c>
      <c r="G2114">
        <v>24376700</v>
      </c>
      <c r="I2114">
        <f t="shared" si="33"/>
        <v>7.7896685221016005E-4</v>
      </c>
    </row>
    <row r="2115" spans="1:9" x14ac:dyDescent="0.3">
      <c r="A2115" s="5">
        <v>44705</v>
      </c>
      <c r="B2115">
        <v>124.360001</v>
      </c>
      <c r="C2115">
        <v>127.489998</v>
      </c>
      <c r="D2115">
        <v>123.110001</v>
      </c>
      <c r="E2115">
        <v>126.360001</v>
      </c>
      <c r="F2115">
        <v>119.80925000000001</v>
      </c>
      <c r="G2115">
        <v>19324900</v>
      </c>
      <c r="I2115">
        <f t="shared" si="33"/>
        <v>4.8453625122632353E-4</v>
      </c>
    </row>
    <row r="2116" spans="1:9" x14ac:dyDescent="0.3">
      <c r="A2116" s="5">
        <v>44706</v>
      </c>
      <c r="B2116">
        <v>126.279999</v>
      </c>
      <c r="C2116">
        <v>127.860001</v>
      </c>
      <c r="D2116">
        <v>125.16999800000001</v>
      </c>
      <c r="E2116">
        <v>127.239998</v>
      </c>
      <c r="F2116">
        <v>120.64362300000001</v>
      </c>
      <c r="G2116">
        <v>12780400</v>
      </c>
      <c r="I2116">
        <f t="shared" si="33"/>
        <v>2.0525455855411855E-4</v>
      </c>
    </row>
    <row r="2117" spans="1:9" x14ac:dyDescent="0.3">
      <c r="A2117" s="5">
        <v>44707</v>
      </c>
      <c r="B2117">
        <v>128.36999499999999</v>
      </c>
      <c r="C2117">
        <v>130.19000199999999</v>
      </c>
      <c r="D2117">
        <v>128.21000699999999</v>
      </c>
      <c r="E2117">
        <v>129.44000199999999</v>
      </c>
      <c r="F2117">
        <v>122.729568</v>
      </c>
      <c r="G2117">
        <v>15990900</v>
      </c>
      <c r="I2117">
        <f t="shared" si="33"/>
        <v>9.3243653832464436E-5</v>
      </c>
    </row>
    <row r="2118" spans="1:9" x14ac:dyDescent="0.3">
      <c r="A2118" s="5">
        <v>44708</v>
      </c>
      <c r="B2118">
        <v>130.16000399999999</v>
      </c>
      <c r="C2118">
        <v>131.270004</v>
      </c>
      <c r="D2118">
        <v>129.13999899999999</v>
      </c>
      <c r="E2118">
        <v>131.270004</v>
      </c>
      <c r="F2118">
        <v>124.464714</v>
      </c>
      <c r="G2118">
        <v>11177800</v>
      </c>
      <c r="I2118">
        <f t="shared" si="33"/>
        <v>1.2870477393654147E-4</v>
      </c>
    </row>
    <row r="2119" spans="1:9" x14ac:dyDescent="0.3">
      <c r="A2119" s="5">
        <v>44712</v>
      </c>
      <c r="B2119">
        <v>130.179993</v>
      </c>
      <c r="C2119">
        <v>133.14999399999999</v>
      </c>
      <c r="D2119">
        <v>129.71000699999999</v>
      </c>
      <c r="E2119">
        <v>132.229996</v>
      </c>
      <c r="F2119">
        <v>125.374931</v>
      </c>
      <c r="G2119">
        <v>17015000</v>
      </c>
      <c r="I2119">
        <f t="shared" si="33"/>
        <v>2.2599969752749762E-4</v>
      </c>
    </row>
    <row r="2120" spans="1:9" x14ac:dyDescent="0.3">
      <c r="A2120" s="5">
        <v>44713</v>
      </c>
      <c r="B2120">
        <v>132.86999499999999</v>
      </c>
      <c r="C2120">
        <v>132.86999499999999</v>
      </c>
      <c r="D2120">
        <v>128.66999799999999</v>
      </c>
      <c r="E2120">
        <v>129.91000399999999</v>
      </c>
      <c r="F2120">
        <v>123.175224</v>
      </c>
      <c r="G2120">
        <v>10768000</v>
      </c>
      <c r="I2120">
        <f t="shared" si="33"/>
        <v>3.0806359657596741E-4</v>
      </c>
    </row>
    <row r="2121" spans="1:9" x14ac:dyDescent="0.3">
      <c r="A2121" s="5">
        <v>44714</v>
      </c>
      <c r="B2121">
        <v>129.89999399999999</v>
      </c>
      <c r="C2121">
        <v>132.009995</v>
      </c>
      <c r="D2121">
        <v>128.66999799999999</v>
      </c>
      <c r="E2121">
        <v>132</v>
      </c>
      <c r="F2121">
        <v>125.156868</v>
      </c>
      <c r="G2121">
        <v>8374800</v>
      </c>
      <c r="I2121">
        <f t="shared" si="33"/>
        <v>2.4430934840658381E-4</v>
      </c>
    </row>
    <row r="2122" spans="1:9" x14ac:dyDescent="0.3">
      <c r="A2122" s="5">
        <v>44715</v>
      </c>
      <c r="B2122">
        <v>131.21000699999999</v>
      </c>
      <c r="C2122">
        <v>131.770004</v>
      </c>
      <c r="D2122">
        <v>129.990005</v>
      </c>
      <c r="E2122">
        <v>130.16000399999999</v>
      </c>
      <c r="F2122">
        <v>123.41224699999999</v>
      </c>
      <c r="G2122">
        <v>8596000</v>
      </c>
      <c r="I2122">
        <f t="shared" si="33"/>
        <v>6.45651934255034E-5</v>
      </c>
    </row>
    <row r="2123" spans="1:9" x14ac:dyDescent="0.3">
      <c r="A2123" s="5">
        <v>44718</v>
      </c>
      <c r="B2123">
        <v>131.08999600000001</v>
      </c>
      <c r="C2123">
        <v>132.38999899999999</v>
      </c>
      <c r="D2123">
        <v>129.46000699999999</v>
      </c>
      <c r="E2123">
        <v>129.729996</v>
      </c>
      <c r="F2123">
        <v>123.004547</v>
      </c>
      <c r="G2123">
        <v>11323500</v>
      </c>
      <c r="I2123">
        <f t="shared" si="33"/>
        <v>2.2635577499380451E-4</v>
      </c>
    </row>
    <row r="2124" spans="1:9" x14ac:dyDescent="0.3">
      <c r="A2124" s="5">
        <v>44719</v>
      </c>
      <c r="B2124">
        <v>128.83000200000001</v>
      </c>
      <c r="C2124">
        <v>130.320007</v>
      </c>
      <c r="D2124">
        <v>128.61999499999999</v>
      </c>
      <c r="E2124">
        <v>130.070007</v>
      </c>
      <c r="F2124">
        <v>123.32693500000001</v>
      </c>
      <c r="G2124">
        <v>6722200</v>
      </c>
      <c r="I2124">
        <f t="shared" ref="I2124:I2187" si="34">LN(C2124/B2124)*(LN(C2124/B2124)-LN(E2124/B2124))+LN(D2124/B2124)*(LN(D2124/B2124)-LN(E2124/B2124))</f>
        <v>4.0370232494312012E-5</v>
      </c>
    </row>
    <row r="2125" spans="1:9" x14ac:dyDescent="0.3">
      <c r="A2125" s="5">
        <v>44720</v>
      </c>
      <c r="B2125">
        <v>129</v>
      </c>
      <c r="C2125">
        <v>129.449997</v>
      </c>
      <c r="D2125">
        <v>126.900002</v>
      </c>
      <c r="E2125">
        <v>128</v>
      </c>
      <c r="F2125">
        <v>121.364227</v>
      </c>
      <c r="G2125">
        <v>8422100</v>
      </c>
      <c r="I2125">
        <f t="shared" si="34"/>
        <v>1.8088449182548043E-4</v>
      </c>
    </row>
    <row r="2126" spans="1:9" x14ac:dyDescent="0.3">
      <c r="A2126" s="5">
        <v>44721</v>
      </c>
      <c r="B2126">
        <v>127.370003</v>
      </c>
      <c r="C2126">
        <v>128.10000600000001</v>
      </c>
      <c r="D2126">
        <v>125.269997</v>
      </c>
      <c r="E2126">
        <v>125.30999799999999</v>
      </c>
      <c r="F2126">
        <v>118.81368999999999</v>
      </c>
      <c r="G2126">
        <v>13560100</v>
      </c>
      <c r="I2126">
        <f t="shared" si="34"/>
        <v>1.3115543715857929E-4</v>
      </c>
    </row>
    <row r="2127" spans="1:9" x14ac:dyDescent="0.3">
      <c r="A2127" s="5">
        <v>44722</v>
      </c>
      <c r="B2127">
        <v>122.589996</v>
      </c>
      <c r="C2127">
        <v>123.400002</v>
      </c>
      <c r="D2127">
        <v>119.32</v>
      </c>
      <c r="E2127">
        <v>119.550003</v>
      </c>
      <c r="F2127">
        <v>113.352295</v>
      </c>
      <c r="G2127">
        <v>12945200</v>
      </c>
      <c r="I2127">
        <f t="shared" si="34"/>
        <v>2.6080895440662194E-4</v>
      </c>
    </row>
    <row r="2128" spans="1:9" x14ac:dyDescent="0.3">
      <c r="A2128" s="5">
        <v>44725</v>
      </c>
      <c r="B2128">
        <v>116.860001</v>
      </c>
      <c r="C2128">
        <v>117.949997</v>
      </c>
      <c r="D2128">
        <v>115.05999799999999</v>
      </c>
      <c r="E2128">
        <v>115.989998</v>
      </c>
      <c r="F2128">
        <v>109.976845</v>
      </c>
      <c r="G2128">
        <v>16805600</v>
      </c>
      <c r="I2128">
        <f t="shared" si="34"/>
        <v>2.8053601624074796E-4</v>
      </c>
    </row>
    <row r="2129" spans="1:9" x14ac:dyDescent="0.3">
      <c r="A2129" s="5">
        <v>44726</v>
      </c>
      <c r="B2129">
        <v>115.550003</v>
      </c>
      <c r="C2129">
        <v>117.32</v>
      </c>
      <c r="D2129">
        <v>113.220001</v>
      </c>
      <c r="E2129">
        <v>114.05999799999999</v>
      </c>
      <c r="F2129">
        <v>108.14690400000001</v>
      </c>
      <c r="G2129">
        <v>13357900</v>
      </c>
      <c r="I2129">
        <f t="shared" si="34"/>
        <v>5.7897293840559019E-4</v>
      </c>
    </row>
    <row r="2130" spans="1:9" x14ac:dyDescent="0.3">
      <c r="A2130" s="5">
        <v>44727</v>
      </c>
      <c r="B2130">
        <v>115.620003</v>
      </c>
      <c r="C2130">
        <v>116.949997</v>
      </c>
      <c r="D2130">
        <v>113.16999800000001</v>
      </c>
      <c r="E2130">
        <v>115.410004</v>
      </c>
      <c r="F2130">
        <v>109.42692599999999</v>
      </c>
      <c r="G2130">
        <v>14083500</v>
      </c>
      <c r="I2130">
        <f t="shared" si="34"/>
        <v>5.7139812451725944E-4</v>
      </c>
    </row>
    <row r="2131" spans="1:9" x14ac:dyDescent="0.3">
      <c r="A2131" s="5">
        <v>44728</v>
      </c>
      <c r="B2131">
        <v>113.860001</v>
      </c>
      <c r="C2131">
        <v>114.260002</v>
      </c>
      <c r="D2131">
        <v>111.870003</v>
      </c>
      <c r="E2131">
        <v>113.43</v>
      </c>
      <c r="F2131">
        <v>107.54956799999999</v>
      </c>
      <c r="G2131">
        <v>16724900</v>
      </c>
      <c r="I2131">
        <f t="shared" si="34"/>
        <v>2.6974454332292087E-4</v>
      </c>
    </row>
    <row r="2132" spans="1:9" x14ac:dyDescent="0.3">
      <c r="A2132" s="5">
        <v>44729</v>
      </c>
      <c r="B2132">
        <v>113.540001</v>
      </c>
      <c r="C2132">
        <v>114.629997</v>
      </c>
      <c r="D2132">
        <v>112.160004</v>
      </c>
      <c r="E2132">
        <v>113.029999</v>
      </c>
      <c r="F2132">
        <v>107.17029599999999</v>
      </c>
      <c r="G2132">
        <v>30919900</v>
      </c>
      <c r="I2132">
        <f t="shared" si="34"/>
        <v>2.2878711080063369E-4</v>
      </c>
    </row>
    <row r="2133" spans="1:9" x14ac:dyDescent="0.3">
      <c r="A2133" s="5">
        <v>44733</v>
      </c>
      <c r="B2133">
        <v>115.870003</v>
      </c>
      <c r="C2133">
        <v>117.029999</v>
      </c>
      <c r="D2133">
        <v>115.040001</v>
      </c>
      <c r="E2133">
        <v>115.83000199999999</v>
      </c>
      <c r="F2133">
        <v>109.82514999999999</v>
      </c>
      <c r="G2133">
        <v>11680500</v>
      </c>
      <c r="I2133">
        <f t="shared" si="34"/>
        <v>1.518685159570497E-4</v>
      </c>
    </row>
    <row r="2134" spans="1:9" x14ac:dyDescent="0.3">
      <c r="A2134" s="5">
        <v>44734</v>
      </c>
      <c r="B2134">
        <v>114.879997</v>
      </c>
      <c r="C2134">
        <v>116.199997</v>
      </c>
      <c r="D2134">
        <v>114.389999</v>
      </c>
      <c r="E2134">
        <v>115.18</v>
      </c>
      <c r="F2134">
        <v>109.208839</v>
      </c>
      <c r="G2134">
        <v>9842700</v>
      </c>
      <c r="I2134">
        <f t="shared" si="34"/>
        <v>1.3014705743349516E-4</v>
      </c>
    </row>
    <row r="2135" spans="1:9" x14ac:dyDescent="0.3">
      <c r="A2135" s="5">
        <v>44735</v>
      </c>
      <c r="B2135">
        <v>115.010002</v>
      </c>
      <c r="C2135">
        <v>115.18</v>
      </c>
      <c r="D2135">
        <v>111.480003</v>
      </c>
      <c r="E2135">
        <v>113.91999800000001</v>
      </c>
      <c r="F2135">
        <v>108.014168</v>
      </c>
      <c r="G2135">
        <v>11851500</v>
      </c>
      <c r="I2135">
        <f t="shared" si="34"/>
        <v>6.911984944782001E-4</v>
      </c>
    </row>
    <row r="2136" spans="1:9" x14ac:dyDescent="0.3">
      <c r="A2136" s="5">
        <v>44736</v>
      </c>
      <c r="B2136">
        <v>113.230003</v>
      </c>
      <c r="C2136">
        <v>117.82</v>
      </c>
      <c r="D2136">
        <v>112.83000199999999</v>
      </c>
      <c r="E2136">
        <v>117.32</v>
      </c>
      <c r="F2136">
        <v>111.237892</v>
      </c>
      <c r="G2136">
        <v>14841100</v>
      </c>
      <c r="I2136">
        <f t="shared" si="34"/>
        <v>3.0709081851008039E-4</v>
      </c>
    </row>
    <row r="2137" spans="1:9" x14ac:dyDescent="0.3">
      <c r="A2137" s="5">
        <v>44739</v>
      </c>
      <c r="B2137">
        <v>118.05999799999999</v>
      </c>
      <c r="C2137">
        <v>118.5</v>
      </c>
      <c r="D2137">
        <v>115.639999</v>
      </c>
      <c r="E2137">
        <v>116.379997</v>
      </c>
      <c r="F2137">
        <v>110.346626</v>
      </c>
      <c r="G2137">
        <v>11280500</v>
      </c>
      <c r="I2137">
        <f t="shared" si="34"/>
        <v>1.9926553108228352E-4</v>
      </c>
    </row>
    <row r="2138" spans="1:9" x14ac:dyDescent="0.3">
      <c r="A2138" s="5">
        <v>44740</v>
      </c>
      <c r="B2138">
        <v>117.66999800000001</v>
      </c>
      <c r="C2138">
        <v>119.290001</v>
      </c>
      <c r="D2138">
        <v>115.599998</v>
      </c>
      <c r="E2138">
        <v>115.82</v>
      </c>
      <c r="F2138">
        <v>109.81566599999999</v>
      </c>
      <c r="G2138">
        <v>11590900</v>
      </c>
      <c r="I2138">
        <f t="shared" si="34"/>
        <v>4.3738808052172593E-4</v>
      </c>
    </row>
    <row r="2139" spans="1:9" x14ac:dyDescent="0.3">
      <c r="A2139" s="5">
        <v>44741</v>
      </c>
      <c r="B2139">
        <v>116</v>
      </c>
      <c r="C2139">
        <v>116.82</v>
      </c>
      <c r="D2139">
        <v>114.730003</v>
      </c>
      <c r="E2139">
        <v>115.300003</v>
      </c>
      <c r="F2139">
        <v>109.322632</v>
      </c>
      <c r="G2139">
        <v>9338400</v>
      </c>
      <c r="I2139">
        <f t="shared" si="34"/>
        <v>1.4681285900708778E-4</v>
      </c>
    </row>
    <row r="2140" spans="1:9" x14ac:dyDescent="0.3">
      <c r="A2140" s="5">
        <v>44742</v>
      </c>
      <c r="B2140">
        <v>113.16999800000001</v>
      </c>
      <c r="C2140">
        <v>114.08000199999999</v>
      </c>
      <c r="D2140">
        <v>110.93</v>
      </c>
      <c r="E2140">
        <v>112.610001</v>
      </c>
      <c r="F2140">
        <v>106.772087</v>
      </c>
      <c r="G2140">
        <v>15172600</v>
      </c>
      <c r="I2140">
        <f t="shared" si="34"/>
        <v>4.0436947536749511E-4</v>
      </c>
    </row>
    <row r="2141" spans="1:9" x14ac:dyDescent="0.3">
      <c r="A2141" s="5">
        <v>44743</v>
      </c>
      <c r="B2141">
        <v>112.650002</v>
      </c>
      <c r="C2141">
        <v>114.41999800000001</v>
      </c>
      <c r="D2141">
        <v>111.160004</v>
      </c>
      <c r="E2141">
        <v>114.050003</v>
      </c>
      <c r="F2141">
        <v>108.13743599999999</v>
      </c>
      <c r="G2141">
        <v>10573600</v>
      </c>
      <c r="I2141">
        <f t="shared" si="34"/>
        <v>3.9224336159214459E-4</v>
      </c>
    </row>
    <row r="2142" spans="1:9" x14ac:dyDescent="0.3">
      <c r="A2142" s="5">
        <v>44747</v>
      </c>
      <c r="B2142">
        <v>110.769997</v>
      </c>
      <c r="C2142">
        <v>112.709999</v>
      </c>
      <c r="D2142">
        <v>109.300003</v>
      </c>
      <c r="E2142">
        <v>112.620003</v>
      </c>
      <c r="F2142">
        <v>107.726112</v>
      </c>
      <c r="G2142">
        <v>12514200</v>
      </c>
      <c r="I2142">
        <f t="shared" si="34"/>
        <v>4.1362498509473356E-4</v>
      </c>
    </row>
    <row r="2143" spans="1:9" x14ac:dyDescent="0.3">
      <c r="A2143" s="5">
        <v>44748</v>
      </c>
      <c r="B2143">
        <v>111.730003</v>
      </c>
      <c r="C2143">
        <v>112.989998</v>
      </c>
      <c r="D2143">
        <v>110.790001</v>
      </c>
      <c r="E2143">
        <v>111.889999</v>
      </c>
      <c r="F2143">
        <v>107.027824</v>
      </c>
      <c r="G2143">
        <v>10656200</v>
      </c>
      <c r="I2143">
        <f t="shared" si="34"/>
        <v>1.9317873334795377E-4</v>
      </c>
    </row>
    <row r="2144" spans="1:9" x14ac:dyDescent="0.3">
      <c r="A2144" s="5">
        <v>44749</v>
      </c>
      <c r="B2144">
        <v>113.5</v>
      </c>
      <c r="C2144">
        <v>114.900002</v>
      </c>
      <c r="D2144">
        <v>113.400002</v>
      </c>
      <c r="E2144">
        <v>114.720001</v>
      </c>
      <c r="F2144">
        <v>109.73485599999999</v>
      </c>
      <c r="G2144">
        <v>10347400</v>
      </c>
      <c r="I2144">
        <f t="shared" si="34"/>
        <v>2.9421183173914301E-5</v>
      </c>
    </row>
    <row r="2145" spans="1:9" x14ac:dyDescent="0.3">
      <c r="A2145" s="5">
        <v>44750</v>
      </c>
      <c r="B2145">
        <v>115.160004</v>
      </c>
      <c r="C2145">
        <v>115.650002</v>
      </c>
      <c r="D2145">
        <v>113.610001</v>
      </c>
      <c r="E2145">
        <v>114.360001</v>
      </c>
      <c r="F2145">
        <v>109.390503</v>
      </c>
      <c r="G2145">
        <v>8807800</v>
      </c>
      <c r="I2145">
        <f t="shared" si="34"/>
        <v>1.3678956100550161E-4</v>
      </c>
    </row>
    <row r="2146" spans="1:9" x14ac:dyDescent="0.3">
      <c r="A2146" s="5">
        <v>44753</v>
      </c>
      <c r="B2146">
        <v>113.550003</v>
      </c>
      <c r="C2146">
        <v>114.230003</v>
      </c>
      <c r="D2146">
        <v>112.220001</v>
      </c>
      <c r="E2146">
        <v>112.860001</v>
      </c>
      <c r="F2146">
        <v>107.955681</v>
      </c>
      <c r="G2146">
        <v>7939500</v>
      </c>
      <c r="I2146">
        <f t="shared" si="34"/>
        <v>1.3904471233670504E-4</v>
      </c>
    </row>
    <row r="2147" spans="1:9" x14ac:dyDescent="0.3">
      <c r="A2147" s="5">
        <v>44754</v>
      </c>
      <c r="B2147">
        <v>112.58000199999999</v>
      </c>
      <c r="C2147">
        <v>115.18</v>
      </c>
      <c r="D2147">
        <v>112.260002</v>
      </c>
      <c r="E2147">
        <v>112.970001</v>
      </c>
      <c r="F2147">
        <v>108.06090500000001</v>
      </c>
      <c r="G2147">
        <v>11250900</v>
      </c>
      <c r="I2147">
        <f t="shared" si="34"/>
        <v>4.6028952889689E-4</v>
      </c>
    </row>
    <row r="2148" spans="1:9" x14ac:dyDescent="0.3">
      <c r="A2148" s="5">
        <v>44755</v>
      </c>
      <c r="B2148">
        <v>111.75</v>
      </c>
      <c r="C2148">
        <v>112.480003</v>
      </c>
      <c r="D2148">
        <v>110.379997</v>
      </c>
      <c r="E2148">
        <v>111.910004</v>
      </c>
      <c r="F2148">
        <v>107.046967</v>
      </c>
      <c r="G2148">
        <v>12979900</v>
      </c>
      <c r="I2148">
        <f t="shared" si="34"/>
        <v>2.0288866763295806E-4</v>
      </c>
    </row>
    <row r="2149" spans="1:9" x14ac:dyDescent="0.3">
      <c r="A2149" s="5">
        <v>44756</v>
      </c>
      <c r="B2149">
        <v>107.989998</v>
      </c>
      <c r="C2149">
        <v>108.230003</v>
      </c>
      <c r="D2149">
        <v>106.05999799999999</v>
      </c>
      <c r="E2149">
        <v>108</v>
      </c>
      <c r="F2149">
        <v>103.306877</v>
      </c>
      <c r="G2149">
        <v>26204800</v>
      </c>
      <c r="I2149">
        <f t="shared" si="34"/>
        <v>3.3160587676483587E-4</v>
      </c>
    </row>
    <row r="2150" spans="1:9" x14ac:dyDescent="0.3">
      <c r="A2150" s="5">
        <v>44757</v>
      </c>
      <c r="B2150">
        <v>109.160004</v>
      </c>
      <c r="C2150">
        <v>113.879997</v>
      </c>
      <c r="D2150">
        <v>107.66999800000001</v>
      </c>
      <c r="E2150">
        <v>112.949997</v>
      </c>
      <c r="F2150">
        <v>108.041771</v>
      </c>
      <c r="G2150">
        <v>18863900</v>
      </c>
      <c r="I2150">
        <f t="shared" si="34"/>
        <v>1.0050829111537039E-3</v>
      </c>
    </row>
    <row r="2151" spans="1:9" x14ac:dyDescent="0.3">
      <c r="A2151" s="5">
        <v>44760</v>
      </c>
      <c r="B2151">
        <v>114.769997</v>
      </c>
      <c r="C2151">
        <v>115.839996</v>
      </c>
      <c r="D2151">
        <v>111.290001</v>
      </c>
      <c r="E2151">
        <v>111.790001</v>
      </c>
      <c r="F2151">
        <v>106.932182</v>
      </c>
      <c r="G2151">
        <v>13977900</v>
      </c>
      <c r="I2151">
        <f t="shared" si="34"/>
        <v>4.682727585861385E-4</v>
      </c>
    </row>
    <row r="2152" spans="1:9" x14ac:dyDescent="0.3">
      <c r="A2152" s="5">
        <v>44761</v>
      </c>
      <c r="B2152">
        <v>113.129997</v>
      </c>
      <c r="C2152">
        <v>114.94000200000001</v>
      </c>
      <c r="D2152">
        <v>112.66999800000001</v>
      </c>
      <c r="E2152">
        <v>114.55999799999999</v>
      </c>
      <c r="F2152">
        <v>109.58181</v>
      </c>
      <c r="G2152">
        <v>11862300</v>
      </c>
      <c r="I2152">
        <f t="shared" si="34"/>
        <v>1.2034349178162917E-4</v>
      </c>
    </row>
    <row r="2153" spans="1:9" x14ac:dyDescent="0.3">
      <c r="A2153" s="5">
        <v>44762</v>
      </c>
      <c r="B2153">
        <v>114.099998</v>
      </c>
      <c r="C2153">
        <v>114.739998</v>
      </c>
      <c r="D2153">
        <v>113.480003</v>
      </c>
      <c r="E2153">
        <v>114.540001</v>
      </c>
      <c r="F2153">
        <v>109.56268300000001</v>
      </c>
      <c r="G2153">
        <v>11667500</v>
      </c>
      <c r="I2153">
        <f t="shared" si="34"/>
        <v>6.0416403064281332E-5</v>
      </c>
    </row>
    <row r="2154" spans="1:9" x14ac:dyDescent="0.3">
      <c r="A2154" s="5">
        <v>44763</v>
      </c>
      <c r="B2154">
        <v>114.44000200000001</v>
      </c>
      <c r="C2154">
        <v>115.529999</v>
      </c>
      <c r="D2154">
        <v>113.370003</v>
      </c>
      <c r="E2154">
        <v>115.32</v>
      </c>
      <c r="F2154">
        <v>110.308784</v>
      </c>
      <c r="G2154">
        <v>11595900</v>
      </c>
      <c r="I2154">
        <f t="shared" si="34"/>
        <v>1.7744980339639633E-4</v>
      </c>
    </row>
    <row r="2155" spans="1:9" x14ac:dyDescent="0.3">
      <c r="A2155" s="5">
        <v>44764</v>
      </c>
      <c r="B2155">
        <v>115.239998</v>
      </c>
      <c r="C2155">
        <v>116.25</v>
      </c>
      <c r="D2155">
        <v>113.66999800000001</v>
      </c>
      <c r="E2155">
        <v>114.760002</v>
      </c>
      <c r="F2155">
        <v>109.773117</v>
      </c>
      <c r="G2155">
        <v>7645500</v>
      </c>
      <c r="I2155">
        <f t="shared" si="34"/>
        <v>2.4347981577929097E-4</v>
      </c>
    </row>
    <row r="2156" spans="1:9" x14ac:dyDescent="0.3">
      <c r="A2156" s="5">
        <v>44767</v>
      </c>
      <c r="B2156">
        <v>115.839996</v>
      </c>
      <c r="C2156">
        <v>116.459999</v>
      </c>
      <c r="D2156">
        <v>114.769997</v>
      </c>
      <c r="E2156">
        <v>115.220001</v>
      </c>
      <c r="F2156">
        <v>110.21313499999999</v>
      </c>
      <c r="G2156">
        <v>9394000</v>
      </c>
      <c r="I2156">
        <f t="shared" si="34"/>
        <v>9.3454446287617623E-5</v>
      </c>
    </row>
    <row r="2157" spans="1:9" x14ac:dyDescent="0.3">
      <c r="A2157" s="5">
        <v>44768</v>
      </c>
      <c r="B2157">
        <v>114.58000199999999</v>
      </c>
      <c r="C2157">
        <v>115.58000199999999</v>
      </c>
      <c r="D2157">
        <v>113.029999</v>
      </c>
      <c r="E2157">
        <v>113.41999800000001</v>
      </c>
      <c r="F2157">
        <v>108.491356</v>
      </c>
      <c r="G2157">
        <v>10675100</v>
      </c>
      <c r="I2157">
        <f t="shared" si="34"/>
        <v>2.1084608953670489E-4</v>
      </c>
    </row>
    <row r="2158" spans="1:9" x14ac:dyDescent="0.3">
      <c r="A2158" s="5">
        <v>44769</v>
      </c>
      <c r="B2158">
        <v>114.010002</v>
      </c>
      <c r="C2158">
        <v>115.739998</v>
      </c>
      <c r="D2158">
        <v>113.300003</v>
      </c>
      <c r="E2158">
        <v>115.239998</v>
      </c>
      <c r="F2158">
        <v>110.232254</v>
      </c>
      <c r="G2158">
        <v>9337400</v>
      </c>
      <c r="I2158">
        <f t="shared" si="34"/>
        <v>1.7126043400738028E-4</v>
      </c>
    </row>
    <row r="2159" spans="1:9" x14ac:dyDescent="0.3">
      <c r="A2159" s="5">
        <v>44770</v>
      </c>
      <c r="B2159">
        <v>115.25</v>
      </c>
      <c r="C2159">
        <v>115.980003</v>
      </c>
      <c r="D2159">
        <v>113.529999</v>
      </c>
      <c r="E2159">
        <v>114.80999799999999</v>
      </c>
      <c r="F2159">
        <v>109.820938</v>
      </c>
      <c r="G2159">
        <v>10384800</v>
      </c>
      <c r="I2159">
        <f t="shared" si="34"/>
        <v>2.3260202408792544E-4</v>
      </c>
    </row>
    <row r="2160" spans="1:9" x14ac:dyDescent="0.3">
      <c r="A2160" s="5">
        <v>44771</v>
      </c>
      <c r="B2160">
        <v>115.589996</v>
      </c>
      <c r="C2160">
        <v>116.5</v>
      </c>
      <c r="D2160">
        <v>114.790001</v>
      </c>
      <c r="E2160">
        <v>115.360001</v>
      </c>
      <c r="F2160">
        <v>110.34704600000001</v>
      </c>
      <c r="G2160">
        <v>12944500</v>
      </c>
      <c r="I2160">
        <f t="shared" si="34"/>
        <v>1.1151448175727825E-4</v>
      </c>
    </row>
    <row r="2161" spans="1:9" x14ac:dyDescent="0.3">
      <c r="A2161" s="5">
        <v>44774</v>
      </c>
      <c r="B2161">
        <v>114.5</v>
      </c>
      <c r="C2161">
        <v>115.110001</v>
      </c>
      <c r="D2161">
        <v>113.07</v>
      </c>
      <c r="E2161">
        <v>114.209999</v>
      </c>
      <c r="F2161">
        <v>109.247017</v>
      </c>
      <c r="G2161">
        <v>14740400</v>
      </c>
      <c r="I2161">
        <f t="shared" si="34"/>
        <v>1.6778292601373946E-4</v>
      </c>
    </row>
    <row r="2162" spans="1:9" x14ac:dyDescent="0.3">
      <c r="A2162" s="5">
        <v>44775</v>
      </c>
      <c r="B2162">
        <v>113.91999800000001</v>
      </c>
      <c r="C2162">
        <v>114.400002</v>
      </c>
      <c r="D2162">
        <v>112.269997</v>
      </c>
      <c r="E2162">
        <v>112.43</v>
      </c>
      <c r="F2162">
        <v>107.54437299999999</v>
      </c>
      <c r="G2162">
        <v>14942900</v>
      </c>
      <c r="I2162">
        <f t="shared" si="34"/>
        <v>9.3814271450262801E-5</v>
      </c>
    </row>
    <row r="2163" spans="1:9" x14ac:dyDescent="0.3">
      <c r="A2163" s="5">
        <v>44776</v>
      </c>
      <c r="B2163">
        <v>113.449997</v>
      </c>
      <c r="C2163">
        <v>114.099998</v>
      </c>
      <c r="D2163">
        <v>111.709999</v>
      </c>
      <c r="E2163">
        <v>113.610001</v>
      </c>
      <c r="F2163">
        <v>108.673096</v>
      </c>
      <c r="G2163">
        <v>14394500</v>
      </c>
      <c r="I2163">
        <f t="shared" si="34"/>
        <v>2.8525709933390717E-4</v>
      </c>
    </row>
    <row r="2164" spans="1:9" x14ac:dyDescent="0.3">
      <c r="A2164" s="5">
        <v>44777</v>
      </c>
      <c r="B2164">
        <v>112.849998</v>
      </c>
      <c r="C2164">
        <v>113.32</v>
      </c>
      <c r="D2164">
        <v>111.019997</v>
      </c>
      <c r="E2164">
        <v>112.360001</v>
      </c>
      <c r="F2164">
        <v>107.477402</v>
      </c>
      <c r="G2164">
        <v>18033900</v>
      </c>
      <c r="I2164">
        <f t="shared" si="34"/>
        <v>2.3151118384477735E-4</v>
      </c>
    </row>
    <row r="2165" spans="1:9" x14ac:dyDescent="0.3">
      <c r="A2165" s="5">
        <v>44778</v>
      </c>
      <c r="B2165">
        <v>112.529999</v>
      </c>
      <c r="C2165">
        <v>116.19000200000001</v>
      </c>
      <c r="D2165">
        <v>112.050003</v>
      </c>
      <c r="E2165">
        <v>115.760002</v>
      </c>
      <c r="F2165">
        <v>110.72966</v>
      </c>
      <c r="G2165">
        <v>14174600</v>
      </c>
      <c r="I2165">
        <f t="shared" si="34"/>
        <v>2.579130076215358E-4</v>
      </c>
    </row>
    <row r="2166" spans="1:9" x14ac:dyDescent="0.3">
      <c r="A2166" s="5">
        <v>44781</v>
      </c>
      <c r="B2166">
        <v>116.25</v>
      </c>
      <c r="C2166">
        <v>116.699997</v>
      </c>
      <c r="D2166">
        <v>114.18</v>
      </c>
      <c r="E2166">
        <v>114.349998</v>
      </c>
      <c r="F2166">
        <v>109.38093600000001</v>
      </c>
      <c r="G2166">
        <v>10332500</v>
      </c>
      <c r="I2166">
        <f t="shared" si="34"/>
        <v>1.053233381922967E-4</v>
      </c>
    </row>
    <row r="2167" spans="1:9" x14ac:dyDescent="0.3">
      <c r="A2167" s="5">
        <v>44782</v>
      </c>
      <c r="B2167">
        <v>114.75</v>
      </c>
      <c r="C2167">
        <v>115.989998</v>
      </c>
      <c r="D2167">
        <v>114.370003</v>
      </c>
      <c r="E2167">
        <v>115.379997</v>
      </c>
      <c r="F2167">
        <v>110.366173</v>
      </c>
      <c r="G2167">
        <v>10233800</v>
      </c>
      <c r="I2167">
        <f t="shared" si="34"/>
        <v>8.5838148565703929E-5</v>
      </c>
    </row>
    <row r="2168" spans="1:9" x14ac:dyDescent="0.3">
      <c r="A2168" s="5">
        <v>44783</v>
      </c>
      <c r="B2168">
        <v>117.959999</v>
      </c>
      <c r="C2168">
        <v>119.370003</v>
      </c>
      <c r="D2168">
        <v>117.5</v>
      </c>
      <c r="E2168">
        <v>118.389999</v>
      </c>
      <c r="F2168">
        <v>113.245377</v>
      </c>
      <c r="G2168">
        <v>12847300</v>
      </c>
      <c r="I2168">
        <f t="shared" si="34"/>
        <v>1.2743820710399312E-4</v>
      </c>
    </row>
    <row r="2169" spans="1:9" x14ac:dyDescent="0.3">
      <c r="A2169" s="5">
        <v>44784</v>
      </c>
      <c r="B2169">
        <v>119.900002</v>
      </c>
      <c r="C2169">
        <v>121.199997</v>
      </c>
      <c r="D2169">
        <v>119.30999799999999</v>
      </c>
      <c r="E2169">
        <v>120.139999</v>
      </c>
      <c r="F2169">
        <v>114.91933400000001</v>
      </c>
      <c r="G2169">
        <v>11684900</v>
      </c>
      <c r="I2169">
        <f t="shared" si="34"/>
        <v>1.289280317776119E-4</v>
      </c>
    </row>
    <row r="2170" spans="1:9" x14ac:dyDescent="0.3">
      <c r="A2170" s="5">
        <v>44785</v>
      </c>
      <c r="B2170">
        <v>120.66999800000001</v>
      </c>
      <c r="C2170">
        <v>122.25</v>
      </c>
      <c r="D2170">
        <v>119.44000200000001</v>
      </c>
      <c r="E2170">
        <v>122.129997</v>
      </c>
      <c r="F2170">
        <v>116.822845</v>
      </c>
      <c r="G2170">
        <v>9906700</v>
      </c>
      <c r="I2170">
        <f t="shared" si="34"/>
        <v>2.4095896763305316E-4</v>
      </c>
    </row>
    <row r="2171" spans="1:9" x14ac:dyDescent="0.3">
      <c r="A2171" s="5">
        <v>44788</v>
      </c>
      <c r="B2171">
        <v>121.139999</v>
      </c>
      <c r="C2171">
        <v>122.720001</v>
      </c>
      <c r="D2171">
        <v>120.599998</v>
      </c>
      <c r="E2171">
        <v>122.459999</v>
      </c>
      <c r="F2171">
        <v>117.13851200000001</v>
      </c>
      <c r="G2171">
        <v>8456200</v>
      </c>
      <c r="I2171">
        <f t="shared" si="34"/>
        <v>9.5861453912440738E-5</v>
      </c>
    </row>
    <row r="2172" spans="1:9" x14ac:dyDescent="0.3">
      <c r="A2172" s="5">
        <v>44789</v>
      </c>
      <c r="B2172">
        <v>122.290001</v>
      </c>
      <c r="C2172">
        <v>124.239998</v>
      </c>
      <c r="D2172">
        <v>121.870003</v>
      </c>
      <c r="E2172">
        <v>123.629997</v>
      </c>
      <c r="F2172">
        <v>118.25767500000001</v>
      </c>
      <c r="G2172">
        <v>9555000</v>
      </c>
      <c r="I2172">
        <f t="shared" si="34"/>
        <v>1.2719347819328342E-4</v>
      </c>
    </row>
    <row r="2173" spans="1:9" x14ac:dyDescent="0.3">
      <c r="A2173" s="5">
        <v>44790</v>
      </c>
      <c r="B2173">
        <v>122.300003</v>
      </c>
      <c r="C2173">
        <v>123.160004</v>
      </c>
      <c r="D2173">
        <v>121.69000200000001</v>
      </c>
      <c r="E2173">
        <v>122.589996</v>
      </c>
      <c r="F2173">
        <v>117.262863</v>
      </c>
      <c r="G2173">
        <v>8149300</v>
      </c>
      <c r="I2173">
        <f t="shared" si="34"/>
        <v>6.9350883289498542E-5</v>
      </c>
    </row>
    <row r="2174" spans="1:9" x14ac:dyDescent="0.3">
      <c r="A2174" s="5">
        <v>44791</v>
      </c>
      <c r="B2174">
        <v>122.239998</v>
      </c>
      <c r="C2174">
        <v>122.470001</v>
      </c>
      <c r="D2174">
        <v>120.550003</v>
      </c>
      <c r="E2174">
        <v>121.639999</v>
      </c>
      <c r="F2174">
        <v>116.35414900000001</v>
      </c>
      <c r="G2174">
        <v>9531800</v>
      </c>
      <c r="I2174">
        <f t="shared" si="34"/>
        <v>1.3809529925571697E-4</v>
      </c>
    </row>
    <row r="2175" spans="1:9" x14ac:dyDescent="0.3">
      <c r="A2175" s="5">
        <v>44792</v>
      </c>
      <c r="B2175">
        <v>120.620003</v>
      </c>
      <c r="C2175">
        <v>120.989998</v>
      </c>
      <c r="D2175">
        <v>118.110001</v>
      </c>
      <c r="E2175">
        <v>118.629997</v>
      </c>
      <c r="F2175">
        <v>113.47494500000001</v>
      </c>
      <c r="G2175">
        <v>13464500</v>
      </c>
      <c r="I2175">
        <f t="shared" si="34"/>
        <v>1.5271030393972633E-4</v>
      </c>
    </row>
    <row r="2176" spans="1:9" x14ac:dyDescent="0.3">
      <c r="A2176" s="5">
        <v>44795</v>
      </c>
      <c r="B2176">
        <v>116.75</v>
      </c>
      <c r="C2176">
        <v>117.160004</v>
      </c>
      <c r="D2176">
        <v>115.5</v>
      </c>
      <c r="E2176">
        <v>116.66999800000001</v>
      </c>
      <c r="F2176">
        <v>111.60011299999999</v>
      </c>
      <c r="G2176">
        <v>8967600</v>
      </c>
      <c r="I2176">
        <f t="shared" si="34"/>
        <v>1.2318556124202155E-4</v>
      </c>
    </row>
    <row r="2177" spans="1:9" x14ac:dyDescent="0.3">
      <c r="A2177" s="5">
        <v>44796</v>
      </c>
      <c r="B2177">
        <v>116.69000200000001</v>
      </c>
      <c r="C2177">
        <v>117.290001</v>
      </c>
      <c r="D2177">
        <v>115.379997</v>
      </c>
      <c r="E2177">
        <v>115.519997</v>
      </c>
      <c r="F2177">
        <v>110.500084</v>
      </c>
      <c r="G2177">
        <v>7607000</v>
      </c>
      <c r="I2177">
        <f t="shared" si="34"/>
        <v>9.1676081668501681E-5</v>
      </c>
    </row>
    <row r="2178" spans="1:9" x14ac:dyDescent="0.3">
      <c r="A2178" s="5">
        <v>44797</v>
      </c>
      <c r="B2178">
        <v>115.290001</v>
      </c>
      <c r="C2178">
        <v>116.410004</v>
      </c>
      <c r="D2178">
        <v>114.449997</v>
      </c>
      <c r="E2178">
        <v>115.800003</v>
      </c>
      <c r="F2178">
        <v>110.767929</v>
      </c>
      <c r="G2178">
        <v>9771300</v>
      </c>
      <c r="I2178">
        <f t="shared" si="34"/>
        <v>1.3654606256836057E-4</v>
      </c>
    </row>
    <row r="2179" spans="1:9" x14ac:dyDescent="0.3">
      <c r="A2179" s="5">
        <v>44798</v>
      </c>
      <c r="B2179">
        <v>116.160004</v>
      </c>
      <c r="C2179">
        <v>118.739998</v>
      </c>
      <c r="D2179">
        <v>115.68</v>
      </c>
      <c r="E2179">
        <v>118.550003</v>
      </c>
      <c r="F2179">
        <v>113.398422</v>
      </c>
      <c r="G2179">
        <v>10758900</v>
      </c>
      <c r="I2179">
        <f t="shared" si="34"/>
        <v>1.3665796847335741E-4</v>
      </c>
    </row>
    <row r="2180" spans="1:9" x14ac:dyDescent="0.3">
      <c r="A2180" s="5">
        <v>44799</v>
      </c>
      <c r="B2180">
        <v>119.459999</v>
      </c>
      <c r="C2180">
        <v>119.989998</v>
      </c>
      <c r="D2180">
        <v>114.599998</v>
      </c>
      <c r="E2180">
        <v>114.66999800000001</v>
      </c>
      <c r="F2180">
        <v>109.687027</v>
      </c>
      <c r="G2180">
        <v>11276200</v>
      </c>
      <c r="I2180">
        <f t="shared" si="34"/>
        <v>2.2611764842816036E-4</v>
      </c>
    </row>
    <row r="2181" spans="1:9" x14ac:dyDescent="0.3">
      <c r="A2181" s="5">
        <v>44802</v>
      </c>
      <c r="B2181">
        <v>114</v>
      </c>
      <c r="C2181">
        <v>114.860001</v>
      </c>
      <c r="D2181">
        <v>113.459999</v>
      </c>
      <c r="E2181">
        <v>114.389999</v>
      </c>
      <c r="F2181">
        <v>109.41920500000001</v>
      </c>
      <c r="G2181">
        <v>8117300</v>
      </c>
      <c r="I2181">
        <f t="shared" si="34"/>
        <v>6.9576670548835586E-5</v>
      </c>
    </row>
    <row r="2182" spans="1:9" x14ac:dyDescent="0.3">
      <c r="A2182" s="5">
        <v>44803</v>
      </c>
      <c r="B2182">
        <v>115</v>
      </c>
      <c r="C2182">
        <v>115.58000199999999</v>
      </c>
      <c r="D2182">
        <v>113.360001</v>
      </c>
      <c r="E2182">
        <v>114.410004</v>
      </c>
      <c r="F2182">
        <v>109.438339</v>
      </c>
      <c r="G2182">
        <v>10745400</v>
      </c>
      <c r="I2182">
        <f t="shared" si="34"/>
        <v>1.8361622336816343E-4</v>
      </c>
    </row>
    <row r="2183" spans="1:9" x14ac:dyDescent="0.3">
      <c r="A2183" s="5">
        <v>44804</v>
      </c>
      <c r="B2183">
        <v>114.480003</v>
      </c>
      <c r="C2183">
        <v>115.029999</v>
      </c>
      <c r="D2183">
        <v>113.339996</v>
      </c>
      <c r="E2183">
        <v>113.730003</v>
      </c>
      <c r="F2183">
        <v>108.78788</v>
      </c>
      <c r="G2183">
        <v>10738300</v>
      </c>
      <c r="I2183">
        <f t="shared" si="34"/>
        <v>8.8852437358345634E-5</v>
      </c>
    </row>
    <row r="2184" spans="1:9" x14ac:dyDescent="0.3">
      <c r="A2184" s="5">
        <v>44805</v>
      </c>
      <c r="B2184">
        <v>113.290001</v>
      </c>
      <c r="C2184">
        <v>114.629997</v>
      </c>
      <c r="D2184">
        <v>111.910004</v>
      </c>
      <c r="E2184">
        <v>114.510002</v>
      </c>
      <c r="F2184">
        <v>109.533981</v>
      </c>
      <c r="G2184">
        <v>9979800</v>
      </c>
      <c r="I2184">
        <f t="shared" si="34"/>
        <v>2.9379859542883965E-4</v>
      </c>
    </row>
    <row r="2185" spans="1:9" x14ac:dyDescent="0.3">
      <c r="A2185" s="5">
        <v>44806</v>
      </c>
      <c r="B2185">
        <v>115.870003</v>
      </c>
      <c r="C2185">
        <v>117.449997</v>
      </c>
      <c r="D2185">
        <v>113.19000200000001</v>
      </c>
      <c r="E2185">
        <v>113.709999</v>
      </c>
      <c r="F2185">
        <v>108.768745</v>
      </c>
      <c r="G2185">
        <v>10666600</v>
      </c>
      <c r="I2185">
        <f t="shared" si="34"/>
        <v>5.4555389366872263E-4</v>
      </c>
    </row>
    <row r="2186" spans="1:9" x14ac:dyDescent="0.3">
      <c r="A2186" s="5">
        <v>44810</v>
      </c>
      <c r="B2186">
        <v>114.33000199999999</v>
      </c>
      <c r="C2186">
        <v>114.75</v>
      </c>
      <c r="D2186">
        <v>112.07</v>
      </c>
      <c r="E2186">
        <v>113.739998</v>
      </c>
      <c r="F2186">
        <v>108.79744700000001</v>
      </c>
      <c r="G2186">
        <v>9751900</v>
      </c>
      <c r="I2186">
        <f t="shared" si="34"/>
        <v>3.2773378245865259E-4</v>
      </c>
    </row>
    <row r="2187" spans="1:9" x14ac:dyDescent="0.3">
      <c r="A2187" s="5">
        <v>44811</v>
      </c>
      <c r="B2187">
        <v>113.129997</v>
      </c>
      <c r="C2187">
        <v>116.110001</v>
      </c>
      <c r="D2187">
        <v>112.760002</v>
      </c>
      <c r="E2187">
        <v>115.900002</v>
      </c>
      <c r="F2187">
        <v>110.863579</v>
      </c>
      <c r="G2187">
        <v>10647900</v>
      </c>
      <c r="I2187">
        <f t="shared" si="34"/>
        <v>1.3704339784620384E-4</v>
      </c>
    </row>
    <row r="2188" spans="1:9" x14ac:dyDescent="0.3">
      <c r="A2188" s="5">
        <v>44812</v>
      </c>
      <c r="B2188">
        <v>115.279999</v>
      </c>
      <c r="C2188">
        <v>118.790001</v>
      </c>
      <c r="D2188">
        <v>114.629997</v>
      </c>
      <c r="E2188">
        <v>118.599998</v>
      </c>
      <c r="F2188">
        <v>113.446251</v>
      </c>
      <c r="G2188">
        <v>11435000</v>
      </c>
      <c r="I2188">
        <f t="shared" ref="I2188:I2251" si="35">LN(C2188/B2188)*(LN(C2188/B2188)-LN(E2188/B2188))+LN(D2188/B2188)*(LN(D2188/B2188)-LN(E2188/B2188))</f>
        <v>2.405279743497399E-4</v>
      </c>
    </row>
    <row r="2189" spans="1:9" x14ac:dyDescent="0.3">
      <c r="A2189" s="5">
        <v>44813</v>
      </c>
      <c r="B2189">
        <v>119.139999</v>
      </c>
      <c r="C2189">
        <v>120.050003</v>
      </c>
      <c r="D2189">
        <v>118.66999800000001</v>
      </c>
      <c r="E2189">
        <v>119.16999800000001</v>
      </c>
      <c r="F2189">
        <v>113.99148599999999</v>
      </c>
      <c r="G2189">
        <v>9299700</v>
      </c>
      <c r="I2189">
        <f t="shared" si="35"/>
        <v>7.2601846192836848E-5</v>
      </c>
    </row>
    <row r="2190" spans="1:9" x14ac:dyDescent="0.3">
      <c r="A2190" s="5">
        <v>44816</v>
      </c>
      <c r="B2190">
        <v>120.620003</v>
      </c>
      <c r="C2190">
        <v>121.550003</v>
      </c>
      <c r="D2190">
        <v>119.790001</v>
      </c>
      <c r="E2190">
        <v>120.58000199999999</v>
      </c>
      <c r="F2190">
        <v>115.34021</v>
      </c>
      <c r="G2190">
        <v>8614600</v>
      </c>
      <c r="I2190">
        <f t="shared" si="35"/>
        <v>1.069266296555661E-4</v>
      </c>
    </row>
    <row r="2191" spans="1:9" x14ac:dyDescent="0.3">
      <c r="A2191" s="5">
        <v>44817</v>
      </c>
      <c r="B2191">
        <v>118.07</v>
      </c>
      <c r="C2191">
        <v>118.91999800000001</v>
      </c>
      <c r="D2191">
        <v>115.779999</v>
      </c>
      <c r="E2191">
        <v>116.389999</v>
      </c>
      <c r="F2191">
        <v>111.33229799999999</v>
      </c>
      <c r="G2191">
        <v>12904600</v>
      </c>
      <c r="I2191">
        <f t="shared" si="35"/>
        <v>2.5717687684362914E-4</v>
      </c>
    </row>
    <row r="2192" spans="1:9" x14ac:dyDescent="0.3">
      <c r="A2192" s="5">
        <v>44818</v>
      </c>
      <c r="B2192">
        <v>116.699997</v>
      </c>
      <c r="C2192">
        <v>117.839996</v>
      </c>
      <c r="D2192">
        <v>114.879997</v>
      </c>
      <c r="E2192">
        <v>116.120003</v>
      </c>
      <c r="F2192">
        <v>111.074028</v>
      </c>
      <c r="G2192">
        <v>9345700</v>
      </c>
      <c r="I2192">
        <f t="shared" si="35"/>
        <v>3.1169119849111217E-4</v>
      </c>
    </row>
    <row r="2193" spans="1:9" x14ac:dyDescent="0.3">
      <c r="A2193" s="5">
        <v>44819</v>
      </c>
      <c r="B2193">
        <v>116.120003</v>
      </c>
      <c r="C2193">
        <v>119.379997</v>
      </c>
      <c r="D2193">
        <v>115.760002</v>
      </c>
      <c r="E2193">
        <v>117.870003</v>
      </c>
      <c r="F2193">
        <v>112.74797100000001</v>
      </c>
      <c r="G2193">
        <v>10821400</v>
      </c>
      <c r="I2193">
        <f t="shared" si="35"/>
        <v>4.0853024096575586E-4</v>
      </c>
    </row>
    <row r="2194" spans="1:9" x14ac:dyDescent="0.3">
      <c r="A2194" s="5">
        <v>44820</v>
      </c>
      <c r="B2194">
        <v>117.389999</v>
      </c>
      <c r="C2194">
        <v>117.400002</v>
      </c>
      <c r="D2194">
        <v>115.370003</v>
      </c>
      <c r="E2194">
        <v>117.08000199999999</v>
      </c>
      <c r="F2194">
        <v>111.99231</v>
      </c>
      <c r="G2194">
        <v>14844100</v>
      </c>
      <c r="I2194">
        <f t="shared" si="35"/>
        <v>2.5561274730989209E-4</v>
      </c>
    </row>
    <row r="2195" spans="1:9" x14ac:dyDescent="0.3">
      <c r="A2195" s="5">
        <v>44823</v>
      </c>
      <c r="B2195">
        <v>116</v>
      </c>
      <c r="C2195">
        <v>118.730003</v>
      </c>
      <c r="D2195">
        <v>115.510002</v>
      </c>
      <c r="E2195">
        <v>118.160004</v>
      </c>
      <c r="F2195">
        <v>113.025368</v>
      </c>
      <c r="G2195">
        <v>8201300</v>
      </c>
      <c r="I2195">
        <f t="shared" si="35"/>
        <v>2.079611359259949E-4</v>
      </c>
    </row>
    <row r="2196" spans="1:9" x14ac:dyDescent="0.3">
      <c r="A2196" s="5">
        <v>44824</v>
      </c>
      <c r="B2196">
        <v>117.410004</v>
      </c>
      <c r="C2196">
        <v>117.69000200000001</v>
      </c>
      <c r="D2196">
        <v>114.639999</v>
      </c>
      <c r="E2196">
        <v>115.83000199999999</v>
      </c>
      <c r="F2196">
        <v>110.796623</v>
      </c>
      <c r="G2196">
        <v>9619000</v>
      </c>
      <c r="I2196">
        <f t="shared" si="35"/>
        <v>2.8450239106487992E-4</v>
      </c>
    </row>
    <row r="2197" spans="1:9" x14ac:dyDescent="0.3">
      <c r="A2197" s="5">
        <v>44825</v>
      </c>
      <c r="B2197">
        <v>116.540001</v>
      </c>
      <c r="C2197">
        <v>116.599998</v>
      </c>
      <c r="D2197">
        <v>112.41999800000001</v>
      </c>
      <c r="E2197">
        <v>112.489998</v>
      </c>
      <c r="F2197">
        <v>107.601753</v>
      </c>
      <c r="G2197">
        <v>12606300</v>
      </c>
      <c r="I2197">
        <f t="shared" si="35"/>
        <v>4.087393563902993E-5</v>
      </c>
    </row>
    <row r="2198" spans="1:9" x14ac:dyDescent="0.3">
      <c r="A2198" s="5">
        <v>44826</v>
      </c>
      <c r="B2198">
        <v>113.379997</v>
      </c>
      <c r="C2198">
        <v>113.599998</v>
      </c>
      <c r="D2198">
        <v>111.07</v>
      </c>
      <c r="E2198">
        <v>111.209999</v>
      </c>
      <c r="F2198">
        <v>106.377388</v>
      </c>
      <c r="G2198">
        <v>11684500</v>
      </c>
      <c r="I2198">
        <f t="shared" si="35"/>
        <v>6.7148186893309586E-5</v>
      </c>
    </row>
    <row r="2199" spans="1:9" x14ac:dyDescent="0.3">
      <c r="A2199" s="5">
        <v>44827</v>
      </c>
      <c r="B2199">
        <v>110.050003</v>
      </c>
      <c r="C2199">
        <v>110.339996</v>
      </c>
      <c r="D2199">
        <v>107.160004</v>
      </c>
      <c r="E2199">
        <v>109.139999</v>
      </c>
      <c r="F2199">
        <v>104.397339</v>
      </c>
      <c r="G2199">
        <v>18138600</v>
      </c>
      <c r="I2199">
        <f t="shared" si="35"/>
        <v>5.1599483380309382E-4</v>
      </c>
    </row>
    <row r="2200" spans="1:9" x14ac:dyDescent="0.3">
      <c r="A2200" s="5">
        <v>44830</v>
      </c>
      <c r="B2200">
        <v>108</v>
      </c>
      <c r="C2200">
        <v>109.610001</v>
      </c>
      <c r="D2200">
        <v>106.05999799999999</v>
      </c>
      <c r="E2200">
        <v>106.790001</v>
      </c>
      <c r="F2200">
        <v>102.149445</v>
      </c>
      <c r="G2200">
        <v>15753600</v>
      </c>
      <c r="I2200">
        <f t="shared" si="35"/>
        <v>5.1001840032281818E-4</v>
      </c>
    </row>
    <row r="2201" spans="1:9" x14ac:dyDescent="0.3">
      <c r="A2201" s="5">
        <v>44831</v>
      </c>
      <c r="B2201">
        <v>107.75</v>
      </c>
      <c r="C2201">
        <v>108.16999800000001</v>
      </c>
      <c r="D2201">
        <v>104.650002</v>
      </c>
      <c r="E2201">
        <v>105.849998</v>
      </c>
      <c r="F2201">
        <v>101.250305</v>
      </c>
      <c r="G2201">
        <v>12793600</v>
      </c>
      <c r="I2201">
        <f t="shared" si="35"/>
        <v>4.171820788613313E-4</v>
      </c>
    </row>
    <row r="2202" spans="1:9" x14ac:dyDescent="0.3">
      <c r="A2202" s="5">
        <v>44832</v>
      </c>
      <c r="B2202">
        <v>105.949997</v>
      </c>
      <c r="C2202">
        <v>108.730003</v>
      </c>
      <c r="D2202">
        <v>105.639999</v>
      </c>
      <c r="E2202">
        <v>107.989998</v>
      </c>
      <c r="F2202">
        <v>103.297302</v>
      </c>
      <c r="G2202">
        <v>12762600</v>
      </c>
      <c r="I2202">
        <f t="shared" si="35"/>
        <v>2.4134721171968745E-4</v>
      </c>
    </row>
    <row r="2203" spans="1:9" x14ac:dyDescent="0.3">
      <c r="A2203" s="5">
        <v>44833</v>
      </c>
      <c r="B2203">
        <v>106.949997</v>
      </c>
      <c r="C2203">
        <v>107.279999</v>
      </c>
      <c r="D2203">
        <v>104.400002</v>
      </c>
      <c r="E2203">
        <v>106.160004</v>
      </c>
      <c r="F2203">
        <v>101.546829</v>
      </c>
      <c r="G2203">
        <v>12713900</v>
      </c>
      <c r="I2203">
        <f t="shared" si="35"/>
        <v>4.3576015353728064E-4</v>
      </c>
    </row>
    <row r="2204" spans="1:9" x14ac:dyDescent="0.3">
      <c r="A2204" s="5">
        <v>44834</v>
      </c>
      <c r="B2204">
        <v>106.05999799999999</v>
      </c>
      <c r="C2204">
        <v>107.620003</v>
      </c>
      <c r="D2204">
        <v>104.400002</v>
      </c>
      <c r="E2204">
        <v>104.5</v>
      </c>
      <c r="F2204">
        <v>99.958961000000002</v>
      </c>
      <c r="G2204">
        <v>15973400</v>
      </c>
      <c r="I2204">
        <f t="shared" si="35"/>
        <v>4.446734458585213E-4</v>
      </c>
    </row>
    <row r="2205" spans="1:9" x14ac:dyDescent="0.3">
      <c r="A2205" s="5">
        <v>44837</v>
      </c>
      <c r="B2205">
        <v>105.620003</v>
      </c>
      <c r="C2205">
        <v>108.360001</v>
      </c>
      <c r="D2205">
        <v>104.459999</v>
      </c>
      <c r="E2205">
        <v>107.730003</v>
      </c>
      <c r="F2205">
        <v>103.048607</v>
      </c>
      <c r="G2205">
        <v>12248100</v>
      </c>
      <c r="I2205">
        <f t="shared" si="35"/>
        <v>4.8974246875746886E-4</v>
      </c>
    </row>
    <row r="2206" spans="1:9" x14ac:dyDescent="0.3">
      <c r="A2206" s="5">
        <v>44838</v>
      </c>
      <c r="B2206">
        <v>110.610001</v>
      </c>
      <c r="C2206">
        <v>112.989998</v>
      </c>
      <c r="D2206">
        <v>109.860001</v>
      </c>
      <c r="E2206">
        <v>112.769997</v>
      </c>
      <c r="F2206">
        <v>107.869591</v>
      </c>
      <c r="G2206">
        <v>16013600</v>
      </c>
      <c r="I2206">
        <f t="shared" si="35"/>
        <v>2.1936317422503453E-4</v>
      </c>
    </row>
    <row r="2207" spans="1:9" x14ac:dyDescent="0.3">
      <c r="A2207" s="5">
        <v>44839</v>
      </c>
      <c r="B2207">
        <v>109.75</v>
      </c>
      <c r="C2207">
        <v>110.949997</v>
      </c>
      <c r="D2207">
        <v>108.83000199999999</v>
      </c>
      <c r="E2207">
        <v>110.389999</v>
      </c>
      <c r="F2207">
        <v>106.537758</v>
      </c>
      <c r="G2207">
        <v>10943500</v>
      </c>
      <c r="I2207">
        <f t="shared" si="35"/>
        <v>1.7483534588012522E-4</v>
      </c>
    </row>
    <row r="2208" spans="1:9" x14ac:dyDescent="0.3">
      <c r="A2208" s="5">
        <v>44840</v>
      </c>
      <c r="B2208">
        <v>109.459999</v>
      </c>
      <c r="C2208">
        <v>110.19000200000001</v>
      </c>
      <c r="D2208">
        <v>107.94000200000001</v>
      </c>
      <c r="E2208">
        <v>108.139999</v>
      </c>
      <c r="F2208">
        <v>104.366264</v>
      </c>
      <c r="G2208">
        <v>11521400</v>
      </c>
      <c r="I2208">
        <f t="shared" si="35"/>
        <v>1.5071275925247003E-4</v>
      </c>
    </row>
    <row r="2209" spans="1:9" x14ac:dyDescent="0.3">
      <c r="A2209" s="5">
        <v>44841</v>
      </c>
      <c r="B2209">
        <v>107.519997</v>
      </c>
      <c r="C2209">
        <v>107.709999</v>
      </c>
      <c r="D2209">
        <v>105.269997</v>
      </c>
      <c r="E2209">
        <v>105.980003</v>
      </c>
      <c r="F2209">
        <v>102.28164700000001</v>
      </c>
      <c r="G2209">
        <v>11681100</v>
      </c>
      <c r="I2209">
        <f t="shared" si="35"/>
        <v>1.7074716049594142E-4</v>
      </c>
    </row>
    <row r="2210" spans="1:9" x14ac:dyDescent="0.3">
      <c r="A2210" s="5">
        <v>44844</v>
      </c>
      <c r="B2210">
        <v>106.730003</v>
      </c>
      <c r="C2210">
        <v>107.30999799999999</v>
      </c>
      <c r="D2210">
        <v>104.519997</v>
      </c>
      <c r="E2210">
        <v>104.989998</v>
      </c>
      <c r="F2210">
        <v>101.326195</v>
      </c>
      <c r="G2210">
        <v>8931700</v>
      </c>
      <c r="I2210">
        <f t="shared" si="35"/>
        <v>2.1233164413004283E-4</v>
      </c>
    </row>
    <row r="2211" spans="1:9" x14ac:dyDescent="0.3">
      <c r="A2211" s="5">
        <v>44845</v>
      </c>
      <c r="B2211">
        <v>104.370003</v>
      </c>
      <c r="C2211">
        <v>104.540001</v>
      </c>
      <c r="D2211">
        <v>101.849998</v>
      </c>
      <c r="E2211">
        <v>101.959999</v>
      </c>
      <c r="F2211">
        <v>98.401932000000002</v>
      </c>
      <c r="G2211">
        <v>12739700</v>
      </c>
      <c r="I2211">
        <f t="shared" si="35"/>
        <v>6.7052305561619228E-5</v>
      </c>
    </row>
    <row r="2212" spans="1:9" x14ac:dyDescent="0.3">
      <c r="A2212" s="5">
        <v>44846</v>
      </c>
      <c r="B2212">
        <v>101.800003</v>
      </c>
      <c r="C2212">
        <v>104.730003</v>
      </c>
      <c r="D2212">
        <v>101.279999</v>
      </c>
      <c r="E2212">
        <v>103.610001</v>
      </c>
      <c r="F2212">
        <v>99.994354000000001</v>
      </c>
      <c r="G2212">
        <v>13181000</v>
      </c>
      <c r="I2212">
        <f t="shared" si="35"/>
        <v>4.2156804383454552E-4</v>
      </c>
    </row>
    <row r="2213" spans="1:9" x14ac:dyDescent="0.3">
      <c r="A2213" s="5">
        <v>44847</v>
      </c>
      <c r="B2213">
        <v>101.980003</v>
      </c>
      <c r="C2213">
        <v>109.900002</v>
      </c>
      <c r="D2213">
        <v>101.760002</v>
      </c>
      <c r="E2213">
        <v>109.370003</v>
      </c>
      <c r="F2213">
        <v>105.553352</v>
      </c>
      <c r="G2213">
        <v>22398700</v>
      </c>
      <c r="I2213">
        <f t="shared" si="35"/>
        <v>5.1732272676785376E-4</v>
      </c>
    </row>
    <row r="2214" spans="1:9" x14ac:dyDescent="0.3">
      <c r="A2214" s="5">
        <v>44848</v>
      </c>
      <c r="B2214">
        <v>111.959999</v>
      </c>
      <c r="C2214">
        <v>115.239998</v>
      </c>
      <c r="D2214">
        <v>110.720001</v>
      </c>
      <c r="E2214">
        <v>111.19000200000001</v>
      </c>
      <c r="F2214">
        <v>107.309837</v>
      </c>
      <c r="G2214">
        <v>33387100</v>
      </c>
      <c r="I2214">
        <f t="shared" si="35"/>
        <v>1.0802293787429487E-3</v>
      </c>
    </row>
    <row r="2215" spans="1:9" x14ac:dyDescent="0.3">
      <c r="A2215" s="5">
        <v>44851</v>
      </c>
      <c r="B2215">
        <v>115.410004</v>
      </c>
      <c r="C2215">
        <v>117.010002</v>
      </c>
      <c r="D2215">
        <v>114.32</v>
      </c>
      <c r="E2215">
        <v>115.860001</v>
      </c>
      <c r="F2215">
        <v>111.816864</v>
      </c>
      <c r="G2215">
        <v>22276300</v>
      </c>
      <c r="I2215">
        <f t="shared" si="35"/>
        <v>2.6296759634485476E-4</v>
      </c>
    </row>
    <row r="2216" spans="1:9" x14ac:dyDescent="0.3">
      <c r="A2216" s="5">
        <v>44852</v>
      </c>
      <c r="B2216">
        <v>119.660004</v>
      </c>
      <c r="C2216">
        <v>120.139999</v>
      </c>
      <c r="D2216">
        <v>116.959999</v>
      </c>
      <c r="E2216">
        <v>118.839996</v>
      </c>
      <c r="F2216">
        <v>114.692871</v>
      </c>
      <c r="G2216">
        <v>21539700</v>
      </c>
      <c r="I2216">
        <f t="shared" si="35"/>
        <v>4.0748192098477012E-4</v>
      </c>
    </row>
    <row r="2217" spans="1:9" x14ac:dyDescent="0.3">
      <c r="A2217" s="5">
        <v>44853</v>
      </c>
      <c r="B2217">
        <v>117.989998</v>
      </c>
      <c r="C2217">
        <v>118.83000199999999</v>
      </c>
      <c r="D2217">
        <v>115.66999800000001</v>
      </c>
      <c r="E2217">
        <v>116.510002</v>
      </c>
      <c r="F2217">
        <v>112.444176</v>
      </c>
      <c r="G2217">
        <v>17072000</v>
      </c>
      <c r="I2217">
        <f t="shared" si="35"/>
        <v>2.8356533357418786E-4</v>
      </c>
    </row>
    <row r="2218" spans="1:9" x14ac:dyDescent="0.3">
      <c r="A2218" s="5">
        <v>44854</v>
      </c>
      <c r="B2218">
        <v>117.160004</v>
      </c>
      <c r="C2218">
        <v>118.709999</v>
      </c>
      <c r="D2218">
        <v>115.650002</v>
      </c>
      <c r="E2218">
        <v>116.129997</v>
      </c>
      <c r="F2218">
        <v>112.07744599999999</v>
      </c>
      <c r="G2218">
        <v>12207400</v>
      </c>
      <c r="I2218">
        <f t="shared" si="35"/>
        <v>3.4252307004350205E-4</v>
      </c>
    </row>
    <row r="2219" spans="1:9" x14ac:dyDescent="0.3">
      <c r="A2219" s="5">
        <v>44855</v>
      </c>
      <c r="B2219">
        <v>116.459999</v>
      </c>
      <c r="C2219">
        <v>122.389999</v>
      </c>
      <c r="D2219">
        <v>116.33000199999999</v>
      </c>
      <c r="E2219">
        <v>122.230003</v>
      </c>
      <c r="F2219">
        <v>117.96457700000001</v>
      </c>
      <c r="G2219">
        <v>20593300</v>
      </c>
      <c r="I2219">
        <f t="shared" si="35"/>
        <v>1.2022252613108446E-4</v>
      </c>
    </row>
    <row r="2220" spans="1:9" x14ac:dyDescent="0.3">
      <c r="A2220" s="5">
        <v>44858</v>
      </c>
      <c r="B2220">
        <v>122.07</v>
      </c>
      <c r="C2220">
        <v>123.099998</v>
      </c>
      <c r="D2220">
        <v>121.33000199999999</v>
      </c>
      <c r="E2220">
        <v>122.379997</v>
      </c>
      <c r="F2220">
        <v>118.109337</v>
      </c>
      <c r="G2220">
        <v>12624200</v>
      </c>
      <c r="I2220">
        <f t="shared" si="35"/>
        <v>1.0168374298621209E-4</v>
      </c>
    </row>
    <row r="2221" spans="1:9" x14ac:dyDescent="0.3">
      <c r="A2221" s="5">
        <v>44859</v>
      </c>
      <c r="B2221">
        <v>121.849998</v>
      </c>
      <c r="C2221">
        <v>123.269997</v>
      </c>
      <c r="D2221">
        <v>120.889999</v>
      </c>
      <c r="E2221">
        <v>122.699997</v>
      </c>
      <c r="F2221">
        <v>118.418167</v>
      </c>
      <c r="G2221">
        <v>11289100</v>
      </c>
      <c r="I2221">
        <f t="shared" si="35"/>
        <v>1.7124801591279149E-4</v>
      </c>
    </row>
    <row r="2222" spans="1:9" x14ac:dyDescent="0.3">
      <c r="A2222" s="5">
        <v>44860</v>
      </c>
      <c r="B2222">
        <v>123</v>
      </c>
      <c r="C2222">
        <v>125.199997</v>
      </c>
      <c r="D2222">
        <v>122.879997</v>
      </c>
      <c r="E2222">
        <v>124.110001</v>
      </c>
      <c r="F2222">
        <v>119.778969</v>
      </c>
      <c r="G2222">
        <v>11667000</v>
      </c>
      <c r="I2222">
        <f t="shared" si="35"/>
        <v>1.6473920884860633E-4</v>
      </c>
    </row>
    <row r="2223" spans="1:9" x14ac:dyDescent="0.3">
      <c r="A2223" s="5">
        <v>44861</v>
      </c>
      <c r="B2223">
        <v>125.199997</v>
      </c>
      <c r="C2223">
        <v>126.199997</v>
      </c>
      <c r="D2223">
        <v>124.209999</v>
      </c>
      <c r="E2223">
        <v>124.599998</v>
      </c>
      <c r="F2223">
        <v>120.251869</v>
      </c>
      <c r="G2223">
        <v>10727600</v>
      </c>
      <c r="I2223">
        <f t="shared" si="35"/>
        <v>1.2639414685874825E-4</v>
      </c>
    </row>
    <row r="2224" spans="1:9" x14ac:dyDescent="0.3">
      <c r="A2224" s="5">
        <v>44862</v>
      </c>
      <c r="B2224">
        <v>125.290001</v>
      </c>
      <c r="C2224">
        <v>126.279999</v>
      </c>
      <c r="D2224">
        <v>124.050003</v>
      </c>
      <c r="E2224">
        <v>126.08000199999999</v>
      </c>
      <c r="F2224">
        <v>121.680229</v>
      </c>
      <c r="G2224">
        <v>11859500</v>
      </c>
      <c r="I2224">
        <f t="shared" si="35"/>
        <v>1.7392281698174337E-4</v>
      </c>
    </row>
    <row r="2225" spans="1:9" x14ac:dyDescent="0.3">
      <c r="A2225" s="5">
        <v>44865</v>
      </c>
      <c r="B2225">
        <v>125.699997</v>
      </c>
      <c r="C2225">
        <v>127.43</v>
      </c>
      <c r="D2225">
        <v>125.589996</v>
      </c>
      <c r="E2225">
        <v>125.879997</v>
      </c>
      <c r="F2225">
        <v>121.487206</v>
      </c>
      <c r="G2225">
        <v>13295200</v>
      </c>
      <c r="I2225">
        <f t="shared" si="35"/>
        <v>1.6930374281588651E-4</v>
      </c>
    </row>
    <row r="2226" spans="1:9" x14ac:dyDescent="0.3">
      <c r="A2226" s="5">
        <v>44866</v>
      </c>
      <c r="B2226">
        <v>126.870003</v>
      </c>
      <c r="C2226">
        <v>128.279999</v>
      </c>
      <c r="D2226">
        <v>126.33000199999999</v>
      </c>
      <c r="E2226">
        <v>128.14999399999999</v>
      </c>
      <c r="F2226">
        <v>123.677986</v>
      </c>
      <c r="G2226">
        <v>13386900</v>
      </c>
      <c r="I2226">
        <f t="shared" si="35"/>
        <v>7.221863275518346E-5</v>
      </c>
    </row>
    <row r="2227" spans="1:9" x14ac:dyDescent="0.3">
      <c r="A2227" s="5">
        <v>44867</v>
      </c>
      <c r="B2227">
        <v>127.650002</v>
      </c>
      <c r="C2227">
        <v>130.36000100000001</v>
      </c>
      <c r="D2227">
        <v>126.639999</v>
      </c>
      <c r="E2227">
        <v>126.970001</v>
      </c>
      <c r="F2227">
        <v>122.539162</v>
      </c>
      <c r="G2227">
        <v>16546100</v>
      </c>
      <c r="I2227">
        <f t="shared" si="35"/>
        <v>5.742054004363599E-4</v>
      </c>
    </row>
    <row r="2228" spans="1:9" x14ac:dyDescent="0.3">
      <c r="A2228" s="5">
        <v>44868</v>
      </c>
      <c r="B2228">
        <v>126.30999799999999</v>
      </c>
      <c r="C2228">
        <v>128.179993</v>
      </c>
      <c r="D2228">
        <v>125.910004</v>
      </c>
      <c r="E2228">
        <v>127.199997</v>
      </c>
      <c r="F2228">
        <v>122.76113100000001</v>
      </c>
      <c r="G2228">
        <v>12474400</v>
      </c>
      <c r="I2228">
        <f t="shared" si="35"/>
        <v>1.4512246819446445E-4</v>
      </c>
    </row>
    <row r="2229" spans="1:9" x14ac:dyDescent="0.3">
      <c r="A2229" s="5">
        <v>44869</v>
      </c>
      <c r="B2229">
        <v>129.490005</v>
      </c>
      <c r="C2229">
        <v>130.83000200000001</v>
      </c>
      <c r="D2229">
        <v>128.46000699999999</v>
      </c>
      <c r="E2229">
        <v>130.679993</v>
      </c>
      <c r="F2229">
        <v>126.119698</v>
      </c>
      <c r="G2229">
        <v>14953200</v>
      </c>
      <c r="I2229">
        <f t="shared" si="35"/>
        <v>1.4864365402111706E-4</v>
      </c>
    </row>
    <row r="2230" spans="1:9" x14ac:dyDescent="0.3">
      <c r="A2230" s="5">
        <v>44872</v>
      </c>
      <c r="B2230">
        <v>131</v>
      </c>
      <c r="C2230">
        <v>132.28999300000001</v>
      </c>
      <c r="D2230">
        <v>130.479996</v>
      </c>
      <c r="E2230">
        <v>131.36999499999999</v>
      </c>
      <c r="F2230">
        <v>126.785629</v>
      </c>
      <c r="G2230">
        <v>12011200</v>
      </c>
      <c r="I2230">
        <f t="shared" si="35"/>
        <v>9.5422559718423921E-5</v>
      </c>
    </row>
    <row r="2231" spans="1:9" x14ac:dyDescent="0.3">
      <c r="A2231" s="5">
        <v>44873</v>
      </c>
      <c r="B2231">
        <v>131.240005</v>
      </c>
      <c r="C2231">
        <v>132.05999800000001</v>
      </c>
      <c r="D2231">
        <v>130.13999899999999</v>
      </c>
      <c r="E2231">
        <v>131.449997</v>
      </c>
      <c r="F2231">
        <v>126.86282300000001</v>
      </c>
      <c r="G2231">
        <v>9884100</v>
      </c>
      <c r="I2231">
        <f t="shared" si="35"/>
        <v>1.1313941825251905E-4</v>
      </c>
    </row>
    <row r="2232" spans="1:9" x14ac:dyDescent="0.3">
      <c r="A2232" s="5">
        <v>44874</v>
      </c>
      <c r="B2232">
        <v>131.320007</v>
      </c>
      <c r="C2232">
        <v>131.429993</v>
      </c>
      <c r="D2232">
        <v>129.220001</v>
      </c>
      <c r="E2232">
        <v>129.740005</v>
      </c>
      <c r="F2232">
        <v>125.212502</v>
      </c>
      <c r="G2232">
        <v>9494000</v>
      </c>
      <c r="I2232">
        <f t="shared" si="35"/>
        <v>7.557739677381225E-5</v>
      </c>
    </row>
    <row r="2233" spans="1:9" x14ac:dyDescent="0.3">
      <c r="A2233" s="5">
        <v>44875</v>
      </c>
      <c r="B2233">
        <v>132.63000500000001</v>
      </c>
      <c r="C2233">
        <v>135.25</v>
      </c>
      <c r="D2233">
        <v>132.529999</v>
      </c>
      <c r="E2233">
        <v>135.08000200000001</v>
      </c>
      <c r="F2233">
        <v>130.36615</v>
      </c>
      <c r="G2233">
        <v>16351600</v>
      </c>
      <c r="I2233">
        <f t="shared" si="35"/>
        <v>3.8978466532895803E-5</v>
      </c>
    </row>
    <row r="2234" spans="1:9" x14ac:dyDescent="0.3">
      <c r="A2234" s="5">
        <v>44876</v>
      </c>
      <c r="B2234">
        <v>135.19000199999999</v>
      </c>
      <c r="C2234">
        <v>136.16999799999999</v>
      </c>
      <c r="D2234">
        <v>133.779999</v>
      </c>
      <c r="E2234">
        <v>135.300003</v>
      </c>
      <c r="F2234">
        <v>130.578461</v>
      </c>
      <c r="G2234">
        <v>10704700</v>
      </c>
      <c r="I2234">
        <f t="shared" si="35"/>
        <v>1.6474883625809463E-4</v>
      </c>
    </row>
    <row r="2235" spans="1:9" x14ac:dyDescent="0.3">
      <c r="A2235" s="5">
        <v>44879</v>
      </c>
      <c r="B2235">
        <v>134.800003</v>
      </c>
      <c r="C2235">
        <v>135.729996</v>
      </c>
      <c r="D2235">
        <v>133.91000399999999</v>
      </c>
      <c r="E2235">
        <v>133.91000399999999</v>
      </c>
      <c r="F2235">
        <v>129.23698400000001</v>
      </c>
      <c r="G2235">
        <v>11085600</v>
      </c>
      <c r="I2235">
        <f t="shared" si="35"/>
        <v>9.2814901217792798E-5</v>
      </c>
    </row>
    <row r="2236" spans="1:9" x14ac:dyDescent="0.3">
      <c r="A2236" s="5">
        <v>44880</v>
      </c>
      <c r="B2236">
        <v>134.679993</v>
      </c>
      <c r="C2236">
        <v>135.71000699999999</v>
      </c>
      <c r="D2236">
        <v>131.60000600000001</v>
      </c>
      <c r="E2236">
        <v>132.94000199999999</v>
      </c>
      <c r="F2236">
        <v>128.300827</v>
      </c>
      <c r="G2236">
        <v>14038300</v>
      </c>
      <c r="I2236">
        <f t="shared" si="35"/>
        <v>3.9148908673992868E-4</v>
      </c>
    </row>
    <row r="2237" spans="1:9" x14ac:dyDescent="0.3">
      <c r="A2237" s="5">
        <v>44881</v>
      </c>
      <c r="B2237">
        <v>133</v>
      </c>
      <c r="C2237">
        <v>133.55999800000001</v>
      </c>
      <c r="D2237">
        <v>132.029999</v>
      </c>
      <c r="E2237">
        <v>133.11999499999999</v>
      </c>
      <c r="F2237">
        <v>128.474548</v>
      </c>
      <c r="G2237">
        <v>7893400</v>
      </c>
      <c r="I2237">
        <f t="shared" si="35"/>
        <v>7.4048066403498321E-5</v>
      </c>
    </row>
    <row r="2238" spans="1:9" x14ac:dyDescent="0.3">
      <c r="A2238" s="5">
        <v>44882</v>
      </c>
      <c r="B2238">
        <v>132</v>
      </c>
      <c r="C2238">
        <v>132.88999899999999</v>
      </c>
      <c r="D2238">
        <v>131.279999</v>
      </c>
      <c r="E2238">
        <v>132.53999300000001</v>
      </c>
      <c r="F2238">
        <v>127.914795</v>
      </c>
      <c r="G2238">
        <v>8820200</v>
      </c>
      <c r="I2238">
        <f t="shared" si="35"/>
        <v>6.996641931972708E-5</v>
      </c>
    </row>
    <row r="2239" spans="1:9" x14ac:dyDescent="0.3">
      <c r="A2239" s="5">
        <v>44883</v>
      </c>
      <c r="B2239">
        <v>134.570007</v>
      </c>
      <c r="C2239">
        <v>134.66999799999999</v>
      </c>
      <c r="D2239">
        <v>132.279999</v>
      </c>
      <c r="E2239">
        <v>133.83999600000001</v>
      </c>
      <c r="F2239">
        <v>129.16941800000001</v>
      </c>
      <c r="G2239">
        <v>9468500</v>
      </c>
      <c r="I2239">
        <f t="shared" si="35"/>
        <v>2.0582150351117014E-4</v>
      </c>
    </row>
    <row r="2240" spans="1:9" x14ac:dyDescent="0.3">
      <c r="A2240" s="5">
        <v>44886</v>
      </c>
      <c r="B2240">
        <v>133.740005</v>
      </c>
      <c r="C2240">
        <v>134.55999800000001</v>
      </c>
      <c r="D2240">
        <v>132.75</v>
      </c>
      <c r="E2240">
        <v>133.050003</v>
      </c>
      <c r="F2240">
        <v>128.40699799999999</v>
      </c>
      <c r="G2240">
        <v>7800500</v>
      </c>
      <c r="I2240">
        <f t="shared" si="35"/>
        <v>8.5753027528569014E-5</v>
      </c>
    </row>
    <row r="2241" spans="1:9" x14ac:dyDescent="0.3">
      <c r="A2241" s="5">
        <v>44887</v>
      </c>
      <c r="B2241">
        <v>134</v>
      </c>
      <c r="C2241">
        <v>135.270004</v>
      </c>
      <c r="D2241">
        <v>133.69000199999999</v>
      </c>
      <c r="E2241">
        <v>135.03999300000001</v>
      </c>
      <c r="F2241">
        <v>130.32753</v>
      </c>
      <c r="G2241">
        <v>9185700</v>
      </c>
      <c r="I2241">
        <f t="shared" si="35"/>
        <v>3.9323874551662103E-5</v>
      </c>
    </row>
    <row r="2242" spans="1:9" x14ac:dyDescent="0.3">
      <c r="A2242" s="5">
        <v>44888</v>
      </c>
      <c r="B2242">
        <v>134.94000199999999</v>
      </c>
      <c r="C2242">
        <v>136.5</v>
      </c>
      <c r="D2242">
        <v>134.86000100000001</v>
      </c>
      <c r="E2242">
        <v>136.479996</v>
      </c>
      <c r="F2242">
        <v>131.71729999999999</v>
      </c>
      <c r="G2242">
        <v>7316200</v>
      </c>
      <c r="I2242">
        <f t="shared" si="35"/>
        <v>8.7660058470873326E-6</v>
      </c>
    </row>
    <row r="2243" spans="1:9" x14ac:dyDescent="0.3">
      <c r="A2243" s="5">
        <v>44890</v>
      </c>
      <c r="B2243">
        <v>136.479996</v>
      </c>
      <c r="C2243">
        <v>137.13999899999999</v>
      </c>
      <c r="D2243">
        <v>136.05999800000001</v>
      </c>
      <c r="E2243">
        <v>136.740005</v>
      </c>
      <c r="F2243">
        <v>131.968231</v>
      </c>
      <c r="G2243">
        <v>3220500</v>
      </c>
      <c r="I2243">
        <f t="shared" si="35"/>
        <v>2.9456861331452838E-5</v>
      </c>
    </row>
    <row r="2244" spans="1:9" x14ac:dyDescent="0.3">
      <c r="A2244" s="5">
        <v>44893</v>
      </c>
      <c r="B2244">
        <v>136.070007</v>
      </c>
      <c r="C2244">
        <v>136.71000699999999</v>
      </c>
      <c r="D2244">
        <v>134.19000199999999</v>
      </c>
      <c r="E2244">
        <v>134.35000600000001</v>
      </c>
      <c r="F2244">
        <v>129.66160600000001</v>
      </c>
      <c r="G2244">
        <v>9906900</v>
      </c>
      <c r="I2244">
        <f t="shared" si="35"/>
        <v>9.8291312036524357E-5</v>
      </c>
    </row>
    <row r="2245" spans="1:9" x14ac:dyDescent="0.3">
      <c r="A2245" s="5">
        <v>44894</v>
      </c>
      <c r="B2245">
        <v>134.66000399999999</v>
      </c>
      <c r="C2245">
        <v>136.63999899999999</v>
      </c>
      <c r="D2245">
        <v>134.41000399999999</v>
      </c>
      <c r="E2245">
        <v>136.55999800000001</v>
      </c>
      <c r="F2245">
        <v>131.79451</v>
      </c>
      <c r="G2245">
        <v>7925300</v>
      </c>
      <c r="I2245">
        <f t="shared" si="35"/>
        <v>3.8037629823388262E-5</v>
      </c>
    </row>
    <row r="2246" spans="1:9" x14ac:dyDescent="0.3">
      <c r="A2246" s="5">
        <v>44895</v>
      </c>
      <c r="B2246">
        <v>136.08999600000001</v>
      </c>
      <c r="C2246">
        <v>138.179993</v>
      </c>
      <c r="D2246">
        <v>133.19000199999999</v>
      </c>
      <c r="E2246">
        <v>138.179993</v>
      </c>
      <c r="F2246">
        <v>133.357956</v>
      </c>
      <c r="G2246">
        <v>14761200</v>
      </c>
      <c r="I2246">
        <f t="shared" si="35"/>
        <v>7.9223983822996409E-4</v>
      </c>
    </row>
    <row r="2247" spans="1:9" x14ac:dyDescent="0.3">
      <c r="A2247" s="5">
        <v>44896</v>
      </c>
      <c r="B2247">
        <v>138.179993</v>
      </c>
      <c r="C2247">
        <v>138.66000399999999</v>
      </c>
      <c r="D2247">
        <v>135.429993</v>
      </c>
      <c r="E2247">
        <v>136.240005</v>
      </c>
      <c r="F2247">
        <v>131.48567199999999</v>
      </c>
      <c r="G2247">
        <v>8858500</v>
      </c>
      <c r="I2247">
        <f t="shared" si="35"/>
        <v>1.8093124963766135E-4</v>
      </c>
    </row>
    <row r="2248" spans="1:9" x14ac:dyDescent="0.3">
      <c r="A2248" s="5">
        <v>44897</v>
      </c>
      <c r="B2248">
        <v>134.490005</v>
      </c>
      <c r="C2248">
        <v>135.35000600000001</v>
      </c>
      <c r="D2248">
        <v>133.33999600000001</v>
      </c>
      <c r="E2248">
        <v>135.16000399999999</v>
      </c>
      <c r="F2248">
        <v>130.44335899999999</v>
      </c>
      <c r="G2248">
        <v>8931900</v>
      </c>
      <c r="I2248">
        <f t="shared" si="35"/>
        <v>1.2537766033065873E-4</v>
      </c>
    </row>
    <row r="2249" spans="1:9" x14ac:dyDescent="0.3">
      <c r="A2249" s="5">
        <v>44900</v>
      </c>
      <c r="B2249">
        <v>134.240005</v>
      </c>
      <c r="C2249">
        <v>134.570007</v>
      </c>
      <c r="D2249">
        <v>130.60000600000001</v>
      </c>
      <c r="E2249">
        <v>131.36999499999999</v>
      </c>
      <c r="F2249">
        <v>126.785629</v>
      </c>
      <c r="G2249">
        <v>10154500</v>
      </c>
      <c r="I2249">
        <f t="shared" si="35"/>
        <v>2.2069005449877136E-4</v>
      </c>
    </row>
    <row r="2250" spans="1:9" x14ac:dyDescent="0.3">
      <c r="A2250" s="5">
        <v>44901</v>
      </c>
      <c r="B2250">
        <v>133.38999899999999</v>
      </c>
      <c r="C2250">
        <v>135.11000100000001</v>
      </c>
      <c r="D2250">
        <v>129.86999499999999</v>
      </c>
      <c r="E2250">
        <v>131.58999600000001</v>
      </c>
      <c r="F2250">
        <v>126.99793200000001</v>
      </c>
      <c r="G2250">
        <v>13966700</v>
      </c>
      <c r="I2250">
        <f t="shared" si="35"/>
        <v>6.9008073746526565E-4</v>
      </c>
    </row>
    <row r="2251" spans="1:9" x14ac:dyDescent="0.3">
      <c r="A2251" s="5">
        <v>44902</v>
      </c>
      <c r="B2251">
        <v>131.30999800000001</v>
      </c>
      <c r="C2251">
        <v>133.08000200000001</v>
      </c>
      <c r="D2251">
        <v>130.33000200000001</v>
      </c>
      <c r="E2251">
        <v>131.5</v>
      </c>
      <c r="F2251">
        <v>126.911072</v>
      </c>
      <c r="G2251">
        <v>11739400</v>
      </c>
      <c r="I2251">
        <f t="shared" si="35"/>
        <v>2.2686955482311978E-4</v>
      </c>
    </row>
    <row r="2252" spans="1:9" x14ac:dyDescent="0.3">
      <c r="A2252" s="5">
        <v>44903</v>
      </c>
      <c r="B2252">
        <v>132.33000200000001</v>
      </c>
      <c r="C2252">
        <v>132.979996</v>
      </c>
      <c r="D2252">
        <v>131.429993</v>
      </c>
      <c r="E2252">
        <v>132.88000500000001</v>
      </c>
      <c r="F2252">
        <v>128.24293499999999</v>
      </c>
      <c r="G2252">
        <v>8907300</v>
      </c>
      <c r="I2252">
        <f t="shared" ref="I2252:I2315" si="36">LN(C2252/B2252)*(LN(C2252/B2252)-LN(E2252/B2252))+LN(D2252/B2252)*(LN(D2252/B2252)-LN(E2252/B2252))</f>
        <v>7.8565071191713309E-5</v>
      </c>
    </row>
    <row r="2253" spans="1:9" x14ac:dyDescent="0.3">
      <c r="A2253" s="5">
        <v>44904</v>
      </c>
      <c r="B2253">
        <v>132.199997</v>
      </c>
      <c r="C2253">
        <v>133.759995</v>
      </c>
      <c r="D2253">
        <v>132</v>
      </c>
      <c r="E2253">
        <v>132.16000399999999</v>
      </c>
      <c r="F2253">
        <v>127.548042</v>
      </c>
      <c r="G2253">
        <v>7957800</v>
      </c>
      <c r="I2253">
        <f t="shared" si="36"/>
        <v>1.4300473651798244E-4</v>
      </c>
    </row>
    <row r="2254" spans="1:9" x14ac:dyDescent="0.3">
      <c r="A2254" s="5">
        <v>44907</v>
      </c>
      <c r="B2254">
        <v>132.39999399999999</v>
      </c>
      <c r="C2254">
        <v>134.64999399999999</v>
      </c>
      <c r="D2254">
        <v>131.60000600000001</v>
      </c>
      <c r="E2254">
        <v>134.21000699999999</v>
      </c>
      <c r="F2254">
        <v>129.52652</v>
      </c>
      <c r="G2254">
        <v>8841600</v>
      </c>
      <c r="I2254">
        <f t="shared" si="36"/>
        <v>1.741748053854141E-4</v>
      </c>
    </row>
    <row r="2255" spans="1:9" x14ac:dyDescent="0.3">
      <c r="A2255" s="5">
        <v>44908</v>
      </c>
      <c r="B2255">
        <v>136.88999899999999</v>
      </c>
      <c r="C2255">
        <v>137.08999600000001</v>
      </c>
      <c r="D2255">
        <v>133.08000200000001</v>
      </c>
      <c r="E2255">
        <v>134.08000200000001</v>
      </c>
      <c r="F2255">
        <v>129.40104700000001</v>
      </c>
      <c r="G2255">
        <v>10025400</v>
      </c>
      <c r="I2255">
        <f t="shared" si="36"/>
        <v>2.437261822315063E-4</v>
      </c>
    </row>
    <row r="2256" spans="1:9" x14ac:dyDescent="0.3">
      <c r="A2256" s="5">
        <v>44909</v>
      </c>
      <c r="B2256">
        <v>133.779999</v>
      </c>
      <c r="C2256">
        <v>135.71000699999999</v>
      </c>
      <c r="D2256">
        <v>132.759995</v>
      </c>
      <c r="E2256">
        <v>133.41000399999999</v>
      </c>
      <c r="F2256">
        <v>128.754425</v>
      </c>
      <c r="G2256">
        <v>9966100</v>
      </c>
      <c r="I2256">
        <f t="shared" si="36"/>
        <v>2.8221890266848498E-4</v>
      </c>
    </row>
    <row r="2257" spans="1:9" x14ac:dyDescent="0.3">
      <c r="A2257" s="5">
        <v>44910</v>
      </c>
      <c r="B2257">
        <v>131.14999399999999</v>
      </c>
      <c r="C2257">
        <v>132.08000200000001</v>
      </c>
      <c r="D2257">
        <v>129.050003</v>
      </c>
      <c r="E2257">
        <v>130.10000600000001</v>
      </c>
      <c r="F2257">
        <v>125.55993700000001</v>
      </c>
      <c r="G2257">
        <v>12087800</v>
      </c>
      <c r="I2257">
        <f t="shared" si="36"/>
        <v>2.3753396946972114E-4</v>
      </c>
    </row>
    <row r="2258" spans="1:9" x14ac:dyDescent="0.3">
      <c r="A2258" s="5">
        <v>44911</v>
      </c>
      <c r="B2258">
        <v>129.14999399999999</v>
      </c>
      <c r="C2258">
        <v>129.89999399999999</v>
      </c>
      <c r="D2258">
        <v>128.429993</v>
      </c>
      <c r="E2258">
        <v>129.28999300000001</v>
      </c>
      <c r="F2258">
        <v>124.77819100000001</v>
      </c>
      <c r="G2258">
        <v>21133700</v>
      </c>
      <c r="I2258">
        <f t="shared" si="36"/>
        <v>6.4566123888748779E-5</v>
      </c>
    </row>
    <row r="2259" spans="1:9" x14ac:dyDescent="0.3">
      <c r="A2259" s="5">
        <v>44914</v>
      </c>
      <c r="B2259">
        <v>129.64999399999999</v>
      </c>
      <c r="C2259">
        <v>131.33000200000001</v>
      </c>
      <c r="D2259">
        <v>129.08999600000001</v>
      </c>
      <c r="E2259">
        <v>130.05999800000001</v>
      </c>
      <c r="F2259">
        <v>125.52132400000001</v>
      </c>
      <c r="G2259">
        <v>9017200</v>
      </c>
      <c r="I2259">
        <f t="shared" si="36"/>
        <v>1.5751394645689088E-4</v>
      </c>
    </row>
    <row r="2260" spans="1:9" x14ac:dyDescent="0.3">
      <c r="A2260" s="5">
        <v>44915</v>
      </c>
      <c r="B2260">
        <v>130.970001</v>
      </c>
      <c r="C2260">
        <v>132.050003</v>
      </c>
      <c r="D2260">
        <v>130.199997</v>
      </c>
      <c r="E2260">
        <v>130.69000199999999</v>
      </c>
      <c r="F2260">
        <v>126.129356</v>
      </c>
      <c r="G2260">
        <v>8549900</v>
      </c>
      <c r="I2260">
        <f t="shared" si="36"/>
        <v>1.0716886922493067E-4</v>
      </c>
    </row>
    <row r="2261" spans="1:9" x14ac:dyDescent="0.3">
      <c r="A2261" s="5">
        <v>44916</v>
      </c>
      <c r="B2261">
        <v>132.179993</v>
      </c>
      <c r="C2261">
        <v>132.979996</v>
      </c>
      <c r="D2261">
        <v>131.770004</v>
      </c>
      <c r="E2261">
        <v>132.16000399999999</v>
      </c>
      <c r="F2261">
        <v>127.548042</v>
      </c>
      <c r="G2261">
        <v>8051700</v>
      </c>
      <c r="I2261">
        <f t="shared" si="36"/>
        <v>4.6504293020395587E-5</v>
      </c>
    </row>
    <row r="2262" spans="1:9" x14ac:dyDescent="0.3">
      <c r="A2262" s="5">
        <v>44917</v>
      </c>
      <c r="B2262">
        <v>131.10000600000001</v>
      </c>
      <c r="C2262">
        <v>131.300003</v>
      </c>
      <c r="D2262">
        <v>128.41000399999999</v>
      </c>
      <c r="E2262">
        <v>130.66000399999999</v>
      </c>
      <c r="F2262">
        <v>126.100388</v>
      </c>
      <c r="G2262">
        <v>8648200</v>
      </c>
      <c r="I2262">
        <f t="shared" si="36"/>
        <v>3.6757099702751801E-4</v>
      </c>
    </row>
    <row r="2263" spans="1:9" x14ac:dyDescent="0.3">
      <c r="A2263" s="5">
        <v>44918</v>
      </c>
      <c r="B2263">
        <v>130.58000200000001</v>
      </c>
      <c r="C2263">
        <v>131.44000199999999</v>
      </c>
      <c r="D2263">
        <v>129.63999899999999</v>
      </c>
      <c r="E2263">
        <v>131.279999</v>
      </c>
      <c r="F2263">
        <v>126.698761</v>
      </c>
      <c r="G2263">
        <v>5091900</v>
      </c>
      <c r="I2263">
        <f t="shared" si="36"/>
        <v>9.8818107101279412E-5</v>
      </c>
    </row>
    <row r="2264" spans="1:9" x14ac:dyDescent="0.3">
      <c r="A2264" s="5">
        <v>44922</v>
      </c>
      <c r="B2264">
        <v>131.570007</v>
      </c>
      <c r="C2264">
        <v>132.220001</v>
      </c>
      <c r="D2264">
        <v>130.550003</v>
      </c>
      <c r="E2264">
        <v>131.740005</v>
      </c>
      <c r="F2264">
        <v>127.142723</v>
      </c>
      <c r="G2264">
        <v>5411000</v>
      </c>
      <c r="I2264">
        <f t="shared" si="36"/>
        <v>8.8543875377188904E-5</v>
      </c>
    </row>
    <row r="2265" spans="1:9" x14ac:dyDescent="0.3">
      <c r="A2265" s="5">
        <v>44923</v>
      </c>
      <c r="B2265">
        <v>131.85000600000001</v>
      </c>
      <c r="C2265">
        <v>133.41000399999999</v>
      </c>
      <c r="D2265">
        <v>131.009995</v>
      </c>
      <c r="E2265">
        <v>132.46000699999999</v>
      </c>
      <c r="F2265">
        <v>127.83757799999999</v>
      </c>
      <c r="G2265">
        <v>8827700</v>
      </c>
      <c r="I2265">
        <f t="shared" si="36"/>
        <v>1.5440706045252354E-4</v>
      </c>
    </row>
    <row r="2266" spans="1:9" x14ac:dyDescent="0.3">
      <c r="A2266" s="5">
        <v>44924</v>
      </c>
      <c r="B2266">
        <v>132.929993</v>
      </c>
      <c r="C2266">
        <v>133.270004</v>
      </c>
      <c r="D2266">
        <v>132.30999800000001</v>
      </c>
      <c r="E2266">
        <v>133.220001</v>
      </c>
      <c r="F2266">
        <v>128.57105999999999</v>
      </c>
      <c r="G2266">
        <v>6585200</v>
      </c>
      <c r="I2266">
        <f t="shared" si="36"/>
        <v>3.3002220487588772E-5</v>
      </c>
    </row>
    <row r="2267" spans="1:9" x14ac:dyDescent="0.3">
      <c r="A2267" s="5">
        <v>44925</v>
      </c>
      <c r="B2267">
        <v>132.80999800000001</v>
      </c>
      <c r="C2267">
        <v>134.33000200000001</v>
      </c>
      <c r="D2267">
        <v>132.44000199999999</v>
      </c>
      <c r="E2267">
        <v>134.10000600000001</v>
      </c>
      <c r="F2267">
        <v>129.42034899999999</v>
      </c>
      <c r="G2267">
        <v>9292500</v>
      </c>
      <c r="I2267">
        <f t="shared" si="36"/>
        <v>5.4251087058658838E-5</v>
      </c>
    </row>
    <row r="2268" spans="1:9" x14ac:dyDescent="0.3">
      <c r="A2268" s="5">
        <v>44929</v>
      </c>
      <c r="B2268">
        <v>135.240005</v>
      </c>
      <c r="C2268">
        <v>136.740005</v>
      </c>
      <c r="D2268">
        <v>133.88999899999999</v>
      </c>
      <c r="E2268">
        <v>135.11999499999999</v>
      </c>
      <c r="F2268">
        <v>130.40475499999999</v>
      </c>
      <c r="G2268">
        <v>11054800</v>
      </c>
      <c r="I2268">
        <f t="shared" si="36"/>
        <v>2.2320432276574107E-4</v>
      </c>
    </row>
    <row r="2269" spans="1:9" x14ac:dyDescent="0.3">
      <c r="A2269" s="5">
        <v>44930</v>
      </c>
      <c r="B2269">
        <v>135.990005</v>
      </c>
      <c r="C2269">
        <v>137.679993</v>
      </c>
      <c r="D2269">
        <v>135.570007</v>
      </c>
      <c r="E2269">
        <v>136.38000500000001</v>
      </c>
      <c r="F2269">
        <v>131.620789</v>
      </c>
      <c r="G2269">
        <v>11687600</v>
      </c>
      <c r="I2269">
        <f t="shared" si="36"/>
        <v>1.3559695430765266E-4</v>
      </c>
    </row>
    <row r="2270" spans="1:9" x14ac:dyDescent="0.3">
      <c r="A2270" s="5">
        <v>44931</v>
      </c>
      <c r="B2270">
        <v>135.66000399999999</v>
      </c>
      <c r="C2270">
        <v>135.71000699999999</v>
      </c>
      <c r="D2270">
        <v>133.699997</v>
      </c>
      <c r="E2270">
        <v>135.35000600000001</v>
      </c>
      <c r="F2270">
        <v>131.59161399999999</v>
      </c>
      <c r="G2270">
        <v>8381300</v>
      </c>
      <c r="I2270">
        <f t="shared" si="36"/>
        <v>1.7948411140062082E-4</v>
      </c>
    </row>
    <row r="2271" spans="1:9" x14ac:dyDescent="0.3">
      <c r="A2271" s="5">
        <v>44932</v>
      </c>
      <c r="B2271">
        <v>136.13000500000001</v>
      </c>
      <c r="C2271">
        <v>138.38000500000001</v>
      </c>
      <c r="D2271">
        <v>134.490005</v>
      </c>
      <c r="E2271">
        <v>137.94000199999999</v>
      </c>
      <c r="F2271">
        <v>134.109711</v>
      </c>
      <c r="G2271">
        <v>10029100</v>
      </c>
      <c r="I2271">
        <f t="shared" si="36"/>
        <v>3.5920657335472328E-4</v>
      </c>
    </row>
    <row r="2272" spans="1:9" x14ac:dyDescent="0.3">
      <c r="A2272" s="5">
        <v>44935</v>
      </c>
      <c r="B2272">
        <v>138.60000600000001</v>
      </c>
      <c r="C2272">
        <v>138.88000500000001</v>
      </c>
      <c r="D2272">
        <v>136.88000500000001</v>
      </c>
      <c r="E2272">
        <v>137.36999499999999</v>
      </c>
      <c r="F2272">
        <v>133.55552700000001</v>
      </c>
      <c r="G2272">
        <v>8482300</v>
      </c>
      <c r="I2272">
        <f t="shared" si="36"/>
        <v>6.6684727476604591E-5</v>
      </c>
    </row>
    <row r="2273" spans="1:9" x14ac:dyDescent="0.3">
      <c r="A2273" s="5">
        <v>44936</v>
      </c>
      <c r="B2273">
        <v>137.78999300000001</v>
      </c>
      <c r="C2273">
        <v>138.720001</v>
      </c>
      <c r="D2273">
        <v>137.30999800000001</v>
      </c>
      <c r="E2273">
        <v>138.60000600000001</v>
      </c>
      <c r="F2273">
        <v>134.75138899999999</v>
      </c>
      <c r="G2273">
        <v>9048700</v>
      </c>
      <c r="I2273">
        <f t="shared" si="36"/>
        <v>3.8452616541586282E-5</v>
      </c>
    </row>
    <row r="2274" spans="1:9" x14ac:dyDescent="0.3">
      <c r="A2274" s="5">
        <v>44937</v>
      </c>
      <c r="B2274">
        <v>138.89999399999999</v>
      </c>
      <c r="C2274">
        <v>139.75</v>
      </c>
      <c r="D2274">
        <v>138.10000600000001</v>
      </c>
      <c r="E2274">
        <v>139.63000500000001</v>
      </c>
      <c r="F2274">
        <v>135.75277700000001</v>
      </c>
      <c r="G2274">
        <v>8703700</v>
      </c>
      <c r="I2274">
        <f t="shared" si="36"/>
        <v>6.8881827588424704E-5</v>
      </c>
    </row>
    <row r="2275" spans="1:9" x14ac:dyDescent="0.3">
      <c r="A2275" s="5">
        <v>44938</v>
      </c>
      <c r="B2275">
        <v>140</v>
      </c>
      <c r="C2275">
        <v>140.86000100000001</v>
      </c>
      <c r="D2275">
        <v>139.220001</v>
      </c>
      <c r="E2275">
        <v>139.490005</v>
      </c>
      <c r="F2275">
        <v>135.616669</v>
      </c>
      <c r="G2275">
        <v>11001700</v>
      </c>
      <c r="I2275">
        <f t="shared" si="36"/>
        <v>7.067888280869777E-5</v>
      </c>
    </row>
    <row r="2276" spans="1:9" x14ac:dyDescent="0.3">
      <c r="A2276" s="5">
        <v>44939</v>
      </c>
      <c r="B2276">
        <v>135.60000600000001</v>
      </c>
      <c r="C2276">
        <v>143.490005</v>
      </c>
      <c r="D2276">
        <v>134.800003</v>
      </c>
      <c r="E2276">
        <v>143.009995</v>
      </c>
      <c r="F2276">
        <v>139.038895</v>
      </c>
      <c r="G2276">
        <v>20200000</v>
      </c>
      <c r="I2276">
        <f t="shared" si="36"/>
        <v>5.3934944053571051E-4</v>
      </c>
    </row>
    <row r="2277" spans="1:9" x14ac:dyDescent="0.3">
      <c r="A2277" s="5">
        <v>44943</v>
      </c>
      <c r="B2277">
        <v>141.16999799999999</v>
      </c>
      <c r="C2277">
        <v>141.53999300000001</v>
      </c>
      <c r="D2277">
        <v>139.229996</v>
      </c>
      <c r="E2277">
        <v>140.800003</v>
      </c>
      <c r="F2277">
        <v>136.89027400000001</v>
      </c>
      <c r="G2277">
        <v>14292900</v>
      </c>
      <c r="I2277">
        <f t="shared" si="36"/>
        <v>1.6888509412896712E-4</v>
      </c>
    </row>
    <row r="2278" spans="1:9" x14ac:dyDescent="0.3">
      <c r="A2278" s="5">
        <v>44944</v>
      </c>
      <c r="B2278">
        <v>138.91999799999999</v>
      </c>
      <c r="C2278">
        <v>140.729996</v>
      </c>
      <c r="D2278">
        <v>136.41000399999999</v>
      </c>
      <c r="E2278">
        <v>136.570007</v>
      </c>
      <c r="F2278">
        <v>132.77773999999999</v>
      </c>
      <c r="G2278">
        <v>13392600</v>
      </c>
      <c r="I2278">
        <f t="shared" si="36"/>
        <v>4.0979649672030939E-4</v>
      </c>
    </row>
    <row r="2279" spans="1:9" x14ac:dyDescent="0.3">
      <c r="A2279" s="5">
        <v>44945</v>
      </c>
      <c r="B2279">
        <v>135.320007</v>
      </c>
      <c r="C2279">
        <v>135.89999399999999</v>
      </c>
      <c r="D2279">
        <v>133.58999600000001</v>
      </c>
      <c r="E2279">
        <v>134.75</v>
      </c>
      <c r="F2279">
        <v>131.00827000000001</v>
      </c>
      <c r="G2279">
        <v>13303400</v>
      </c>
      <c r="I2279">
        <f t="shared" si="36"/>
        <v>1.475912942057263E-4</v>
      </c>
    </row>
    <row r="2280" spans="1:9" x14ac:dyDescent="0.3">
      <c r="A2280" s="5">
        <v>44946</v>
      </c>
      <c r="B2280">
        <v>135.16000399999999</v>
      </c>
      <c r="C2280">
        <v>135.490005</v>
      </c>
      <c r="D2280">
        <v>133.550003</v>
      </c>
      <c r="E2280">
        <v>135.08000200000001</v>
      </c>
      <c r="F2280">
        <v>131.329117</v>
      </c>
      <c r="G2280">
        <v>13092500</v>
      </c>
      <c r="I2280">
        <f t="shared" si="36"/>
        <v>1.4389560322477317E-4</v>
      </c>
    </row>
    <row r="2281" spans="1:9" x14ac:dyDescent="0.3">
      <c r="A2281" s="5">
        <v>44949</v>
      </c>
      <c r="B2281">
        <v>135.11999499999999</v>
      </c>
      <c r="C2281">
        <v>137.96000699999999</v>
      </c>
      <c r="D2281">
        <v>134.820007</v>
      </c>
      <c r="E2281">
        <v>137.270004</v>
      </c>
      <c r="F2281">
        <v>133.45829800000001</v>
      </c>
      <c r="G2281">
        <v>10487100</v>
      </c>
      <c r="I2281">
        <f t="shared" si="36"/>
        <v>1.443224288774336E-4</v>
      </c>
    </row>
    <row r="2282" spans="1:9" x14ac:dyDescent="0.3">
      <c r="A2282" s="5">
        <v>44950</v>
      </c>
      <c r="B2282">
        <v>136.41999799999999</v>
      </c>
      <c r="C2282">
        <v>140.28999300000001</v>
      </c>
      <c r="D2282">
        <v>135</v>
      </c>
      <c r="E2282">
        <v>138.449997</v>
      </c>
      <c r="F2282">
        <v>134.60554500000001</v>
      </c>
      <c r="G2282">
        <v>6945000</v>
      </c>
      <c r="I2282">
        <f t="shared" si="36"/>
        <v>6.3335811550031145E-4</v>
      </c>
    </row>
    <row r="2283" spans="1:9" x14ac:dyDescent="0.3">
      <c r="A2283" s="5">
        <v>44951</v>
      </c>
      <c r="B2283">
        <v>138.050003</v>
      </c>
      <c r="C2283">
        <v>139.11999499999999</v>
      </c>
      <c r="D2283">
        <v>137.25</v>
      </c>
      <c r="E2283">
        <v>139.11999499999999</v>
      </c>
      <c r="F2283">
        <v>135.256912</v>
      </c>
      <c r="G2283">
        <v>8967000</v>
      </c>
      <c r="I2283">
        <f t="shared" si="36"/>
        <v>7.8650736848843037E-5</v>
      </c>
    </row>
    <row r="2284" spans="1:9" x14ac:dyDescent="0.3">
      <c r="A2284" s="5">
        <v>44952</v>
      </c>
      <c r="B2284">
        <v>139.41999799999999</v>
      </c>
      <c r="C2284">
        <v>140.05999800000001</v>
      </c>
      <c r="D2284">
        <v>138.36000100000001</v>
      </c>
      <c r="E2284">
        <v>139.979996</v>
      </c>
      <c r="F2284">
        <v>136.09304800000001</v>
      </c>
      <c r="G2284">
        <v>7487600</v>
      </c>
      <c r="I2284">
        <f t="shared" si="36"/>
        <v>9.1456837051472122E-5</v>
      </c>
    </row>
    <row r="2285" spans="1:9" x14ac:dyDescent="0.3">
      <c r="A2285" s="5">
        <v>44953</v>
      </c>
      <c r="B2285">
        <v>140.61000100000001</v>
      </c>
      <c r="C2285">
        <v>141.259995</v>
      </c>
      <c r="D2285">
        <v>139.75</v>
      </c>
      <c r="E2285">
        <v>140.320007</v>
      </c>
      <c r="F2285">
        <v>136.42363</v>
      </c>
      <c r="G2285">
        <v>7489900</v>
      </c>
      <c r="I2285">
        <f t="shared" si="36"/>
        <v>5.5764682524486341E-5</v>
      </c>
    </row>
    <row r="2286" spans="1:9" x14ac:dyDescent="0.3">
      <c r="A2286" s="5">
        <v>44956</v>
      </c>
      <c r="B2286">
        <v>139.229996</v>
      </c>
      <c r="C2286">
        <v>140.08999600000001</v>
      </c>
      <c r="D2286">
        <v>138.91000399999999</v>
      </c>
      <c r="E2286">
        <v>139.13000500000001</v>
      </c>
      <c r="F2286">
        <v>135.26664700000001</v>
      </c>
      <c r="G2286">
        <v>6729300</v>
      </c>
      <c r="I2286">
        <f t="shared" si="36"/>
        <v>4.5984129033094917E-5</v>
      </c>
    </row>
    <row r="2287" spans="1:9" x14ac:dyDescent="0.3">
      <c r="A2287" s="5">
        <v>44957</v>
      </c>
      <c r="B2287">
        <v>139.88000500000001</v>
      </c>
      <c r="C2287">
        <v>140.070007</v>
      </c>
      <c r="D2287">
        <v>138.25</v>
      </c>
      <c r="E2287">
        <v>139.96000699999999</v>
      </c>
      <c r="F2287">
        <v>136.073624</v>
      </c>
      <c r="G2287">
        <v>9188700</v>
      </c>
      <c r="I2287">
        <f t="shared" si="36"/>
        <v>1.4515735147351669E-4</v>
      </c>
    </row>
    <row r="2288" spans="1:9" x14ac:dyDescent="0.3">
      <c r="A2288" s="5">
        <v>44958</v>
      </c>
      <c r="B2288">
        <v>138.21000699999999</v>
      </c>
      <c r="C2288">
        <v>140.88000500000001</v>
      </c>
      <c r="D2288">
        <v>138.11999499999999</v>
      </c>
      <c r="E2288">
        <v>139.58999600000001</v>
      </c>
      <c r="F2288">
        <v>135.71388200000001</v>
      </c>
      <c r="G2288">
        <v>8841800</v>
      </c>
      <c r="I2288">
        <f t="shared" si="36"/>
        <v>1.8291187078232744E-4</v>
      </c>
    </row>
    <row r="2289" spans="1:9" x14ac:dyDescent="0.3">
      <c r="A2289" s="5">
        <v>44959</v>
      </c>
      <c r="B2289">
        <v>140</v>
      </c>
      <c r="C2289">
        <v>140.46000699999999</v>
      </c>
      <c r="D2289">
        <v>138</v>
      </c>
      <c r="E2289">
        <v>138.94000199999999</v>
      </c>
      <c r="F2289">
        <v>135.08194</v>
      </c>
      <c r="G2289">
        <v>11822100</v>
      </c>
      <c r="I2289">
        <f t="shared" si="36"/>
        <v>1.3337063624782564E-4</v>
      </c>
    </row>
    <row r="2290" spans="1:9" x14ac:dyDescent="0.3">
      <c r="A2290" s="5">
        <v>44960</v>
      </c>
      <c r="B2290">
        <v>138.179993</v>
      </c>
      <c r="C2290">
        <v>142.33000200000001</v>
      </c>
      <c r="D2290">
        <v>138.13000500000001</v>
      </c>
      <c r="E2290">
        <v>141.08999600000001</v>
      </c>
      <c r="F2290">
        <v>137.17222599999999</v>
      </c>
      <c r="G2290">
        <v>11501200</v>
      </c>
      <c r="I2290">
        <f t="shared" si="36"/>
        <v>2.6660528041343927E-4</v>
      </c>
    </row>
    <row r="2291" spans="1:9" x14ac:dyDescent="0.3">
      <c r="A2291" s="5">
        <v>44963</v>
      </c>
      <c r="B2291">
        <v>140.229996</v>
      </c>
      <c r="C2291">
        <v>142.240005</v>
      </c>
      <c r="D2291">
        <v>140.029999</v>
      </c>
      <c r="E2291">
        <v>141.91999799999999</v>
      </c>
      <c r="F2291">
        <v>137.979187</v>
      </c>
      <c r="G2291">
        <v>8406200</v>
      </c>
      <c r="I2291">
        <f t="shared" si="36"/>
        <v>5.1189108978026494E-5</v>
      </c>
    </row>
    <row r="2292" spans="1:9" x14ac:dyDescent="0.3">
      <c r="A2292" s="5">
        <v>44964</v>
      </c>
      <c r="B2292">
        <v>141.38000500000001</v>
      </c>
      <c r="C2292">
        <v>144.33999600000001</v>
      </c>
      <c r="D2292">
        <v>141.179993</v>
      </c>
      <c r="E2292">
        <v>143.64999399999999</v>
      </c>
      <c r="F2292">
        <v>139.66113300000001</v>
      </c>
      <c r="G2292">
        <v>10447900</v>
      </c>
      <c r="I2292">
        <f t="shared" si="36"/>
        <v>1.2384283671690356E-4</v>
      </c>
    </row>
    <row r="2293" spans="1:9" x14ac:dyDescent="0.3">
      <c r="A2293" s="5">
        <v>44965</v>
      </c>
      <c r="B2293">
        <v>142.64999399999999</v>
      </c>
      <c r="C2293">
        <v>144.03999300000001</v>
      </c>
      <c r="D2293">
        <v>142.279999</v>
      </c>
      <c r="E2293">
        <v>142.63999899999999</v>
      </c>
      <c r="F2293">
        <v>138.67918399999999</v>
      </c>
      <c r="G2293">
        <v>6958000</v>
      </c>
      <c r="I2293">
        <f t="shared" si="36"/>
        <v>1.0127331390153529E-4</v>
      </c>
    </row>
    <row r="2294" spans="1:9" x14ac:dyDescent="0.3">
      <c r="A2294" s="5">
        <v>44966</v>
      </c>
      <c r="B2294">
        <v>143.11999499999999</v>
      </c>
      <c r="C2294">
        <v>143.33999600000001</v>
      </c>
      <c r="D2294">
        <v>139.86999499999999</v>
      </c>
      <c r="E2294">
        <v>140.41999799999999</v>
      </c>
      <c r="F2294">
        <v>136.52082799999999</v>
      </c>
      <c r="G2294">
        <v>6443100</v>
      </c>
      <c r="I2294">
        <f t="shared" si="36"/>
        <v>1.2175973773000158E-4</v>
      </c>
    </row>
    <row r="2295" spans="1:9" x14ac:dyDescent="0.3">
      <c r="A2295" s="5">
        <v>44967</v>
      </c>
      <c r="B2295">
        <v>139.779999</v>
      </c>
      <c r="C2295">
        <v>141.279999</v>
      </c>
      <c r="D2295">
        <v>138.58999600000001</v>
      </c>
      <c r="E2295">
        <v>141.03999300000001</v>
      </c>
      <c r="F2295">
        <v>137.12361100000001</v>
      </c>
      <c r="G2295">
        <v>6582900</v>
      </c>
      <c r="I2295">
        <f t="shared" si="36"/>
        <v>1.679722723315319E-4</v>
      </c>
    </row>
    <row r="2296" spans="1:9" x14ac:dyDescent="0.3">
      <c r="A2296" s="5">
        <v>44970</v>
      </c>
      <c r="B2296">
        <v>141.300003</v>
      </c>
      <c r="C2296">
        <v>142.729996</v>
      </c>
      <c r="D2296">
        <v>140.740005</v>
      </c>
      <c r="E2296">
        <v>142.570007</v>
      </c>
      <c r="F2296">
        <v>138.61114499999999</v>
      </c>
      <c r="G2296">
        <v>7134600</v>
      </c>
      <c r="I2296">
        <f t="shared" si="36"/>
        <v>6.2595052041560791E-5</v>
      </c>
    </row>
    <row r="2297" spans="1:9" x14ac:dyDescent="0.3">
      <c r="A2297" s="5">
        <v>44971</v>
      </c>
      <c r="B2297">
        <v>142.5</v>
      </c>
      <c r="C2297">
        <v>143.80999800000001</v>
      </c>
      <c r="D2297">
        <v>141.60000600000001</v>
      </c>
      <c r="E2297">
        <v>143.199997</v>
      </c>
      <c r="F2297">
        <v>139.22363300000001</v>
      </c>
      <c r="G2297">
        <v>9249400</v>
      </c>
      <c r="I2297">
        <f t="shared" si="36"/>
        <v>1.1008720560191056E-4</v>
      </c>
    </row>
    <row r="2298" spans="1:9" x14ac:dyDescent="0.3">
      <c r="A2298" s="5">
        <v>44972</v>
      </c>
      <c r="B2298">
        <v>141.61000100000001</v>
      </c>
      <c r="C2298">
        <v>143.88999899999999</v>
      </c>
      <c r="D2298">
        <v>141.300003</v>
      </c>
      <c r="E2298">
        <v>143.800003</v>
      </c>
      <c r="F2298">
        <v>139.80699200000001</v>
      </c>
      <c r="G2298">
        <v>6728300</v>
      </c>
      <c r="I2298">
        <f t="shared" si="36"/>
        <v>4.8427806869244212E-5</v>
      </c>
    </row>
    <row r="2299" spans="1:9" x14ac:dyDescent="0.3">
      <c r="A2299" s="5">
        <v>44973</v>
      </c>
      <c r="B2299">
        <v>142.91000399999999</v>
      </c>
      <c r="C2299">
        <v>143.38999899999999</v>
      </c>
      <c r="D2299">
        <v>141.679993</v>
      </c>
      <c r="E2299">
        <v>141.820007</v>
      </c>
      <c r="F2299">
        <v>137.88197299999999</v>
      </c>
      <c r="G2299">
        <v>8165300</v>
      </c>
      <c r="I2299">
        <f t="shared" si="36"/>
        <v>4.5454128165682828E-5</v>
      </c>
    </row>
    <row r="2300" spans="1:9" x14ac:dyDescent="0.3">
      <c r="A2300" s="5">
        <v>44974</v>
      </c>
      <c r="B2300">
        <v>140.979996</v>
      </c>
      <c r="C2300">
        <v>142.83000200000001</v>
      </c>
      <c r="D2300">
        <v>140.070007</v>
      </c>
      <c r="E2300">
        <v>142.240005</v>
      </c>
      <c r="F2300">
        <v>138.290314</v>
      </c>
      <c r="G2300">
        <v>7948800</v>
      </c>
      <c r="I2300">
        <f t="shared" si="36"/>
        <v>1.5351809005089524E-4</v>
      </c>
    </row>
    <row r="2301" spans="1:9" x14ac:dyDescent="0.3">
      <c r="A2301" s="5">
        <v>44978</v>
      </c>
      <c r="B2301">
        <v>140.69000199999999</v>
      </c>
      <c r="C2301">
        <v>141.33999600000001</v>
      </c>
      <c r="D2301">
        <v>138.75</v>
      </c>
      <c r="E2301">
        <v>139.63000500000001</v>
      </c>
      <c r="F2301">
        <v>135.75277700000001</v>
      </c>
      <c r="G2301">
        <v>9996300</v>
      </c>
      <c r="I2301">
        <f t="shared" si="36"/>
        <v>1.4389339093435918E-4</v>
      </c>
    </row>
    <row r="2302" spans="1:9" x14ac:dyDescent="0.3">
      <c r="A2302" s="5">
        <v>44979</v>
      </c>
      <c r="B2302">
        <v>138.91999799999999</v>
      </c>
      <c r="C2302">
        <v>139.429993</v>
      </c>
      <c r="D2302">
        <v>137.44000199999999</v>
      </c>
      <c r="E2302">
        <v>138.55999800000001</v>
      </c>
      <c r="F2302">
        <v>134.712479</v>
      </c>
      <c r="G2302">
        <v>11107500</v>
      </c>
      <c r="I2302">
        <f t="shared" si="36"/>
        <v>1.0986426152324957E-4</v>
      </c>
    </row>
    <row r="2303" spans="1:9" x14ac:dyDescent="0.3">
      <c r="A2303" s="5">
        <v>44980</v>
      </c>
      <c r="B2303">
        <v>138.729996</v>
      </c>
      <c r="C2303">
        <v>140.16999799999999</v>
      </c>
      <c r="D2303">
        <v>137.94000199999999</v>
      </c>
      <c r="E2303">
        <v>139.66999799999999</v>
      </c>
      <c r="F2303">
        <v>135.79165599999999</v>
      </c>
      <c r="G2303">
        <v>8068000</v>
      </c>
      <c r="I2303">
        <f t="shared" si="36"/>
        <v>1.0807789253739674E-4</v>
      </c>
    </row>
    <row r="2304" spans="1:9" x14ac:dyDescent="0.3">
      <c r="A2304" s="5">
        <v>44981</v>
      </c>
      <c r="B2304">
        <v>139.11000100000001</v>
      </c>
      <c r="C2304">
        <v>141.36000100000001</v>
      </c>
      <c r="D2304">
        <v>138.929993</v>
      </c>
      <c r="E2304">
        <v>140.929993</v>
      </c>
      <c r="F2304">
        <v>137.01666299999999</v>
      </c>
      <c r="G2304">
        <v>9126900</v>
      </c>
      <c r="I2304">
        <f t="shared" si="36"/>
        <v>6.7388974840626583E-5</v>
      </c>
    </row>
    <row r="2305" spans="1:9" x14ac:dyDescent="0.3">
      <c r="A2305" s="5">
        <v>44984</v>
      </c>
      <c r="B2305">
        <v>142.11000100000001</v>
      </c>
      <c r="C2305">
        <v>143.30999800000001</v>
      </c>
      <c r="D2305">
        <v>141.720001</v>
      </c>
      <c r="E2305">
        <v>142.16000399999999</v>
      </c>
      <c r="F2305">
        <v>138.212524</v>
      </c>
      <c r="G2305">
        <v>10014700</v>
      </c>
      <c r="I2305">
        <f t="shared" si="36"/>
        <v>7.6266870249850255E-5</v>
      </c>
    </row>
    <row r="2306" spans="1:9" x14ac:dyDescent="0.3">
      <c r="A2306" s="5">
        <v>44985</v>
      </c>
      <c r="B2306">
        <v>142.94000199999999</v>
      </c>
      <c r="C2306">
        <v>143.759995</v>
      </c>
      <c r="D2306">
        <v>141.89999399999999</v>
      </c>
      <c r="E2306">
        <v>143.35000600000001</v>
      </c>
      <c r="F2306">
        <v>139.369461</v>
      </c>
      <c r="G2306">
        <v>11019800</v>
      </c>
      <c r="I2306">
        <f t="shared" si="36"/>
        <v>9.0578429340182749E-5</v>
      </c>
    </row>
    <row r="2307" spans="1:9" x14ac:dyDescent="0.3">
      <c r="A2307" s="5">
        <v>44986</v>
      </c>
      <c r="B2307">
        <v>142.10000600000001</v>
      </c>
      <c r="C2307">
        <v>143.46000699999999</v>
      </c>
      <c r="D2307">
        <v>141.800003</v>
      </c>
      <c r="E2307">
        <v>142.550003</v>
      </c>
      <c r="F2307">
        <v>138.59170499999999</v>
      </c>
      <c r="G2307">
        <v>7139200</v>
      </c>
      <c r="I2307">
        <f t="shared" si="36"/>
        <v>7.1762231708282452E-5</v>
      </c>
    </row>
    <row r="2308" spans="1:9" x14ac:dyDescent="0.3">
      <c r="A2308" s="5">
        <v>44987</v>
      </c>
      <c r="B2308">
        <v>142.240005</v>
      </c>
      <c r="C2308">
        <v>142.429993</v>
      </c>
      <c r="D2308">
        <v>139.53999300000001</v>
      </c>
      <c r="E2308">
        <v>141.070007</v>
      </c>
      <c r="F2308">
        <v>137.15278599999999</v>
      </c>
      <c r="G2308">
        <v>11106800</v>
      </c>
      <c r="I2308">
        <f t="shared" si="36"/>
        <v>2.2179640379487163E-4</v>
      </c>
    </row>
    <row r="2309" spans="1:9" x14ac:dyDescent="0.3">
      <c r="A2309" s="5">
        <v>44988</v>
      </c>
      <c r="B2309">
        <v>141.509995</v>
      </c>
      <c r="C2309">
        <v>143.740005</v>
      </c>
      <c r="D2309">
        <v>141.08000200000001</v>
      </c>
      <c r="E2309">
        <v>143.66000399999999</v>
      </c>
      <c r="F2309">
        <v>139.670883</v>
      </c>
      <c r="G2309">
        <v>9513100</v>
      </c>
      <c r="I2309">
        <f t="shared" si="36"/>
        <v>6.3855158746721786E-5</v>
      </c>
    </row>
    <row r="2310" spans="1:9" x14ac:dyDescent="0.3">
      <c r="A2310" s="5">
        <v>44991</v>
      </c>
      <c r="B2310">
        <v>143.44000199999999</v>
      </c>
      <c r="C2310">
        <v>144.03999300000001</v>
      </c>
      <c r="D2310">
        <v>142.66000399999999</v>
      </c>
      <c r="E2310">
        <v>142.820007</v>
      </c>
      <c r="F2310">
        <v>138.85420199999999</v>
      </c>
      <c r="G2310">
        <v>9261300</v>
      </c>
      <c r="I2310">
        <f t="shared" si="36"/>
        <v>4.1616728881194356E-5</v>
      </c>
    </row>
    <row r="2311" spans="1:9" x14ac:dyDescent="0.3">
      <c r="A2311" s="5">
        <v>44992</v>
      </c>
      <c r="B2311">
        <v>142.009995</v>
      </c>
      <c r="C2311">
        <v>142.30999800000001</v>
      </c>
      <c r="D2311">
        <v>137.80999800000001</v>
      </c>
      <c r="E2311">
        <v>138.61999499999999</v>
      </c>
      <c r="F2311">
        <v>134.770813</v>
      </c>
      <c r="G2311">
        <v>11747600</v>
      </c>
      <c r="I2311">
        <f t="shared" si="36"/>
        <v>2.3138020141234001E-4</v>
      </c>
    </row>
    <row r="2312" spans="1:9" x14ac:dyDescent="0.3">
      <c r="A2312" s="5">
        <v>44993</v>
      </c>
      <c r="B2312">
        <v>138</v>
      </c>
      <c r="C2312">
        <v>138.58999600000001</v>
      </c>
      <c r="D2312">
        <v>136.88999899999999</v>
      </c>
      <c r="E2312">
        <v>137.800003</v>
      </c>
      <c r="F2312">
        <v>133.97358700000001</v>
      </c>
      <c r="G2312">
        <v>10002500</v>
      </c>
      <c r="I2312">
        <f t="shared" si="36"/>
        <v>7.7897197636216057E-5</v>
      </c>
    </row>
    <row r="2313" spans="1:9" x14ac:dyDescent="0.3">
      <c r="A2313" s="5">
        <v>44994</v>
      </c>
      <c r="B2313">
        <v>136.759995</v>
      </c>
      <c r="C2313">
        <v>137.35000600000001</v>
      </c>
      <c r="D2313">
        <v>129.220001</v>
      </c>
      <c r="E2313">
        <v>130.33999600000001</v>
      </c>
      <c r="F2313">
        <v>126.72073399999999</v>
      </c>
      <c r="G2313">
        <v>25888100</v>
      </c>
      <c r="I2313">
        <f t="shared" si="36"/>
        <v>7.1493564804756514E-4</v>
      </c>
    </row>
    <row r="2314" spans="1:9" x14ac:dyDescent="0.3">
      <c r="A2314" s="5">
        <v>44995</v>
      </c>
      <c r="B2314">
        <v>128.96000699999999</v>
      </c>
      <c r="C2314">
        <v>135.259995</v>
      </c>
      <c r="D2314">
        <v>127.82</v>
      </c>
      <c r="E2314">
        <v>133.64999399999999</v>
      </c>
      <c r="F2314">
        <v>129.93881200000001</v>
      </c>
      <c r="G2314">
        <v>37599700</v>
      </c>
      <c r="I2314">
        <f t="shared" si="36"/>
        <v>9.6716695862534381E-4</v>
      </c>
    </row>
    <row r="2315" spans="1:9" x14ac:dyDescent="0.3">
      <c r="A2315" s="5">
        <v>44998</v>
      </c>
      <c r="B2315">
        <v>131.21000699999999</v>
      </c>
      <c r="C2315">
        <v>133.88000500000001</v>
      </c>
      <c r="D2315">
        <v>129.41000399999999</v>
      </c>
      <c r="E2315">
        <v>131.25</v>
      </c>
      <c r="F2315">
        <v>127.60546100000001</v>
      </c>
      <c r="G2315">
        <v>42901100</v>
      </c>
      <c r="I2315">
        <f t="shared" si="36"/>
        <v>5.9469373456994597E-4</v>
      </c>
    </row>
    <row r="2316" spans="1:9" x14ac:dyDescent="0.3">
      <c r="A2316" s="5">
        <v>44999</v>
      </c>
      <c r="B2316">
        <v>135.279999</v>
      </c>
      <c r="C2316">
        <v>135.529999</v>
      </c>
      <c r="D2316">
        <v>131.28999300000001</v>
      </c>
      <c r="E2316">
        <v>134.61999499999999</v>
      </c>
      <c r="F2316">
        <v>130.88188199999999</v>
      </c>
      <c r="G2316">
        <v>29648100</v>
      </c>
      <c r="I2316">
        <f t="shared" ref="I2316:I2379" si="37">LN(C2316/B2316)*(LN(C2316/B2316)-LN(E2316/B2316))+LN(D2316/B2316)*(LN(D2316/B2316)-LN(E2316/B2316))</f>
        <v>7.6231093346892887E-4</v>
      </c>
    </row>
    <row r="2317" spans="1:9" x14ac:dyDescent="0.3">
      <c r="A2317" s="5">
        <v>45000</v>
      </c>
      <c r="B2317">
        <v>130.979996</v>
      </c>
      <c r="C2317">
        <v>130.990005</v>
      </c>
      <c r="D2317">
        <v>126.730003</v>
      </c>
      <c r="E2317">
        <v>128.259995</v>
      </c>
      <c r="F2317">
        <v>124.698486</v>
      </c>
      <c r="G2317">
        <v>34280600</v>
      </c>
      <c r="I2317">
        <f t="shared" si="37"/>
        <v>3.9745655257206772E-4</v>
      </c>
    </row>
    <row r="2318" spans="1:9" x14ac:dyDescent="0.3">
      <c r="A2318" s="5">
        <v>45001</v>
      </c>
      <c r="B2318">
        <v>128.009995</v>
      </c>
      <c r="C2318">
        <v>131.949997</v>
      </c>
      <c r="D2318">
        <v>126.019997</v>
      </c>
      <c r="E2318">
        <v>130.75</v>
      </c>
      <c r="F2318">
        <v>127.119362</v>
      </c>
      <c r="G2318">
        <v>24558500</v>
      </c>
      <c r="I2318">
        <f t="shared" si="37"/>
        <v>8.5425477899348271E-4</v>
      </c>
    </row>
    <row r="2319" spans="1:9" x14ac:dyDescent="0.3">
      <c r="A2319" s="5">
        <v>45002</v>
      </c>
      <c r="B2319">
        <v>128.38000500000001</v>
      </c>
      <c r="C2319">
        <v>128.479996</v>
      </c>
      <c r="D2319">
        <v>125.449997</v>
      </c>
      <c r="E2319">
        <v>125.80999799999999</v>
      </c>
      <c r="F2319">
        <v>122.31652099999999</v>
      </c>
      <c r="G2319">
        <v>38396000</v>
      </c>
      <c r="I2319">
        <f t="shared" si="37"/>
        <v>8.250868403496687E-5</v>
      </c>
    </row>
    <row r="2320" spans="1:9" x14ac:dyDescent="0.3">
      <c r="A2320" s="5">
        <v>45005</v>
      </c>
      <c r="B2320">
        <v>126.989998</v>
      </c>
      <c r="C2320">
        <v>129.470001</v>
      </c>
      <c r="D2320">
        <v>126.010002</v>
      </c>
      <c r="E2320">
        <v>127.139999</v>
      </c>
      <c r="F2320">
        <v>123.609589</v>
      </c>
      <c r="G2320">
        <v>22875500</v>
      </c>
      <c r="I2320">
        <f t="shared" si="37"/>
        <v>4.2039950087246071E-4</v>
      </c>
    </row>
    <row r="2321" spans="1:9" x14ac:dyDescent="0.3">
      <c r="A2321" s="5">
        <v>45006</v>
      </c>
      <c r="B2321">
        <v>130.58999600000001</v>
      </c>
      <c r="C2321">
        <v>131.729996</v>
      </c>
      <c r="D2321">
        <v>130.19000199999999</v>
      </c>
      <c r="E2321">
        <v>130.550003</v>
      </c>
      <c r="F2321">
        <v>126.92491099999999</v>
      </c>
      <c r="G2321">
        <v>17807800</v>
      </c>
      <c r="I2321">
        <f t="shared" si="37"/>
        <v>8.6679417831208748E-5</v>
      </c>
    </row>
    <row r="2322" spans="1:9" x14ac:dyDescent="0.3">
      <c r="A2322" s="5">
        <v>45007</v>
      </c>
      <c r="B2322">
        <v>130.55999800000001</v>
      </c>
      <c r="C2322">
        <v>130.66000399999999</v>
      </c>
      <c r="D2322">
        <v>127.08000199999999</v>
      </c>
      <c r="E2322">
        <v>127.18</v>
      </c>
      <c r="F2322">
        <v>123.648483</v>
      </c>
      <c r="G2322">
        <v>17250200</v>
      </c>
      <c r="I2322">
        <f t="shared" si="37"/>
        <v>4.1920065239149679E-5</v>
      </c>
    </row>
    <row r="2323" spans="1:9" x14ac:dyDescent="0.3">
      <c r="A2323" s="5">
        <v>45008</v>
      </c>
      <c r="B2323">
        <v>127.900002</v>
      </c>
      <c r="C2323">
        <v>129.529999</v>
      </c>
      <c r="D2323">
        <v>126.019997</v>
      </c>
      <c r="E2323">
        <v>126.839996</v>
      </c>
      <c r="F2323">
        <v>123.31791699999999</v>
      </c>
      <c r="G2323">
        <v>16677600</v>
      </c>
      <c r="I2323">
        <f t="shared" si="37"/>
        <v>3.6180605029784591E-4</v>
      </c>
    </row>
    <row r="2324" spans="1:9" x14ac:dyDescent="0.3">
      <c r="A2324" s="5">
        <v>45009</v>
      </c>
      <c r="B2324">
        <v>125.629997</v>
      </c>
      <c r="C2324">
        <v>125.68</v>
      </c>
      <c r="D2324">
        <v>123.110001</v>
      </c>
      <c r="E2324">
        <v>124.910004</v>
      </c>
      <c r="F2324">
        <v>121.44152800000001</v>
      </c>
      <c r="G2324">
        <v>22311100</v>
      </c>
      <c r="I2324">
        <f t="shared" si="37"/>
        <v>2.9656461915350221E-4</v>
      </c>
    </row>
    <row r="2325" spans="1:9" x14ac:dyDescent="0.3">
      <c r="A2325" s="5">
        <v>45012</v>
      </c>
      <c r="B2325">
        <v>126.790001</v>
      </c>
      <c r="C2325">
        <v>129.38000500000001</v>
      </c>
      <c r="D2325">
        <v>126.290001</v>
      </c>
      <c r="E2325">
        <v>128.490005</v>
      </c>
      <c r="F2325">
        <v>124.922112</v>
      </c>
      <c r="G2325">
        <v>18853900</v>
      </c>
      <c r="I2325">
        <f t="shared" si="37"/>
        <v>2.0782512134167461E-4</v>
      </c>
    </row>
    <row r="2326" spans="1:9" x14ac:dyDescent="0.3">
      <c r="A2326" s="5">
        <v>45013</v>
      </c>
      <c r="B2326">
        <v>128.71000699999999</v>
      </c>
      <c r="C2326">
        <v>129.33999600000001</v>
      </c>
      <c r="D2326">
        <v>127.739998</v>
      </c>
      <c r="E2326">
        <v>128.88000500000001</v>
      </c>
      <c r="F2326">
        <v>125.30128499999999</v>
      </c>
      <c r="G2326">
        <v>10820500</v>
      </c>
      <c r="I2326">
        <f t="shared" si="37"/>
        <v>8.4609282401215804E-5</v>
      </c>
    </row>
    <row r="2327" spans="1:9" x14ac:dyDescent="0.3">
      <c r="A2327" s="5">
        <v>45014</v>
      </c>
      <c r="B2327">
        <v>130.10000600000001</v>
      </c>
      <c r="C2327">
        <v>130.220001</v>
      </c>
      <c r="D2327">
        <v>127.769997</v>
      </c>
      <c r="E2327">
        <v>129.13999899999999</v>
      </c>
      <c r="F2327">
        <v>125.554047</v>
      </c>
      <c r="G2327">
        <v>14595300</v>
      </c>
      <c r="I2327">
        <f t="shared" si="37"/>
        <v>2.0041831495641496E-4</v>
      </c>
    </row>
    <row r="2328" spans="1:9" x14ac:dyDescent="0.3">
      <c r="A2328" s="5">
        <v>45015</v>
      </c>
      <c r="B2328">
        <v>129.949997</v>
      </c>
      <c r="C2328">
        <v>130.11999499999999</v>
      </c>
      <c r="D2328">
        <v>127.650002</v>
      </c>
      <c r="E2328">
        <v>128.75</v>
      </c>
      <c r="F2328">
        <v>125.174881</v>
      </c>
      <c r="G2328">
        <v>12134700</v>
      </c>
      <c r="I2328">
        <f t="shared" si="37"/>
        <v>1.6706222827099303E-4</v>
      </c>
    </row>
    <row r="2329" spans="1:9" x14ac:dyDescent="0.3">
      <c r="A2329" s="5">
        <v>45016</v>
      </c>
      <c r="B2329">
        <v>129.66000399999999</v>
      </c>
      <c r="C2329">
        <v>130.33999600000001</v>
      </c>
      <c r="D2329">
        <v>128.85000600000001</v>
      </c>
      <c r="E2329">
        <v>130.30999800000001</v>
      </c>
      <c r="F2329">
        <v>126.691559</v>
      </c>
      <c r="G2329">
        <v>13105200</v>
      </c>
      <c r="I2329">
        <f t="shared" si="37"/>
        <v>7.1812190087369534E-5</v>
      </c>
    </row>
    <row r="2330" spans="1:9" x14ac:dyDescent="0.3">
      <c r="A2330" s="5">
        <v>45019</v>
      </c>
      <c r="B2330">
        <v>129.91000399999999</v>
      </c>
      <c r="C2330">
        <v>131.44000199999999</v>
      </c>
      <c r="D2330">
        <v>129.41000399999999</v>
      </c>
      <c r="E2330">
        <v>130.16000399999999</v>
      </c>
      <c r="F2330">
        <v>126.545731</v>
      </c>
      <c r="G2330">
        <v>11775400</v>
      </c>
      <c r="I2330">
        <f t="shared" si="37"/>
        <v>1.3686434385260922E-4</v>
      </c>
    </row>
    <row r="2331" spans="1:9" x14ac:dyDescent="0.3">
      <c r="A2331" s="5">
        <v>45020</v>
      </c>
      <c r="B2331">
        <v>130.5</v>
      </c>
      <c r="C2331">
        <v>130.58999600000001</v>
      </c>
      <c r="D2331">
        <v>127.410004</v>
      </c>
      <c r="E2331">
        <v>128.41999799999999</v>
      </c>
      <c r="F2331">
        <v>124.854057</v>
      </c>
      <c r="G2331">
        <v>11579900</v>
      </c>
      <c r="I2331">
        <f t="shared" si="37"/>
        <v>2.0075995518399864E-4</v>
      </c>
    </row>
    <row r="2332" spans="1:9" x14ac:dyDescent="0.3">
      <c r="A2332" s="5">
        <v>45021</v>
      </c>
      <c r="B2332">
        <v>126.800003</v>
      </c>
      <c r="C2332">
        <v>128.14999399999999</v>
      </c>
      <c r="D2332">
        <v>126.459999</v>
      </c>
      <c r="E2332">
        <v>127.610001</v>
      </c>
      <c r="F2332">
        <v>125.040222</v>
      </c>
      <c r="G2332">
        <v>9614700</v>
      </c>
      <c r="I2332">
        <f t="shared" si="37"/>
        <v>6.9026102172446759E-5</v>
      </c>
    </row>
    <row r="2333" spans="1:9" x14ac:dyDescent="0.3">
      <c r="A2333" s="5">
        <v>45022</v>
      </c>
      <c r="B2333">
        <v>127</v>
      </c>
      <c r="C2333">
        <v>128.08000200000001</v>
      </c>
      <c r="D2333">
        <v>126.860001</v>
      </c>
      <c r="E2333">
        <v>127.470001</v>
      </c>
      <c r="F2333">
        <v>124.903046</v>
      </c>
      <c r="G2333">
        <v>8760200</v>
      </c>
      <c r="I2333">
        <f t="shared" si="37"/>
        <v>4.5717336256715902E-5</v>
      </c>
    </row>
    <row r="2334" spans="1:9" x14ac:dyDescent="0.3">
      <c r="A2334" s="5">
        <v>45026</v>
      </c>
      <c r="B2334">
        <v>126.540001</v>
      </c>
      <c r="C2334">
        <v>128.229996</v>
      </c>
      <c r="D2334">
        <v>126.220001</v>
      </c>
      <c r="E2334">
        <v>127.889999</v>
      </c>
      <c r="F2334">
        <v>125.314575</v>
      </c>
      <c r="G2334">
        <v>9477300</v>
      </c>
      <c r="I2334">
        <f t="shared" si="37"/>
        <v>6.8505185478026163E-5</v>
      </c>
    </row>
    <row r="2335" spans="1:9" x14ac:dyDescent="0.3">
      <c r="A2335" s="5">
        <v>45027</v>
      </c>
      <c r="B2335">
        <v>128.300003</v>
      </c>
      <c r="C2335">
        <v>128.94000199999999</v>
      </c>
      <c r="D2335">
        <v>127.540001</v>
      </c>
      <c r="E2335">
        <v>128.520004</v>
      </c>
      <c r="F2335">
        <v>125.931892</v>
      </c>
      <c r="G2335">
        <v>10516300</v>
      </c>
      <c r="I2335">
        <f t="shared" si="37"/>
        <v>6.1711890504237562E-5</v>
      </c>
    </row>
    <row r="2336" spans="1:9" x14ac:dyDescent="0.3">
      <c r="A2336" s="5">
        <v>45028</v>
      </c>
      <c r="B2336">
        <v>129.179993</v>
      </c>
      <c r="C2336">
        <v>130.429993</v>
      </c>
      <c r="D2336">
        <v>128.05999800000001</v>
      </c>
      <c r="E2336">
        <v>128.5</v>
      </c>
      <c r="F2336">
        <v>125.91229199999999</v>
      </c>
      <c r="G2336">
        <v>11821000</v>
      </c>
      <c r="I2336">
        <f t="shared" si="37"/>
        <v>1.7342800058362971E-4</v>
      </c>
    </row>
    <row r="2337" spans="1:9" x14ac:dyDescent="0.3">
      <c r="A2337" s="5">
        <v>45029</v>
      </c>
      <c r="B2337">
        <v>128.46000699999999</v>
      </c>
      <c r="C2337">
        <v>129.03999300000001</v>
      </c>
      <c r="D2337">
        <v>126.83000199999999</v>
      </c>
      <c r="E2337">
        <v>128.990005</v>
      </c>
      <c r="F2337">
        <v>126.392426</v>
      </c>
      <c r="G2337">
        <v>12450200</v>
      </c>
      <c r="I2337">
        <f t="shared" si="37"/>
        <v>2.1739625914360866E-4</v>
      </c>
    </row>
    <row r="2338" spans="1:9" x14ac:dyDescent="0.3">
      <c r="A2338" s="5">
        <v>45030</v>
      </c>
      <c r="B2338">
        <v>135.14999399999999</v>
      </c>
      <c r="C2338">
        <v>139.11999499999999</v>
      </c>
      <c r="D2338">
        <v>134.89999399999999</v>
      </c>
      <c r="E2338">
        <v>138.729996</v>
      </c>
      <c r="F2338">
        <v>135.936295</v>
      </c>
      <c r="G2338">
        <v>43931300</v>
      </c>
      <c r="I2338">
        <f t="shared" si="37"/>
        <v>1.3310941089521826E-4</v>
      </c>
    </row>
    <row r="2339" spans="1:9" x14ac:dyDescent="0.3">
      <c r="A2339" s="5">
        <v>45033</v>
      </c>
      <c r="B2339">
        <v>139.949997</v>
      </c>
      <c r="C2339">
        <v>140.05999800000001</v>
      </c>
      <c r="D2339">
        <v>137.66000399999999</v>
      </c>
      <c r="E2339">
        <v>139.83000200000001</v>
      </c>
      <c r="F2339">
        <v>137.01414500000001</v>
      </c>
      <c r="G2339">
        <v>16050500</v>
      </c>
      <c r="I2339">
        <f t="shared" si="37"/>
        <v>2.593328693368682E-4</v>
      </c>
    </row>
    <row r="2340" spans="1:9" x14ac:dyDescent="0.3">
      <c r="A2340" s="5">
        <v>45034</v>
      </c>
      <c r="B2340">
        <v>140.270004</v>
      </c>
      <c r="C2340">
        <v>141.779999</v>
      </c>
      <c r="D2340">
        <v>139.029999</v>
      </c>
      <c r="E2340">
        <v>141.39999399999999</v>
      </c>
      <c r="F2340">
        <v>138.55252100000001</v>
      </c>
      <c r="G2340">
        <v>13760100</v>
      </c>
      <c r="I2340">
        <f t="shared" si="37"/>
        <v>1.7882586748671616E-4</v>
      </c>
    </row>
    <row r="2341" spans="1:9" x14ac:dyDescent="0.3">
      <c r="A2341" s="5">
        <v>45035</v>
      </c>
      <c r="B2341">
        <v>141.229996</v>
      </c>
      <c r="C2341">
        <v>141.5</v>
      </c>
      <c r="D2341">
        <v>140.39999399999999</v>
      </c>
      <c r="E2341">
        <v>141.220001</v>
      </c>
      <c r="F2341">
        <v>138.37616</v>
      </c>
      <c r="G2341">
        <v>9158100</v>
      </c>
      <c r="I2341">
        <f t="shared" si="37"/>
        <v>3.810868661695983E-5</v>
      </c>
    </row>
    <row r="2342" spans="1:9" x14ac:dyDescent="0.3">
      <c r="A2342" s="5">
        <v>45036</v>
      </c>
      <c r="B2342">
        <v>139.91000399999999</v>
      </c>
      <c r="C2342">
        <v>141.429993</v>
      </c>
      <c r="D2342">
        <v>139.83999600000001</v>
      </c>
      <c r="E2342">
        <v>140.80999800000001</v>
      </c>
      <c r="F2342">
        <v>137.97439600000001</v>
      </c>
      <c r="G2342">
        <v>10586200</v>
      </c>
      <c r="I2342">
        <f t="shared" si="37"/>
        <v>5.0932422183816884E-5</v>
      </c>
    </row>
    <row r="2343" spans="1:9" x14ac:dyDescent="0.3">
      <c r="A2343" s="5">
        <v>45037</v>
      </c>
      <c r="B2343">
        <v>139.740005</v>
      </c>
      <c r="C2343">
        <v>141.11000100000001</v>
      </c>
      <c r="D2343">
        <v>138.779999</v>
      </c>
      <c r="E2343">
        <v>140.53999300000001</v>
      </c>
      <c r="F2343">
        <v>137.70983899999999</v>
      </c>
      <c r="G2343">
        <v>11842500</v>
      </c>
      <c r="I2343">
        <f t="shared" si="37"/>
        <v>1.2636423242827838E-4</v>
      </c>
    </row>
    <row r="2344" spans="1:9" x14ac:dyDescent="0.3">
      <c r="A2344" s="5">
        <v>45040</v>
      </c>
      <c r="B2344">
        <v>140.46000699999999</v>
      </c>
      <c r="C2344">
        <v>141.10000600000001</v>
      </c>
      <c r="D2344">
        <v>140.03999300000001</v>
      </c>
      <c r="E2344">
        <v>140.729996</v>
      </c>
      <c r="F2344">
        <v>137.89601099999999</v>
      </c>
      <c r="G2344">
        <v>7567500</v>
      </c>
      <c r="I2344">
        <f t="shared" si="37"/>
        <v>2.6656486867256387E-5</v>
      </c>
    </row>
    <row r="2345" spans="1:9" x14ac:dyDescent="0.3">
      <c r="A2345" s="5">
        <v>45041</v>
      </c>
      <c r="B2345">
        <v>139.60000600000001</v>
      </c>
      <c r="C2345">
        <v>139.96000699999999</v>
      </c>
      <c r="D2345">
        <v>137.63000500000001</v>
      </c>
      <c r="E2345">
        <v>137.66999799999999</v>
      </c>
      <c r="F2345">
        <v>134.89762899999999</v>
      </c>
      <c r="G2345">
        <v>10629300</v>
      </c>
      <c r="I2345">
        <f t="shared" si="37"/>
        <v>4.6617567518197636E-5</v>
      </c>
    </row>
    <row r="2346" spans="1:9" x14ac:dyDescent="0.3">
      <c r="A2346" s="5">
        <v>45042</v>
      </c>
      <c r="B2346">
        <v>137.61999499999999</v>
      </c>
      <c r="C2346">
        <v>137.80999800000001</v>
      </c>
      <c r="D2346">
        <v>134</v>
      </c>
      <c r="E2346">
        <v>135.229996</v>
      </c>
      <c r="F2346">
        <v>132.506775</v>
      </c>
      <c r="G2346">
        <v>14416100</v>
      </c>
      <c r="I2346">
        <f t="shared" si="37"/>
        <v>2.6963968811405945E-4</v>
      </c>
    </row>
    <row r="2347" spans="1:9" x14ac:dyDescent="0.3">
      <c r="A2347" s="5">
        <v>45043</v>
      </c>
      <c r="B2347">
        <v>136</v>
      </c>
      <c r="C2347">
        <v>137.91000399999999</v>
      </c>
      <c r="D2347">
        <v>135.66000399999999</v>
      </c>
      <c r="E2347">
        <v>137.050003</v>
      </c>
      <c r="F2347">
        <v>134.290131</v>
      </c>
      <c r="G2347">
        <v>9041100</v>
      </c>
      <c r="I2347">
        <f t="shared" si="37"/>
        <v>1.1275848538462912E-4</v>
      </c>
    </row>
    <row r="2348" spans="1:9" x14ac:dyDescent="0.3">
      <c r="A2348" s="5">
        <v>45044</v>
      </c>
      <c r="B2348">
        <v>136.55999800000001</v>
      </c>
      <c r="C2348">
        <v>138.320007</v>
      </c>
      <c r="D2348">
        <v>135.66999799999999</v>
      </c>
      <c r="E2348">
        <v>138.240005</v>
      </c>
      <c r="F2348">
        <v>135.456177</v>
      </c>
      <c r="G2348">
        <v>9881800</v>
      </c>
      <c r="I2348">
        <f t="shared" si="37"/>
        <v>1.3011169324267196E-4</v>
      </c>
    </row>
    <row r="2349" spans="1:9" x14ac:dyDescent="0.3">
      <c r="A2349" s="5">
        <v>45047</v>
      </c>
      <c r="B2349">
        <v>142.259995</v>
      </c>
      <c r="C2349">
        <v>143.36999499999999</v>
      </c>
      <c r="D2349">
        <v>140.83000200000001</v>
      </c>
      <c r="E2349">
        <v>141.199997</v>
      </c>
      <c r="F2349">
        <v>138.356537</v>
      </c>
      <c r="G2349">
        <v>20415800</v>
      </c>
      <c r="I2349">
        <f t="shared" si="37"/>
        <v>1.4504646814938535E-4</v>
      </c>
    </row>
    <row r="2350" spans="1:9" x14ac:dyDescent="0.3">
      <c r="A2350" s="5">
        <v>45048</v>
      </c>
      <c r="B2350">
        <v>141.39999399999999</v>
      </c>
      <c r="C2350">
        <v>142.41000399999999</v>
      </c>
      <c r="D2350">
        <v>138.429993</v>
      </c>
      <c r="E2350">
        <v>138.91999799999999</v>
      </c>
      <c r="F2350">
        <v>136.122467</v>
      </c>
      <c r="G2350">
        <v>14113400</v>
      </c>
      <c r="I2350">
        <f t="shared" si="37"/>
        <v>2.5160928259245163E-4</v>
      </c>
    </row>
    <row r="2351" spans="1:9" x14ac:dyDescent="0.3">
      <c r="A2351" s="5">
        <v>45049</v>
      </c>
      <c r="B2351">
        <v>138.44000199999999</v>
      </c>
      <c r="C2351">
        <v>138.66999799999999</v>
      </c>
      <c r="D2351">
        <v>135.759995</v>
      </c>
      <c r="E2351">
        <v>135.979996</v>
      </c>
      <c r="F2351">
        <v>133.241669</v>
      </c>
      <c r="G2351">
        <v>12930900</v>
      </c>
      <c r="I2351">
        <f t="shared" si="37"/>
        <v>6.4170243880611538E-5</v>
      </c>
    </row>
    <row r="2352" spans="1:9" x14ac:dyDescent="0.3">
      <c r="A2352" s="5">
        <v>45050</v>
      </c>
      <c r="B2352">
        <v>134.96000699999999</v>
      </c>
      <c r="C2352">
        <v>135.720001</v>
      </c>
      <c r="D2352">
        <v>131.80999800000001</v>
      </c>
      <c r="E2352">
        <v>134.11999499999999</v>
      </c>
      <c r="F2352">
        <v>131.41911300000001</v>
      </c>
      <c r="G2352">
        <v>17089200</v>
      </c>
      <c r="I2352">
        <f t="shared" si="37"/>
        <v>4.7690206698197777E-4</v>
      </c>
    </row>
    <row r="2353" spans="1:9" x14ac:dyDescent="0.3">
      <c r="A2353" s="5">
        <v>45051</v>
      </c>
      <c r="B2353">
        <v>136.44000199999999</v>
      </c>
      <c r="C2353">
        <v>137.88000500000001</v>
      </c>
      <c r="D2353">
        <v>135.91000399999999</v>
      </c>
      <c r="E2353">
        <v>136.740005</v>
      </c>
      <c r="F2353">
        <v>133.98637400000001</v>
      </c>
      <c r="G2353">
        <v>11259100</v>
      </c>
      <c r="I2353">
        <f t="shared" si="37"/>
        <v>1.1086195744870549E-4</v>
      </c>
    </row>
    <row r="2354" spans="1:9" x14ac:dyDescent="0.3">
      <c r="A2354" s="5">
        <v>45054</v>
      </c>
      <c r="B2354">
        <v>137.490005</v>
      </c>
      <c r="C2354">
        <v>137.970001</v>
      </c>
      <c r="D2354">
        <v>136.479996</v>
      </c>
      <c r="E2354">
        <v>137.070007</v>
      </c>
      <c r="F2354">
        <v>134.30972299999999</v>
      </c>
      <c r="G2354">
        <v>7484900</v>
      </c>
      <c r="I2354">
        <f t="shared" si="37"/>
        <v>5.4613814170110129E-5</v>
      </c>
    </row>
    <row r="2355" spans="1:9" x14ac:dyDescent="0.3">
      <c r="A2355" s="5">
        <v>45055</v>
      </c>
      <c r="B2355">
        <v>135.929993</v>
      </c>
      <c r="C2355">
        <v>136.949997</v>
      </c>
      <c r="D2355">
        <v>135.21000699999999</v>
      </c>
      <c r="E2355">
        <v>136.41000399999999</v>
      </c>
      <c r="F2355">
        <v>133.66301000000001</v>
      </c>
      <c r="G2355">
        <v>7343600</v>
      </c>
      <c r="I2355">
        <f t="shared" si="37"/>
        <v>7.6461517873967449E-5</v>
      </c>
    </row>
    <row r="2356" spans="1:9" x14ac:dyDescent="0.3">
      <c r="A2356" s="5">
        <v>45056</v>
      </c>
      <c r="B2356">
        <v>137.949997</v>
      </c>
      <c r="C2356">
        <v>138.05999800000001</v>
      </c>
      <c r="D2356">
        <v>134.86999499999999</v>
      </c>
      <c r="E2356">
        <v>136.479996</v>
      </c>
      <c r="F2356">
        <v>133.73159799999999</v>
      </c>
      <c r="G2356">
        <v>8133400</v>
      </c>
      <c r="I2356">
        <f t="shared" si="37"/>
        <v>2.7712519891310178E-4</v>
      </c>
    </row>
    <row r="2357" spans="1:9" x14ac:dyDescent="0.3">
      <c r="A2357" s="5">
        <v>45057</v>
      </c>
      <c r="B2357">
        <v>135</v>
      </c>
      <c r="C2357">
        <v>136.80999800000001</v>
      </c>
      <c r="D2357">
        <v>134.89999399999999</v>
      </c>
      <c r="E2357">
        <v>136.050003</v>
      </c>
      <c r="F2357">
        <v>133.310272</v>
      </c>
      <c r="G2357">
        <v>7057300</v>
      </c>
      <c r="I2357">
        <f t="shared" si="37"/>
        <v>8.0481656148745909E-5</v>
      </c>
    </row>
    <row r="2358" spans="1:9" x14ac:dyDescent="0.3">
      <c r="A2358" s="5">
        <v>45058</v>
      </c>
      <c r="B2358">
        <v>136.820007</v>
      </c>
      <c r="C2358">
        <v>136.990005</v>
      </c>
      <c r="D2358">
        <v>133.13000500000001</v>
      </c>
      <c r="E2358">
        <v>134.10000600000001</v>
      </c>
      <c r="F2358">
        <v>131.39952099999999</v>
      </c>
      <c r="G2358">
        <v>9986400</v>
      </c>
      <c r="I2358">
        <f t="shared" si="37"/>
        <v>2.2495726776374249E-4</v>
      </c>
    </row>
    <row r="2359" spans="1:9" x14ac:dyDescent="0.3">
      <c r="A2359" s="5">
        <v>45061</v>
      </c>
      <c r="B2359">
        <v>134.270004</v>
      </c>
      <c r="C2359">
        <v>135.66999799999999</v>
      </c>
      <c r="D2359">
        <v>133.96000699999999</v>
      </c>
      <c r="E2359">
        <v>135.229996</v>
      </c>
      <c r="F2359">
        <v>132.506775</v>
      </c>
      <c r="G2359">
        <v>7639500</v>
      </c>
      <c r="I2359">
        <f t="shared" si="37"/>
        <v>5.550520755637262E-5</v>
      </c>
    </row>
    <row r="2360" spans="1:9" x14ac:dyDescent="0.3">
      <c r="A2360" s="5">
        <v>45062</v>
      </c>
      <c r="B2360">
        <v>135.46000699999999</v>
      </c>
      <c r="C2360">
        <v>135.94000199999999</v>
      </c>
      <c r="D2360">
        <v>133.96000699999999</v>
      </c>
      <c r="E2360">
        <v>134.320007</v>
      </c>
      <c r="F2360">
        <v>131.61509699999999</v>
      </c>
      <c r="G2360">
        <v>6477200</v>
      </c>
      <c r="I2360">
        <f t="shared" si="37"/>
        <v>7.2289824721249706E-5</v>
      </c>
    </row>
    <row r="2361" spans="1:9" x14ac:dyDescent="0.3">
      <c r="A2361" s="5">
        <v>45063</v>
      </c>
      <c r="B2361">
        <v>135.89999399999999</v>
      </c>
      <c r="C2361">
        <v>138.58999600000001</v>
      </c>
      <c r="D2361">
        <v>135.46000699999999</v>
      </c>
      <c r="E2361">
        <v>138.449997</v>
      </c>
      <c r="F2361">
        <v>135.66192599999999</v>
      </c>
      <c r="G2361">
        <v>12711500</v>
      </c>
      <c r="I2361">
        <f t="shared" si="37"/>
        <v>9.0609945162001263E-5</v>
      </c>
    </row>
    <row r="2362" spans="1:9" x14ac:dyDescent="0.3">
      <c r="A2362" s="5">
        <v>45064</v>
      </c>
      <c r="B2362">
        <v>138.270004</v>
      </c>
      <c r="C2362">
        <v>139.729996</v>
      </c>
      <c r="D2362">
        <v>137.759995</v>
      </c>
      <c r="E2362">
        <v>139.5</v>
      </c>
      <c r="F2362">
        <v>136.69078099999999</v>
      </c>
      <c r="G2362">
        <v>10999600</v>
      </c>
      <c r="I2362">
        <f t="shared" si="37"/>
        <v>6.3685427949155792E-5</v>
      </c>
    </row>
    <row r="2363" spans="1:9" x14ac:dyDescent="0.3">
      <c r="A2363" s="5">
        <v>45065</v>
      </c>
      <c r="B2363">
        <v>139.78999300000001</v>
      </c>
      <c r="C2363">
        <v>140.490005</v>
      </c>
      <c r="D2363">
        <v>138.13000500000001</v>
      </c>
      <c r="E2363">
        <v>139.179993</v>
      </c>
      <c r="F2363">
        <v>136.37721300000001</v>
      </c>
      <c r="G2363">
        <v>13490700</v>
      </c>
      <c r="I2363">
        <f t="shared" si="37"/>
        <v>1.3725883905980386E-4</v>
      </c>
    </row>
    <row r="2364" spans="1:9" x14ac:dyDescent="0.3">
      <c r="A2364" s="5">
        <v>45068</v>
      </c>
      <c r="B2364">
        <v>141</v>
      </c>
      <c r="C2364">
        <v>141.63999899999999</v>
      </c>
      <c r="D2364">
        <v>137.66000399999999</v>
      </c>
      <c r="E2364">
        <v>138.029999</v>
      </c>
      <c r="F2364">
        <v>135.25039699999999</v>
      </c>
      <c r="G2364">
        <v>11402500</v>
      </c>
      <c r="I2364">
        <f t="shared" si="37"/>
        <v>1.8126765530956425E-4</v>
      </c>
    </row>
    <row r="2365" spans="1:9" x14ac:dyDescent="0.3">
      <c r="A2365" s="5">
        <v>45069</v>
      </c>
      <c r="B2365">
        <v>137.53999300000001</v>
      </c>
      <c r="C2365">
        <v>139.029999</v>
      </c>
      <c r="D2365">
        <v>136.46000699999999</v>
      </c>
      <c r="E2365">
        <v>136.58999600000001</v>
      </c>
      <c r="F2365">
        <v>133.839371</v>
      </c>
      <c r="G2365">
        <v>9514900</v>
      </c>
      <c r="I2365">
        <f t="shared" si="37"/>
        <v>1.9828807852654185E-4</v>
      </c>
    </row>
    <row r="2366" spans="1:9" x14ac:dyDescent="0.3">
      <c r="A2366" s="5">
        <v>45070</v>
      </c>
      <c r="B2366">
        <v>135.39999399999999</v>
      </c>
      <c r="C2366">
        <v>136.35000600000001</v>
      </c>
      <c r="D2366">
        <v>135.08000200000001</v>
      </c>
      <c r="E2366">
        <v>135.33999600000001</v>
      </c>
      <c r="F2366">
        <v>132.61454800000001</v>
      </c>
      <c r="G2366">
        <v>8578000</v>
      </c>
      <c r="I2366">
        <f t="shared" si="37"/>
        <v>5.6534436425259272E-5</v>
      </c>
    </row>
    <row r="2367" spans="1:9" x14ac:dyDescent="0.3">
      <c r="A2367" s="5">
        <v>45071</v>
      </c>
      <c r="B2367">
        <v>134.820007</v>
      </c>
      <c r="C2367">
        <v>136.270004</v>
      </c>
      <c r="D2367">
        <v>134.58000200000001</v>
      </c>
      <c r="E2367">
        <v>135.66999799999999</v>
      </c>
      <c r="F2367">
        <v>132.93789699999999</v>
      </c>
      <c r="G2367">
        <v>8472500</v>
      </c>
      <c r="I2367">
        <f t="shared" si="37"/>
        <v>6.1579302559630617E-5</v>
      </c>
    </row>
    <row r="2368" spans="1:9" x14ac:dyDescent="0.3">
      <c r="A2368" s="5">
        <v>45072</v>
      </c>
      <c r="B2368">
        <v>136.11000100000001</v>
      </c>
      <c r="C2368">
        <v>137.60000600000001</v>
      </c>
      <c r="D2368">
        <v>135.63000500000001</v>
      </c>
      <c r="E2368">
        <v>136.94000199999999</v>
      </c>
      <c r="F2368">
        <v>134.182343</v>
      </c>
      <c r="G2368">
        <v>8579900</v>
      </c>
      <c r="I2368">
        <f t="shared" si="37"/>
        <v>8.6306201796636445E-5</v>
      </c>
    </row>
    <row r="2369" spans="1:9" x14ac:dyDescent="0.3">
      <c r="A2369" s="5">
        <v>45076</v>
      </c>
      <c r="B2369">
        <v>136.800003</v>
      </c>
      <c r="C2369">
        <v>137.720001</v>
      </c>
      <c r="D2369">
        <v>136.020004</v>
      </c>
      <c r="E2369">
        <v>137.46000699999999</v>
      </c>
      <c r="F2369">
        <v>134.69186400000001</v>
      </c>
      <c r="G2369">
        <v>7399900</v>
      </c>
      <c r="I2369">
        <f t="shared" si="37"/>
        <v>7.2882700571483296E-5</v>
      </c>
    </row>
    <row r="2370" spans="1:9" x14ac:dyDescent="0.3">
      <c r="A2370" s="5">
        <v>45077</v>
      </c>
      <c r="B2370">
        <v>136.729996</v>
      </c>
      <c r="C2370">
        <v>136.83999600000001</v>
      </c>
      <c r="D2370">
        <v>134.39999399999999</v>
      </c>
      <c r="E2370">
        <v>135.71000699999999</v>
      </c>
      <c r="F2370">
        <v>132.977127</v>
      </c>
      <c r="G2370">
        <v>14219900</v>
      </c>
      <c r="I2370">
        <f t="shared" si="37"/>
        <v>1.7338831840247289E-4</v>
      </c>
    </row>
    <row r="2371" spans="1:9" x14ac:dyDescent="0.3">
      <c r="A2371" s="5">
        <v>45078</v>
      </c>
      <c r="B2371">
        <v>136.520004</v>
      </c>
      <c r="C2371">
        <v>138.229996</v>
      </c>
      <c r="D2371">
        <v>135.449997</v>
      </c>
      <c r="E2371">
        <v>137.58000200000001</v>
      </c>
      <c r="F2371">
        <v>134.809448</v>
      </c>
      <c r="G2371">
        <v>12248100</v>
      </c>
      <c r="I2371">
        <f t="shared" si="37"/>
        <v>1.8144495912524625E-4</v>
      </c>
    </row>
    <row r="2372" spans="1:9" x14ac:dyDescent="0.3">
      <c r="A2372" s="5">
        <v>45079</v>
      </c>
      <c r="B2372">
        <v>139.55999800000001</v>
      </c>
      <c r="C2372">
        <v>141.479996</v>
      </c>
      <c r="D2372">
        <v>139.33999600000001</v>
      </c>
      <c r="E2372">
        <v>140.470001</v>
      </c>
      <c r="F2372">
        <v>137.64125100000001</v>
      </c>
      <c r="G2372">
        <v>12917200</v>
      </c>
      <c r="I2372">
        <f t="shared" si="37"/>
        <v>1.1063485639106978E-4</v>
      </c>
    </row>
    <row r="2373" spans="1:9" x14ac:dyDescent="0.3">
      <c r="A2373" s="5">
        <v>45082</v>
      </c>
      <c r="B2373">
        <v>140.11000100000001</v>
      </c>
      <c r="C2373">
        <v>140.11000100000001</v>
      </c>
      <c r="D2373">
        <v>138.13000500000001</v>
      </c>
      <c r="E2373">
        <v>139.08999600000001</v>
      </c>
      <c r="F2373">
        <v>136.28903199999999</v>
      </c>
      <c r="G2373">
        <v>8511900</v>
      </c>
      <c r="I2373">
        <f t="shared" si="37"/>
        <v>9.8572642232250241E-5</v>
      </c>
    </row>
    <row r="2374" spans="1:9" x14ac:dyDescent="0.3">
      <c r="A2374" s="5">
        <v>45083</v>
      </c>
      <c r="B2374">
        <v>138.679993</v>
      </c>
      <c r="C2374">
        <v>140.10000600000001</v>
      </c>
      <c r="D2374">
        <v>138.21000699999999</v>
      </c>
      <c r="E2374">
        <v>139.33999600000001</v>
      </c>
      <c r="F2374">
        <v>136.533997</v>
      </c>
      <c r="G2374">
        <v>9329500</v>
      </c>
      <c r="I2374">
        <f t="shared" si="37"/>
        <v>8.3057115138616863E-5</v>
      </c>
    </row>
    <row r="2375" spans="1:9" x14ac:dyDescent="0.3">
      <c r="A2375" s="5">
        <v>45084</v>
      </c>
      <c r="B2375">
        <v>139.550003</v>
      </c>
      <c r="C2375">
        <v>141.270004</v>
      </c>
      <c r="D2375">
        <v>138.83000200000001</v>
      </c>
      <c r="E2375">
        <v>140.69000199999999</v>
      </c>
      <c r="F2375">
        <v>137.85682700000001</v>
      </c>
      <c r="G2375">
        <v>9281400</v>
      </c>
      <c r="I2375">
        <f t="shared" si="37"/>
        <v>1.1924088932652489E-4</v>
      </c>
    </row>
    <row r="2376" spans="1:9" x14ac:dyDescent="0.3">
      <c r="A2376" s="5">
        <v>45085</v>
      </c>
      <c r="B2376">
        <v>140.66999799999999</v>
      </c>
      <c r="C2376">
        <v>140.88999899999999</v>
      </c>
      <c r="D2376">
        <v>139.479996</v>
      </c>
      <c r="E2376">
        <v>140.729996</v>
      </c>
      <c r="F2376">
        <v>137.89601099999999</v>
      </c>
      <c r="G2376">
        <v>7368100</v>
      </c>
      <c r="I2376">
        <f t="shared" si="37"/>
        <v>7.7572201605403374E-5</v>
      </c>
    </row>
    <row r="2377" spans="1:9" x14ac:dyDescent="0.3">
      <c r="A2377" s="5">
        <v>45086</v>
      </c>
      <c r="B2377">
        <v>140.35000600000001</v>
      </c>
      <c r="C2377">
        <v>141.800003</v>
      </c>
      <c r="D2377">
        <v>140.21000699999999</v>
      </c>
      <c r="E2377">
        <v>141.009995</v>
      </c>
      <c r="F2377">
        <v>138.17036400000001</v>
      </c>
      <c r="G2377">
        <v>7249100</v>
      </c>
      <c r="I2377">
        <f t="shared" si="37"/>
        <v>6.3101403696921247E-5</v>
      </c>
    </row>
    <row r="2378" spans="1:9" x14ac:dyDescent="0.3">
      <c r="A2378" s="5">
        <v>45089</v>
      </c>
      <c r="B2378">
        <v>141.070007</v>
      </c>
      <c r="C2378">
        <v>141.320007</v>
      </c>
      <c r="D2378">
        <v>139.759995</v>
      </c>
      <c r="E2378">
        <v>141</v>
      </c>
      <c r="F2378">
        <v>138.160583</v>
      </c>
      <c r="G2378">
        <v>7596600</v>
      </c>
      <c r="I2378">
        <f t="shared" si="37"/>
        <v>8.6425065376660777E-5</v>
      </c>
    </row>
    <row r="2379" spans="1:9" x14ac:dyDescent="0.3">
      <c r="A2379" s="5">
        <v>45090</v>
      </c>
      <c r="B2379">
        <v>140.479996</v>
      </c>
      <c r="C2379">
        <v>142.86999499999999</v>
      </c>
      <c r="D2379">
        <v>140.13999899999999</v>
      </c>
      <c r="E2379">
        <v>142.020004</v>
      </c>
      <c r="F2379">
        <v>139.160034</v>
      </c>
      <c r="G2379">
        <v>7701600</v>
      </c>
      <c r="I2379">
        <f t="shared" si="37"/>
        <v>1.3295747817302771E-4</v>
      </c>
    </row>
    <row r="2380" spans="1:9" x14ac:dyDescent="0.3">
      <c r="A2380" s="5">
        <v>45091</v>
      </c>
      <c r="B2380">
        <v>143</v>
      </c>
      <c r="C2380">
        <v>143.61000100000001</v>
      </c>
      <c r="D2380">
        <v>140.699997</v>
      </c>
      <c r="E2380">
        <v>141.490005</v>
      </c>
      <c r="F2380">
        <v>138.640717</v>
      </c>
      <c r="G2380">
        <v>9068700</v>
      </c>
      <c r="I2380">
        <f t="shared" ref="I2380:I2443" si="38">LN(C2380/B2380)*(LN(C2380/B2380)-LN(E2380/B2380))+LN(D2380/B2380)*(LN(D2380/B2380)-LN(E2380/B2380))</f>
        <v>1.5409435279056051E-4</v>
      </c>
    </row>
    <row r="2381" spans="1:9" x14ac:dyDescent="0.3">
      <c r="A2381" s="5">
        <v>45092</v>
      </c>
      <c r="B2381">
        <v>140.58999600000001</v>
      </c>
      <c r="C2381">
        <v>143.39999399999999</v>
      </c>
      <c r="D2381">
        <v>140.029999</v>
      </c>
      <c r="E2381">
        <v>143.08999600000001</v>
      </c>
      <c r="F2381">
        <v>140.20848100000001</v>
      </c>
      <c r="G2381">
        <v>9343100</v>
      </c>
      <c r="I2381">
        <f t="shared" si="38"/>
        <v>1.291048954368591E-4</v>
      </c>
    </row>
    <row r="2382" spans="1:9" x14ac:dyDescent="0.3">
      <c r="A2382" s="5">
        <v>45093</v>
      </c>
      <c r="B2382">
        <v>143.050003</v>
      </c>
      <c r="C2382">
        <v>143.970001</v>
      </c>
      <c r="D2382">
        <v>142.5</v>
      </c>
      <c r="E2382">
        <v>143.259995</v>
      </c>
      <c r="F2382">
        <v>140.37506099999999</v>
      </c>
      <c r="G2382">
        <v>13812100</v>
      </c>
      <c r="I2382">
        <f t="shared" si="38"/>
        <v>5.2183990867849324E-5</v>
      </c>
    </row>
    <row r="2383" spans="1:9" x14ac:dyDescent="0.3">
      <c r="A2383" s="5">
        <v>45097</v>
      </c>
      <c r="B2383">
        <v>142.61000100000001</v>
      </c>
      <c r="C2383">
        <v>143</v>
      </c>
      <c r="D2383">
        <v>141.03999300000001</v>
      </c>
      <c r="E2383">
        <v>142.529999</v>
      </c>
      <c r="F2383">
        <v>139.65976000000001</v>
      </c>
      <c r="G2383">
        <v>8428600</v>
      </c>
      <c r="I2383">
        <f t="shared" si="38"/>
        <v>1.2532709078999222E-4</v>
      </c>
    </row>
    <row r="2384" spans="1:9" x14ac:dyDescent="0.3">
      <c r="A2384" s="5">
        <v>45098</v>
      </c>
      <c r="B2384">
        <v>142.89999399999999</v>
      </c>
      <c r="C2384">
        <v>144.020004</v>
      </c>
      <c r="D2384">
        <v>141.69000199999999</v>
      </c>
      <c r="E2384">
        <v>142.320007</v>
      </c>
      <c r="F2384">
        <v>139.45399499999999</v>
      </c>
      <c r="G2384">
        <v>9926500</v>
      </c>
      <c r="I2384">
        <f t="shared" si="38"/>
        <v>1.3042878499707974E-4</v>
      </c>
    </row>
    <row r="2385" spans="1:9" x14ac:dyDescent="0.3">
      <c r="A2385" s="5">
        <v>45099</v>
      </c>
      <c r="B2385">
        <v>142.30999800000001</v>
      </c>
      <c r="C2385">
        <v>142.60000600000001</v>
      </c>
      <c r="D2385">
        <v>138.949997</v>
      </c>
      <c r="E2385">
        <v>139.58000200000001</v>
      </c>
      <c r="F2385">
        <v>136.76918000000001</v>
      </c>
      <c r="G2385">
        <v>10075200</v>
      </c>
      <c r="I2385">
        <f t="shared" si="38"/>
        <v>1.5166713106934659E-4</v>
      </c>
    </row>
    <row r="2386" spans="1:9" x14ac:dyDescent="0.3">
      <c r="A2386" s="5">
        <v>45100</v>
      </c>
      <c r="B2386">
        <v>138.53999300000001</v>
      </c>
      <c r="C2386">
        <v>139.179993</v>
      </c>
      <c r="D2386">
        <v>137.61999499999999</v>
      </c>
      <c r="E2386">
        <v>138.85000600000001</v>
      </c>
      <c r="F2386">
        <v>136.05387899999999</v>
      </c>
      <c r="G2386">
        <v>9907500</v>
      </c>
      <c r="I2386">
        <f t="shared" si="38"/>
        <v>7.0226466725712048E-5</v>
      </c>
    </row>
    <row r="2387" spans="1:9" x14ac:dyDescent="0.3">
      <c r="A2387" s="5">
        <v>45103</v>
      </c>
      <c r="B2387">
        <v>138.86999499999999</v>
      </c>
      <c r="C2387">
        <v>140.009995</v>
      </c>
      <c r="D2387">
        <v>137.69000199999999</v>
      </c>
      <c r="E2387">
        <v>139.19000199999999</v>
      </c>
      <c r="F2387">
        <v>136.38703899999999</v>
      </c>
      <c r="G2387">
        <v>8429700</v>
      </c>
      <c r="I2387">
        <f t="shared" si="38"/>
        <v>1.4048320410876375E-4</v>
      </c>
    </row>
    <row r="2388" spans="1:9" x14ac:dyDescent="0.3">
      <c r="A2388" s="5">
        <v>45104</v>
      </c>
      <c r="B2388">
        <v>139</v>
      </c>
      <c r="C2388">
        <v>139.83999600000001</v>
      </c>
      <c r="D2388">
        <v>138.53999300000001</v>
      </c>
      <c r="E2388">
        <v>139.199997</v>
      </c>
      <c r="F2388">
        <v>136.39683500000001</v>
      </c>
      <c r="G2388">
        <v>8154000</v>
      </c>
      <c r="I2388">
        <f t="shared" si="38"/>
        <v>4.339202273327027E-5</v>
      </c>
    </row>
    <row r="2389" spans="1:9" x14ac:dyDescent="0.3">
      <c r="A2389" s="5">
        <v>45105</v>
      </c>
      <c r="B2389">
        <v>139.16000399999999</v>
      </c>
      <c r="C2389">
        <v>139.21000699999999</v>
      </c>
      <c r="D2389">
        <v>137.96000699999999</v>
      </c>
      <c r="E2389">
        <v>138.58999600000001</v>
      </c>
      <c r="F2389">
        <v>135.799103</v>
      </c>
      <c r="G2389">
        <v>7558600</v>
      </c>
      <c r="I2389">
        <f t="shared" si="38"/>
        <v>4.1061616452524354E-5</v>
      </c>
    </row>
    <row r="2390" spans="1:9" x14ac:dyDescent="0.3">
      <c r="A2390" s="5">
        <v>45106</v>
      </c>
      <c r="B2390">
        <v>140.070007</v>
      </c>
      <c r="C2390">
        <v>143.55999800000001</v>
      </c>
      <c r="D2390">
        <v>139.85000600000001</v>
      </c>
      <c r="E2390">
        <v>143.429993</v>
      </c>
      <c r="F2390">
        <v>140.541641</v>
      </c>
      <c r="G2390">
        <v>15423200</v>
      </c>
      <c r="I2390">
        <f t="shared" si="38"/>
        <v>6.2028958790565655E-5</v>
      </c>
    </row>
    <row r="2391" spans="1:9" x14ac:dyDescent="0.3">
      <c r="A2391" s="5">
        <v>45107</v>
      </c>
      <c r="B2391">
        <v>144.60000600000001</v>
      </c>
      <c r="C2391">
        <v>146</v>
      </c>
      <c r="D2391">
        <v>143.66000399999999</v>
      </c>
      <c r="E2391">
        <v>145.44000199999999</v>
      </c>
      <c r="F2391">
        <v>142.511169</v>
      </c>
      <c r="G2391">
        <v>14208500</v>
      </c>
      <c r="I2391">
        <f t="shared" si="38"/>
        <v>1.1734056650322498E-4</v>
      </c>
    </row>
    <row r="2392" spans="1:9" x14ac:dyDescent="0.3">
      <c r="A2392" s="5">
        <v>45110</v>
      </c>
      <c r="B2392">
        <v>146.19000199999999</v>
      </c>
      <c r="C2392">
        <v>147.479996</v>
      </c>
      <c r="D2392">
        <v>146</v>
      </c>
      <c r="E2392">
        <v>146.61000100000001</v>
      </c>
      <c r="F2392">
        <v>143.65759299999999</v>
      </c>
      <c r="G2392">
        <v>8021600</v>
      </c>
      <c r="I2392">
        <f t="shared" si="38"/>
        <v>5.7401530809493055E-5</v>
      </c>
    </row>
    <row r="2393" spans="1:9" x14ac:dyDescent="0.3">
      <c r="A2393" s="5">
        <v>45112</v>
      </c>
      <c r="B2393">
        <v>144.94000199999999</v>
      </c>
      <c r="C2393">
        <v>145.429993</v>
      </c>
      <c r="D2393">
        <v>144.36000100000001</v>
      </c>
      <c r="E2393">
        <v>144.63999899999999</v>
      </c>
      <c r="F2393">
        <v>142.70060699999999</v>
      </c>
      <c r="G2393">
        <v>8934900</v>
      </c>
      <c r="I2393">
        <f t="shared" si="38"/>
        <v>2.6152693499566312E-5</v>
      </c>
    </row>
    <row r="2394" spans="1:9" x14ac:dyDescent="0.3">
      <c r="A2394" s="5">
        <v>45113</v>
      </c>
      <c r="B2394">
        <v>143.020004</v>
      </c>
      <c r="C2394">
        <v>143.38999899999999</v>
      </c>
      <c r="D2394">
        <v>141.44000199999999</v>
      </c>
      <c r="E2394">
        <v>143.21000699999999</v>
      </c>
      <c r="F2394">
        <v>141.28978000000001</v>
      </c>
      <c r="G2394">
        <v>9709500</v>
      </c>
      <c r="I2394">
        <f t="shared" si="38"/>
        <v>1.4140123175475792E-4</v>
      </c>
    </row>
    <row r="2395" spans="1:9" x14ac:dyDescent="0.3">
      <c r="A2395" s="5">
        <v>45114</v>
      </c>
      <c r="B2395">
        <v>143.91000399999999</v>
      </c>
      <c r="C2395">
        <v>145.83999600000001</v>
      </c>
      <c r="D2395">
        <v>143</v>
      </c>
      <c r="E2395">
        <v>144.33999600000001</v>
      </c>
      <c r="F2395">
        <v>142.40463299999999</v>
      </c>
      <c r="G2395">
        <v>8977500</v>
      </c>
      <c r="I2395">
        <f t="shared" si="38"/>
        <v>1.9689488507805192E-4</v>
      </c>
    </row>
    <row r="2396" spans="1:9" x14ac:dyDescent="0.3">
      <c r="A2396" s="5">
        <v>45117</v>
      </c>
      <c r="B2396">
        <v>144.5</v>
      </c>
      <c r="C2396">
        <v>145.990005</v>
      </c>
      <c r="D2396">
        <v>144.5</v>
      </c>
      <c r="E2396">
        <v>145.14999399999999</v>
      </c>
      <c r="F2396">
        <v>143.203766</v>
      </c>
      <c r="G2396">
        <v>9100100</v>
      </c>
      <c r="I2396">
        <f t="shared" si="38"/>
        <v>5.9197672804359692E-5</v>
      </c>
    </row>
    <row r="2397" spans="1:9" x14ac:dyDescent="0.3">
      <c r="A2397" s="5">
        <v>45118</v>
      </c>
      <c r="B2397">
        <v>146.33999600000001</v>
      </c>
      <c r="C2397">
        <v>147.820007</v>
      </c>
      <c r="D2397">
        <v>145.71000699999999</v>
      </c>
      <c r="E2397">
        <v>147.41999799999999</v>
      </c>
      <c r="F2397">
        <v>145.44332900000001</v>
      </c>
      <c r="G2397">
        <v>11265600</v>
      </c>
      <c r="I2397">
        <f t="shared" si="38"/>
        <v>7.7602712010284695E-5</v>
      </c>
    </row>
    <row r="2398" spans="1:9" x14ac:dyDescent="0.3">
      <c r="A2398" s="5">
        <v>45119</v>
      </c>
      <c r="B2398">
        <v>147.449997</v>
      </c>
      <c r="C2398">
        <v>149.86999499999999</v>
      </c>
      <c r="D2398">
        <v>147</v>
      </c>
      <c r="E2398">
        <v>148.14999399999999</v>
      </c>
      <c r="F2398">
        <v>146.163544</v>
      </c>
      <c r="G2398">
        <v>11323200</v>
      </c>
      <c r="I2398">
        <f t="shared" si="38"/>
        <v>2.1172788647450813E-4</v>
      </c>
    </row>
    <row r="2399" spans="1:9" x14ac:dyDescent="0.3">
      <c r="A2399" s="5">
        <v>45120</v>
      </c>
      <c r="B2399">
        <v>148.699997</v>
      </c>
      <c r="C2399">
        <v>149.36999499999999</v>
      </c>
      <c r="D2399">
        <v>147.75</v>
      </c>
      <c r="E2399">
        <v>148.86999499999999</v>
      </c>
      <c r="F2399">
        <v>146.873886</v>
      </c>
      <c r="G2399">
        <v>11234900</v>
      </c>
      <c r="I2399">
        <f t="shared" si="38"/>
        <v>6.3474237607239449E-5</v>
      </c>
    </row>
    <row r="2400" spans="1:9" x14ac:dyDescent="0.3">
      <c r="A2400" s="5">
        <v>45121</v>
      </c>
      <c r="B2400">
        <v>151.550003</v>
      </c>
      <c r="C2400">
        <v>152.88999899999999</v>
      </c>
      <c r="D2400">
        <v>148.41000399999999</v>
      </c>
      <c r="E2400">
        <v>149.770004</v>
      </c>
      <c r="F2400">
        <v>147.76182600000001</v>
      </c>
      <c r="G2400">
        <v>27011600</v>
      </c>
      <c r="I2400">
        <f t="shared" si="38"/>
        <v>3.7248862467973619E-4</v>
      </c>
    </row>
    <row r="2401" spans="1:9" x14ac:dyDescent="0.3">
      <c r="A2401" s="5">
        <v>45124</v>
      </c>
      <c r="B2401">
        <v>150.35000600000001</v>
      </c>
      <c r="C2401">
        <v>153.75</v>
      </c>
      <c r="D2401">
        <v>150.35000600000001</v>
      </c>
      <c r="E2401">
        <v>153.38000500000001</v>
      </c>
      <c r="F2401">
        <v>151.32342499999999</v>
      </c>
      <c r="G2401">
        <v>17262400</v>
      </c>
      <c r="I2401">
        <f t="shared" si="38"/>
        <v>5.387826832774004E-5</v>
      </c>
    </row>
    <row r="2402" spans="1:9" x14ac:dyDescent="0.3">
      <c r="A2402" s="5">
        <v>45125</v>
      </c>
      <c r="B2402">
        <v>153.38000500000001</v>
      </c>
      <c r="C2402">
        <v>154.39999399999999</v>
      </c>
      <c r="D2402">
        <v>152.820007</v>
      </c>
      <c r="E2402">
        <v>153.66000399999999</v>
      </c>
      <c r="F2402">
        <v>151.59967</v>
      </c>
      <c r="G2402">
        <v>13491700</v>
      </c>
      <c r="I2402">
        <f t="shared" si="38"/>
        <v>5.1892752160253207E-5</v>
      </c>
    </row>
    <row r="2403" spans="1:9" x14ac:dyDescent="0.3">
      <c r="A2403" s="5">
        <v>45126</v>
      </c>
      <c r="B2403">
        <v>152.75</v>
      </c>
      <c r="C2403">
        <v>155.21000699999999</v>
      </c>
      <c r="D2403">
        <v>152.220001</v>
      </c>
      <c r="E2403">
        <v>154.25</v>
      </c>
      <c r="F2403">
        <v>152.18176299999999</v>
      </c>
      <c r="G2403">
        <v>12510000</v>
      </c>
      <c r="I2403">
        <f t="shared" si="38"/>
        <v>1.4517091246756252E-4</v>
      </c>
    </row>
    <row r="2404" spans="1:9" x14ac:dyDescent="0.3">
      <c r="A2404" s="5">
        <v>45127</v>
      </c>
      <c r="B2404">
        <v>154.529999</v>
      </c>
      <c r="C2404">
        <v>156.58999600000001</v>
      </c>
      <c r="D2404">
        <v>154.41000399999999</v>
      </c>
      <c r="E2404">
        <v>156.14999399999999</v>
      </c>
      <c r="F2404">
        <v>154.056274</v>
      </c>
      <c r="G2404">
        <v>9935900</v>
      </c>
      <c r="I2404">
        <f t="shared" si="38"/>
        <v>4.5967608770055229E-5</v>
      </c>
    </row>
    <row r="2405" spans="1:9" x14ac:dyDescent="0.3">
      <c r="A2405" s="5">
        <v>45128</v>
      </c>
      <c r="B2405">
        <v>155.800003</v>
      </c>
      <c r="C2405">
        <v>156.13999899999999</v>
      </c>
      <c r="D2405">
        <v>154.69000199999999</v>
      </c>
      <c r="E2405">
        <v>154.949997</v>
      </c>
      <c r="F2405">
        <v>152.87237500000001</v>
      </c>
      <c r="G2405">
        <v>10633100</v>
      </c>
      <c r="I2405">
        <f t="shared" si="38"/>
        <v>2.8684642829754296E-5</v>
      </c>
    </row>
    <row r="2406" spans="1:9" x14ac:dyDescent="0.3">
      <c r="A2406" s="5">
        <v>45131</v>
      </c>
      <c r="B2406">
        <v>154.970001</v>
      </c>
      <c r="C2406">
        <v>158.78999300000001</v>
      </c>
      <c r="D2406">
        <v>154.729996</v>
      </c>
      <c r="E2406">
        <v>158</v>
      </c>
      <c r="F2406">
        <v>155.88147000000001</v>
      </c>
      <c r="G2406">
        <v>14381400</v>
      </c>
      <c r="I2406">
        <f t="shared" si="38"/>
        <v>1.5386450418508743E-4</v>
      </c>
    </row>
    <row r="2407" spans="1:9" x14ac:dyDescent="0.3">
      <c r="A2407" s="5">
        <v>45132</v>
      </c>
      <c r="B2407">
        <v>157.300003</v>
      </c>
      <c r="C2407">
        <v>157.720001</v>
      </c>
      <c r="D2407">
        <v>155.96000699999999</v>
      </c>
      <c r="E2407">
        <v>156.820007</v>
      </c>
      <c r="F2407">
        <v>154.71729999999999</v>
      </c>
      <c r="G2407">
        <v>9944700</v>
      </c>
      <c r="I2407">
        <f t="shared" si="38"/>
        <v>6.2305182169157086E-5</v>
      </c>
    </row>
    <row r="2408" spans="1:9" x14ac:dyDescent="0.3">
      <c r="A2408" s="5">
        <v>45133</v>
      </c>
      <c r="B2408">
        <v>156.71000699999999</v>
      </c>
      <c r="C2408">
        <v>158.25</v>
      </c>
      <c r="D2408">
        <v>156.279999</v>
      </c>
      <c r="E2408">
        <v>157.759995</v>
      </c>
      <c r="F2408">
        <v>155.64468400000001</v>
      </c>
      <c r="G2408">
        <v>8728600</v>
      </c>
      <c r="I2408">
        <f t="shared" si="38"/>
        <v>5.6225943880193146E-5</v>
      </c>
    </row>
    <row r="2409" spans="1:9" x14ac:dyDescent="0.3">
      <c r="A2409" s="5">
        <v>45134</v>
      </c>
      <c r="B2409">
        <v>157.770004</v>
      </c>
      <c r="C2409">
        <v>158.779999</v>
      </c>
      <c r="D2409">
        <v>155.550003</v>
      </c>
      <c r="E2409">
        <v>156.020004</v>
      </c>
      <c r="F2409">
        <v>153.92802399999999</v>
      </c>
      <c r="G2409">
        <v>10778400</v>
      </c>
      <c r="I2409">
        <f t="shared" si="38"/>
        <v>1.5465209335956571E-4</v>
      </c>
    </row>
    <row r="2410" spans="1:9" x14ac:dyDescent="0.3">
      <c r="A2410" s="5">
        <v>45135</v>
      </c>
      <c r="B2410">
        <v>157.279999</v>
      </c>
      <c r="C2410">
        <v>157.60000600000001</v>
      </c>
      <c r="D2410">
        <v>156.44000199999999</v>
      </c>
      <c r="E2410">
        <v>156.91000399999999</v>
      </c>
      <c r="F2410">
        <v>154.80609100000001</v>
      </c>
      <c r="G2410">
        <v>9103800</v>
      </c>
      <c r="I2410">
        <f t="shared" si="38"/>
        <v>2.498297319485371E-5</v>
      </c>
    </row>
    <row r="2411" spans="1:9" x14ac:dyDescent="0.3">
      <c r="A2411" s="5">
        <v>45138</v>
      </c>
      <c r="B2411">
        <v>157.179993</v>
      </c>
      <c r="C2411">
        <v>159.38000500000001</v>
      </c>
      <c r="D2411">
        <v>157.14999399999999</v>
      </c>
      <c r="E2411">
        <v>157.96000699999999</v>
      </c>
      <c r="F2411">
        <v>155.842026</v>
      </c>
      <c r="G2411">
        <v>8892700</v>
      </c>
      <c r="I2411">
        <f t="shared" si="38"/>
        <v>1.2537599923088106E-4</v>
      </c>
    </row>
    <row r="2412" spans="1:9" x14ac:dyDescent="0.3">
      <c r="A2412" s="5">
        <v>45139</v>
      </c>
      <c r="B2412">
        <v>157.429993</v>
      </c>
      <c r="C2412">
        <v>158</v>
      </c>
      <c r="D2412">
        <v>156.14999399999999</v>
      </c>
      <c r="E2412">
        <v>157.179993</v>
      </c>
      <c r="F2412">
        <v>155.072464</v>
      </c>
      <c r="G2412">
        <v>6853900</v>
      </c>
      <c r="I2412">
        <f t="shared" si="38"/>
        <v>7.2479572124294943E-5</v>
      </c>
    </row>
    <row r="2413" spans="1:9" x14ac:dyDescent="0.3">
      <c r="A2413" s="5">
        <v>45140</v>
      </c>
      <c r="B2413">
        <v>155.55999800000001</v>
      </c>
      <c r="C2413">
        <v>155.69000199999999</v>
      </c>
      <c r="D2413">
        <v>153.94000199999999</v>
      </c>
      <c r="E2413">
        <v>155.39999399999999</v>
      </c>
      <c r="F2413">
        <v>153.31632999999999</v>
      </c>
      <c r="G2413">
        <v>8299400</v>
      </c>
      <c r="I2413">
        <f t="shared" si="38"/>
        <v>1.003752417398889E-4</v>
      </c>
    </row>
    <row r="2414" spans="1:9" x14ac:dyDescent="0.3">
      <c r="A2414" s="5">
        <v>45141</v>
      </c>
      <c r="B2414">
        <v>155</v>
      </c>
      <c r="C2414">
        <v>156.91999799999999</v>
      </c>
      <c r="D2414">
        <v>154.35000600000001</v>
      </c>
      <c r="E2414">
        <v>156.35000600000001</v>
      </c>
      <c r="F2414">
        <v>154.253601</v>
      </c>
      <c r="G2414">
        <v>6084000</v>
      </c>
      <c r="I2414">
        <f t="shared" si="38"/>
        <v>9.8901686420606398E-5</v>
      </c>
    </row>
    <row r="2415" spans="1:9" x14ac:dyDescent="0.3">
      <c r="A2415" s="5">
        <v>45142</v>
      </c>
      <c r="B2415">
        <v>156.39999399999999</v>
      </c>
      <c r="C2415">
        <v>157.800003</v>
      </c>
      <c r="D2415">
        <v>155.699997</v>
      </c>
      <c r="E2415">
        <v>156.020004</v>
      </c>
      <c r="F2415">
        <v>153.92802399999999</v>
      </c>
      <c r="G2415">
        <v>6206600</v>
      </c>
      <c r="I2415">
        <f t="shared" si="38"/>
        <v>1.1030534658969581E-4</v>
      </c>
    </row>
    <row r="2416" spans="1:9" x14ac:dyDescent="0.3">
      <c r="A2416" s="5">
        <v>45145</v>
      </c>
      <c r="B2416">
        <v>156.60000600000001</v>
      </c>
      <c r="C2416">
        <v>157.699997</v>
      </c>
      <c r="D2416">
        <v>156.60000600000001</v>
      </c>
      <c r="E2416">
        <v>156.759995</v>
      </c>
      <c r="F2416">
        <v>154.658096</v>
      </c>
      <c r="G2416">
        <v>7251800</v>
      </c>
      <c r="I2416">
        <f t="shared" si="38"/>
        <v>4.1847660465123558E-5</v>
      </c>
    </row>
    <row r="2417" spans="1:9" x14ac:dyDescent="0.3">
      <c r="A2417" s="5">
        <v>45146</v>
      </c>
      <c r="B2417">
        <v>154.320007</v>
      </c>
      <c r="C2417">
        <v>155.979996</v>
      </c>
      <c r="D2417">
        <v>152.58999600000001</v>
      </c>
      <c r="E2417">
        <v>155.88000500000001</v>
      </c>
      <c r="F2417">
        <v>153.78990200000001</v>
      </c>
      <c r="G2417">
        <v>8623400</v>
      </c>
      <c r="I2417">
        <f t="shared" si="38"/>
        <v>2.4735434981860559E-4</v>
      </c>
    </row>
    <row r="2418" spans="1:9" x14ac:dyDescent="0.3">
      <c r="A2418" s="5">
        <v>45147</v>
      </c>
      <c r="B2418">
        <v>155.320007</v>
      </c>
      <c r="C2418">
        <v>155.520004</v>
      </c>
      <c r="D2418">
        <v>153.470001</v>
      </c>
      <c r="E2418">
        <v>153.78999300000001</v>
      </c>
      <c r="F2418">
        <v>151.72790499999999</v>
      </c>
      <c r="G2418">
        <v>6277800</v>
      </c>
      <c r="I2418">
        <f t="shared" si="38"/>
        <v>3.9352731418603484E-5</v>
      </c>
    </row>
    <row r="2419" spans="1:9" x14ac:dyDescent="0.3">
      <c r="A2419" s="5">
        <v>45148</v>
      </c>
      <c r="B2419">
        <v>154.38000500000001</v>
      </c>
      <c r="C2419">
        <v>155.44000199999999</v>
      </c>
      <c r="D2419">
        <v>153.08999600000001</v>
      </c>
      <c r="E2419">
        <v>153.55999800000001</v>
      </c>
      <c r="F2419">
        <v>151.50100699999999</v>
      </c>
      <c r="G2419">
        <v>5995100</v>
      </c>
      <c r="I2419">
        <f t="shared" si="38"/>
        <v>1.0898729470555299E-4</v>
      </c>
    </row>
    <row r="2420" spans="1:9" x14ac:dyDescent="0.3">
      <c r="A2420" s="5">
        <v>45149</v>
      </c>
      <c r="B2420">
        <v>153.029999</v>
      </c>
      <c r="C2420">
        <v>154.520004</v>
      </c>
      <c r="D2420">
        <v>152.63000500000001</v>
      </c>
      <c r="E2420">
        <v>154.449997</v>
      </c>
      <c r="F2420">
        <v>152.379074</v>
      </c>
      <c r="G2420">
        <v>5178000</v>
      </c>
      <c r="I2420">
        <f t="shared" si="38"/>
        <v>3.5414994945699034E-5</v>
      </c>
    </row>
    <row r="2421" spans="1:9" x14ac:dyDescent="0.3">
      <c r="A2421" s="5">
        <v>45152</v>
      </c>
      <c r="B2421">
        <v>153.61000100000001</v>
      </c>
      <c r="C2421">
        <v>154.91999799999999</v>
      </c>
      <c r="D2421">
        <v>152.91999799999999</v>
      </c>
      <c r="E2421">
        <v>154.770004</v>
      </c>
      <c r="F2421">
        <v>152.69477800000001</v>
      </c>
      <c r="G2421">
        <v>5044300</v>
      </c>
      <c r="I2421">
        <f t="shared" si="38"/>
        <v>6.2364064297351448E-5</v>
      </c>
    </row>
    <row r="2422" spans="1:9" x14ac:dyDescent="0.3">
      <c r="A2422" s="5">
        <v>45153</v>
      </c>
      <c r="B2422">
        <v>152.85000600000001</v>
      </c>
      <c r="C2422">
        <v>153.270004</v>
      </c>
      <c r="D2422">
        <v>150.229996</v>
      </c>
      <c r="E2422">
        <v>150.83000200000001</v>
      </c>
      <c r="F2422">
        <v>148.807602</v>
      </c>
      <c r="G2422">
        <v>10300300</v>
      </c>
      <c r="I2422">
        <f t="shared" si="38"/>
        <v>1.1295101045658384E-4</v>
      </c>
    </row>
    <row r="2423" spans="1:9" x14ac:dyDescent="0.3">
      <c r="A2423" s="5">
        <v>45154</v>
      </c>
      <c r="B2423">
        <v>150.60000600000001</v>
      </c>
      <c r="C2423">
        <v>150.96000699999999</v>
      </c>
      <c r="D2423">
        <v>149.679993</v>
      </c>
      <c r="E2423">
        <v>150.19000199999999</v>
      </c>
      <c r="F2423">
        <v>148.17619300000001</v>
      </c>
      <c r="G2423">
        <v>6978200</v>
      </c>
      <c r="I2423">
        <f t="shared" si="38"/>
        <v>3.3053277555963466E-5</v>
      </c>
    </row>
    <row r="2424" spans="1:9" x14ac:dyDescent="0.3">
      <c r="A2424" s="5">
        <v>45155</v>
      </c>
      <c r="B2424">
        <v>150.88000500000001</v>
      </c>
      <c r="C2424">
        <v>151.259995</v>
      </c>
      <c r="D2424">
        <v>148.39999399999999</v>
      </c>
      <c r="E2424">
        <v>148.63000500000001</v>
      </c>
      <c r="F2424">
        <v>146.6371</v>
      </c>
      <c r="G2424">
        <v>9953900</v>
      </c>
      <c r="I2424">
        <f t="shared" si="38"/>
        <v>6.9787307479502039E-5</v>
      </c>
    </row>
    <row r="2425" spans="1:9" x14ac:dyDescent="0.3">
      <c r="A2425" s="5">
        <v>45156</v>
      </c>
      <c r="B2425">
        <v>147.64999399999999</v>
      </c>
      <c r="C2425">
        <v>149.5</v>
      </c>
      <c r="D2425">
        <v>147.44000199999999</v>
      </c>
      <c r="E2425">
        <v>148.970001</v>
      </c>
      <c r="F2425">
        <v>146.97254899999999</v>
      </c>
      <c r="G2425">
        <v>8516900</v>
      </c>
      <c r="I2425">
        <f t="shared" si="38"/>
        <v>5.8914944236334248E-5</v>
      </c>
    </row>
    <row r="2426" spans="1:9" x14ac:dyDescent="0.3">
      <c r="A2426" s="5">
        <v>45159</v>
      </c>
      <c r="B2426">
        <v>149.64999399999999</v>
      </c>
      <c r="C2426">
        <v>150.10000600000001</v>
      </c>
      <c r="D2426">
        <v>148.020004</v>
      </c>
      <c r="E2426">
        <v>149.479996</v>
      </c>
      <c r="F2426">
        <v>147.475708</v>
      </c>
      <c r="G2426">
        <v>8327000</v>
      </c>
      <c r="I2426">
        <f t="shared" si="38"/>
        <v>1.1992155123042415E-4</v>
      </c>
    </row>
    <row r="2427" spans="1:9" x14ac:dyDescent="0.3">
      <c r="A2427" s="5">
        <v>45160</v>
      </c>
      <c r="B2427">
        <v>149.259995</v>
      </c>
      <c r="C2427">
        <v>149.63999899999999</v>
      </c>
      <c r="D2427">
        <v>145.85000600000001</v>
      </c>
      <c r="E2427">
        <v>146.38000500000001</v>
      </c>
      <c r="F2427">
        <v>144.41726700000001</v>
      </c>
      <c r="G2427">
        <v>9682000</v>
      </c>
      <c r="I2427">
        <f t="shared" si="38"/>
        <v>1.3983608471662934E-4</v>
      </c>
    </row>
    <row r="2428" spans="1:9" x14ac:dyDescent="0.3">
      <c r="A2428" s="5">
        <v>45161</v>
      </c>
      <c r="B2428">
        <v>146.35000600000001</v>
      </c>
      <c r="C2428">
        <v>147.58999600000001</v>
      </c>
      <c r="D2428">
        <v>145.46000699999999</v>
      </c>
      <c r="E2428">
        <v>147.36999499999999</v>
      </c>
      <c r="F2428">
        <v>145.39399700000001</v>
      </c>
      <c r="G2428">
        <v>7858000</v>
      </c>
      <c r="I2428">
        <f t="shared" si="38"/>
        <v>9.2160011778070664E-5</v>
      </c>
    </row>
    <row r="2429" spans="1:9" x14ac:dyDescent="0.3">
      <c r="A2429" s="5">
        <v>45162</v>
      </c>
      <c r="B2429">
        <v>147.5</v>
      </c>
      <c r="C2429">
        <v>149.41000399999999</v>
      </c>
      <c r="D2429">
        <v>146.990005</v>
      </c>
      <c r="E2429">
        <v>147.229996</v>
      </c>
      <c r="F2429">
        <v>145.255875</v>
      </c>
      <c r="G2429">
        <v>6534000</v>
      </c>
      <c r="I2429">
        <f t="shared" si="38"/>
        <v>1.947591418220142E-4</v>
      </c>
    </row>
    <row r="2430" spans="1:9" x14ac:dyDescent="0.3">
      <c r="A2430" s="5">
        <v>45163</v>
      </c>
      <c r="B2430">
        <v>147.279999</v>
      </c>
      <c r="C2430">
        <v>148.61999499999999</v>
      </c>
      <c r="D2430">
        <v>145.85000600000001</v>
      </c>
      <c r="E2430">
        <v>147.050003</v>
      </c>
      <c r="F2430">
        <v>145.078293</v>
      </c>
      <c r="G2430">
        <v>6695500</v>
      </c>
      <c r="I2430">
        <f t="shared" si="38"/>
        <v>1.7613351606889308E-4</v>
      </c>
    </row>
    <row r="2431" spans="1:9" x14ac:dyDescent="0.3">
      <c r="A2431" s="5">
        <v>45166</v>
      </c>
      <c r="B2431">
        <v>147.570007</v>
      </c>
      <c r="C2431">
        <v>148.61000100000001</v>
      </c>
      <c r="D2431">
        <v>147.13000500000001</v>
      </c>
      <c r="E2431">
        <v>147.55999800000001</v>
      </c>
      <c r="F2431">
        <v>145.58145099999999</v>
      </c>
      <c r="G2431">
        <v>5094100</v>
      </c>
      <c r="I2431">
        <f t="shared" si="38"/>
        <v>5.8509550230209741E-5</v>
      </c>
    </row>
    <row r="2432" spans="1:9" x14ac:dyDescent="0.3">
      <c r="A2432" s="5">
        <v>45167</v>
      </c>
      <c r="B2432">
        <v>147.71000699999999</v>
      </c>
      <c r="C2432">
        <v>148.85000600000001</v>
      </c>
      <c r="D2432">
        <v>147.179993</v>
      </c>
      <c r="E2432">
        <v>148.759995</v>
      </c>
      <c r="F2432">
        <v>146.765366</v>
      </c>
      <c r="G2432">
        <v>6337000</v>
      </c>
      <c r="I2432">
        <f t="shared" si="38"/>
        <v>4.3034140375095054E-5</v>
      </c>
    </row>
    <row r="2433" spans="1:9" x14ac:dyDescent="0.3">
      <c r="A2433" s="5">
        <v>45168</v>
      </c>
      <c r="B2433">
        <v>148.61999499999999</v>
      </c>
      <c r="C2433">
        <v>149.14999399999999</v>
      </c>
      <c r="D2433">
        <v>147.19000199999999</v>
      </c>
      <c r="E2433">
        <v>148.16000399999999</v>
      </c>
      <c r="F2433">
        <v>146.173416</v>
      </c>
      <c r="G2433">
        <v>6277300</v>
      </c>
      <c r="I2433">
        <f t="shared" si="38"/>
        <v>8.7214054815532683E-5</v>
      </c>
    </row>
    <row r="2434" spans="1:9" x14ac:dyDescent="0.3">
      <c r="A2434" s="5">
        <v>45169</v>
      </c>
      <c r="B2434">
        <v>148.259995</v>
      </c>
      <c r="C2434">
        <v>148.35000600000001</v>
      </c>
      <c r="D2434">
        <v>145.96000699999999</v>
      </c>
      <c r="E2434">
        <v>146.33000200000001</v>
      </c>
      <c r="F2434">
        <v>144.36793499999999</v>
      </c>
      <c r="G2434">
        <v>10933900</v>
      </c>
      <c r="I2434">
        <f t="shared" si="38"/>
        <v>4.7903651723189655E-5</v>
      </c>
    </row>
    <row r="2435" spans="1:9" x14ac:dyDescent="0.3">
      <c r="A2435" s="5">
        <v>45170</v>
      </c>
      <c r="B2435">
        <v>146.08999600000001</v>
      </c>
      <c r="C2435">
        <v>148.08000200000001</v>
      </c>
      <c r="D2435">
        <v>145.699997</v>
      </c>
      <c r="E2435">
        <v>146.820007</v>
      </c>
      <c r="F2435">
        <v>144.85137900000001</v>
      </c>
      <c r="G2435">
        <v>7902100</v>
      </c>
      <c r="I2435">
        <f t="shared" si="38"/>
        <v>1.3608654955165315E-4</v>
      </c>
    </row>
    <row r="2436" spans="1:9" x14ac:dyDescent="0.3">
      <c r="A2436" s="5">
        <v>45174</v>
      </c>
      <c r="B2436">
        <v>147.16000399999999</v>
      </c>
      <c r="C2436">
        <v>148.21000699999999</v>
      </c>
      <c r="D2436">
        <v>145.009995</v>
      </c>
      <c r="E2436">
        <v>145.199997</v>
      </c>
      <c r="F2436">
        <v>143.25309799999999</v>
      </c>
      <c r="G2436">
        <v>7854700</v>
      </c>
      <c r="I2436">
        <f t="shared" si="38"/>
        <v>1.6515111019957523E-4</v>
      </c>
    </row>
    <row r="2437" spans="1:9" x14ac:dyDescent="0.3">
      <c r="A2437" s="5">
        <v>45175</v>
      </c>
      <c r="B2437">
        <v>144.699997</v>
      </c>
      <c r="C2437">
        <v>145.53999300000001</v>
      </c>
      <c r="D2437">
        <v>144.11000100000001</v>
      </c>
      <c r="E2437">
        <v>144.96000699999999</v>
      </c>
      <c r="F2437">
        <v>143.01632699999999</v>
      </c>
      <c r="G2437">
        <v>8629200</v>
      </c>
      <c r="I2437">
        <f t="shared" si="38"/>
        <v>4.7140831208683628E-5</v>
      </c>
    </row>
    <row r="2438" spans="1:9" x14ac:dyDescent="0.3">
      <c r="A2438" s="5">
        <v>45176</v>
      </c>
      <c r="B2438">
        <v>144.13000500000001</v>
      </c>
      <c r="C2438">
        <v>145.270004</v>
      </c>
      <c r="D2438">
        <v>143.38999899999999</v>
      </c>
      <c r="E2438">
        <v>143.720001</v>
      </c>
      <c r="F2438">
        <v>141.79293799999999</v>
      </c>
      <c r="G2438">
        <v>8373700</v>
      </c>
      <c r="I2438">
        <f t="shared" si="38"/>
        <v>9.6345760433450353E-5</v>
      </c>
    </row>
    <row r="2439" spans="1:9" x14ac:dyDescent="0.3">
      <c r="A2439" s="5">
        <v>45177</v>
      </c>
      <c r="B2439">
        <v>143.36999499999999</v>
      </c>
      <c r="C2439">
        <v>144.11999499999999</v>
      </c>
      <c r="D2439">
        <v>142.64999399999999</v>
      </c>
      <c r="E2439">
        <v>143.83000200000001</v>
      </c>
      <c r="F2439">
        <v>141.90147400000001</v>
      </c>
      <c r="G2439">
        <v>7107900</v>
      </c>
      <c r="I2439">
        <f t="shared" si="38"/>
        <v>5.1984624488607496E-5</v>
      </c>
    </row>
    <row r="2440" spans="1:9" x14ac:dyDescent="0.3">
      <c r="A2440" s="5">
        <v>45180</v>
      </c>
      <c r="B2440">
        <v>144.75</v>
      </c>
      <c r="C2440">
        <v>145.050003</v>
      </c>
      <c r="D2440">
        <v>143.69000199999999</v>
      </c>
      <c r="E2440">
        <v>144.46000699999999</v>
      </c>
      <c r="F2440">
        <v>142.52302599999999</v>
      </c>
      <c r="G2440">
        <v>6854200</v>
      </c>
      <c r="I2440">
        <f t="shared" si="38"/>
        <v>4.7720103062823301E-5</v>
      </c>
    </row>
    <row r="2441" spans="1:9" x14ac:dyDescent="0.3">
      <c r="A2441" s="5">
        <v>45181</v>
      </c>
      <c r="B2441">
        <v>144.5</v>
      </c>
      <c r="C2441">
        <v>147.320007</v>
      </c>
      <c r="D2441">
        <v>144.050003</v>
      </c>
      <c r="E2441">
        <v>146.33999600000001</v>
      </c>
      <c r="F2441">
        <v>144.37780799999999</v>
      </c>
      <c r="G2441">
        <v>8363200</v>
      </c>
      <c r="I2441">
        <f t="shared" si="38"/>
        <v>1.7819578735345169E-4</v>
      </c>
    </row>
    <row r="2442" spans="1:9" x14ac:dyDescent="0.3">
      <c r="A2442" s="5">
        <v>45182</v>
      </c>
      <c r="B2442">
        <v>147.33999600000001</v>
      </c>
      <c r="C2442">
        <v>147.699997</v>
      </c>
      <c r="D2442">
        <v>145.820007</v>
      </c>
      <c r="E2442">
        <v>146.41000399999999</v>
      </c>
      <c r="F2442">
        <v>144.44688400000001</v>
      </c>
      <c r="G2442">
        <v>8325900</v>
      </c>
      <c r="I2442">
        <f t="shared" si="38"/>
        <v>6.3279515847101635E-5</v>
      </c>
    </row>
    <row r="2443" spans="1:9" x14ac:dyDescent="0.3">
      <c r="A2443" s="5">
        <v>45183</v>
      </c>
      <c r="B2443">
        <v>147.83999600000001</v>
      </c>
      <c r="C2443">
        <v>149.89999399999999</v>
      </c>
      <c r="D2443">
        <v>147.520004</v>
      </c>
      <c r="E2443">
        <v>149.25</v>
      </c>
      <c r="F2443">
        <v>147.248795</v>
      </c>
      <c r="G2443">
        <v>10034900</v>
      </c>
      <c r="I2443">
        <f t="shared" si="38"/>
        <v>8.5396227625351639E-5</v>
      </c>
    </row>
    <row r="2444" spans="1:9" x14ac:dyDescent="0.3">
      <c r="A2444" s="5">
        <v>45184</v>
      </c>
      <c r="B2444">
        <v>148.91999799999999</v>
      </c>
      <c r="C2444">
        <v>149.729996</v>
      </c>
      <c r="D2444">
        <v>148.30999800000001</v>
      </c>
      <c r="E2444">
        <v>148.80999800000001</v>
      </c>
      <c r="F2444">
        <v>146.814697</v>
      </c>
      <c r="G2444">
        <v>19824100</v>
      </c>
      <c r="I2444">
        <f t="shared" ref="I2444:I2507" si="39">LN(C2444/B2444)*(LN(C2444/B2444)-LN(E2444/B2444))+LN(D2444/B2444)*(LN(D2444/B2444)-LN(E2444/B2444))</f>
        <v>4.7246989078180416E-5</v>
      </c>
    </row>
    <row r="2445" spans="1:9" x14ac:dyDescent="0.3">
      <c r="A2445" s="5">
        <v>45187</v>
      </c>
      <c r="B2445">
        <v>148.16000399999999</v>
      </c>
      <c r="C2445">
        <v>149.13999899999999</v>
      </c>
      <c r="D2445">
        <v>147.75</v>
      </c>
      <c r="E2445">
        <v>149.11999499999999</v>
      </c>
      <c r="F2445">
        <v>147.120529</v>
      </c>
      <c r="G2445">
        <v>6512400</v>
      </c>
      <c r="I2445">
        <f t="shared" si="39"/>
        <v>2.6461023889575888E-5</v>
      </c>
    </row>
    <row r="2446" spans="1:9" x14ac:dyDescent="0.3">
      <c r="A2446" s="5">
        <v>45188</v>
      </c>
      <c r="B2446">
        <v>149.5</v>
      </c>
      <c r="C2446">
        <v>149.720001</v>
      </c>
      <c r="D2446">
        <v>147.21000699999999</v>
      </c>
      <c r="E2446">
        <v>148.929993</v>
      </c>
      <c r="F2446">
        <v>146.933075</v>
      </c>
      <c r="G2446">
        <v>7943400</v>
      </c>
      <c r="I2446">
        <f t="shared" si="39"/>
        <v>1.8708922211354108E-4</v>
      </c>
    </row>
    <row r="2447" spans="1:9" x14ac:dyDescent="0.3">
      <c r="A2447" s="5">
        <v>45189</v>
      </c>
      <c r="B2447">
        <v>149.64999399999999</v>
      </c>
      <c r="C2447">
        <v>150.25</v>
      </c>
      <c r="D2447">
        <v>148.13999899999999</v>
      </c>
      <c r="E2447">
        <v>148.300003</v>
      </c>
      <c r="F2447">
        <v>146.31153900000001</v>
      </c>
      <c r="G2447">
        <v>7332000</v>
      </c>
      <c r="I2447">
        <f t="shared" si="39"/>
        <v>6.3218941020392526E-5</v>
      </c>
    </row>
    <row r="2448" spans="1:9" x14ac:dyDescent="0.3">
      <c r="A2448" s="5">
        <v>45190</v>
      </c>
      <c r="B2448">
        <v>147.58000200000001</v>
      </c>
      <c r="C2448">
        <v>148.85000600000001</v>
      </c>
      <c r="D2448">
        <v>146.63000500000001</v>
      </c>
      <c r="E2448">
        <v>147.13999899999999</v>
      </c>
      <c r="F2448">
        <v>145.16708399999999</v>
      </c>
      <c r="G2448">
        <v>8052400</v>
      </c>
      <c r="I2448">
        <f t="shared" si="39"/>
        <v>1.2143073467046672E-4</v>
      </c>
    </row>
    <row r="2449" spans="1:9" x14ac:dyDescent="0.3">
      <c r="A2449" s="5">
        <v>45191</v>
      </c>
      <c r="B2449">
        <v>147.28999300000001</v>
      </c>
      <c r="C2449">
        <v>147.509995</v>
      </c>
      <c r="D2449">
        <v>145.19000199999999</v>
      </c>
      <c r="E2449">
        <v>145.729996</v>
      </c>
      <c r="F2449">
        <v>143.77598599999999</v>
      </c>
      <c r="G2449">
        <v>7071700</v>
      </c>
      <c r="I2449">
        <f t="shared" si="39"/>
        <v>7.1429618917995003E-5</v>
      </c>
    </row>
    <row r="2450" spans="1:9" x14ac:dyDescent="0.3">
      <c r="A2450" s="5">
        <v>45194</v>
      </c>
      <c r="B2450">
        <v>145.35000600000001</v>
      </c>
      <c r="C2450">
        <v>146.520004</v>
      </c>
      <c r="D2450">
        <v>143.699997</v>
      </c>
      <c r="E2450">
        <v>146.449997</v>
      </c>
      <c r="F2450">
        <v>144.48634300000001</v>
      </c>
      <c r="G2450">
        <v>7044700</v>
      </c>
      <c r="I2450">
        <f t="shared" si="39"/>
        <v>2.2025345117538658E-4</v>
      </c>
    </row>
    <row r="2451" spans="1:9" x14ac:dyDescent="0.3">
      <c r="A2451" s="5">
        <v>45195</v>
      </c>
      <c r="B2451">
        <v>144.60000600000001</v>
      </c>
      <c r="C2451">
        <v>145.83999600000001</v>
      </c>
      <c r="D2451">
        <v>144.229996</v>
      </c>
      <c r="E2451">
        <v>144.929993</v>
      </c>
      <c r="F2451">
        <v>142.98672500000001</v>
      </c>
      <c r="G2451">
        <v>7468400</v>
      </c>
      <c r="I2451">
        <f t="shared" si="39"/>
        <v>6.5851284918394857E-5</v>
      </c>
    </row>
    <row r="2452" spans="1:9" x14ac:dyDescent="0.3">
      <c r="A2452" s="5">
        <v>45196</v>
      </c>
      <c r="B2452">
        <v>145.19000199999999</v>
      </c>
      <c r="C2452">
        <v>146.08999600000001</v>
      </c>
      <c r="D2452">
        <v>144.509995</v>
      </c>
      <c r="E2452">
        <v>145.779999</v>
      </c>
      <c r="F2452">
        <v>143.82531700000001</v>
      </c>
      <c r="G2452">
        <v>6717800</v>
      </c>
      <c r="I2452">
        <f t="shared" si="39"/>
        <v>5.420405046937736E-5</v>
      </c>
    </row>
    <row r="2453" spans="1:9" x14ac:dyDescent="0.3">
      <c r="A2453" s="5">
        <v>45197</v>
      </c>
      <c r="B2453">
        <v>146.279999</v>
      </c>
      <c r="C2453">
        <v>148.86999499999999</v>
      </c>
      <c r="D2453">
        <v>146.009995</v>
      </c>
      <c r="E2453">
        <v>147.58999600000001</v>
      </c>
      <c r="F2453">
        <v>145.611053</v>
      </c>
      <c r="G2453">
        <v>8868100</v>
      </c>
      <c r="I2453">
        <f t="shared" si="39"/>
        <v>1.7144102440405033E-4</v>
      </c>
    </row>
    <row r="2454" spans="1:9" x14ac:dyDescent="0.3">
      <c r="A2454" s="5">
        <v>45198</v>
      </c>
      <c r="B2454">
        <v>148.60000600000001</v>
      </c>
      <c r="C2454">
        <v>148.759995</v>
      </c>
      <c r="D2454">
        <v>144.86000100000001</v>
      </c>
      <c r="E2454">
        <v>145.020004</v>
      </c>
      <c r="F2454">
        <v>143.07551599999999</v>
      </c>
      <c r="G2454">
        <v>11915700</v>
      </c>
      <c r="I2454">
        <f t="shared" si="39"/>
        <v>5.5538815270369954E-5</v>
      </c>
    </row>
    <row r="2455" spans="1:9" x14ac:dyDescent="0.3">
      <c r="A2455" s="5">
        <v>45201</v>
      </c>
      <c r="B2455">
        <v>144.83000200000001</v>
      </c>
      <c r="C2455">
        <v>145.61999499999999</v>
      </c>
      <c r="D2455">
        <v>142.63000500000001</v>
      </c>
      <c r="E2455">
        <v>143.770004</v>
      </c>
      <c r="F2455">
        <v>141.84227000000001</v>
      </c>
      <c r="G2455">
        <v>9170600</v>
      </c>
      <c r="I2455">
        <f t="shared" si="39"/>
        <v>1.9140723536250601E-4</v>
      </c>
    </row>
    <row r="2456" spans="1:9" x14ac:dyDescent="0.3">
      <c r="A2456" s="5">
        <v>45202</v>
      </c>
      <c r="B2456">
        <v>143.199997</v>
      </c>
      <c r="C2456">
        <v>143.58999600000001</v>
      </c>
      <c r="D2456">
        <v>142.35000600000001</v>
      </c>
      <c r="E2456">
        <v>142.71000699999999</v>
      </c>
      <c r="F2456">
        <v>140.796494</v>
      </c>
      <c r="G2456">
        <v>9431100</v>
      </c>
      <c r="I2456">
        <f t="shared" si="39"/>
        <v>3.1756254192931575E-5</v>
      </c>
    </row>
    <row r="2457" spans="1:9" x14ac:dyDescent="0.3">
      <c r="A2457" s="5">
        <v>45203</v>
      </c>
      <c r="B2457">
        <v>143.19000199999999</v>
      </c>
      <c r="C2457">
        <v>143.470001</v>
      </c>
      <c r="D2457">
        <v>141.929993</v>
      </c>
      <c r="E2457">
        <v>143.35000600000001</v>
      </c>
      <c r="F2457">
        <v>141.42791700000001</v>
      </c>
      <c r="G2457">
        <v>8128700</v>
      </c>
      <c r="I2457">
        <f t="shared" si="39"/>
        <v>8.9624580309953161E-5</v>
      </c>
    </row>
    <row r="2458" spans="1:9" x14ac:dyDescent="0.3">
      <c r="A2458" s="5">
        <v>45204</v>
      </c>
      <c r="B2458">
        <v>142.03999300000001</v>
      </c>
      <c r="C2458">
        <v>143.10000600000001</v>
      </c>
      <c r="D2458">
        <v>140.83000200000001</v>
      </c>
      <c r="E2458">
        <v>142.89999399999999</v>
      </c>
      <c r="F2458">
        <v>142.02423099999999</v>
      </c>
      <c r="G2458">
        <v>8576200</v>
      </c>
      <c r="I2458">
        <f t="shared" si="39"/>
        <v>1.3523221248983743E-4</v>
      </c>
    </row>
    <row r="2459" spans="1:9" x14ac:dyDescent="0.3">
      <c r="A2459" s="5">
        <v>45205</v>
      </c>
      <c r="B2459">
        <v>142.91000399999999</v>
      </c>
      <c r="C2459">
        <v>145.88000500000001</v>
      </c>
      <c r="D2459">
        <v>142.13999899999999</v>
      </c>
      <c r="E2459">
        <v>145.10000600000001</v>
      </c>
      <c r="F2459">
        <v>144.21075400000001</v>
      </c>
      <c r="G2459">
        <v>10269400</v>
      </c>
      <c r="I2459">
        <f t="shared" si="39"/>
        <v>2.216278361784474E-4</v>
      </c>
    </row>
    <row r="2460" spans="1:9" x14ac:dyDescent="0.3">
      <c r="A2460" s="5">
        <v>45208</v>
      </c>
      <c r="B2460">
        <v>143.66000399999999</v>
      </c>
      <c r="C2460">
        <v>145.39999399999999</v>
      </c>
      <c r="D2460">
        <v>143.5</v>
      </c>
      <c r="E2460">
        <v>144.770004</v>
      </c>
      <c r="F2460">
        <v>143.882767</v>
      </c>
      <c r="G2460">
        <v>6964900</v>
      </c>
      <c r="I2460">
        <f t="shared" si="39"/>
        <v>6.2095601768914749E-5</v>
      </c>
    </row>
    <row r="2461" spans="1:9" x14ac:dyDescent="0.3">
      <c r="A2461" s="5">
        <v>45209</v>
      </c>
      <c r="B2461">
        <v>145.41999799999999</v>
      </c>
      <c r="C2461">
        <v>146.770004</v>
      </c>
      <c r="D2461">
        <v>145.279999</v>
      </c>
      <c r="E2461">
        <v>145.64999399999999</v>
      </c>
      <c r="F2461">
        <v>144.75737000000001</v>
      </c>
      <c r="G2461">
        <v>11288800</v>
      </c>
      <c r="I2461">
        <f t="shared" si="39"/>
        <v>7.3236386129176649E-5</v>
      </c>
    </row>
    <row r="2462" spans="1:9" x14ac:dyDescent="0.3">
      <c r="A2462" s="5">
        <v>45210</v>
      </c>
      <c r="B2462">
        <v>146.509995</v>
      </c>
      <c r="C2462">
        <v>147.229996</v>
      </c>
      <c r="D2462">
        <v>145.020004</v>
      </c>
      <c r="E2462">
        <v>146.14999399999999</v>
      </c>
      <c r="F2462">
        <v>145.25430299999999</v>
      </c>
      <c r="G2462">
        <v>8698200</v>
      </c>
      <c r="I2462">
        <f t="shared" si="39"/>
        <v>1.1543371566391129E-4</v>
      </c>
    </row>
    <row r="2463" spans="1:9" x14ac:dyDescent="0.3">
      <c r="A2463" s="5">
        <v>45211</v>
      </c>
      <c r="B2463">
        <v>146.300003</v>
      </c>
      <c r="C2463">
        <v>146.96000699999999</v>
      </c>
      <c r="D2463">
        <v>145.13000500000001</v>
      </c>
      <c r="E2463">
        <v>145.80999800000001</v>
      </c>
      <c r="F2463">
        <v>144.91639699999999</v>
      </c>
      <c r="G2463">
        <v>10484400</v>
      </c>
      <c r="I2463">
        <f t="shared" si="39"/>
        <v>7.2894699922047699E-5</v>
      </c>
    </row>
    <row r="2464" spans="1:9" x14ac:dyDescent="0.3">
      <c r="A2464" s="5">
        <v>45212</v>
      </c>
      <c r="B2464">
        <v>148.5</v>
      </c>
      <c r="C2464">
        <v>153.11000100000001</v>
      </c>
      <c r="D2464">
        <v>147.83999600000001</v>
      </c>
      <c r="E2464">
        <v>148</v>
      </c>
      <c r="F2464">
        <v>147.092972</v>
      </c>
      <c r="G2464">
        <v>29427000</v>
      </c>
      <c r="I2464">
        <f t="shared" si="39"/>
        <v>1.0425535885024034E-3</v>
      </c>
    </row>
    <row r="2465" spans="1:9" x14ac:dyDescent="0.3">
      <c r="A2465" s="5">
        <v>45215</v>
      </c>
      <c r="B2465">
        <v>149.449997</v>
      </c>
      <c r="C2465">
        <v>149.520004</v>
      </c>
      <c r="D2465">
        <v>146.720001</v>
      </c>
      <c r="E2465">
        <v>147.85000600000001</v>
      </c>
      <c r="F2465">
        <v>146.943893</v>
      </c>
      <c r="G2465">
        <v>12663500</v>
      </c>
      <c r="I2465">
        <f t="shared" si="39"/>
        <v>1.4670501192488861E-4</v>
      </c>
    </row>
    <row r="2466" spans="1:9" x14ac:dyDescent="0.3">
      <c r="A2466" s="5">
        <v>45216</v>
      </c>
      <c r="B2466">
        <v>147.570007</v>
      </c>
      <c r="C2466">
        <v>149.30999800000001</v>
      </c>
      <c r="D2466">
        <v>146.78999300000001</v>
      </c>
      <c r="E2466">
        <v>147.529999</v>
      </c>
      <c r="F2466">
        <v>146.625854</v>
      </c>
      <c r="G2466">
        <v>11482700</v>
      </c>
      <c r="I2466">
        <f t="shared" si="39"/>
        <v>1.6723347733147575E-4</v>
      </c>
    </row>
    <row r="2467" spans="1:9" x14ac:dyDescent="0.3">
      <c r="A2467" s="5">
        <v>45217</v>
      </c>
      <c r="B2467">
        <v>146.58999600000001</v>
      </c>
      <c r="C2467">
        <v>147.479996</v>
      </c>
      <c r="D2467">
        <v>145.36999499999999</v>
      </c>
      <c r="E2467">
        <v>145.91000399999999</v>
      </c>
      <c r="F2467">
        <v>145.015793</v>
      </c>
      <c r="G2467">
        <v>9620300</v>
      </c>
      <c r="I2467">
        <f t="shared" si="39"/>
        <v>9.577013974830379E-5</v>
      </c>
    </row>
    <row r="2468" spans="1:9" x14ac:dyDescent="0.3">
      <c r="A2468" s="5">
        <v>45218</v>
      </c>
      <c r="B2468">
        <v>145.479996</v>
      </c>
      <c r="C2468">
        <v>147.020004</v>
      </c>
      <c r="D2468">
        <v>144.88000500000001</v>
      </c>
      <c r="E2468">
        <v>145.28999300000001</v>
      </c>
      <c r="F2468">
        <v>144.39958200000001</v>
      </c>
      <c r="G2468">
        <v>11143600</v>
      </c>
      <c r="I2468">
        <f t="shared" si="39"/>
        <v>1.3632251125573583E-4</v>
      </c>
    </row>
    <row r="2469" spans="1:9" x14ac:dyDescent="0.3">
      <c r="A2469" s="5">
        <v>45219</v>
      </c>
      <c r="B2469">
        <v>144.570007</v>
      </c>
      <c r="C2469">
        <v>145.13999899999999</v>
      </c>
      <c r="D2469">
        <v>142.11999499999999</v>
      </c>
      <c r="E2469">
        <v>142.949997</v>
      </c>
      <c r="F2469">
        <v>142.073914</v>
      </c>
      <c r="G2469">
        <v>13332000</v>
      </c>
      <c r="I2469">
        <f t="shared" si="39"/>
        <v>1.5935632472757874E-4</v>
      </c>
    </row>
    <row r="2470" spans="1:9" x14ac:dyDescent="0.3">
      <c r="A2470" s="5">
        <v>45222</v>
      </c>
      <c r="B2470">
        <v>142.94000199999999</v>
      </c>
      <c r="C2470">
        <v>143.679993</v>
      </c>
      <c r="D2470">
        <v>140.729996</v>
      </c>
      <c r="E2470">
        <v>141</v>
      </c>
      <c r="F2470">
        <v>140.13587999999999</v>
      </c>
      <c r="G2470">
        <v>10133400</v>
      </c>
      <c r="I2470">
        <f t="shared" si="39"/>
        <v>1.2708994071207718E-4</v>
      </c>
    </row>
    <row r="2471" spans="1:9" x14ac:dyDescent="0.3">
      <c r="A2471" s="5">
        <v>45223</v>
      </c>
      <c r="B2471">
        <v>141.19000199999999</v>
      </c>
      <c r="C2471">
        <v>141.729996</v>
      </c>
      <c r="D2471">
        <v>140.36000100000001</v>
      </c>
      <c r="E2471">
        <v>141.16999799999999</v>
      </c>
      <c r="F2471">
        <v>140.30482499999999</v>
      </c>
      <c r="G2471">
        <v>8881400</v>
      </c>
      <c r="I2471">
        <f t="shared" si="39"/>
        <v>4.9039531441388965E-5</v>
      </c>
    </row>
    <row r="2472" spans="1:9" x14ac:dyDescent="0.3">
      <c r="A2472" s="5">
        <v>45224</v>
      </c>
      <c r="B2472">
        <v>140.570007</v>
      </c>
      <c r="C2472">
        <v>141.179993</v>
      </c>
      <c r="D2472">
        <v>139.509995</v>
      </c>
      <c r="E2472">
        <v>140.39999399999999</v>
      </c>
      <c r="F2472">
        <v>139.53955099999999</v>
      </c>
      <c r="G2472">
        <v>8242600</v>
      </c>
      <c r="I2472">
        <f t="shared" si="39"/>
        <v>7.2124141696893723E-5</v>
      </c>
    </row>
    <row r="2473" spans="1:9" x14ac:dyDescent="0.3">
      <c r="A2473" s="5">
        <v>45225</v>
      </c>
      <c r="B2473">
        <v>139.759995</v>
      </c>
      <c r="C2473">
        <v>141.66999799999999</v>
      </c>
      <c r="D2473">
        <v>139.429993</v>
      </c>
      <c r="E2473">
        <v>140.759995</v>
      </c>
      <c r="F2473">
        <v>139.89733899999999</v>
      </c>
      <c r="G2473">
        <v>9109400</v>
      </c>
      <c r="I2473">
        <f t="shared" si="39"/>
        <v>1.099138956692955E-4</v>
      </c>
    </row>
    <row r="2474" spans="1:9" x14ac:dyDescent="0.3">
      <c r="A2474" s="5">
        <v>45226</v>
      </c>
      <c r="B2474">
        <v>138.949997</v>
      </c>
      <c r="C2474">
        <v>139.10000600000001</v>
      </c>
      <c r="D2474">
        <v>135.19000199999999</v>
      </c>
      <c r="E2474">
        <v>135.69000199999999</v>
      </c>
      <c r="F2474">
        <v>134.85841400000001</v>
      </c>
      <c r="G2474">
        <v>17434700</v>
      </c>
      <c r="I2474">
        <f t="shared" si="39"/>
        <v>1.2805469816782203E-4</v>
      </c>
    </row>
    <row r="2475" spans="1:9" x14ac:dyDescent="0.3">
      <c r="A2475" s="5">
        <v>45229</v>
      </c>
      <c r="B2475">
        <v>136.44000199999999</v>
      </c>
      <c r="C2475">
        <v>138.03999300000001</v>
      </c>
      <c r="D2475">
        <v>136.03999300000001</v>
      </c>
      <c r="E2475">
        <v>137.41999799999999</v>
      </c>
      <c r="F2475">
        <v>136.57782</v>
      </c>
      <c r="G2475">
        <v>9855500</v>
      </c>
      <c r="I2475">
        <f t="shared" si="39"/>
        <v>8.2114713023857344E-5</v>
      </c>
    </row>
    <row r="2476" spans="1:9" x14ac:dyDescent="0.3">
      <c r="A2476" s="5">
        <v>45230</v>
      </c>
      <c r="B2476">
        <v>137.71000699999999</v>
      </c>
      <c r="C2476">
        <v>139.240005</v>
      </c>
      <c r="D2476">
        <v>137.470001</v>
      </c>
      <c r="E2476">
        <v>139.05999800000001</v>
      </c>
      <c r="F2476">
        <v>138.207764</v>
      </c>
      <c r="G2476">
        <v>9672500</v>
      </c>
      <c r="I2476">
        <f t="shared" si="39"/>
        <v>3.4352909002799165E-5</v>
      </c>
    </row>
    <row r="2477" spans="1:9" x14ac:dyDescent="0.3">
      <c r="A2477" s="5">
        <v>45231</v>
      </c>
      <c r="B2477">
        <v>139.25</v>
      </c>
      <c r="C2477">
        <v>140.529999</v>
      </c>
      <c r="D2477">
        <v>138.470001</v>
      </c>
      <c r="E2477">
        <v>138.94000199999999</v>
      </c>
      <c r="F2477">
        <v>138.08850100000001</v>
      </c>
      <c r="G2477">
        <v>9432000</v>
      </c>
      <c r="I2477">
        <f t="shared" si="39"/>
        <v>1.231508150191651E-4</v>
      </c>
    </row>
    <row r="2478" spans="1:9" x14ac:dyDescent="0.3">
      <c r="A2478" s="5">
        <v>45232</v>
      </c>
      <c r="B2478">
        <v>140.08999600000001</v>
      </c>
      <c r="C2478">
        <v>141.479996</v>
      </c>
      <c r="D2478">
        <v>139.229996</v>
      </c>
      <c r="E2478">
        <v>141.41999799999999</v>
      </c>
      <c r="F2478">
        <v>140.55329900000001</v>
      </c>
      <c r="G2478">
        <v>10186200</v>
      </c>
      <c r="I2478">
        <f t="shared" si="39"/>
        <v>1.002929172852133E-4</v>
      </c>
    </row>
    <row r="2479" spans="1:9" x14ac:dyDescent="0.3">
      <c r="A2479" s="5">
        <v>45233</v>
      </c>
      <c r="B2479">
        <v>142.19000199999999</v>
      </c>
      <c r="C2479">
        <v>143.770004</v>
      </c>
      <c r="D2479">
        <v>141.85000600000001</v>
      </c>
      <c r="E2479">
        <v>143</v>
      </c>
      <c r="F2479">
        <v>142.12361100000001</v>
      </c>
      <c r="G2479">
        <v>9533100</v>
      </c>
      <c r="I2479">
        <f t="shared" si="39"/>
        <v>7.8674225377823296E-5</v>
      </c>
    </row>
    <row r="2480" spans="1:9" x14ac:dyDescent="0.3">
      <c r="A2480" s="5">
        <v>45236</v>
      </c>
      <c r="B2480">
        <v>143.16999799999999</v>
      </c>
      <c r="C2480">
        <v>144.19000199999999</v>
      </c>
      <c r="D2480">
        <v>142.78999300000001</v>
      </c>
      <c r="E2480">
        <v>144.08000200000001</v>
      </c>
      <c r="F2480">
        <v>143.19700599999999</v>
      </c>
      <c r="G2480">
        <v>7625100</v>
      </c>
      <c r="I2480">
        <f t="shared" si="39"/>
        <v>2.9321028378480297E-5</v>
      </c>
    </row>
    <row r="2481" spans="1:9" x14ac:dyDescent="0.3">
      <c r="A2481" s="5">
        <v>45237</v>
      </c>
      <c r="B2481">
        <v>143.509995</v>
      </c>
      <c r="C2481">
        <v>144.259995</v>
      </c>
      <c r="D2481">
        <v>142.820007</v>
      </c>
      <c r="E2481">
        <v>144.009995</v>
      </c>
      <c r="F2481">
        <v>143.12742600000001</v>
      </c>
      <c r="G2481">
        <v>6297900</v>
      </c>
      <c r="I2481">
        <f t="shared" si="39"/>
        <v>4.9031444026015431E-5</v>
      </c>
    </row>
    <row r="2482" spans="1:9" x14ac:dyDescent="0.3">
      <c r="A2482" s="5">
        <v>45238</v>
      </c>
      <c r="B2482">
        <v>144.11000100000001</v>
      </c>
      <c r="C2482">
        <v>144.83999600000001</v>
      </c>
      <c r="D2482">
        <v>143.61999499999999</v>
      </c>
      <c r="E2482">
        <v>144.720001</v>
      </c>
      <c r="F2482">
        <v>143.83308400000001</v>
      </c>
      <c r="G2482">
        <v>7618200</v>
      </c>
      <c r="I2482">
        <f t="shared" si="39"/>
        <v>3.017553468055108E-5</v>
      </c>
    </row>
    <row r="2483" spans="1:9" x14ac:dyDescent="0.3">
      <c r="A2483" s="5">
        <v>45239</v>
      </c>
      <c r="B2483">
        <v>145.44000199999999</v>
      </c>
      <c r="C2483">
        <v>145.64999399999999</v>
      </c>
      <c r="D2483">
        <v>143.699997</v>
      </c>
      <c r="E2483">
        <v>144.28999300000001</v>
      </c>
      <c r="F2483">
        <v>143.40570099999999</v>
      </c>
      <c r="G2483">
        <v>7992500</v>
      </c>
      <c r="I2483">
        <f t="shared" si="39"/>
        <v>6.2850451526984567E-5</v>
      </c>
    </row>
    <row r="2484" spans="1:9" x14ac:dyDescent="0.3">
      <c r="A2484" s="5">
        <v>45240</v>
      </c>
      <c r="B2484">
        <v>144.94000199999999</v>
      </c>
      <c r="C2484">
        <v>146.479996</v>
      </c>
      <c r="D2484">
        <v>144.08000200000001</v>
      </c>
      <c r="E2484">
        <v>146.429993</v>
      </c>
      <c r="F2484">
        <v>145.53259299999999</v>
      </c>
      <c r="G2484">
        <v>7983300</v>
      </c>
      <c r="I2484">
        <f t="shared" si="39"/>
        <v>9.9890781538750973E-5</v>
      </c>
    </row>
    <row r="2485" spans="1:9" x14ac:dyDescent="0.3">
      <c r="A2485" s="5">
        <v>45243</v>
      </c>
      <c r="B2485">
        <v>145.699997</v>
      </c>
      <c r="C2485">
        <v>146.25</v>
      </c>
      <c r="D2485">
        <v>145.16000399999999</v>
      </c>
      <c r="E2485">
        <v>145.779999</v>
      </c>
      <c r="F2485">
        <v>144.88658100000001</v>
      </c>
      <c r="G2485">
        <v>6676300</v>
      </c>
      <c r="I2485">
        <f t="shared" si="39"/>
        <v>2.7953218330560298E-5</v>
      </c>
    </row>
    <row r="2486" spans="1:9" x14ac:dyDescent="0.3">
      <c r="A2486" s="5">
        <v>45244</v>
      </c>
      <c r="B2486">
        <v>146.679993</v>
      </c>
      <c r="C2486">
        <v>149.25</v>
      </c>
      <c r="D2486">
        <v>146.520004</v>
      </c>
      <c r="E2486">
        <v>148.44000199999999</v>
      </c>
      <c r="F2486">
        <v>147.53027299999999</v>
      </c>
      <c r="G2486">
        <v>9927700</v>
      </c>
      <c r="I2486">
        <f t="shared" si="39"/>
        <v>1.0873079488066027E-4</v>
      </c>
    </row>
    <row r="2487" spans="1:9" x14ac:dyDescent="0.3">
      <c r="A2487" s="5">
        <v>45245</v>
      </c>
      <c r="B2487">
        <v>148.46000699999999</v>
      </c>
      <c r="C2487">
        <v>150.16000399999999</v>
      </c>
      <c r="D2487">
        <v>148.46000699999999</v>
      </c>
      <c r="E2487">
        <v>149.740005</v>
      </c>
      <c r="F2487">
        <v>148.82231100000001</v>
      </c>
      <c r="G2487">
        <v>8365300</v>
      </c>
      <c r="I2487">
        <f t="shared" si="39"/>
        <v>3.1890842474709218E-5</v>
      </c>
    </row>
    <row r="2488" spans="1:9" x14ac:dyDescent="0.3">
      <c r="A2488" s="5">
        <v>45246</v>
      </c>
      <c r="B2488">
        <v>150.08999600000001</v>
      </c>
      <c r="C2488">
        <v>151.529999</v>
      </c>
      <c r="D2488">
        <v>150.08999600000001</v>
      </c>
      <c r="E2488">
        <v>151.449997</v>
      </c>
      <c r="F2488">
        <v>150.52183500000001</v>
      </c>
      <c r="G2488">
        <v>8126200</v>
      </c>
      <c r="I2488">
        <f t="shared" si="39"/>
        <v>5.0425876783592811E-6</v>
      </c>
    </row>
    <row r="2489" spans="1:9" x14ac:dyDescent="0.3">
      <c r="A2489" s="5">
        <v>45247</v>
      </c>
      <c r="B2489">
        <v>152.199997</v>
      </c>
      <c r="C2489">
        <v>152.86000100000001</v>
      </c>
      <c r="D2489">
        <v>151.53999300000001</v>
      </c>
      <c r="E2489">
        <v>152.820007</v>
      </c>
      <c r="F2489">
        <v>151.88343800000001</v>
      </c>
      <c r="G2489">
        <v>7812400</v>
      </c>
      <c r="I2489">
        <f t="shared" si="39"/>
        <v>3.7686274937167472E-5</v>
      </c>
    </row>
    <row r="2490" spans="1:9" x14ac:dyDescent="0.3">
      <c r="A2490" s="5">
        <v>45250</v>
      </c>
      <c r="B2490">
        <v>152.08000200000001</v>
      </c>
      <c r="C2490">
        <v>153.75</v>
      </c>
      <c r="D2490">
        <v>151.91999799999999</v>
      </c>
      <c r="E2490">
        <v>153.28999300000001</v>
      </c>
      <c r="F2490">
        <v>152.35055500000001</v>
      </c>
      <c r="G2490">
        <v>7019000</v>
      </c>
      <c r="I2490">
        <f t="shared" si="39"/>
        <v>4.2174459490675265E-5</v>
      </c>
    </row>
    <row r="2491" spans="1:9" x14ac:dyDescent="0.3">
      <c r="A2491" s="5">
        <v>45251</v>
      </c>
      <c r="B2491">
        <v>153.199997</v>
      </c>
      <c r="C2491">
        <v>153.63000500000001</v>
      </c>
      <c r="D2491">
        <v>152.570007</v>
      </c>
      <c r="E2491">
        <v>152.970001</v>
      </c>
      <c r="F2491">
        <v>152.03251599999999</v>
      </c>
      <c r="G2491">
        <v>7083500</v>
      </c>
      <c r="I2491">
        <f t="shared" si="39"/>
        <v>2.2856505097065267E-5</v>
      </c>
    </row>
    <row r="2492" spans="1:9" x14ac:dyDescent="0.3">
      <c r="A2492" s="5">
        <v>45252</v>
      </c>
      <c r="B2492">
        <v>153.41000399999999</v>
      </c>
      <c r="C2492">
        <v>153.88000500000001</v>
      </c>
      <c r="D2492">
        <v>152.89999399999999</v>
      </c>
      <c r="E2492">
        <v>153.33000200000001</v>
      </c>
      <c r="F2492">
        <v>152.39030500000001</v>
      </c>
      <c r="G2492">
        <v>5174500</v>
      </c>
      <c r="I2492">
        <f t="shared" si="39"/>
        <v>2.0305249374335688E-5</v>
      </c>
    </row>
    <row r="2493" spans="1:9" x14ac:dyDescent="0.3">
      <c r="A2493" s="5">
        <v>45254</v>
      </c>
      <c r="B2493">
        <v>153.58999600000001</v>
      </c>
      <c r="C2493">
        <v>154.44000199999999</v>
      </c>
      <c r="D2493">
        <v>153.279999</v>
      </c>
      <c r="E2493">
        <v>153.53999300000001</v>
      </c>
      <c r="F2493">
        <v>152.59901400000001</v>
      </c>
      <c r="G2493">
        <v>3496900</v>
      </c>
      <c r="I2493">
        <f t="shared" si="39"/>
        <v>3.5680454668839976E-5</v>
      </c>
    </row>
    <row r="2494" spans="1:9" x14ac:dyDescent="0.3">
      <c r="A2494" s="5">
        <v>45257</v>
      </c>
      <c r="B2494">
        <v>153.429993</v>
      </c>
      <c r="C2494">
        <v>153.529999</v>
      </c>
      <c r="D2494">
        <v>152.71000699999999</v>
      </c>
      <c r="E2494">
        <v>153.19000199999999</v>
      </c>
      <c r="F2494">
        <v>152.25117499999999</v>
      </c>
      <c r="G2494">
        <v>6259100</v>
      </c>
      <c r="I2494">
        <f t="shared" si="39"/>
        <v>1.6205789381512462E-5</v>
      </c>
    </row>
    <row r="2495" spans="1:9" x14ac:dyDescent="0.3">
      <c r="A2495" s="5">
        <v>45258</v>
      </c>
      <c r="B2495">
        <v>153.220001</v>
      </c>
      <c r="C2495">
        <v>153.86999499999999</v>
      </c>
      <c r="D2495">
        <v>152.720001</v>
      </c>
      <c r="E2495">
        <v>153.53999300000001</v>
      </c>
      <c r="F2495">
        <v>152.59901400000001</v>
      </c>
      <c r="G2495">
        <v>6582700</v>
      </c>
      <c r="I2495">
        <f t="shared" si="39"/>
        <v>2.6591808442914572E-5</v>
      </c>
    </row>
    <row r="2496" spans="1:9" x14ac:dyDescent="0.3">
      <c r="A2496" s="5">
        <v>45259</v>
      </c>
      <c r="B2496">
        <v>154.16999799999999</v>
      </c>
      <c r="C2496">
        <v>155.63000500000001</v>
      </c>
      <c r="D2496">
        <v>154</v>
      </c>
      <c r="E2496">
        <v>154.320007</v>
      </c>
      <c r="F2496">
        <v>153.37425200000001</v>
      </c>
      <c r="G2496">
        <v>9126100</v>
      </c>
      <c r="I2496">
        <f t="shared" si="39"/>
        <v>8.1964495276372083E-5</v>
      </c>
    </row>
    <row r="2497" spans="1:9" x14ac:dyDescent="0.3">
      <c r="A2497" s="5">
        <v>45260</v>
      </c>
      <c r="B2497">
        <v>154.91000399999999</v>
      </c>
      <c r="C2497">
        <v>156.13000500000001</v>
      </c>
      <c r="D2497">
        <v>154.38000500000001</v>
      </c>
      <c r="E2497">
        <v>156.08000200000001</v>
      </c>
      <c r="F2497">
        <v>155.123459</v>
      </c>
      <c r="G2497">
        <v>9869800</v>
      </c>
      <c r="I2497">
        <f t="shared" si="39"/>
        <v>4.0046055812261987E-5</v>
      </c>
    </row>
    <row r="2498" spans="1:9" x14ac:dyDescent="0.3">
      <c r="A2498" s="5">
        <v>45261</v>
      </c>
      <c r="B2498">
        <v>155.820007</v>
      </c>
      <c r="C2498">
        <v>157.86000100000001</v>
      </c>
      <c r="D2498">
        <v>155.820007</v>
      </c>
      <c r="E2498">
        <v>156.83999600000001</v>
      </c>
      <c r="F2498">
        <v>155.87879899999999</v>
      </c>
      <c r="G2498">
        <v>8913000</v>
      </c>
      <c r="I2498">
        <f t="shared" si="39"/>
        <v>8.4317019544892532E-5</v>
      </c>
    </row>
    <row r="2499" spans="1:9" x14ac:dyDescent="0.3">
      <c r="A2499" s="5">
        <v>45264</v>
      </c>
      <c r="B2499">
        <v>156.020004</v>
      </c>
      <c r="C2499">
        <v>158.050003</v>
      </c>
      <c r="D2499">
        <v>155.88000500000001</v>
      </c>
      <c r="E2499">
        <v>157.990005</v>
      </c>
      <c r="F2499">
        <v>157.021759</v>
      </c>
      <c r="G2499">
        <v>9607500</v>
      </c>
      <c r="I2499">
        <f t="shared" si="39"/>
        <v>1.6978329803454484E-5</v>
      </c>
    </row>
    <row r="2500" spans="1:9" x14ac:dyDescent="0.3">
      <c r="A2500" s="5">
        <v>45265</v>
      </c>
      <c r="B2500">
        <v>157.259995</v>
      </c>
      <c r="C2500">
        <v>158.5</v>
      </c>
      <c r="D2500">
        <v>156.970001</v>
      </c>
      <c r="E2500">
        <v>157.970001</v>
      </c>
      <c r="F2500">
        <v>157.00187700000001</v>
      </c>
      <c r="G2500">
        <v>9135600</v>
      </c>
      <c r="I2500">
        <f t="shared" si="39"/>
        <v>3.8028290443147102E-5</v>
      </c>
    </row>
    <row r="2501" spans="1:9" x14ac:dyDescent="0.3">
      <c r="A2501" s="5">
        <v>45266</v>
      </c>
      <c r="B2501">
        <v>158.83999600000001</v>
      </c>
      <c r="C2501">
        <v>159.220001</v>
      </c>
      <c r="D2501">
        <v>156</v>
      </c>
      <c r="E2501">
        <v>156.30999800000001</v>
      </c>
      <c r="F2501">
        <v>155.35205099999999</v>
      </c>
      <c r="G2501">
        <v>9366000</v>
      </c>
      <c r="I2501">
        <f t="shared" si="39"/>
        <v>7.9891985504494306E-5</v>
      </c>
    </row>
    <row r="2502" spans="1:9" x14ac:dyDescent="0.3">
      <c r="A2502" s="5">
        <v>45267</v>
      </c>
      <c r="B2502">
        <v>156.69000199999999</v>
      </c>
      <c r="C2502">
        <v>157.30999800000001</v>
      </c>
      <c r="D2502">
        <v>156.14999399999999</v>
      </c>
      <c r="E2502">
        <v>156.78999300000001</v>
      </c>
      <c r="F2502">
        <v>155.82910200000001</v>
      </c>
      <c r="G2502">
        <v>8130900</v>
      </c>
      <c r="I2502">
        <f t="shared" si="39"/>
        <v>2.7196275819961307E-5</v>
      </c>
    </row>
    <row r="2503" spans="1:9" x14ac:dyDescent="0.3">
      <c r="A2503" s="5">
        <v>45268</v>
      </c>
      <c r="B2503">
        <v>157.259995</v>
      </c>
      <c r="C2503">
        <v>158.779999</v>
      </c>
      <c r="D2503">
        <v>156.979996</v>
      </c>
      <c r="E2503">
        <v>158.520004</v>
      </c>
      <c r="F2503">
        <v>157.548508</v>
      </c>
      <c r="G2503">
        <v>7366200</v>
      </c>
      <c r="I2503">
        <f t="shared" si="39"/>
        <v>3.3161118336772852E-5</v>
      </c>
    </row>
    <row r="2504" spans="1:9" x14ac:dyDescent="0.3">
      <c r="A2504" s="5">
        <v>45271</v>
      </c>
      <c r="B2504">
        <v>158.520004</v>
      </c>
      <c r="C2504">
        <v>159.300003</v>
      </c>
      <c r="D2504">
        <v>158.14999399999999</v>
      </c>
      <c r="E2504">
        <v>159.10000600000001</v>
      </c>
      <c r="F2504">
        <v>158.124954</v>
      </c>
      <c r="G2504">
        <v>8093900</v>
      </c>
      <c r="I2504">
        <f t="shared" si="39"/>
        <v>2.0162020679269713E-5</v>
      </c>
    </row>
    <row r="2505" spans="1:9" x14ac:dyDescent="0.3">
      <c r="A2505" s="5">
        <v>45272</v>
      </c>
      <c r="B2505">
        <v>159.229996</v>
      </c>
      <c r="C2505">
        <v>160.64999399999999</v>
      </c>
      <c r="D2505">
        <v>158.88000500000001</v>
      </c>
      <c r="E2505">
        <v>160.520004</v>
      </c>
      <c r="F2505">
        <v>159.53625500000001</v>
      </c>
      <c r="G2505">
        <v>10223000</v>
      </c>
      <c r="I2505">
        <f t="shared" si="39"/>
        <v>2.9783922078158486E-5</v>
      </c>
    </row>
    <row r="2506" spans="1:9" x14ac:dyDescent="0.3">
      <c r="A2506" s="5">
        <v>45273</v>
      </c>
      <c r="B2506">
        <v>160.520004</v>
      </c>
      <c r="C2506">
        <v>162.029999</v>
      </c>
      <c r="D2506">
        <v>159.770004</v>
      </c>
      <c r="E2506">
        <v>161.05999800000001</v>
      </c>
      <c r="F2506">
        <v>160.072937</v>
      </c>
      <c r="G2506">
        <v>12379100</v>
      </c>
      <c r="I2506">
        <f t="shared" si="39"/>
        <v>9.3881259834271671E-5</v>
      </c>
    </row>
    <row r="2507" spans="1:9" x14ac:dyDescent="0.3">
      <c r="A2507" s="5">
        <v>45274</v>
      </c>
      <c r="B2507">
        <v>161.83000200000001</v>
      </c>
      <c r="C2507">
        <v>164.83999600000001</v>
      </c>
      <c r="D2507">
        <v>161.71000699999999</v>
      </c>
      <c r="E2507">
        <v>163.990005</v>
      </c>
      <c r="F2507">
        <v>162.98498499999999</v>
      </c>
      <c r="G2507">
        <v>13643000</v>
      </c>
      <c r="I2507">
        <f t="shared" si="39"/>
        <v>1.056588862656084E-4</v>
      </c>
    </row>
    <row r="2508" spans="1:9" x14ac:dyDescent="0.3">
      <c r="A2508" s="5">
        <v>45275</v>
      </c>
      <c r="B2508">
        <v>163.08000200000001</v>
      </c>
      <c r="C2508">
        <v>165.279999</v>
      </c>
      <c r="D2508">
        <v>162.38999899999999</v>
      </c>
      <c r="E2508">
        <v>165.229996</v>
      </c>
      <c r="F2508">
        <v>164.217377</v>
      </c>
      <c r="G2508">
        <v>20305900</v>
      </c>
      <c r="I2508">
        <f t="shared" ref="I2508:I2566" si="40">LN(C2508/B2508)*(LN(C2508/B2508)-LN(E2508/B2508))+LN(D2508/B2508)*(LN(D2508/B2508)-LN(E2508/B2508))</f>
        <v>7.7566748264277453E-5</v>
      </c>
    </row>
    <row r="2509" spans="1:9" x14ac:dyDescent="0.3">
      <c r="A2509" s="5">
        <v>45278</v>
      </c>
      <c r="B2509">
        <v>165.91999799999999</v>
      </c>
      <c r="C2509">
        <v>167.13000500000001</v>
      </c>
      <c r="D2509">
        <v>165.63000500000001</v>
      </c>
      <c r="E2509">
        <v>166.229996</v>
      </c>
      <c r="F2509">
        <v>165.211243</v>
      </c>
      <c r="G2509">
        <v>8469600</v>
      </c>
      <c r="I2509">
        <f t="shared" si="40"/>
        <v>4.5560512711855045E-5</v>
      </c>
    </row>
    <row r="2510" spans="1:9" x14ac:dyDescent="0.3">
      <c r="A2510" s="5">
        <v>45279</v>
      </c>
      <c r="B2510">
        <v>166</v>
      </c>
      <c r="C2510">
        <v>168.470001</v>
      </c>
      <c r="D2510">
        <v>165.550003</v>
      </c>
      <c r="E2510">
        <v>168.449997</v>
      </c>
      <c r="F2510">
        <v>167.41764800000001</v>
      </c>
      <c r="G2510">
        <v>10345700</v>
      </c>
      <c r="I2510">
        <f t="shared" si="40"/>
        <v>4.8893091439863183E-5</v>
      </c>
    </row>
    <row r="2511" spans="1:9" x14ac:dyDescent="0.3">
      <c r="A2511" s="5">
        <v>45280</v>
      </c>
      <c r="B2511">
        <v>167.990005</v>
      </c>
      <c r="C2511">
        <v>169.41000399999999</v>
      </c>
      <c r="D2511">
        <v>166.449997</v>
      </c>
      <c r="E2511">
        <v>166.550003</v>
      </c>
      <c r="F2511">
        <v>165.52929700000001</v>
      </c>
      <c r="G2511">
        <v>10734700</v>
      </c>
      <c r="I2511">
        <f t="shared" si="40"/>
        <v>1.4884755965875805E-4</v>
      </c>
    </row>
    <row r="2512" spans="1:9" x14ac:dyDescent="0.3">
      <c r="A2512" s="5">
        <v>45281</v>
      </c>
      <c r="B2512">
        <v>166.83999600000001</v>
      </c>
      <c r="C2512">
        <v>168.08999600000001</v>
      </c>
      <c r="D2512">
        <v>165.679993</v>
      </c>
      <c r="E2512">
        <v>167.5</v>
      </c>
      <c r="F2512">
        <v>166.473465</v>
      </c>
      <c r="G2512">
        <v>7601700</v>
      </c>
      <c r="I2512">
        <f t="shared" si="40"/>
        <v>1.0247144629012096E-4</v>
      </c>
    </row>
    <row r="2513" spans="1:9" x14ac:dyDescent="0.3">
      <c r="A2513" s="5">
        <v>45282</v>
      </c>
      <c r="B2513">
        <v>167.5</v>
      </c>
      <c r="C2513">
        <v>168.229996</v>
      </c>
      <c r="D2513">
        <v>167.229996</v>
      </c>
      <c r="E2513">
        <v>167.39999399999999</v>
      </c>
      <c r="F2513">
        <v>166.37406899999999</v>
      </c>
      <c r="G2513">
        <v>6574900</v>
      </c>
      <c r="I2513">
        <f t="shared" si="40"/>
        <v>2.3147642176764118E-5</v>
      </c>
    </row>
    <row r="2514" spans="1:9" x14ac:dyDescent="0.3">
      <c r="A2514" s="5">
        <v>45286</v>
      </c>
      <c r="B2514">
        <v>167.46000699999999</v>
      </c>
      <c r="C2514">
        <v>168.770004</v>
      </c>
      <c r="D2514">
        <v>167.179993</v>
      </c>
      <c r="E2514">
        <v>168.38999899999999</v>
      </c>
      <c r="F2514">
        <v>167.35801699999999</v>
      </c>
      <c r="G2514">
        <v>4683600</v>
      </c>
      <c r="I2514">
        <f t="shared" si="40"/>
        <v>2.9633969148810909E-5</v>
      </c>
    </row>
    <row r="2515" spans="1:9" x14ac:dyDescent="0.3">
      <c r="A2515" s="5">
        <v>45287</v>
      </c>
      <c r="B2515">
        <v>167.83999600000001</v>
      </c>
      <c r="C2515">
        <v>169.470001</v>
      </c>
      <c r="D2515">
        <v>167.58000200000001</v>
      </c>
      <c r="E2515">
        <v>169.39999399999999</v>
      </c>
      <c r="F2515">
        <v>168.361816</v>
      </c>
      <c r="G2515">
        <v>6428600</v>
      </c>
      <c r="I2515">
        <f t="shared" si="40"/>
        <v>2.0739023547866012E-5</v>
      </c>
    </row>
    <row r="2516" spans="1:9" x14ac:dyDescent="0.3">
      <c r="A2516" s="5">
        <v>45288</v>
      </c>
      <c r="B2516">
        <v>169.35000600000001</v>
      </c>
      <c r="C2516">
        <v>170.66000399999999</v>
      </c>
      <c r="D2516">
        <v>169</v>
      </c>
      <c r="E2516">
        <v>170.300003</v>
      </c>
      <c r="F2516">
        <v>169.256317</v>
      </c>
      <c r="G2516">
        <v>6320100</v>
      </c>
      <c r="I2516">
        <f t="shared" si="40"/>
        <v>3.2125773148365847E-5</v>
      </c>
    </row>
    <row r="2517" spans="1:9" x14ac:dyDescent="0.3">
      <c r="A2517" s="5">
        <v>45289</v>
      </c>
      <c r="B2517">
        <v>170</v>
      </c>
      <c r="C2517">
        <v>170.69000199999999</v>
      </c>
      <c r="D2517">
        <v>169.63000500000001</v>
      </c>
      <c r="E2517">
        <v>170.10000600000001</v>
      </c>
      <c r="F2517">
        <v>169.05754099999999</v>
      </c>
      <c r="G2517">
        <v>6431800</v>
      </c>
      <c r="I2517">
        <f t="shared" si="40"/>
        <v>2.0053946881578865E-5</v>
      </c>
    </row>
    <row r="2518" spans="1:9" x14ac:dyDescent="0.3">
      <c r="A2518" s="5">
        <v>45293</v>
      </c>
      <c r="B2518">
        <v>169.08999600000001</v>
      </c>
      <c r="C2518">
        <v>172.16999799999999</v>
      </c>
      <c r="D2518">
        <v>168.91000399999999</v>
      </c>
      <c r="E2518">
        <v>172.08000200000001</v>
      </c>
      <c r="F2518">
        <v>171.025406</v>
      </c>
      <c r="G2518">
        <v>9977400</v>
      </c>
      <c r="I2518">
        <f t="shared" si="40"/>
        <v>2.9240935670866072E-5</v>
      </c>
    </row>
    <row r="2519" spans="1:9" x14ac:dyDescent="0.3">
      <c r="A2519" s="5">
        <v>45294</v>
      </c>
      <c r="B2519">
        <v>171.86000100000001</v>
      </c>
      <c r="C2519">
        <v>172.03999300000001</v>
      </c>
      <c r="D2519">
        <v>170.36999499999999</v>
      </c>
      <c r="E2519">
        <v>171.33000200000001</v>
      </c>
      <c r="F2519">
        <v>170.279999</v>
      </c>
      <c r="G2519">
        <v>9852300</v>
      </c>
      <c r="I2519">
        <f t="shared" si="40"/>
        <v>5.325749815757027E-5</v>
      </c>
    </row>
    <row r="2520" spans="1:9" x14ac:dyDescent="0.3">
      <c r="A2520" s="5">
        <v>45295</v>
      </c>
      <c r="B2520">
        <v>170.63999899999999</v>
      </c>
      <c r="C2520">
        <v>173.35000600000001</v>
      </c>
      <c r="D2520">
        <v>170.53999300000001</v>
      </c>
      <c r="E2520">
        <v>171.41000399999999</v>
      </c>
      <c r="F2520">
        <v>171.41000399999999</v>
      </c>
      <c r="G2520">
        <v>11972500</v>
      </c>
      <c r="I2520">
        <f t="shared" si="40"/>
        <v>1.8031358616199883E-4</v>
      </c>
    </row>
    <row r="2521" spans="1:9" x14ac:dyDescent="0.3">
      <c r="A2521" s="5">
        <v>45296</v>
      </c>
      <c r="B2521">
        <v>171.470001</v>
      </c>
      <c r="C2521">
        <v>173.38000500000001</v>
      </c>
      <c r="D2521">
        <v>171.470001</v>
      </c>
      <c r="E2521">
        <v>172.270004</v>
      </c>
      <c r="F2521">
        <v>172.270004</v>
      </c>
      <c r="G2521">
        <v>10064200</v>
      </c>
      <c r="I2521">
        <f t="shared" si="40"/>
        <v>7.1147027745639812E-5</v>
      </c>
    </row>
    <row r="2522" spans="1:9" x14ac:dyDescent="0.3">
      <c r="A2522" s="5">
        <v>45299</v>
      </c>
      <c r="B2522">
        <v>172.020004</v>
      </c>
      <c r="C2522">
        <v>172.36000100000001</v>
      </c>
      <c r="D2522">
        <v>169.490005</v>
      </c>
      <c r="E2522">
        <v>172.020004</v>
      </c>
      <c r="F2522">
        <v>172.020004</v>
      </c>
      <c r="G2522">
        <v>11229900</v>
      </c>
      <c r="I2522">
        <f t="shared" si="40"/>
        <v>2.2343683477635013E-4</v>
      </c>
    </row>
    <row r="2523" spans="1:9" x14ac:dyDescent="0.3">
      <c r="A2523" s="5">
        <v>45300</v>
      </c>
      <c r="B2523">
        <v>171.61999499999999</v>
      </c>
      <c r="C2523">
        <v>171.78999300000001</v>
      </c>
      <c r="D2523">
        <v>170.10000600000001</v>
      </c>
      <c r="E2523">
        <v>170.66000399999999</v>
      </c>
      <c r="F2523">
        <v>170.66000399999999</v>
      </c>
      <c r="G2523">
        <v>9923600</v>
      </c>
      <c r="I2523">
        <f t="shared" si="40"/>
        <v>3.5773436828516269E-5</v>
      </c>
    </row>
    <row r="2524" spans="1:9" x14ac:dyDescent="0.3">
      <c r="A2524" s="5">
        <v>45301</v>
      </c>
      <c r="B2524">
        <v>170</v>
      </c>
      <c r="C2524">
        <v>171.08000200000001</v>
      </c>
      <c r="D2524">
        <v>168.949997</v>
      </c>
      <c r="E2524">
        <v>171.020004</v>
      </c>
      <c r="F2524">
        <v>171.020004</v>
      </c>
      <c r="G2524">
        <v>9670200</v>
      </c>
      <c r="I2524">
        <f t="shared" si="40"/>
        <v>7.7670224584810256E-5</v>
      </c>
    </row>
    <row r="2525" spans="1:9" x14ac:dyDescent="0.3">
      <c r="A2525" s="5">
        <v>45302</v>
      </c>
      <c r="B2525">
        <v>170.33000200000001</v>
      </c>
      <c r="C2525">
        <v>170.36000100000001</v>
      </c>
      <c r="D2525">
        <v>168.63999899999999</v>
      </c>
      <c r="E2525">
        <v>170.300003</v>
      </c>
      <c r="F2525">
        <v>170.300003</v>
      </c>
      <c r="G2525">
        <v>11919500</v>
      </c>
      <c r="I2525">
        <f t="shared" si="40"/>
        <v>9.7736169436659338E-5</v>
      </c>
    </row>
    <row r="2526" spans="1:9" x14ac:dyDescent="0.3">
      <c r="A2526" s="5">
        <v>45303</v>
      </c>
      <c r="B2526">
        <v>173.800003</v>
      </c>
      <c r="C2526">
        <v>176.30999800000001</v>
      </c>
      <c r="D2526">
        <v>168.89999399999999</v>
      </c>
      <c r="E2526">
        <v>169.050003</v>
      </c>
      <c r="F2526">
        <v>169.050003</v>
      </c>
      <c r="G2526">
        <v>19429200</v>
      </c>
      <c r="I2526">
        <f t="shared" si="40"/>
        <v>6.2831455243248923E-4</v>
      </c>
    </row>
    <row r="2527" spans="1:9" x14ac:dyDescent="0.3">
      <c r="A2527" s="5">
        <v>45307</v>
      </c>
      <c r="B2527">
        <v>164.86999499999999</v>
      </c>
      <c r="C2527">
        <v>168.08999600000001</v>
      </c>
      <c r="D2527">
        <v>164.300003</v>
      </c>
      <c r="E2527">
        <v>167.990005</v>
      </c>
      <c r="F2527">
        <v>167.990005</v>
      </c>
      <c r="G2527">
        <v>17206400</v>
      </c>
      <c r="I2527">
        <f t="shared" si="40"/>
        <v>8.8428920875542637E-5</v>
      </c>
    </row>
    <row r="2528" spans="1:9" x14ac:dyDescent="0.3">
      <c r="A2528" s="5">
        <v>45308</v>
      </c>
      <c r="B2528">
        <v>167.33999600000001</v>
      </c>
      <c r="C2528">
        <v>169.070007</v>
      </c>
      <c r="D2528">
        <v>166.490005</v>
      </c>
      <c r="E2528">
        <v>167.08999600000001</v>
      </c>
      <c r="F2528">
        <v>167.08999600000001</v>
      </c>
      <c r="G2528">
        <v>11107500</v>
      </c>
      <c r="I2528">
        <f t="shared" si="40"/>
        <v>1.3948181683632905E-4</v>
      </c>
    </row>
    <row r="2529" spans="1:9" x14ac:dyDescent="0.3">
      <c r="A2529" s="5">
        <v>45309</v>
      </c>
      <c r="B2529">
        <v>167.11999499999999</v>
      </c>
      <c r="C2529">
        <v>167.529999</v>
      </c>
      <c r="D2529">
        <v>165.240005</v>
      </c>
      <c r="E2529">
        <v>167.41999799999999</v>
      </c>
      <c r="F2529">
        <v>167.41999799999999</v>
      </c>
      <c r="G2529">
        <v>9382300</v>
      </c>
      <c r="I2529">
        <f t="shared" si="40"/>
        <v>1.4988587445568984E-4</v>
      </c>
    </row>
    <row r="2530" spans="1:9" x14ac:dyDescent="0.3">
      <c r="A2530" s="5">
        <v>45310</v>
      </c>
      <c r="B2530">
        <v>167.550003</v>
      </c>
      <c r="C2530">
        <v>170.570007</v>
      </c>
      <c r="D2530">
        <v>167.08000200000001</v>
      </c>
      <c r="E2530">
        <v>170.30999800000001</v>
      </c>
      <c r="F2530">
        <v>170.30999800000001</v>
      </c>
      <c r="G2530">
        <v>13114400</v>
      </c>
      <c r="I2530">
        <f t="shared" si="40"/>
        <v>8.1038783693523832E-5</v>
      </c>
    </row>
    <row r="2531" spans="1:9" x14ac:dyDescent="0.3">
      <c r="A2531" s="5">
        <v>45313</v>
      </c>
      <c r="B2531">
        <v>170.46000699999999</v>
      </c>
      <c r="C2531">
        <v>171.979996</v>
      </c>
      <c r="D2531">
        <v>169.71000699999999</v>
      </c>
      <c r="E2531">
        <v>170.11000100000001</v>
      </c>
      <c r="F2531">
        <v>170.11000100000001</v>
      </c>
      <c r="G2531">
        <v>12837500</v>
      </c>
      <c r="I2531">
        <f t="shared" si="40"/>
        <v>1.0743697573069294E-4</v>
      </c>
    </row>
    <row r="2532" spans="1:9" x14ac:dyDescent="0.3">
      <c r="A2532" s="5">
        <v>45314</v>
      </c>
      <c r="B2532">
        <v>169.66999799999999</v>
      </c>
      <c r="C2532">
        <v>169.75</v>
      </c>
      <c r="D2532">
        <v>168.44000199999999</v>
      </c>
      <c r="E2532">
        <v>168.990005</v>
      </c>
      <c r="F2532">
        <v>168.990005</v>
      </c>
      <c r="G2532">
        <v>8360800</v>
      </c>
      <c r="I2532">
        <f t="shared" si="40"/>
        <v>2.5833897947415156E-5</v>
      </c>
    </row>
    <row r="2533" spans="1:9" x14ac:dyDescent="0.3">
      <c r="A2533" s="5">
        <v>45315</v>
      </c>
      <c r="B2533">
        <v>169.36000100000001</v>
      </c>
      <c r="C2533">
        <v>171.009995</v>
      </c>
      <c r="D2533">
        <v>168.86000100000001</v>
      </c>
      <c r="E2533">
        <v>170.5</v>
      </c>
      <c r="F2533">
        <v>170.5</v>
      </c>
      <c r="G2533">
        <v>9967100</v>
      </c>
      <c r="I2533">
        <f t="shared" si="40"/>
        <v>5.7534295836226049E-5</v>
      </c>
    </row>
    <row r="2534" spans="1:9" x14ac:dyDescent="0.3">
      <c r="A2534" s="5">
        <v>45316</v>
      </c>
      <c r="B2534">
        <v>172.30999800000001</v>
      </c>
      <c r="C2534">
        <v>172.990005</v>
      </c>
      <c r="D2534">
        <v>170.91000399999999</v>
      </c>
      <c r="E2534">
        <v>172.94000199999999</v>
      </c>
      <c r="F2534">
        <v>172.94000199999999</v>
      </c>
      <c r="G2534">
        <v>8873500</v>
      </c>
      <c r="I2534">
        <f t="shared" si="40"/>
        <v>9.7465541230269521E-5</v>
      </c>
    </row>
    <row r="2535" spans="1:9" x14ac:dyDescent="0.3">
      <c r="A2535" s="5">
        <v>45317</v>
      </c>
      <c r="B2535">
        <v>172.61000100000001</v>
      </c>
      <c r="C2535">
        <v>173.05999800000001</v>
      </c>
      <c r="D2535">
        <v>171.779999</v>
      </c>
      <c r="E2535">
        <v>172.279999</v>
      </c>
      <c r="F2535">
        <v>172.279999</v>
      </c>
      <c r="G2535">
        <v>7443000</v>
      </c>
      <c r="I2535">
        <f t="shared" si="40"/>
        <v>2.5770914643657886E-5</v>
      </c>
    </row>
    <row r="2536" spans="1:9" x14ac:dyDescent="0.3">
      <c r="A2536" s="5">
        <v>45320</v>
      </c>
      <c r="B2536">
        <v>172.240005</v>
      </c>
      <c r="C2536">
        <v>172.83999600000001</v>
      </c>
      <c r="D2536">
        <v>171.300003</v>
      </c>
      <c r="E2536">
        <v>172.729996</v>
      </c>
      <c r="F2536">
        <v>172.729996</v>
      </c>
      <c r="G2536">
        <v>6971200</v>
      </c>
      <c r="I2536">
        <f t="shared" si="40"/>
        <v>4.7707662260827872E-5</v>
      </c>
    </row>
    <row r="2537" spans="1:9" x14ac:dyDescent="0.3">
      <c r="A2537" s="5">
        <v>45321</v>
      </c>
      <c r="B2537">
        <v>172.83000200000001</v>
      </c>
      <c r="C2537">
        <v>176.759995</v>
      </c>
      <c r="D2537">
        <v>172.83000200000001</v>
      </c>
      <c r="E2537">
        <v>176.270004</v>
      </c>
      <c r="F2537">
        <v>176.270004</v>
      </c>
      <c r="G2537">
        <v>10822100</v>
      </c>
      <c r="I2537">
        <f t="shared" si="40"/>
        <v>6.2414836483933392E-5</v>
      </c>
    </row>
    <row r="2538" spans="1:9" x14ac:dyDescent="0.3">
      <c r="A2538" s="5">
        <v>45322</v>
      </c>
      <c r="B2538">
        <v>176.199997</v>
      </c>
      <c r="C2538">
        <v>178.300003</v>
      </c>
      <c r="D2538">
        <v>174.33999600000001</v>
      </c>
      <c r="E2538">
        <v>174.36000100000001</v>
      </c>
      <c r="F2538">
        <v>174.36000100000001</v>
      </c>
      <c r="G2538">
        <v>11521800</v>
      </c>
      <c r="I2538">
        <f t="shared" si="40"/>
        <v>2.6596260299786785E-4</v>
      </c>
    </row>
    <row r="2539" spans="1:9" x14ac:dyDescent="0.3">
      <c r="A2539" s="5">
        <v>45323</v>
      </c>
      <c r="B2539">
        <v>173.63999899999999</v>
      </c>
      <c r="C2539">
        <v>174.83999600000001</v>
      </c>
      <c r="D2539">
        <v>171.429993</v>
      </c>
      <c r="E2539">
        <v>173.729996</v>
      </c>
      <c r="F2539">
        <v>173.729996</v>
      </c>
      <c r="G2539">
        <v>9354800</v>
      </c>
      <c r="I2539">
        <f t="shared" si="40"/>
        <v>2.1457600502025636E-4</v>
      </c>
    </row>
    <row r="2540" spans="1:9" x14ac:dyDescent="0.3">
      <c r="A2540" s="5">
        <v>45324</v>
      </c>
      <c r="B2540">
        <v>173.300003</v>
      </c>
      <c r="C2540">
        <v>175.820007</v>
      </c>
      <c r="D2540">
        <v>173.259995</v>
      </c>
      <c r="E2540">
        <v>174.729996</v>
      </c>
      <c r="F2540">
        <v>174.729996</v>
      </c>
      <c r="G2540">
        <v>8607600</v>
      </c>
      <c r="I2540">
        <f t="shared" si="40"/>
        <v>9.1729984655687649E-5</v>
      </c>
    </row>
    <row r="2541" spans="1:9" x14ac:dyDescent="0.3">
      <c r="A2541" s="5">
        <v>45327</v>
      </c>
      <c r="B2541">
        <v>173.86000100000001</v>
      </c>
      <c r="C2541">
        <v>175.08999600000001</v>
      </c>
      <c r="D2541">
        <v>172.91999799999999</v>
      </c>
      <c r="E2541">
        <v>174.5</v>
      </c>
      <c r="F2541">
        <v>174.5</v>
      </c>
      <c r="G2541">
        <v>7820200</v>
      </c>
      <c r="I2541">
        <f t="shared" si="40"/>
        <v>7.3106170283296986E-5</v>
      </c>
    </row>
    <row r="2542" spans="1:9" x14ac:dyDescent="0.3">
      <c r="A2542" s="5">
        <v>45328</v>
      </c>
      <c r="B2542">
        <v>174.61000100000001</v>
      </c>
      <c r="C2542">
        <v>175.86999499999999</v>
      </c>
      <c r="D2542">
        <v>173.759995</v>
      </c>
      <c r="E2542">
        <v>175.10000600000001</v>
      </c>
      <c r="F2542">
        <v>175.10000600000001</v>
      </c>
      <c r="G2542">
        <v>6764800</v>
      </c>
      <c r="I2542">
        <f t="shared" si="40"/>
        <v>6.9037552170379335E-5</v>
      </c>
    </row>
    <row r="2543" spans="1:9" x14ac:dyDescent="0.3">
      <c r="A2543" s="5">
        <v>45329</v>
      </c>
      <c r="B2543">
        <v>175.69000199999999</v>
      </c>
      <c r="C2543">
        <v>175.86999499999999</v>
      </c>
      <c r="D2543">
        <v>173.96000699999999</v>
      </c>
      <c r="E2543">
        <v>175.429993</v>
      </c>
      <c r="F2543">
        <v>175.429993</v>
      </c>
      <c r="G2543">
        <v>7225500</v>
      </c>
      <c r="I2543">
        <f t="shared" si="40"/>
        <v>8.5833415635613224E-5</v>
      </c>
    </row>
    <row r="2544" spans="1:9" x14ac:dyDescent="0.3">
      <c r="A2544" s="5">
        <v>45330</v>
      </c>
      <c r="B2544">
        <v>175</v>
      </c>
      <c r="C2544">
        <v>175.30999800000001</v>
      </c>
      <c r="D2544">
        <v>173.570007</v>
      </c>
      <c r="E2544">
        <v>174.800003</v>
      </c>
      <c r="F2544">
        <v>174.800003</v>
      </c>
      <c r="G2544">
        <v>6060300</v>
      </c>
      <c r="I2544">
        <f t="shared" si="40"/>
        <v>6.3095190785796414E-5</v>
      </c>
    </row>
    <row r="2545" spans="1:9" x14ac:dyDescent="0.3">
      <c r="A2545" s="5">
        <v>45331</v>
      </c>
      <c r="B2545">
        <v>175</v>
      </c>
      <c r="C2545">
        <v>175.10000600000001</v>
      </c>
      <c r="D2545">
        <v>173.66999799999999</v>
      </c>
      <c r="E2545">
        <v>175.009995</v>
      </c>
      <c r="F2545">
        <v>175.009995</v>
      </c>
      <c r="G2545">
        <v>6296700</v>
      </c>
      <c r="I2545">
        <f t="shared" si="40"/>
        <v>5.8931700675653601E-5</v>
      </c>
    </row>
    <row r="2546" spans="1:9" x14ac:dyDescent="0.3">
      <c r="A2546" s="5">
        <v>45334</v>
      </c>
      <c r="B2546">
        <v>174.779999</v>
      </c>
      <c r="C2546">
        <v>176.80999800000001</v>
      </c>
      <c r="D2546">
        <v>173.699997</v>
      </c>
      <c r="E2546">
        <v>175.78999300000001</v>
      </c>
      <c r="F2546">
        <v>175.78999300000001</v>
      </c>
      <c r="G2546">
        <v>8539300</v>
      </c>
      <c r="I2546">
        <f t="shared" si="40"/>
        <v>1.4094571331812572E-4</v>
      </c>
    </row>
    <row r="2547" spans="1:9" x14ac:dyDescent="0.3">
      <c r="A2547" s="5">
        <v>45335</v>
      </c>
      <c r="B2547">
        <v>175.320007</v>
      </c>
      <c r="C2547">
        <v>176.229996</v>
      </c>
      <c r="D2547">
        <v>172.61999499999999</v>
      </c>
      <c r="E2547">
        <v>174.259995</v>
      </c>
      <c r="F2547">
        <v>174.259995</v>
      </c>
      <c r="G2547">
        <v>8397600</v>
      </c>
      <c r="I2547">
        <f t="shared" si="40"/>
        <v>2.0495432296427726E-4</v>
      </c>
    </row>
    <row r="2548" spans="1:9" x14ac:dyDescent="0.3">
      <c r="A2548" s="5">
        <v>45336</v>
      </c>
      <c r="B2548">
        <v>175.070007</v>
      </c>
      <c r="C2548">
        <v>176.10000600000001</v>
      </c>
      <c r="D2548">
        <v>174.41999799999999</v>
      </c>
      <c r="E2548">
        <v>176.029999</v>
      </c>
      <c r="F2548">
        <v>176.029999</v>
      </c>
      <c r="G2548">
        <v>7056700</v>
      </c>
      <c r="I2548">
        <f t="shared" si="40"/>
        <v>3.6510611751100211E-5</v>
      </c>
    </row>
    <row r="2549" spans="1:9" x14ac:dyDescent="0.3">
      <c r="A2549" s="5">
        <v>45337</v>
      </c>
      <c r="B2549">
        <v>176.14999399999999</v>
      </c>
      <c r="C2549">
        <v>180.21000699999999</v>
      </c>
      <c r="D2549">
        <v>176.14999399999999</v>
      </c>
      <c r="E2549">
        <v>179.86999499999999</v>
      </c>
      <c r="F2549">
        <v>179.86999499999999</v>
      </c>
      <c r="G2549">
        <v>8723400</v>
      </c>
      <c r="I2549">
        <f t="shared" si="40"/>
        <v>4.3034090336904842E-5</v>
      </c>
    </row>
    <row r="2550" spans="1:9" x14ac:dyDescent="0.3">
      <c r="A2550" s="5">
        <v>45338</v>
      </c>
      <c r="B2550">
        <v>179.61000100000001</v>
      </c>
      <c r="C2550">
        <v>179.979996</v>
      </c>
      <c r="D2550">
        <v>178.16000399999999</v>
      </c>
      <c r="E2550">
        <v>179.029999</v>
      </c>
      <c r="F2550">
        <v>179.029999</v>
      </c>
      <c r="G2550">
        <v>8148100</v>
      </c>
      <c r="I2550">
        <f t="shared" si="40"/>
        <v>5.0376999377036469E-5</v>
      </c>
    </row>
    <row r="2551" spans="1:9" x14ac:dyDescent="0.3">
      <c r="A2551" s="5">
        <v>45342</v>
      </c>
      <c r="B2551">
        <v>179.19000199999999</v>
      </c>
      <c r="C2551">
        <v>180.46000699999999</v>
      </c>
      <c r="D2551">
        <v>178.41000399999999</v>
      </c>
      <c r="E2551">
        <v>179.729996</v>
      </c>
      <c r="F2551">
        <v>179.729996</v>
      </c>
      <c r="G2551">
        <v>9668000</v>
      </c>
      <c r="I2551">
        <f t="shared" si="40"/>
        <v>6.0784752302034747E-5</v>
      </c>
    </row>
    <row r="2552" spans="1:9" x14ac:dyDescent="0.3">
      <c r="A2552" s="5">
        <v>45343</v>
      </c>
      <c r="B2552">
        <v>179.949997</v>
      </c>
      <c r="C2552">
        <v>180.990005</v>
      </c>
      <c r="D2552">
        <v>178.520004</v>
      </c>
      <c r="E2552">
        <v>180.89999399999999</v>
      </c>
      <c r="F2552">
        <v>180.89999399999999</v>
      </c>
      <c r="G2552">
        <v>7027900</v>
      </c>
      <c r="I2552">
        <f t="shared" si="40"/>
        <v>1.0852962331732675E-4</v>
      </c>
    </row>
    <row r="2553" spans="1:9" x14ac:dyDescent="0.3">
      <c r="A2553" s="5">
        <v>45344</v>
      </c>
      <c r="B2553">
        <v>181.820007</v>
      </c>
      <c r="C2553">
        <v>183.41999799999999</v>
      </c>
      <c r="D2553">
        <v>181.240005</v>
      </c>
      <c r="E2553">
        <v>183.070007</v>
      </c>
      <c r="F2553">
        <v>183.070007</v>
      </c>
      <c r="G2553">
        <v>9296500</v>
      </c>
      <c r="I2553">
        <f t="shared" si="40"/>
        <v>4.8833186161060374E-5</v>
      </c>
    </row>
    <row r="2554" spans="1:9" x14ac:dyDescent="0.3">
      <c r="A2554" s="5">
        <v>45345</v>
      </c>
      <c r="B2554">
        <v>183.80999800000001</v>
      </c>
      <c r="C2554">
        <v>185.199997</v>
      </c>
      <c r="D2554">
        <v>183.19000199999999</v>
      </c>
      <c r="E2554">
        <v>183.990005</v>
      </c>
      <c r="F2554">
        <v>183.990005</v>
      </c>
      <c r="G2554">
        <v>7105800</v>
      </c>
      <c r="I2554">
        <f t="shared" si="40"/>
        <v>6.4105444418205955E-5</v>
      </c>
    </row>
    <row r="2555" spans="1:9" x14ac:dyDescent="0.3">
      <c r="A2555" s="5">
        <v>45348</v>
      </c>
      <c r="B2555">
        <v>183.75</v>
      </c>
      <c r="C2555">
        <v>184.46000699999999</v>
      </c>
      <c r="D2555">
        <v>182.479996</v>
      </c>
      <c r="E2555">
        <v>183.36000100000001</v>
      </c>
      <c r="F2555">
        <v>183.36000100000001</v>
      </c>
      <c r="G2555">
        <v>7145400</v>
      </c>
      <c r="I2555">
        <f t="shared" si="40"/>
        <v>5.6433138090898776E-5</v>
      </c>
    </row>
    <row r="2556" spans="1:9" x14ac:dyDescent="0.3">
      <c r="A2556" s="5">
        <v>45349</v>
      </c>
      <c r="B2556">
        <v>183.30999800000001</v>
      </c>
      <c r="C2556">
        <v>183.53999300000001</v>
      </c>
      <c r="D2556">
        <v>182.240005</v>
      </c>
      <c r="E2556">
        <v>183.449997</v>
      </c>
      <c r="F2556">
        <v>183.449997</v>
      </c>
      <c r="G2556">
        <v>5717100</v>
      </c>
      <c r="I2556">
        <f t="shared" si="40"/>
        <v>3.9355579815607411E-5</v>
      </c>
    </row>
    <row r="2557" spans="1:9" x14ac:dyDescent="0.3">
      <c r="A2557" s="5">
        <v>45350</v>
      </c>
      <c r="B2557">
        <v>183.429993</v>
      </c>
      <c r="C2557">
        <v>185.199997</v>
      </c>
      <c r="D2557">
        <v>182.96000699999999</v>
      </c>
      <c r="E2557">
        <v>184.38000500000001</v>
      </c>
      <c r="F2557">
        <v>184.38000500000001</v>
      </c>
      <c r="G2557">
        <v>6131600</v>
      </c>
      <c r="I2557">
        <f t="shared" si="40"/>
        <v>6.2448242841078269E-5</v>
      </c>
    </row>
    <row r="2558" spans="1:9" x14ac:dyDescent="0.3">
      <c r="A2558" s="5">
        <v>45351</v>
      </c>
      <c r="B2558">
        <v>185.66000399999999</v>
      </c>
      <c r="C2558">
        <v>186.429993</v>
      </c>
      <c r="D2558">
        <v>183.85000600000001</v>
      </c>
      <c r="E2558">
        <v>186.05999800000001</v>
      </c>
      <c r="F2558">
        <v>186.05999800000001</v>
      </c>
      <c r="G2558">
        <v>9643000</v>
      </c>
      <c r="I2558">
        <f t="shared" si="40"/>
        <v>1.2528380550387702E-4</v>
      </c>
    </row>
    <row r="2559" spans="1:9" x14ac:dyDescent="0.3">
      <c r="A2559" s="5">
        <v>45352</v>
      </c>
      <c r="B2559">
        <v>185.699997</v>
      </c>
      <c r="C2559">
        <v>186.44000199999999</v>
      </c>
      <c r="D2559">
        <v>185.10000600000001</v>
      </c>
      <c r="E2559">
        <v>185.28999300000001</v>
      </c>
      <c r="F2559">
        <v>185.28999300000001</v>
      </c>
      <c r="G2559">
        <v>6311800</v>
      </c>
      <c r="I2559">
        <f t="shared" si="40"/>
        <v>2.7927234078531317E-5</v>
      </c>
    </row>
    <row r="2560" spans="1:9" x14ac:dyDescent="0.3">
      <c r="A2560" s="5">
        <v>45355</v>
      </c>
      <c r="B2560">
        <v>184.71000699999999</v>
      </c>
      <c r="C2560">
        <v>187.58999600000001</v>
      </c>
      <c r="D2560">
        <v>184.270004</v>
      </c>
      <c r="E2560">
        <v>186.679993</v>
      </c>
      <c r="F2560">
        <v>186.679993</v>
      </c>
      <c r="G2560">
        <v>7063600</v>
      </c>
      <c r="I2560">
        <f t="shared" si="40"/>
        <v>1.0622570122544598E-4</v>
      </c>
    </row>
    <row r="2561" spans="1:9" x14ac:dyDescent="0.3">
      <c r="A2561" s="5">
        <v>45356</v>
      </c>
      <c r="B2561">
        <v>186.36000100000001</v>
      </c>
      <c r="C2561">
        <v>189.300003</v>
      </c>
      <c r="D2561">
        <v>186.36000100000001</v>
      </c>
      <c r="E2561">
        <v>188.550003</v>
      </c>
      <c r="F2561">
        <v>188.550003</v>
      </c>
      <c r="G2561">
        <v>6617800</v>
      </c>
      <c r="I2561">
        <f t="shared" si="40"/>
        <v>6.2138952190559846E-5</v>
      </c>
    </row>
    <row r="2562" spans="1:9" x14ac:dyDescent="0.3">
      <c r="A2562" s="5">
        <v>45357</v>
      </c>
      <c r="B2562">
        <v>189.25</v>
      </c>
      <c r="C2562">
        <v>190.070007</v>
      </c>
      <c r="D2562">
        <v>187.63000500000001</v>
      </c>
      <c r="E2562">
        <v>189.529999</v>
      </c>
      <c r="F2562">
        <v>189.529999</v>
      </c>
      <c r="G2562">
        <v>7572900</v>
      </c>
      <c r="I2562">
        <f t="shared" si="40"/>
        <v>9.8918254662850341E-5</v>
      </c>
    </row>
    <row r="2563" spans="1:9" x14ac:dyDescent="0.3">
      <c r="A2563" s="5">
        <v>45358</v>
      </c>
      <c r="B2563">
        <v>189.91000399999999</v>
      </c>
      <c r="C2563">
        <v>190.5</v>
      </c>
      <c r="D2563">
        <v>186.63000500000001</v>
      </c>
      <c r="E2563">
        <v>187.86999499999999</v>
      </c>
      <c r="F2563">
        <v>187.86999499999999</v>
      </c>
      <c r="G2563">
        <v>7618300</v>
      </c>
      <c r="I2563">
        <f t="shared" si="40"/>
        <v>1.584948306659613E-4</v>
      </c>
    </row>
    <row r="2564" spans="1:9" x14ac:dyDescent="0.3">
      <c r="A2564" s="5">
        <v>45359</v>
      </c>
      <c r="B2564">
        <v>188.44000199999999</v>
      </c>
      <c r="C2564">
        <v>190.46000699999999</v>
      </c>
      <c r="D2564">
        <v>187.91999799999999</v>
      </c>
      <c r="E2564">
        <v>188.220001</v>
      </c>
      <c r="F2564">
        <v>188.220001</v>
      </c>
      <c r="G2564">
        <v>6166800</v>
      </c>
      <c r="I2564">
        <f t="shared" si="40"/>
        <v>1.3055407352984176E-4</v>
      </c>
    </row>
    <row r="2565" spans="1:9" x14ac:dyDescent="0.3">
      <c r="A2565" s="5">
        <v>45362</v>
      </c>
      <c r="B2565">
        <v>187.279999</v>
      </c>
      <c r="C2565">
        <v>188.44000199999999</v>
      </c>
      <c r="D2565">
        <v>186.220001</v>
      </c>
      <c r="E2565">
        <v>188.28999300000001</v>
      </c>
      <c r="F2565">
        <v>188.28999300000001</v>
      </c>
      <c r="G2565">
        <v>5761400</v>
      </c>
      <c r="I2565">
        <f t="shared" si="40"/>
        <v>6.7663376728796236E-5</v>
      </c>
    </row>
    <row r="2566" spans="1:9" x14ac:dyDescent="0.3">
      <c r="A2566" s="5">
        <v>45363</v>
      </c>
      <c r="B2566">
        <v>188.949997</v>
      </c>
      <c r="C2566">
        <v>189.39930699999999</v>
      </c>
      <c r="D2566">
        <v>187.91000399999999</v>
      </c>
      <c r="E2566">
        <v>189.324997</v>
      </c>
      <c r="F2566">
        <v>189.324997</v>
      </c>
      <c r="G2566">
        <v>1150606</v>
      </c>
      <c r="I2566">
        <f t="shared" si="40"/>
        <v>4.2337334405207319E-5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2359-6FC0-964B-A2AF-0B307C7DACE0}">
  <sheetPr codeName="Sheet10"/>
  <dimension ref="A1:I2566"/>
  <sheetViews>
    <sheetView workbookViewId="0">
      <selection activeCell="G14" sqref="G14"/>
    </sheetView>
  </sheetViews>
  <sheetFormatPr defaultColWidth="11.5546875" defaultRowHeight="14.4" x14ac:dyDescent="0.3"/>
  <cols>
    <col min="1" max="1" width="13" style="4" bestFit="1" customWidth="1"/>
    <col min="9" max="9" width="11.77734375" bestFit="1" customWidth="1"/>
  </cols>
  <sheetData>
    <row r="1" spans="1:9" x14ac:dyDescent="0.3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I1" s="6" t="s">
        <v>52</v>
      </c>
    </row>
    <row r="2" spans="1:9" x14ac:dyDescent="0.3">
      <c r="A2" s="5">
        <v>41641</v>
      </c>
      <c r="B2">
        <v>81.330001999999993</v>
      </c>
      <c r="C2">
        <v>81.360000999999997</v>
      </c>
      <c r="D2">
        <v>80.319999999999993</v>
      </c>
      <c r="E2">
        <v>80.540001000000004</v>
      </c>
      <c r="F2">
        <v>60.028846999999999</v>
      </c>
      <c r="G2">
        <v>6981700</v>
      </c>
      <c r="I2">
        <f t="shared" ref="I2:I10" si="0">LN(C2/B2)*(LN(C2/B2)-LN(E2/B2))+LN(D2/B2)*(LN(D2/B2)-LN(E2/B2))</f>
        <v>3.791707481094365E-5</v>
      </c>
    </row>
    <row r="3" spans="1:9" x14ac:dyDescent="0.3">
      <c r="A3" s="5">
        <v>41642</v>
      </c>
      <c r="B3">
        <v>80.760002</v>
      </c>
      <c r="C3">
        <v>80.849997999999999</v>
      </c>
      <c r="D3">
        <v>80.190002000000007</v>
      </c>
      <c r="E3">
        <v>80.449996999999996</v>
      </c>
      <c r="F3">
        <v>59.961799999999997</v>
      </c>
      <c r="G3">
        <v>6925600</v>
      </c>
      <c r="I3">
        <f t="shared" si="0"/>
        <v>2.8451393915083409E-5</v>
      </c>
    </row>
    <row r="4" spans="1:9" x14ac:dyDescent="0.3">
      <c r="A4" s="5">
        <v>41645</v>
      </c>
      <c r="B4">
        <v>80.610000999999997</v>
      </c>
      <c r="C4">
        <v>80.980002999999996</v>
      </c>
      <c r="D4">
        <v>80.300003000000004</v>
      </c>
      <c r="E4">
        <v>80.639999000000003</v>
      </c>
      <c r="F4">
        <v>60.103413000000003</v>
      </c>
      <c r="G4">
        <v>7208200</v>
      </c>
      <c r="I4">
        <f t="shared" si="0"/>
        <v>3.5547860343901539E-5</v>
      </c>
    </row>
    <row r="5" spans="1:9" x14ac:dyDescent="0.3">
      <c r="A5" s="5">
        <v>41646</v>
      </c>
      <c r="B5">
        <v>80.709998999999996</v>
      </c>
      <c r="C5">
        <v>81.580001999999993</v>
      </c>
      <c r="D5">
        <v>80.620002999999997</v>
      </c>
      <c r="E5">
        <v>81.419998000000007</v>
      </c>
      <c r="F5">
        <v>60.684764999999999</v>
      </c>
      <c r="G5">
        <v>7158200</v>
      </c>
      <c r="I5">
        <f t="shared" si="0"/>
        <v>3.2065567737902438E-5</v>
      </c>
    </row>
    <row r="6" spans="1:9" x14ac:dyDescent="0.3">
      <c r="A6" s="5">
        <v>41647</v>
      </c>
      <c r="B6">
        <v>80.970000999999996</v>
      </c>
      <c r="C6">
        <v>81.150002000000001</v>
      </c>
      <c r="D6">
        <v>80.050003000000004</v>
      </c>
      <c r="E6">
        <v>80.239998</v>
      </c>
      <c r="F6">
        <v>59.805275000000002</v>
      </c>
      <c r="G6">
        <v>13458800</v>
      </c>
      <c r="I6">
        <f t="shared" si="0"/>
        <v>5.2131962859998282E-5</v>
      </c>
    </row>
    <row r="7" spans="1:9" x14ac:dyDescent="0.3">
      <c r="A7" s="5">
        <v>41648</v>
      </c>
      <c r="B7">
        <v>80.540001000000004</v>
      </c>
      <c r="C7">
        <v>80.800003000000004</v>
      </c>
      <c r="D7">
        <v>80.029999000000004</v>
      </c>
      <c r="E7">
        <v>80.419998000000007</v>
      </c>
      <c r="F7">
        <v>59.939425999999997</v>
      </c>
      <c r="G7">
        <v>10833900</v>
      </c>
      <c r="I7">
        <f t="shared" si="0"/>
        <v>4.6074949099820172E-5</v>
      </c>
    </row>
    <row r="8" spans="1:9" x14ac:dyDescent="0.3">
      <c r="A8" s="5">
        <v>41649</v>
      </c>
      <c r="B8">
        <v>80.589995999999999</v>
      </c>
      <c r="C8">
        <v>80.889999000000003</v>
      </c>
      <c r="D8">
        <v>80.199996999999996</v>
      </c>
      <c r="E8">
        <v>80.300003000000004</v>
      </c>
      <c r="F8">
        <v>59.849986999999999</v>
      </c>
      <c r="G8">
        <v>8448300</v>
      </c>
      <c r="I8">
        <f t="shared" si="0"/>
        <v>3.3245991361510269E-5</v>
      </c>
    </row>
    <row r="9" spans="1:9" x14ac:dyDescent="0.3">
      <c r="A9" s="5">
        <v>41652</v>
      </c>
      <c r="B9">
        <v>80.010002</v>
      </c>
      <c r="C9">
        <v>80.5</v>
      </c>
      <c r="D9">
        <v>79.690002000000007</v>
      </c>
      <c r="E9">
        <v>80.010002</v>
      </c>
      <c r="F9">
        <v>59.633862000000001</v>
      </c>
      <c r="G9">
        <v>9360800</v>
      </c>
      <c r="I9">
        <f t="shared" si="0"/>
        <v>5.3337739266373243E-5</v>
      </c>
    </row>
    <row r="10" spans="1:9" x14ac:dyDescent="0.3">
      <c r="A10" s="5">
        <v>41653</v>
      </c>
      <c r="B10">
        <v>80.059997999999993</v>
      </c>
      <c r="C10">
        <v>80.919998000000007</v>
      </c>
      <c r="D10">
        <v>80.019997000000004</v>
      </c>
      <c r="E10">
        <v>80.870002999999997</v>
      </c>
      <c r="F10">
        <v>60.274814999999997</v>
      </c>
      <c r="G10">
        <v>8737100</v>
      </c>
      <c r="I10">
        <f t="shared" si="0"/>
        <v>1.1884060206370068E-5</v>
      </c>
    </row>
    <row r="11" spans="1:9" x14ac:dyDescent="0.3">
      <c r="A11" s="5">
        <v>41654</v>
      </c>
      <c r="B11">
        <v>80.699996999999996</v>
      </c>
      <c r="C11">
        <v>81.180000000000007</v>
      </c>
      <c r="D11">
        <v>80.25</v>
      </c>
      <c r="E11">
        <v>80.790001000000004</v>
      </c>
      <c r="F11">
        <v>60.215198999999998</v>
      </c>
      <c r="G11">
        <v>8221900</v>
      </c>
      <c r="I11">
        <f>LN(C11/B11)*(LN(C11/B11)-LN(E11/B11))+LN(D11/B11)*(LN(D11/B11)-LN(E11/B11))</f>
        <v>6.6059863360296584E-5</v>
      </c>
    </row>
    <row r="12" spans="1:9" x14ac:dyDescent="0.3">
      <c r="A12" s="5">
        <v>41655</v>
      </c>
      <c r="B12">
        <v>80.650002000000001</v>
      </c>
      <c r="C12">
        <v>80.830001999999993</v>
      </c>
      <c r="D12">
        <v>80.260002</v>
      </c>
      <c r="E12">
        <v>80.559997999999993</v>
      </c>
      <c r="F12">
        <v>60.043793000000001</v>
      </c>
      <c r="G12">
        <v>11673300</v>
      </c>
      <c r="I12">
        <f t="shared" ref="I12:I75" si="1">LN(C12/B12)*(LN(C12/B12)-LN(E12/B12))+LN(D12/B12)*(LN(D12/B12)-LN(E12/B12))</f>
        <v>2.5544460555854797E-5</v>
      </c>
    </row>
    <row r="13" spans="1:9" x14ac:dyDescent="0.3">
      <c r="A13" s="5">
        <v>41656</v>
      </c>
      <c r="B13">
        <v>80.419998000000007</v>
      </c>
      <c r="C13">
        <v>80.639999000000003</v>
      </c>
      <c r="D13">
        <v>79.800003000000004</v>
      </c>
      <c r="E13">
        <v>79.879997000000003</v>
      </c>
      <c r="F13">
        <v>59.536952999999997</v>
      </c>
      <c r="G13">
        <v>13629800</v>
      </c>
      <c r="I13">
        <f t="shared" si="1"/>
        <v>3.3623646219504028E-5</v>
      </c>
    </row>
    <row r="14" spans="1:9" x14ac:dyDescent="0.3">
      <c r="A14" s="5">
        <v>41660</v>
      </c>
      <c r="B14">
        <v>80.589995999999999</v>
      </c>
      <c r="C14">
        <v>80.720000999999996</v>
      </c>
      <c r="D14">
        <v>79.540001000000004</v>
      </c>
      <c r="E14">
        <v>80.180000000000007</v>
      </c>
      <c r="F14">
        <v>59.760573999999998</v>
      </c>
      <c r="G14">
        <v>13216400</v>
      </c>
      <c r="I14">
        <f t="shared" si="1"/>
        <v>1.1591938096009107E-4</v>
      </c>
    </row>
    <row r="15" spans="1:9" x14ac:dyDescent="0.3">
      <c r="A15" s="5">
        <v>41661</v>
      </c>
      <c r="B15">
        <v>79.569999999999993</v>
      </c>
      <c r="C15">
        <v>79.879997000000003</v>
      </c>
      <c r="D15">
        <v>79.050003000000004</v>
      </c>
      <c r="E15">
        <v>79.230002999999996</v>
      </c>
      <c r="F15">
        <v>59.499248999999999</v>
      </c>
      <c r="G15">
        <v>8455600</v>
      </c>
      <c r="I15">
        <f t="shared" si="1"/>
        <v>4.6681832345066395E-5</v>
      </c>
    </row>
    <row r="16" spans="1:9" x14ac:dyDescent="0.3">
      <c r="A16" s="5">
        <v>41662</v>
      </c>
      <c r="B16">
        <v>78.709998999999996</v>
      </c>
      <c r="C16">
        <v>78.970000999999996</v>
      </c>
      <c r="D16">
        <v>78.120002999999997</v>
      </c>
      <c r="E16">
        <v>78.239998</v>
      </c>
      <c r="F16">
        <v>58.755775</v>
      </c>
      <c r="G16">
        <v>12667700</v>
      </c>
      <c r="I16">
        <f t="shared" si="1"/>
        <v>4.2175593408986061E-5</v>
      </c>
    </row>
    <row r="17" spans="1:9" x14ac:dyDescent="0.3">
      <c r="A17" s="5">
        <v>41663</v>
      </c>
      <c r="B17">
        <v>79.330001999999993</v>
      </c>
      <c r="C17">
        <v>81.699996999999996</v>
      </c>
      <c r="D17">
        <v>78.779999000000004</v>
      </c>
      <c r="E17">
        <v>79.180000000000007</v>
      </c>
      <c r="F17">
        <v>59.461674000000002</v>
      </c>
      <c r="G17">
        <v>20163200</v>
      </c>
      <c r="I17">
        <f t="shared" si="1"/>
        <v>9.5752138310177266E-4</v>
      </c>
    </row>
    <row r="18" spans="1:9" x14ac:dyDescent="0.3">
      <c r="A18" s="5">
        <v>41666</v>
      </c>
      <c r="B18">
        <v>79.239998</v>
      </c>
      <c r="C18">
        <v>79.300003000000004</v>
      </c>
      <c r="D18">
        <v>78.419998000000007</v>
      </c>
      <c r="E18">
        <v>78.470000999999996</v>
      </c>
      <c r="F18">
        <v>58.928482000000002</v>
      </c>
      <c r="G18">
        <v>10395400</v>
      </c>
      <c r="I18">
        <f t="shared" si="1"/>
        <v>1.4595325820312843E-5</v>
      </c>
    </row>
    <row r="19" spans="1:9" x14ac:dyDescent="0.3">
      <c r="A19" s="5">
        <v>41667</v>
      </c>
      <c r="B19">
        <v>78.669998000000007</v>
      </c>
      <c r="C19">
        <v>79.519997000000004</v>
      </c>
      <c r="D19">
        <v>78.430000000000007</v>
      </c>
      <c r="E19">
        <v>79.110000999999997</v>
      </c>
      <c r="F19">
        <v>59.409111000000003</v>
      </c>
      <c r="G19">
        <v>10060800</v>
      </c>
      <c r="I19">
        <f t="shared" si="1"/>
        <v>8.1928147967539418E-5</v>
      </c>
    </row>
    <row r="20" spans="1:9" x14ac:dyDescent="0.3">
      <c r="A20" s="5">
        <v>41668</v>
      </c>
      <c r="B20">
        <v>78.800003000000004</v>
      </c>
      <c r="C20">
        <v>78.800003000000004</v>
      </c>
      <c r="D20">
        <v>77.379997000000003</v>
      </c>
      <c r="E20">
        <v>77.639999000000003</v>
      </c>
      <c r="F20">
        <v>58.305183</v>
      </c>
      <c r="G20">
        <v>13443100</v>
      </c>
      <c r="I20">
        <f t="shared" si="1"/>
        <v>6.0999474613214632E-5</v>
      </c>
    </row>
    <row r="21" spans="1:9" x14ac:dyDescent="0.3">
      <c r="A21" s="5">
        <v>41669</v>
      </c>
      <c r="B21">
        <v>78.050003000000004</v>
      </c>
      <c r="C21">
        <v>78.050003000000004</v>
      </c>
      <c r="D21">
        <v>76.769997000000004</v>
      </c>
      <c r="E21">
        <v>76.870002999999997</v>
      </c>
      <c r="F21">
        <v>57.726944000000003</v>
      </c>
      <c r="G21">
        <v>9450500</v>
      </c>
      <c r="I21">
        <f t="shared" si="1"/>
        <v>2.1526659878806064E-5</v>
      </c>
    </row>
    <row r="22" spans="1:9" x14ac:dyDescent="0.3">
      <c r="A22" s="5">
        <v>41670</v>
      </c>
      <c r="B22">
        <v>76.029999000000004</v>
      </c>
      <c r="C22">
        <v>77.190002000000007</v>
      </c>
      <c r="D22">
        <v>75.260002</v>
      </c>
      <c r="E22">
        <v>76.620002999999997</v>
      </c>
      <c r="F22">
        <v>57.539188000000003</v>
      </c>
      <c r="G22">
        <v>12988800</v>
      </c>
      <c r="I22">
        <f t="shared" si="1"/>
        <v>2.9453113777998333E-4</v>
      </c>
    </row>
    <row r="23" spans="1:9" x14ac:dyDescent="0.3">
      <c r="A23" s="5">
        <v>41673</v>
      </c>
      <c r="B23">
        <v>76.690002000000007</v>
      </c>
      <c r="C23">
        <v>76.760002</v>
      </c>
      <c r="D23">
        <v>75.599997999999999</v>
      </c>
      <c r="E23">
        <v>75.699996999999996</v>
      </c>
      <c r="F23">
        <v>56.848274000000004</v>
      </c>
      <c r="G23">
        <v>14292700</v>
      </c>
      <c r="I23">
        <f t="shared" si="1"/>
        <v>3.1609348220225273E-5</v>
      </c>
    </row>
    <row r="24" spans="1:9" x14ac:dyDescent="0.3">
      <c r="A24" s="5">
        <v>41674</v>
      </c>
      <c r="B24">
        <v>76</v>
      </c>
      <c r="C24">
        <v>76.389999000000003</v>
      </c>
      <c r="D24">
        <v>75.400002000000001</v>
      </c>
      <c r="E24">
        <v>76.089995999999999</v>
      </c>
      <c r="F24">
        <v>57.141182000000001</v>
      </c>
      <c r="G24">
        <v>12055400</v>
      </c>
      <c r="I24">
        <f t="shared" si="1"/>
        <v>9.2343229390038912E-5</v>
      </c>
    </row>
    <row r="25" spans="1:9" x14ac:dyDescent="0.3">
      <c r="A25" s="5">
        <v>41675</v>
      </c>
      <c r="B25">
        <v>75.940002000000007</v>
      </c>
      <c r="C25">
        <v>76.800003000000004</v>
      </c>
      <c r="D25">
        <v>75.669998000000007</v>
      </c>
      <c r="E25">
        <v>76.449996999999996</v>
      </c>
      <c r="F25">
        <v>57.411541</v>
      </c>
      <c r="G25">
        <v>9734100</v>
      </c>
      <c r="I25">
        <f t="shared" si="1"/>
        <v>8.7965316145146698E-5</v>
      </c>
    </row>
    <row r="26" spans="1:9" x14ac:dyDescent="0.3">
      <c r="A26" s="5">
        <v>41676</v>
      </c>
      <c r="B26">
        <v>76.529999000000004</v>
      </c>
      <c r="C26">
        <v>76.989998</v>
      </c>
      <c r="D26">
        <v>76.480002999999996</v>
      </c>
      <c r="E26">
        <v>76.900002000000001</v>
      </c>
      <c r="F26">
        <v>57.749442999999999</v>
      </c>
      <c r="G26">
        <v>7819700</v>
      </c>
      <c r="I26">
        <f t="shared" si="1"/>
        <v>1.0588115116036625E-5</v>
      </c>
    </row>
    <row r="27" spans="1:9" x14ac:dyDescent="0.3">
      <c r="A27" s="5">
        <v>41677</v>
      </c>
      <c r="B27">
        <v>76.989998</v>
      </c>
      <c r="C27">
        <v>77.389999000000003</v>
      </c>
      <c r="D27">
        <v>76.75</v>
      </c>
      <c r="E27">
        <v>77.309997999999993</v>
      </c>
      <c r="F27">
        <v>58.057358000000001</v>
      </c>
      <c r="G27">
        <v>7259200</v>
      </c>
      <c r="I27">
        <f t="shared" si="1"/>
        <v>2.8057228821632214E-5</v>
      </c>
    </row>
    <row r="28" spans="1:9" x14ac:dyDescent="0.3">
      <c r="A28" s="5">
        <v>41680</v>
      </c>
      <c r="B28">
        <v>77.430000000000007</v>
      </c>
      <c r="C28">
        <v>78.089995999999999</v>
      </c>
      <c r="D28">
        <v>77.190002000000007</v>
      </c>
      <c r="E28">
        <v>78.029999000000004</v>
      </c>
      <c r="F28">
        <v>58.598053</v>
      </c>
      <c r="G28">
        <v>8959700</v>
      </c>
      <c r="I28">
        <f t="shared" si="1"/>
        <v>4.0123411948476093E-5</v>
      </c>
    </row>
    <row r="29" spans="1:9" x14ac:dyDescent="0.3">
      <c r="A29" s="5">
        <v>41681</v>
      </c>
      <c r="B29">
        <v>78.099997999999999</v>
      </c>
      <c r="C29">
        <v>79.110000999999997</v>
      </c>
      <c r="D29">
        <v>77.639999000000003</v>
      </c>
      <c r="E29">
        <v>78.839995999999999</v>
      </c>
      <c r="F29">
        <v>59.206341000000002</v>
      </c>
      <c r="G29">
        <v>10500800</v>
      </c>
      <c r="I29">
        <f t="shared" si="1"/>
        <v>1.3453408254770628E-4</v>
      </c>
    </row>
    <row r="30" spans="1:9" x14ac:dyDescent="0.3">
      <c r="A30" s="5">
        <v>41682</v>
      </c>
      <c r="B30">
        <v>78.129997000000003</v>
      </c>
      <c r="C30">
        <v>78.529999000000004</v>
      </c>
      <c r="D30">
        <v>77.059997999999993</v>
      </c>
      <c r="E30">
        <v>77.489998</v>
      </c>
      <c r="F30">
        <v>58.192520000000002</v>
      </c>
      <c r="G30">
        <v>11019700</v>
      </c>
      <c r="I30">
        <f t="shared" si="1"/>
        <v>1.4481471120008456E-4</v>
      </c>
    </row>
    <row r="31" spans="1:9" x14ac:dyDescent="0.3">
      <c r="A31" s="5">
        <v>41683</v>
      </c>
      <c r="B31">
        <v>77.089995999999999</v>
      </c>
      <c r="C31">
        <v>77.919998000000007</v>
      </c>
      <c r="D31">
        <v>77</v>
      </c>
      <c r="E31">
        <v>77.800003000000004</v>
      </c>
      <c r="F31">
        <v>58.425319999999999</v>
      </c>
      <c r="G31">
        <v>7420600</v>
      </c>
      <c r="I31">
        <f t="shared" si="1"/>
        <v>2.8578005548081403E-5</v>
      </c>
    </row>
    <row r="32" spans="1:9" x14ac:dyDescent="0.3">
      <c r="A32" s="5">
        <v>41684</v>
      </c>
      <c r="B32">
        <v>77.690002000000007</v>
      </c>
      <c r="C32">
        <v>79.75</v>
      </c>
      <c r="D32">
        <v>77.25</v>
      </c>
      <c r="E32">
        <v>79.400002000000001</v>
      </c>
      <c r="F32">
        <v>59.626880999999997</v>
      </c>
      <c r="G32">
        <v>10791900</v>
      </c>
      <c r="I32">
        <f t="shared" si="1"/>
        <v>2.710205375364746E-4</v>
      </c>
    </row>
    <row r="33" spans="1:9" x14ac:dyDescent="0.3">
      <c r="A33" s="5">
        <v>41688</v>
      </c>
      <c r="B33">
        <v>79.480002999999996</v>
      </c>
      <c r="C33">
        <v>79.629997000000003</v>
      </c>
      <c r="D33">
        <v>77.559997999999993</v>
      </c>
      <c r="E33">
        <v>77.970000999999996</v>
      </c>
      <c r="F33">
        <v>58.553001000000002</v>
      </c>
      <c r="G33">
        <v>15750700</v>
      </c>
      <c r="I33">
        <f t="shared" si="1"/>
        <v>1.6864756574237137E-4</v>
      </c>
    </row>
    <row r="34" spans="1:9" x14ac:dyDescent="0.3">
      <c r="A34" s="5">
        <v>41689</v>
      </c>
      <c r="B34">
        <v>77.639999000000003</v>
      </c>
      <c r="C34">
        <v>78.959998999999996</v>
      </c>
      <c r="D34">
        <v>77.550003000000004</v>
      </c>
      <c r="E34">
        <v>78.139999000000003</v>
      </c>
      <c r="F34">
        <v>58.680664</v>
      </c>
      <c r="G34">
        <v>8740000</v>
      </c>
      <c r="I34">
        <f t="shared" si="1"/>
        <v>1.8478289074567457E-4</v>
      </c>
    </row>
    <row r="35" spans="1:9" x14ac:dyDescent="0.3">
      <c r="A35" s="5">
        <v>41690</v>
      </c>
      <c r="B35">
        <v>77.959998999999996</v>
      </c>
      <c r="C35">
        <v>78.440002000000007</v>
      </c>
      <c r="D35">
        <v>77.5</v>
      </c>
      <c r="E35">
        <v>77.919998000000007</v>
      </c>
      <c r="F35">
        <v>58.515442</v>
      </c>
      <c r="G35">
        <v>8275200</v>
      </c>
      <c r="I35">
        <f t="shared" si="1"/>
        <v>7.2811944535540904E-5</v>
      </c>
    </row>
    <row r="36" spans="1:9" x14ac:dyDescent="0.3">
      <c r="A36" s="5">
        <v>41691</v>
      </c>
      <c r="B36">
        <v>78.050003000000004</v>
      </c>
      <c r="C36">
        <v>78.889999000000003</v>
      </c>
      <c r="D36">
        <v>77.910004000000001</v>
      </c>
      <c r="E36">
        <v>77.970000999999996</v>
      </c>
      <c r="F36">
        <v>58.553001000000002</v>
      </c>
      <c r="G36">
        <v>8089200</v>
      </c>
      <c r="I36">
        <f t="shared" si="1"/>
        <v>1.2695243161905666E-4</v>
      </c>
    </row>
    <row r="37" spans="1:9" x14ac:dyDescent="0.3">
      <c r="A37" s="5">
        <v>41694</v>
      </c>
      <c r="B37">
        <v>78.029999000000004</v>
      </c>
      <c r="C37">
        <v>78.769997000000004</v>
      </c>
      <c r="D37">
        <v>77.610000999999997</v>
      </c>
      <c r="E37">
        <v>77.860000999999997</v>
      </c>
      <c r="F37">
        <v>58.470390000000002</v>
      </c>
      <c r="G37">
        <v>7838700</v>
      </c>
      <c r="I37">
        <f t="shared" si="1"/>
        <v>1.2703464502568598E-4</v>
      </c>
    </row>
    <row r="38" spans="1:9" x14ac:dyDescent="0.3">
      <c r="A38" s="5">
        <v>41695</v>
      </c>
      <c r="B38">
        <v>77.730002999999996</v>
      </c>
      <c r="C38">
        <v>78.309997999999993</v>
      </c>
      <c r="D38">
        <v>77.400002000000001</v>
      </c>
      <c r="E38">
        <v>78.120002999999997</v>
      </c>
      <c r="F38">
        <v>58.665652999999999</v>
      </c>
      <c r="G38">
        <v>8177500</v>
      </c>
      <c r="I38">
        <f t="shared" si="1"/>
        <v>5.7452120159650125E-5</v>
      </c>
    </row>
    <row r="39" spans="1:9" x14ac:dyDescent="0.3">
      <c r="A39" s="5">
        <v>41696</v>
      </c>
      <c r="B39">
        <v>78.230002999999996</v>
      </c>
      <c r="C39">
        <v>78.769997000000004</v>
      </c>
      <c r="D39">
        <v>77.819999999999993</v>
      </c>
      <c r="E39">
        <v>77.860000999999997</v>
      </c>
      <c r="F39">
        <v>58.470390000000002</v>
      </c>
      <c r="G39">
        <v>7764700</v>
      </c>
      <c r="I39">
        <f t="shared" si="1"/>
        <v>8.2632314746948385E-5</v>
      </c>
    </row>
    <row r="40" spans="1:9" x14ac:dyDescent="0.3">
      <c r="A40" s="5">
        <v>41697</v>
      </c>
      <c r="B40">
        <v>77.769997000000004</v>
      </c>
      <c r="C40">
        <v>78.230002999999996</v>
      </c>
      <c r="D40">
        <v>77.559997999999993</v>
      </c>
      <c r="E40">
        <v>78.190002000000007</v>
      </c>
      <c r="F40">
        <v>58.718197000000004</v>
      </c>
      <c r="G40">
        <v>6549800</v>
      </c>
      <c r="I40">
        <f t="shared" si="1"/>
        <v>2.4890911592791569E-5</v>
      </c>
    </row>
    <row r="41" spans="1:9" x14ac:dyDescent="0.3">
      <c r="A41" s="5">
        <v>41698</v>
      </c>
      <c r="B41">
        <v>78.239998</v>
      </c>
      <c r="C41">
        <v>78.910004000000001</v>
      </c>
      <c r="D41">
        <v>78.010002</v>
      </c>
      <c r="E41">
        <v>78.660004000000001</v>
      </c>
      <c r="F41">
        <v>59.071151999999998</v>
      </c>
      <c r="G41">
        <v>8489600</v>
      </c>
      <c r="I41">
        <f t="shared" si="1"/>
        <v>5.1486101951518647E-5</v>
      </c>
    </row>
    <row r="42" spans="1:9" x14ac:dyDescent="0.3">
      <c r="A42" s="5">
        <v>41701</v>
      </c>
      <c r="B42">
        <v>78.260002</v>
      </c>
      <c r="C42">
        <v>78.410004000000001</v>
      </c>
      <c r="D42">
        <v>77.349997999999999</v>
      </c>
      <c r="E42">
        <v>77.480002999999996</v>
      </c>
      <c r="F42">
        <v>58.185040000000001</v>
      </c>
      <c r="G42">
        <v>8598600</v>
      </c>
      <c r="I42">
        <f t="shared" si="1"/>
        <v>4.2489204687739989E-5</v>
      </c>
    </row>
    <row r="43" spans="1:9" x14ac:dyDescent="0.3">
      <c r="A43" s="5">
        <v>41702</v>
      </c>
      <c r="B43">
        <v>78.089995999999999</v>
      </c>
      <c r="C43">
        <v>78.720000999999996</v>
      </c>
      <c r="D43">
        <v>77.900002000000001</v>
      </c>
      <c r="E43">
        <v>78.449996999999996</v>
      </c>
      <c r="F43">
        <v>58.913448000000002</v>
      </c>
      <c r="G43">
        <v>8306900</v>
      </c>
      <c r="I43">
        <f t="shared" si="1"/>
        <v>4.4746142484698039E-5</v>
      </c>
    </row>
    <row r="44" spans="1:9" x14ac:dyDescent="0.3">
      <c r="A44" s="5">
        <v>41703</v>
      </c>
      <c r="B44">
        <v>78.319999999999993</v>
      </c>
      <c r="C44">
        <v>78.410004000000001</v>
      </c>
      <c r="D44">
        <v>77.550003000000004</v>
      </c>
      <c r="E44">
        <v>77.819999999999993</v>
      </c>
      <c r="F44">
        <v>58.440365</v>
      </c>
      <c r="G44">
        <v>8542300</v>
      </c>
      <c r="I44">
        <f t="shared" si="1"/>
        <v>4.3013426929250121E-5</v>
      </c>
    </row>
    <row r="45" spans="1:9" x14ac:dyDescent="0.3">
      <c r="A45" s="5">
        <v>41704</v>
      </c>
      <c r="B45">
        <v>78.040001000000004</v>
      </c>
      <c r="C45">
        <v>78.440002000000007</v>
      </c>
      <c r="D45">
        <v>77.839995999999999</v>
      </c>
      <c r="E45">
        <v>78.059997999999993</v>
      </c>
      <c r="F45">
        <v>58.620578999999999</v>
      </c>
      <c r="G45">
        <v>6475600</v>
      </c>
      <c r="I45">
        <f t="shared" si="1"/>
        <v>3.2070327880890146E-5</v>
      </c>
    </row>
    <row r="46" spans="1:9" x14ac:dyDescent="0.3">
      <c r="A46" s="5">
        <v>41705</v>
      </c>
      <c r="B46">
        <v>78.410004000000001</v>
      </c>
      <c r="C46">
        <v>78.599997999999999</v>
      </c>
      <c r="D46">
        <v>78.110000999999997</v>
      </c>
      <c r="E46">
        <v>78.379997000000003</v>
      </c>
      <c r="F46">
        <v>58.860892999999997</v>
      </c>
      <c r="G46">
        <v>5865400</v>
      </c>
      <c r="I46">
        <f t="shared" si="1"/>
        <v>2.0011287907603786E-5</v>
      </c>
    </row>
    <row r="47" spans="1:9" x14ac:dyDescent="0.3">
      <c r="A47" s="5">
        <v>41708</v>
      </c>
      <c r="B47">
        <v>78.290001000000004</v>
      </c>
      <c r="C47">
        <v>78.569999999999993</v>
      </c>
      <c r="D47">
        <v>78.199996999999996</v>
      </c>
      <c r="E47">
        <v>78.529999000000004</v>
      </c>
      <c r="F47">
        <v>58.973540999999997</v>
      </c>
      <c r="G47">
        <v>5229900</v>
      </c>
      <c r="I47">
        <f t="shared" si="1"/>
        <v>6.6619809526678265E-6</v>
      </c>
    </row>
    <row r="48" spans="1:9" x14ac:dyDescent="0.3">
      <c r="A48" s="5">
        <v>41709</v>
      </c>
      <c r="B48">
        <v>78.589995999999999</v>
      </c>
      <c r="C48">
        <v>79.389999000000003</v>
      </c>
      <c r="D48">
        <v>78.569999999999993</v>
      </c>
      <c r="E48">
        <v>78.949996999999996</v>
      </c>
      <c r="F48">
        <v>59.288955999999999</v>
      </c>
      <c r="G48">
        <v>6595800</v>
      </c>
      <c r="I48">
        <f t="shared" si="1"/>
        <v>5.7516069855320621E-5</v>
      </c>
    </row>
    <row r="49" spans="1:9" x14ac:dyDescent="0.3">
      <c r="A49" s="5">
        <v>41710</v>
      </c>
      <c r="B49">
        <v>78.660004000000001</v>
      </c>
      <c r="C49">
        <v>79.449996999999996</v>
      </c>
      <c r="D49">
        <v>78.620002999999997</v>
      </c>
      <c r="E49">
        <v>79.239998</v>
      </c>
      <c r="F49">
        <v>59.506748000000002</v>
      </c>
      <c r="G49">
        <v>7469300</v>
      </c>
      <c r="I49">
        <f t="shared" si="1"/>
        <v>3.0443700137727054E-5</v>
      </c>
    </row>
    <row r="50" spans="1:9" x14ac:dyDescent="0.3">
      <c r="A50" s="5">
        <v>41711</v>
      </c>
      <c r="B50">
        <v>79.319999999999993</v>
      </c>
      <c r="C50">
        <v>79.760002</v>
      </c>
      <c r="D50">
        <v>79.190002000000007</v>
      </c>
      <c r="E50">
        <v>79.190002000000007</v>
      </c>
      <c r="F50">
        <v>59.469177000000002</v>
      </c>
      <c r="G50">
        <v>9676600</v>
      </c>
      <c r="I50">
        <f t="shared" si="1"/>
        <v>3.9674945214177727E-5</v>
      </c>
    </row>
    <row r="51" spans="1:9" x14ac:dyDescent="0.3">
      <c r="A51" s="5">
        <v>41712</v>
      </c>
      <c r="B51">
        <v>79.099997999999999</v>
      </c>
      <c r="C51">
        <v>79.230002999999996</v>
      </c>
      <c r="D51">
        <v>78.669998000000007</v>
      </c>
      <c r="E51">
        <v>78.980002999999996</v>
      </c>
      <c r="F51">
        <v>59.311492999999999</v>
      </c>
      <c r="G51">
        <v>14850700</v>
      </c>
      <c r="I51">
        <f t="shared" si="1"/>
        <v>2.6627760695768709E-5</v>
      </c>
    </row>
    <row r="52" spans="1:9" x14ac:dyDescent="0.3">
      <c r="A52" s="5">
        <v>41715</v>
      </c>
      <c r="B52">
        <v>79.019997000000004</v>
      </c>
      <c r="C52">
        <v>79.949996999999996</v>
      </c>
      <c r="D52">
        <v>79.019997000000004</v>
      </c>
      <c r="E52">
        <v>79.839995999999999</v>
      </c>
      <c r="F52">
        <v>59.957301999999999</v>
      </c>
      <c r="G52">
        <v>8452100</v>
      </c>
      <c r="I52">
        <f t="shared" si="1"/>
        <v>1.6109418378763421E-5</v>
      </c>
    </row>
    <row r="53" spans="1:9" x14ac:dyDescent="0.3">
      <c r="A53" s="5">
        <v>41716</v>
      </c>
      <c r="B53">
        <v>79.839995999999999</v>
      </c>
      <c r="C53">
        <v>80.080001999999993</v>
      </c>
      <c r="D53">
        <v>79.510002</v>
      </c>
      <c r="E53">
        <v>79.769997000000004</v>
      </c>
      <c r="F53">
        <v>59.904750999999997</v>
      </c>
      <c r="G53">
        <v>7703200</v>
      </c>
      <c r="I53">
        <f t="shared" si="1"/>
        <v>2.5163540686644497E-5</v>
      </c>
    </row>
    <row r="54" spans="1:9" x14ac:dyDescent="0.3">
      <c r="A54" s="5">
        <v>41717</v>
      </c>
      <c r="B54">
        <v>79.680000000000007</v>
      </c>
      <c r="C54">
        <v>79.910004000000001</v>
      </c>
      <c r="D54">
        <v>78.510002</v>
      </c>
      <c r="E54">
        <v>78.779999000000004</v>
      </c>
      <c r="F54">
        <v>59.161265999999998</v>
      </c>
      <c r="G54">
        <v>8607200</v>
      </c>
      <c r="I54">
        <f t="shared" si="1"/>
        <v>9.183603995256836E-5</v>
      </c>
    </row>
    <row r="55" spans="1:9" x14ac:dyDescent="0.3">
      <c r="A55" s="5">
        <v>41718</v>
      </c>
      <c r="B55">
        <v>78.699996999999996</v>
      </c>
      <c r="C55">
        <v>78.930000000000007</v>
      </c>
      <c r="D55">
        <v>78.150002000000001</v>
      </c>
      <c r="E55">
        <v>78.319999999999993</v>
      </c>
      <c r="F55">
        <v>58.815823000000002</v>
      </c>
      <c r="G55">
        <v>8659500</v>
      </c>
      <c r="I55">
        <f t="shared" si="1"/>
        <v>3.7879769804481371E-5</v>
      </c>
    </row>
    <row r="56" spans="1:9" x14ac:dyDescent="0.3">
      <c r="A56" s="5">
        <v>41719</v>
      </c>
      <c r="B56">
        <v>79.040001000000004</v>
      </c>
      <c r="C56">
        <v>79.75</v>
      </c>
      <c r="D56">
        <v>77.879997000000003</v>
      </c>
      <c r="E56">
        <v>77.879997000000003</v>
      </c>
      <c r="F56">
        <v>58.485408999999997</v>
      </c>
      <c r="G56">
        <v>21244400</v>
      </c>
      <c r="I56">
        <f t="shared" si="1"/>
        <v>2.1218822609230496E-4</v>
      </c>
    </row>
    <row r="57" spans="1:9" x14ac:dyDescent="0.3">
      <c r="A57" s="5">
        <v>41722</v>
      </c>
      <c r="B57">
        <v>78.5</v>
      </c>
      <c r="C57">
        <v>79.830001999999993</v>
      </c>
      <c r="D57">
        <v>78.470000999999996</v>
      </c>
      <c r="E57">
        <v>79.300003000000004</v>
      </c>
      <c r="F57">
        <v>59.551796000000003</v>
      </c>
      <c r="G57">
        <v>11221600</v>
      </c>
      <c r="I57">
        <f t="shared" si="1"/>
        <v>1.159355490368164E-4</v>
      </c>
    </row>
    <row r="58" spans="1:9" x14ac:dyDescent="0.3">
      <c r="A58" s="5">
        <v>41723</v>
      </c>
      <c r="B58">
        <v>79.519997000000004</v>
      </c>
      <c r="C58">
        <v>79.989998</v>
      </c>
      <c r="D58">
        <v>79.440002000000007</v>
      </c>
      <c r="E58">
        <v>79.809997999999993</v>
      </c>
      <c r="F58">
        <v>59.934784000000001</v>
      </c>
      <c r="G58">
        <v>8892500</v>
      </c>
      <c r="I58">
        <f t="shared" si="1"/>
        <v>1.7952874187689119E-5</v>
      </c>
    </row>
    <row r="59" spans="1:9" x14ac:dyDescent="0.3">
      <c r="A59" s="5">
        <v>41724</v>
      </c>
      <c r="B59">
        <v>80.029999000000004</v>
      </c>
      <c r="C59">
        <v>80.180000000000007</v>
      </c>
      <c r="D59">
        <v>79.330001999999993</v>
      </c>
      <c r="E59">
        <v>79.5</v>
      </c>
      <c r="F59">
        <v>59.701968999999998</v>
      </c>
      <c r="G59">
        <v>8269800</v>
      </c>
      <c r="I59">
        <f t="shared" si="1"/>
        <v>3.4754482037129118E-5</v>
      </c>
    </row>
    <row r="60" spans="1:9" x14ac:dyDescent="0.3">
      <c r="A60" s="5">
        <v>41725</v>
      </c>
      <c r="B60">
        <v>79.550003000000004</v>
      </c>
      <c r="C60">
        <v>80.430000000000007</v>
      </c>
      <c r="D60">
        <v>79.379997000000003</v>
      </c>
      <c r="E60">
        <v>79.650002000000001</v>
      </c>
      <c r="F60">
        <v>59.814628999999996</v>
      </c>
      <c r="G60">
        <v>8134100</v>
      </c>
      <c r="I60">
        <f t="shared" si="1"/>
        <v>1.1447568879668996E-4</v>
      </c>
    </row>
    <row r="61" spans="1:9" x14ac:dyDescent="0.3">
      <c r="A61" s="5">
        <v>41726</v>
      </c>
      <c r="B61">
        <v>79.940002000000007</v>
      </c>
      <c r="C61">
        <v>80.319999999999993</v>
      </c>
      <c r="D61">
        <v>79.519997000000004</v>
      </c>
      <c r="E61">
        <v>79.760002</v>
      </c>
      <c r="F61">
        <v>59.897227999999998</v>
      </c>
      <c r="G61">
        <v>6413500</v>
      </c>
      <c r="I61">
        <f t="shared" si="1"/>
        <v>4.9054711624779809E-5</v>
      </c>
    </row>
    <row r="62" spans="1:9" x14ac:dyDescent="0.3">
      <c r="A62" s="5">
        <v>41729</v>
      </c>
      <c r="B62">
        <v>80</v>
      </c>
      <c r="C62">
        <v>80.830001999999993</v>
      </c>
      <c r="D62">
        <v>79.550003000000004</v>
      </c>
      <c r="E62">
        <v>80.599997999999999</v>
      </c>
      <c r="F62">
        <v>60.528053</v>
      </c>
      <c r="G62">
        <v>8492800</v>
      </c>
      <c r="I62">
        <f t="shared" si="1"/>
        <v>1.0337960639641277E-4</v>
      </c>
    </row>
    <row r="63" spans="1:9" x14ac:dyDescent="0.3">
      <c r="A63" s="5">
        <v>41730</v>
      </c>
      <c r="B63">
        <v>80.599997999999999</v>
      </c>
      <c r="C63">
        <v>80.839995999999999</v>
      </c>
      <c r="D63">
        <v>80.209998999999996</v>
      </c>
      <c r="E63">
        <v>80.339995999999999</v>
      </c>
      <c r="F63">
        <v>60.332787000000003</v>
      </c>
      <c r="G63">
        <v>8222300</v>
      </c>
      <c r="I63">
        <f t="shared" si="1"/>
        <v>2.6301418500638222E-5</v>
      </c>
    </row>
    <row r="64" spans="1:9" x14ac:dyDescent="0.3">
      <c r="A64" s="5">
        <v>41731</v>
      </c>
      <c r="B64">
        <v>80.190002000000007</v>
      </c>
      <c r="C64">
        <v>80.330001999999993</v>
      </c>
      <c r="D64">
        <v>79.800003000000004</v>
      </c>
      <c r="E64">
        <v>80.129997000000003</v>
      </c>
      <c r="F64">
        <v>60.175097999999998</v>
      </c>
      <c r="G64">
        <v>6741800</v>
      </c>
      <c r="I64">
        <f t="shared" si="1"/>
        <v>2.4467522400914757E-5</v>
      </c>
    </row>
    <row r="65" spans="1:9" x14ac:dyDescent="0.3">
      <c r="A65" s="5">
        <v>41732</v>
      </c>
      <c r="B65">
        <v>80.279999000000004</v>
      </c>
      <c r="C65">
        <v>80.580001999999993</v>
      </c>
      <c r="D65">
        <v>79.930000000000007</v>
      </c>
      <c r="E65">
        <v>80.099997999999999</v>
      </c>
      <c r="F65">
        <v>60.152549999999998</v>
      </c>
      <c r="G65">
        <v>5646000</v>
      </c>
      <c r="I65">
        <f t="shared" si="1"/>
        <v>3.1568329368489127E-5</v>
      </c>
    </row>
    <row r="66" spans="1:9" x14ac:dyDescent="0.3">
      <c r="A66" s="5">
        <v>41733</v>
      </c>
      <c r="B66">
        <v>80.470000999999996</v>
      </c>
      <c r="C66">
        <v>80.559997999999993</v>
      </c>
      <c r="D66">
        <v>79.75</v>
      </c>
      <c r="E66">
        <v>79.769997000000004</v>
      </c>
      <c r="F66">
        <v>59.904750999999997</v>
      </c>
      <c r="G66">
        <v>8649600</v>
      </c>
      <c r="I66">
        <f t="shared" si="1"/>
        <v>1.3268685437003176E-5</v>
      </c>
    </row>
    <row r="67" spans="1:9" x14ac:dyDescent="0.3">
      <c r="A67" s="5">
        <v>41736</v>
      </c>
      <c r="B67">
        <v>80.019997000000004</v>
      </c>
      <c r="C67">
        <v>81.069999999999993</v>
      </c>
      <c r="D67">
        <v>79.930000000000007</v>
      </c>
      <c r="E67">
        <v>80.489998</v>
      </c>
      <c r="F67">
        <v>60.445435000000003</v>
      </c>
      <c r="G67">
        <v>13229000</v>
      </c>
      <c r="I67">
        <f t="shared" si="1"/>
        <v>1.0145868781198311E-4</v>
      </c>
    </row>
    <row r="68" spans="1:9" x14ac:dyDescent="0.3">
      <c r="A68" s="5">
        <v>41737</v>
      </c>
      <c r="B68">
        <v>80.510002</v>
      </c>
      <c r="C68">
        <v>81.379997000000003</v>
      </c>
      <c r="D68">
        <v>80.019997000000004</v>
      </c>
      <c r="E68">
        <v>81.349997999999999</v>
      </c>
      <c r="F68">
        <v>61.091267000000002</v>
      </c>
      <c r="G68">
        <v>11880700</v>
      </c>
      <c r="I68">
        <f t="shared" si="1"/>
        <v>1.0459676472034212E-4</v>
      </c>
    </row>
    <row r="69" spans="1:9" x14ac:dyDescent="0.3">
      <c r="A69" s="5">
        <v>41738</v>
      </c>
      <c r="B69">
        <v>81.800003000000004</v>
      </c>
      <c r="C69">
        <v>82.239998</v>
      </c>
      <c r="D69">
        <v>81.319999999999993</v>
      </c>
      <c r="E69">
        <v>81.489998</v>
      </c>
      <c r="F69">
        <v>61.196434000000004</v>
      </c>
      <c r="G69">
        <v>11550700</v>
      </c>
      <c r="I69">
        <f t="shared" si="1"/>
        <v>6.1437033517211916E-5</v>
      </c>
    </row>
    <row r="70" spans="1:9" x14ac:dyDescent="0.3">
      <c r="A70" s="5">
        <v>41739</v>
      </c>
      <c r="B70">
        <v>81.580001999999993</v>
      </c>
      <c r="C70">
        <v>82.129997000000003</v>
      </c>
      <c r="D70">
        <v>80.889999000000003</v>
      </c>
      <c r="E70">
        <v>81.089995999999999</v>
      </c>
      <c r="F70">
        <v>60.896011000000001</v>
      </c>
      <c r="G70">
        <v>12194300</v>
      </c>
      <c r="I70">
        <f t="shared" si="1"/>
        <v>1.0660217652359752E-4</v>
      </c>
    </row>
    <row r="71" spans="1:9" x14ac:dyDescent="0.3">
      <c r="A71" s="5">
        <v>41740</v>
      </c>
      <c r="B71">
        <v>80.980002999999996</v>
      </c>
      <c r="C71">
        <v>81.660004000000001</v>
      </c>
      <c r="D71">
        <v>80.5</v>
      </c>
      <c r="E71">
        <v>80.760002</v>
      </c>
      <c r="F71">
        <v>60.64819</v>
      </c>
      <c r="G71">
        <v>11831400</v>
      </c>
      <c r="I71">
        <f t="shared" si="1"/>
        <v>1.1184362275929402E-4</v>
      </c>
    </row>
    <row r="72" spans="1:9" x14ac:dyDescent="0.3">
      <c r="A72" s="5">
        <v>41743</v>
      </c>
      <c r="B72">
        <v>81</v>
      </c>
      <c r="C72">
        <v>81.199996999999996</v>
      </c>
      <c r="D72">
        <v>80.510002</v>
      </c>
      <c r="E72">
        <v>80.809997999999993</v>
      </c>
      <c r="F72">
        <v>60.685726000000003</v>
      </c>
      <c r="G72">
        <v>7105600</v>
      </c>
      <c r="I72">
        <f t="shared" si="1"/>
        <v>3.4440387202843196E-5</v>
      </c>
    </row>
    <row r="73" spans="1:9" x14ac:dyDescent="0.3">
      <c r="A73" s="5">
        <v>41744</v>
      </c>
      <c r="B73">
        <v>80.790001000000004</v>
      </c>
      <c r="C73">
        <v>81.089995999999999</v>
      </c>
      <c r="D73">
        <v>80.519997000000004</v>
      </c>
      <c r="E73">
        <v>80.839995999999999</v>
      </c>
      <c r="F73">
        <v>60.708278999999997</v>
      </c>
      <c r="G73">
        <v>9000800</v>
      </c>
      <c r="I73">
        <f t="shared" si="1"/>
        <v>2.4722128837597761E-5</v>
      </c>
    </row>
    <row r="74" spans="1:9" x14ac:dyDescent="0.3">
      <c r="A74" s="5">
        <v>41745</v>
      </c>
      <c r="B74">
        <v>81.279999000000004</v>
      </c>
      <c r="C74">
        <v>81.879997000000003</v>
      </c>
      <c r="D74">
        <v>81.029999000000004</v>
      </c>
      <c r="E74">
        <v>81.650002000000001</v>
      </c>
      <c r="F74">
        <v>61.316563000000002</v>
      </c>
      <c r="G74">
        <v>8300700</v>
      </c>
      <c r="I74">
        <f t="shared" si="1"/>
        <v>4.4169049696587032E-5</v>
      </c>
    </row>
    <row r="75" spans="1:9" x14ac:dyDescent="0.3">
      <c r="A75" s="5">
        <v>41746</v>
      </c>
      <c r="B75">
        <v>81.470000999999996</v>
      </c>
      <c r="C75">
        <v>81.889999000000003</v>
      </c>
      <c r="D75">
        <v>81.339995999999999</v>
      </c>
      <c r="E75">
        <v>81.760002</v>
      </c>
      <c r="F75">
        <v>61.399189</v>
      </c>
      <c r="G75">
        <v>8374700</v>
      </c>
      <c r="I75">
        <f t="shared" si="1"/>
        <v>1.6394313389986761E-5</v>
      </c>
    </row>
    <row r="76" spans="1:9" x14ac:dyDescent="0.3">
      <c r="A76" s="5">
        <v>41750</v>
      </c>
      <c r="B76">
        <v>81.809997999999993</v>
      </c>
      <c r="C76">
        <v>81.809997999999993</v>
      </c>
      <c r="D76">
        <v>81.290001000000004</v>
      </c>
      <c r="E76">
        <v>81.559997999999993</v>
      </c>
      <c r="F76">
        <v>61.24897</v>
      </c>
      <c r="G76">
        <v>6391000</v>
      </c>
      <c r="I76">
        <f t="shared" ref="I76:I139" si="2">LN(C76/B76)*(LN(C76/B76)-LN(E76/B76))+LN(D76/B76)*(LN(D76/B76)-LN(E76/B76))</f>
        <v>2.1143647942689429E-5</v>
      </c>
    </row>
    <row r="77" spans="1:9" x14ac:dyDescent="0.3">
      <c r="A77" s="5">
        <v>41751</v>
      </c>
      <c r="B77">
        <v>81.540001000000004</v>
      </c>
      <c r="C77">
        <v>81.669998000000007</v>
      </c>
      <c r="D77">
        <v>81.150002000000001</v>
      </c>
      <c r="E77">
        <v>81.25</v>
      </c>
      <c r="F77">
        <v>61.016171</v>
      </c>
      <c r="G77">
        <v>9259100</v>
      </c>
      <c r="I77">
        <f t="shared" si="2"/>
        <v>1.411765712635279E-5</v>
      </c>
    </row>
    <row r="78" spans="1:9" x14ac:dyDescent="0.3">
      <c r="A78" s="5">
        <v>41752</v>
      </c>
      <c r="B78">
        <v>80.720000999999996</v>
      </c>
      <c r="C78">
        <v>80.720000999999996</v>
      </c>
      <c r="D78">
        <v>79.379997000000003</v>
      </c>
      <c r="E78">
        <v>80.360000999999997</v>
      </c>
      <c r="F78">
        <v>60.829963999999997</v>
      </c>
      <c r="G78">
        <v>9577500</v>
      </c>
      <c r="I78">
        <f t="shared" si="2"/>
        <v>2.054019317070111E-4</v>
      </c>
    </row>
    <row r="79" spans="1:9" x14ac:dyDescent="0.3">
      <c r="A79" s="5">
        <v>41753</v>
      </c>
      <c r="B79">
        <v>80.260002</v>
      </c>
      <c r="C79">
        <v>81.379997000000003</v>
      </c>
      <c r="D79">
        <v>80.010002</v>
      </c>
      <c r="E79">
        <v>81.150002000000001</v>
      </c>
      <c r="F79">
        <v>61.427962999999998</v>
      </c>
      <c r="G79">
        <v>9523200</v>
      </c>
      <c r="I79">
        <f t="shared" si="2"/>
        <v>8.3358073172659864E-5</v>
      </c>
    </row>
    <row r="80" spans="1:9" x14ac:dyDescent="0.3">
      <c r="A80" s="5">
        <v>41754</v>
      </c>
      <c r="B80">
        <v>81.199996999999996</v>
      </c>
      <c r="C80">
        <v>81.580001999999993</v>
      </c>
      <c r="D80">
        <v>80.970000999999996</v>
      </c>
      <c r="E80">
        <v>81.410004000000001</v>
      </c>
      <c r="F80">
        <v>61.624783000000001</v>
      </c>
      <c r="G80">
        <v>7497400</v>
      </c>
      <c r="I80">
        <f t="shared" si="2"/>
        <v>2.5111531937401974E-5</v>
      </c>
    </row>
    <row r="81" spans="1:9" x14ac:dyDescent="0.3">
      <c r="A81" s="5">
        <v>41757</v>
      </c>
      <c r="B81">
        <v>81.540001000000004</v>
      </c>
      <c r="C81">
        <v>82.980002999999996</v>
      </c>
      <c r="D81">
        <v>81.510002</v>
      </c>
      <c r="E81">
        <v>82.940002000000007</v>
      </c>
      <c r="F81">
        <v>62.782958999999998</v>
      </c>
      <c r="G81">
        <v>11595100</v>
      </c>
      <c r="I81">
        <f t="shared" si="2"/>
        <v>1.4840568773559352E-5</v>
      </c>
    </row>
    <row r="82" spans="1:9" x14ac:dyDescent="0.3">
      <c r="A82" s="5">
        <v>41758</v>
      </c>
      <c r="B82">
        <v>82.75</v>
      </c>
      <c r="C82">
        <v>82.949996999999996</v>
      </c>
      <c r="D82">
        <v>82.360000999999997</v>
      </c>
      <c r="E82">
        <v>82.440002000000007</v>
      </c>
      <c r="F82">
        <v>62.404457000000001</v>
      </c>
      <c r="G82">
        <v>7214300</v>
      </c>
      <c r="I82">
        <f t="shared" si="2"/>
        <v>1.9473994718785014E-5</v>
      </c>
    </row>
    <row r="83" spans="1:9" x14ac:dyDescent="0.3">
      <c r="A83" s="5">
        <v>41759</v>
      </c>
      <c r="B83">
        <v>82.389999000000003</v>
      </c>
      <c r="C83">
        <v>82.75</v>
      </c>
      <c r="D83">
        <v>82.239998</v>
      </c>
      <c r="E83">
        <v>82.550003000000004</v>
      </c>
      <c r="F83">
        <v>62.487724</v>
      </c>
      <c r="G83">
        <v>6243300</v>
      </c>
      <c r="I83">
        <f t="shared" si="2"/>
        <v>1.7406457326081839E-5</v>
      </c>
    </row>
    <row r="84" spans="1:9" x14ac:dyDescent="0.3">
      <c r="A84" s="5">
        <v>41760</v>
      </c>
      <c r="B84">
        <v>82.389999000000003</v>
      </c>
      <c r="C84">
        <v>82.470000999999996</v>
      </c>
      <c r="D84">
        <v>81.760002</v>
      </c>
      <c r="E84">
        <v>82.339995999999999</v>
      </c>
      <c r="F84">
        <v>62.328769999999999</v>
      </c>
      <c r="G84">
        <v>5305000</v>
      </c>
      <c r="I84">
        <f t="shared" si="2"/>
        <v>5.5790748251949102E-5</v>
      </c>
    </row>
    <row r="85" spans="1:9" x14ac:dyDescent="0.3">
      <c r="A85" s="5">
        <v>41761</v>
      </c>
      <c r="B85">
        <v>82.220000999999996</v>
      </c>
      <c r="C85">
        <v>82.599997999999999</v>
      </c>
      <c r="D85">
        <v>81.75</v>
      </c>
      <c r="E85">
        <v>81.919998000000007</v>
      </c>
      <c r="F85">
        <v>62.010818</v>
      </c>
      <c r="G85">
        <v>6629200</v>
      </c>
      <c r="I85">
        <f t="shared" si="2"/>
        <v>5.0026306540509425E-5</v>
      </c>
    </row>
    <row r="86" spans="1:9" x14ac:dyDescent="0.3">
      <c r="A86" s="5">
        <v>41764</v>
      </c>
      <c r="B86">
        <v>81.639999000000003</v>
      </c>
      <c r="C86">
        <v>81.879997000000003</v>
      </c>
      <c r="D86">
        <v>81.470000999999996</v>
      </c>
      <c r="E86">
        <v>81.699996999999996</v>
      </c>
      <c r="F86">
        <v>61.844268999999997</v>
      </c>
      <c r="G86">
        <v>4563600</v>
      </c>
      <c r="I86">
        <f t="shared" si="2"/>
        <v>1.2336400218228951E-5</v>
      </c>
    </row>
    <row r="87" spans="1:9" x14ac:dyDescent="0.3">
      <c r="A87" s="5">
        <v>41765</v>
      </c>
      <c r="B87">
        <v>81.760002</v>
      </c>
      <c r="C87">
        <v>81.760002</v>
      </c>
      <c r="D87">
        <v>81.120002999999997</v>
      </c>
      <c r="E87">
        <v>81.129997000000003</v>
      </c>
      <c r="F87">
        <v>61.412810999999998</v>
      </c>
      <c r="G87">
        <v>4591300</v>
      </c>
      <c r="I87">
        <f t="shared" si="2"/>
        <v>9.6811820740787873E-7</v>
      </c>
    </row>
    <row r="88" spans="1:9" x14ac:dyDescent="0.3">
      <c r="A88" s="5">
        <v>41766</v>
      </c>
      <c r="B88">
        <v>81.449996999999996</v>
      </c>
      <c r="C88">
        <v>82.139999000000003</v>
      </c>
      <c r="D88">
        <v>81.419998000000007</v>
      </c>
      <c r="E88">
        <v>82.089995999999999</v>
      </c>
      <c r="F88">
        <v>62.139510999999999</v>
      </c>
      <c r="G88">
        <v>6639500</v>
      </c>
      <c r="I88">
        <f t="shared" si="2"/>
        <v>8.1558438968933283E-6</v>
      </c>
    </row>
    <row r="89" spans="1:9" x14ac:dyDescent="0.3">
      <c r="A89" s="5">
        <v>41767</v>
      </c>
      <c r="B89">
        <v>82.059997999999993</v>
      </c>
      <c r="C89">
        <v>82.32</v>
      </c>
      <c r="D89">
        <v>81.819999999999993</v>
      </c>
      <c r="E89">
        <v>82.160004000000001</v>
      </c>
      <c r="F89">
        <v>62.192512999999998</v>
      </c>
      <c r="G89">
        <v>4631200</v>
      </c>
      <c r="I89">
        <f t="shared" si="2"/>
        <v>1.8300447453773629E-5</v>
      </c>
    </row>
    <row r="90" spans="1:9" x14ac:dyDescent="0.3">
      <c r="A90" s="5">
        <v>41768</v>
      </c>
      <c r="B90">
        <v>82.199996999999996</v>
      </c>
      <c r="C90">
        <v>82.800003000000004</v>
      </c>
      <c r="D90">
        <v>82.139999000000003</v>
      </c>
      <c r="E90">
        <v>82.389999000000003</v>
      </c>
      <c r="F90">
        <v>62.366615000000003</v>
      </c>
      <c r="G90">
        <v>7303500</v>
      </c>
      <c r="I90">
        <f t="shared" si="2"/>
        <v>3.8321581490273116E-5</v>
      </c>
    </row>
    <row r="91" spans="1:9" x14ac:dyDescent="0.3">
      <c r="A91" s="5">
        <v>41771</v>
      </c>
      <c r="B91">
        <v>82.610000999999997</v>
      </c>
      <c r="C91">
        <v>82.709998999999996</v>
      </c>
      <c r="D91">
        <v>81.709998999999996</v>
      </c>
      <c r="E91">
        <v>81.730002999999996</v>
      </c>
      <c r="F91">
        <v>61.867027</v>
      </c>
      <c r="G91">
        <v>7859000</v>
      </c>
      <c r="I91">
        <f t="shared" si="2"/>
        <v>1.7100912771883727E-5</v>
      </c>
    </row>
    <row r="92" spans="1:9" x14ac:dyDescent="0.3">
      <c r="A92" s="5">
        <v>41772</v>
      </c>
      <c r="B92">
        <v>81.940002000000007</v>
      </c>
      <c r="C92">
        <v>81.980002999999996</v>
      </c>
      <c r="D92">
        <v>81.419998000000007</v>
      </c>
      <c r="E92">
        <v>81.610000999999997</v>
      </c>
      <c r="F92">
        <v>61.776184000000001</v>
      </c>
      <c r="G92">
        <v>6540200</v>
      </c>
      <c r="I92">
        <f t="shared" si="2"/>
        <v>1.7047107823570749E-5</v>
      </c>
    </row>
    <row r="93" spans="1:9" x14ac:dyDescent="0.3">
      <c r="A93" s="5">
        <v>41773</v>
      </c>
      <c r="B93">
        <v>81.739998</v>
      </c>
      <c r="C93">
        <v>81.910004000000001</v>
      </c>
      <c r="D93">
        <v>81.120002999999997</v>
      </c>
      <c r="E93">
        <v>81.169998000000007</v>
      </c>
      <c r="F93">
        <v>61.443114999999999</v>
      </c>
      <c r="G93">
        <v>6867200</v>
      </c>
      <c r="I93">
        <f t="shared" si="2"/>
        <v>2.3546897017792515E-5</v>
      </c>
    </row>
    <row r="94" spans="1:9" x14ac:dyDescent="0.3">
      <c r="A94" s="5">
        <v>41774</v>
      </c>
      <c r="B94">
        <v>81.25</v>
      </c>
      <c r="C94">
        <v>81.370002999999997</v>
      </c>
      <c r="D94">
        <v>80.440002000000007</v>
      </c>
      <c r="E94">
        <v>80.529999000000004</v>
      </c>
      <c r="F94">
        <v>60.958632999999999</v>
      </c>
      <c r="G94">
        <v>9402100</v>
      </c>
      <c r="I94">
        <f t="shared" si="2"/>
        <v>2.6518326561041059E-5</v>
      </c>
    </row>
    <row r="95" spans="1:9" x14ac:dyDescent="0.3">
      <c r="A95" s="5">
        <v>41775</v>
      </c>
      <c r="B95">
        <v>80.629997000000003</v>
      </c>
      <c r="C95">
        <v>80.760002</v>
      </c>
      <c r="D95">
        <v>80</v>
      </c>
      <c r="E95">
        <v>80.330001999999993</v>
      </c>
      <c r="F95">
        <v>60.807243</v>
      </c>
      <c r="G95">
        <v>11558900</v>
      </c>
      <c r="I95">
        <f t="shared" si="2"/>
        <v>4.0891534115094999E-5</v>
      </c>
    </row>
    <row r="96" spans="1:9" x14ac:dyDescent="0.3">
      <c r="A96" s="5">
        <v>41778</v>
      </c>
      <c r="B96">
        <v>80.010002</v>
      </c>
      <c r="C96">
        <v>80.050003000000004</v>
      </c>
      <c r="D96">
        <v>79.540001000000004</v>
      </c>
      <c r="E96">
        <v>79.930000000000007</v>
      </c>
      <c r="F96">
        <v>60.504452000000001</v>
      </c>
      <c r="G96">
        <v>6068100</v>
      </c>
      <c r="I96">
        <f t="shared" si="2"/>
        <v>2.9566837494800958E-5</v>
      </c>
    </row>
    <row r="97" spans="1:9" x14ac:dyDescent="0.3">
      <c r="A97" s="5">
        <v>41779</v>
      </c>
      <c r="B97">
        <v>80.019997000000004</v>
      </c>
      <c r="C97">
        <v>80.580001999999993</v>
      </c>
      <c r="D97">
        <v>79.970000999999996</v>
      </c>
      <c r="E97">
        <v>80.230002999999996</v>
      </c>
      <c r="F97">
        <v>60.731566999999998</v>
      </c>
      <c r="G97">
        <v>7057200</v>
      </c>
      <c r="I97">
        <f t="shared" si="2"/>
        <v>3.2385954036572991E-5</v>
      </c>
    </row>
    <row r="98" spans="1:9" x14ac:dyDescent="0.3">
      <c r="A98" s="5">
        <v>41780</v>
      </c>
      <c r="B98">
        <v>80.339995999999999</v>
      </c>
      <c r="C98">
        <v>80.669998000000007</v>
      </c>
      <c r="D98">
        <v>80.019997000000004</v>
      </c>
      <c r="E98">
        <v>80.489998</v>
      </c>
      <c r="F98">
        <v>60.928359999999998</v>
      </c>
      <c r="G98">
        <v>6339800</v>
      </c>
      <c r="I98">
        <f t="shared" si="2"/>
        <v>3.2529535995047526E-5</v>
      </c>
    </row>
    <row r="99" spans="1:9" x14ac:dyDescent="0.3">
      <c r="A99" s="5">
        <v>41781</v>
      </c>
      <c r="B99">
        <v>80.370002999999997</v>
      </c>
      <c r="C99">
        <v>80.669998000000007</v>
      </c>
      <c r="D99">
        <v>80.050003000000004</v>
      </c>
      <c r="E99">
        <v>80.650002000000001</v>
      </c>
      <c r="F99">
        <v>61.049480000000003</v>
      </c>
      <c r="G99">
        <v>5561100</v>
      </c>
      <c r="I99">
        <f t="shared" si="2"/>
        <v>3.0714871244486804E-5</v>
      </c>
    </row>
    <row r="100" spans="1:9" x14ac:dyDescent="0.3">
      <c r="A100" s="5">
        <v>41782</v>
      </c>
      <c r="B100">
        <v>80.510002</v>
      </c>
      <c r="C100">
        <v>80.849997999999999</v>
      </c>
      <c r="D100">
        <v>80.400002000000001</v>
      </c>
      <c r="E100">
        <v>80.519997000000004</v>
      </c>
      <c r="F100">
        <v>60.951068999999997</v>
      </c>
      <c r="G100">
        <v>4472600</v>
      </c>
      <c r="I100">
        <f t="shared" si="2"/>
        <v>1.9274834070702711E-5</v>
      </c>
    </row>
    <row r="101" spans="1:9" x14ac:dyDescent="0.3">
      <c r="A101" s="5">
        <v>41786</v>
      </c>
      <c r="B101">
        <v>80.550003000000004</v>
      </c>
      <c r="C101">
        <v>80.580001999999993</v>
      </c>
      <c r="D101">
        <v>80.050003000000004</v>
      </c>
      <c r="E101">
        <v>80.080001999999993</v>
      </c>
      <c r="F101">
        <v>60.618018999999997</v>
      </c>
      <c r="G101">
        <v>7003800</v>
      </c>
      <c r="I101">
        <f t="shared" si="2"/>
        <v>4.650710507680781E-6</v>
      </c>
    </row>
    <row r="102" spans="1:9" x14ac:dyDescent="0.3">
      <c r="A102" s="5">
        <v>41787</v>
      </c>
      <c r="B102">
        <v>80.029999000000004</v>
      </c>
      <c r="C102">
        <v>80.279999000000004</v>
      </c>
      <c r="D102">
        <v>80.019997000000004</v>
      </c>
      <c r="E102">
        <v>80.099997999999999</v>
      </c>
      <c r="F102">
        <v>60.633163000000003</v>
      </c>
      <c r="G102">
        <v>4201400</v>
      </c>
      <c r="I102">
        <f t="shared" si="2"/>
        <v>7.1259674397377269E-6</v>
      </c>
    </row>
    <row r="103" spans="1:9" x14ac:dyDescent="0.3">
      <c r="A103" s="5">
        <v>41788</v>
      </c>
      <c r="B103">
        <v>80.099997999999999</v>
      </c>
      <c r="C103">
        <v>80.400002000000001</v>
      </c>
      <c r="D103">
        <v>80.080001999999993</v>
      </c>
      <c r="E103">
        <v>80.400002000000001</v>
      </c>
      <c r="F103">
        <v>60.860218000000003</v>
      </c>
      <c r="G103">
        <v>3886800</v>
      </c>
      <c r="I103">
        <f t="shared" si="2"/>
        <v>9.9569072070161016E-7</v>
      </c>
    </row>
    <row r="104" spans="1:9" x14ac:dyDescent="0.3">
      <c r="A104" s="5">
        <v>41789</v>
      </c>
      <c r="B104">
        <v>80.25</v>
      </c>
      <c r="C104">
        <v>80.849997999999999</v>
      </c>
      <c r="D104">
        <v>80.169998000000007</v>
      </c>
      <c r="E104">
        <v>80.790001000000004</v>
      </c>
      <c r="F104">
        <v>61.155448999999997</v>
      </c>
      <c r="G104">
        <v>7433000</v>
      </c>
      <c r="I104">
        <f t="shared" si="2"/>
        <v>1.3213517509961452E-5</v>
      </c>
    </row>
    <row r="105" spans="1:9" x14ac:dyDescent="0.3">
      <c r="A105" s="5">
        <v>41792</v>
      </c>
      <c r="B105">
        <v>80.660004000000001</v>
      </c>
      <c r="C105">
        <v>80.669998000000007</v>
      </c>
      <c r="D105">
        <v>80.290001000000004</v>
      </c>
      <c r="E105">
        <v>80.360000999999997</v>
      </c>
      <c r="F105">
        <v>60.829963999999997</v>
      </c>
      <c r="G105">
        <v>4331700</v>
      </c>
      <c r="I105">
        <f t="shared" si="2"/>
        <v>4.4837695992193448E-6</v>
      </c>
    </row>
    <row r="106" spans="1:9" x14ac:dyDescent="0.3">
      <c r="A106" s="5">
        <v>41793</v>
      </c>
      <c r="B106">
        <v>80.040001000000004</v>
      </c>
      <c r="C106">
        <v>80.300003000000004</v>
      </c>
      <c r="D106">
        <v>79.599997999999999</v>
      </c>
      <c r="E106">
        <v>79.930000000000007</v>
      </c>
      <c r="F106">
        <v>60.504452000000001</v>
      </c>
      <c r="G106">
        <v>6970600</v>
      </c>
      <c r="I106">
        <f t="shared" si="2"/>
        <v>3.778415944248303E-5</v>
      </c>
    </row>
    <row r="107" spans="1:9" x14ac:dyDescent="0.3">
      <c r="A107" s="5">
        <v>41794</v>
      </c>
      <c r="B107">
        <v>80</v>
      </c>
      <c r="C107">
        <v>80.220000999999996</v>
      </c>
      <c r="D107">
        <v>79.639999000000003</v>
      </c>
      <c r="E107">
        <v>79.860000999999997</v>
      </c>
      <c r="F107">
        <v>60.451484999999998</v>
      </c>
      <c r="G107">
        <v>5427700</v>
      </c>
      <c r="I107">
        <f t="shared" si="2"/>
        <v>2.4793880174325891E-5</v>
      </c>
    </row>
    <row r="108" spans="1:9" x14ac:dyDescent="0.3">
      <c r="A108" s="5">
        <v>41795</v>
      </c>
      <c r="B108">
        <v>80.110000999999997</v>
      </c>
      <c r="C108">
        <v>80.309997999999993</v>
      </c>
      <c r="D108">
        <v>79.970000999999996</v>
      </c>
      <c r="E108">
        <v>80.110000999999997</v>
      </c>
      <c r="F108">
        <v>60.640709000000001</v>
      </c>
      <c r="G108">
        <v>5787700</v>
      </c>
      <c r="I108">
        <f t="shared" si="2"/>
        <v>9.2765775289736263E-6</v>
      </c>
    </row>
    <row r="109" spans="1:9" x14ac:dyDescent="0.3">
      <c r="A109" s="5">
        <v>41796</v>
      </c>
      <c r="B109">
        <v>80.089995999999999</v>
      </c>
      <c r="C109">
        <v>80.239998</v>
      </c>
      <c r="D109">
        <v>79.819999999999993</v>
      </c>
      <c r="E109">
        <v>80.029999000000004</v>
      </c>
      <c r="F109">
        <v>60.580157999999997</v>
      </c>
      <c r="G109">
        <v>5520500</v>
      </c>
      <c r="I109">
        <f t="shared" si="2"/>
        <v>1.3776035918690841E-5</v>
      </c>
    </row>
    <row r="110" spans="1:9" x14ac:dyDescent="0.3">
      <c r="A110" s="5">
        <v>41799</v>
      </c>
      <c r="B110">
        <v>79.910004000000001</v>
      </c>
      <c r="C110">
        <v>80.239998</v>
      </c>
      <c r="D110">
        <v>79.849997999999999</v>
      </c>
      <c r="E110">
        <v>80.089995999999999</v>
      </c>
      <c r="F110">
        <v>60.625568000000001</v>
      </c>
      <c r="G110">
        <v>6352500</v>
      </c>
      <c r="I110">
        <f t="shared" si="2"/>
        <v>9.9656362708404977E-6</v>
      </c>
    </row>
    <row r="111" spans="1:9" x14ac:dyDescent="0.3">
      <c r="A111" s="5">
        <v>41800</v>
      </c>
      <c r="B111">
        <v>80.029999000000004</v>
      </c>
      <c r="C111">
        <v>80.300003000000004</v>
      </c>
      <c r="D111">
        <v>80</v>
      </c>
      <c r="E111">
        <v>80.150002000000001</v>
      </c>
      <c r="F111">
        <v>60.671000999999997</v>
      </c>
      <c r="G111">
        <v>5658400</v>
      </c>
      <c r="I111">
        <f t="shared" si="2"/>
        <v>6.9998524035372272E-6</v>
      </c>
    </row>
    <row r="112" spans="1:9" x14ac:dyDescent="0.3">
      <c r="A112" s="5">
        <v>41801</v>
      </c>
      <c r="B112">
        <v>80.050003000000004</v>
      </c>
      <c r="C112">
        <v>80.300003000000004</v>
      </c>
      <c r="D112">
        <v>79.879997000000003</v>
      </c>
      <c r="E112">
        <v>80.059997999999993</v>
      </c>
      <c r="F112">
        <v>60.602871</v>
      </c>
      <c r="G112">
        <v>7453700</v>
      </c>
      <c r="I112">
        <f t="shared" si="2"/>
        <v>1.4119081649912707E-5</v>
      </c>
    </row>
    <row r="113" spans="1:9" x14ac:dyDescent="0.3">
      <c r="A113" s="5">
        <v>41802</v>
      </c>
      <c r="B113">
        <v>79.819999999999993</v>
      </c>
      <c r="C113">
        <v>80.029999000000004</v>
      </c>
      <c r="D113">
        <v>79.690002000000007</v>
      </c>
      <c r="E113">
        <v>79.760002</v>
      </c>
      <c r="F113">
        <v>60.375777999999997</v>
      </c>
      <c r="G113">
        <v>6526800</v>
      </c>
      <c r="I113">
        <f t="shared" si="2"/>
        <v>1.0310356038935824E-5</v>
      </c>
    </row>
    <row r="114" spans="1:9" x14ac:dyDescent="0.3">
      <c r="A114" s="5">
        <v>41803</v>
      </c>
      <c r="B114">
        <v>79.730002999999996</v>
      </c>
      <c r="C114">
        <v>79.940002000000007</v>
      </c>
      <c r="D114">
        <v>79.5</v>
      </c>
      <c r="E114">
        <v>79.639999000000003</v>
      </c>
      <c r="F114">
        <v>60.284953999999999</v>
      </c>
      <c r="G114">
        <v>5214000</v>
      </c>
      <c r="I114">
        <f t="shared" si="2"/>
        <v>1.4973060222911063E-5</v>
      </c>
    </row>
    <row r="115" spans="1:9" x14ac:dyDescent="0.3">
      <c r="A115" s="5">
        <v>41806</v>
      </c>
      <c r="B115">
        <v>79.519997000000004</v>
      </c>
      <c r="C115">
        <v>79.940002000000007</v>
      </c>
      <c r="D115">
        <v>79.110000999999997</v>
      </c>
      <c r="E115">
        <v>79.690002000000007</v>
      </c>
      <c r="F115">
        <v>60.322795999999997</v>
      </c>
      <c r="G115">
        <v>5334600</v>
      </c>
      <c r="I115">
        <f t="shared" si="2"/>
        <v>5.426051171125445E-5</v>
      </c>
    </row>
    <row r="116" spans="1:9" x14ac:dyDescent="0.3">
      <c r="A116" s="5">
        <v>41807</v>
      </c>
      <c r="B116">
        <v>79.610000999999997</v>
      </c>
      <c r="C116">
        <v>79.790001000000004</v>
      </c>
      <c r="D116">
        <v>79.349997999999999</v>
      </c>
      <c r="E116">
        <v>79.580001999999993</v>
      </c>
      <c r="F116">
        <v>60.239555000000003</v>
      </c>
      <c r="G116">
        <v>5337300</v>
      </c>
      <c r="I116">
        <f t="shared" si="2"/>
        <v>1.5420384276598997E-5</v>
      </c>
    </row>
    <row r="117" spans="1:9" x14ac:dyDescent="0.3">
      <c r="A117" s="5">
        <v>41808</v>
      </c>
      <c r="B117">
        <v>79.440002000000007</v>
      </c>
      <c r="C117">
        <v>79.940002000000007</v>
      </c>
      <c r="D117">
        <v>79.129997000000003</v>
      </c>
      <c r="E117">
        <v>79.790001000000004</v>
      </c>
      <c r="F117">
        <v>60.398491</v>
      </c>
      <c r="G117">
        <v>9614200</v>
      </c>
      <c r="I117">
        <f t="shared" si="2"/>
        <v>4.4261554330687264E-5</v>
      </c>
    </row>
    <row r="118" spans="1:9" x14ac:dyDescent="0.3">
      <c r="A118" s="5">
        <v>41809</v>
      </c>
      <c r="B118">
        <v>79.849997999999999</v>
      </c>
      <c r="C118">
        <v>80.569999999999993</v>
      </c>
      <c r="D118">
        <v>79.800003000000004</v>
      </c>
      <c r="E118">
        <v>80.239998</v>
      </c>
      <c r="F118">
        <v>60.73912</v>
      </c>
      <c r="G118">
        <v>12485100</v>
      </c>
      <c r="I118">
        <f t="shared" si="2"/>
        <v>4.0285718777734921E-5</v>
      </c>
    </row>
    <row r="119" spans="1:9" x14ac:dyDescent="0.3">
      <c r="A119" s="5">
        <v>41810</v>
      </c>
      <c r="B119">
        <v>80.440002000000007</v>
      </c>
      <c r="C119">
        <v>80.5</v>
      </c>
      <c r="D119">
        <v>79.830001999999993</v>
      </c>
      <c r="E119">
        <v>79.930000000000007</v>
      </c>
      <c r="F119">
        <v>60.504452000000001</v>
      </c>
      <c r="G119">
        <v>11659900</v>
      </c>
      <c r="I119">
        <f t="shared" si="2"/>
        <v>1.4827489172517145E-5</v>
      </c>
    </row>
    <row r="120" spans="1:9" x14ac:dyDescent="0.3">
      <c r="A120" s="5">
        <v>41813</v>
      </c>
      <c r="B120">
        <v>80.059997999999993</v>
      </c>
      <c r="C120">
        <v>80.059997999999993</v>
      </c>
      <c r="D120">
        <v>79.360000999999997</v>
      </c>
      <c r="E120">
        <v>79.519997000000004</v>
      </c>
      <c r="F120">
        <v>60.194114999999996</v>
      </c>
      <c r="G120">
        <v>6938900</v>
      </c>
      <c r="I120">
        <f t="shared" si="2"/>
        <v>1.7687082655465123E-5</v>
      </c>
    </row>
    <row r="121" spans="1:9" x14ac:dyDescent="0.3">
      <c r="A121" s="5">
        <v>41814</v>
      </c>
      <c r="B121">
        <v>79.419998000000007</v>
      </c>
      <c r="C121">
        <v>79.440002000000007</v>
      </c>
      <c r="D121">
        <v>78.919998000000007</v>
      </c>
      <c r="E121">
        <v>79.010002</v>
      </c>
      <c r="F121">
        <v>59.808067000000001</v>
      </c>
      <c r="G121">
        <v>8157300</v>
      </c>
      <c r="I121">
        <f t="shared" si="2"/>
        <v>8.5653429127283202E-6</v>
      </c>
    </row>
    <row r="122" spans="1:9" x14ac:dyDescent="0.3">
      <c r="A122" s="5">
        <v>41815</v>
      </c>
      <c r="B122">
        <v>79.040001000000004</v>
      </c>
      <c r="C122">
        <v>79.360000999999997</v>
      </c>
      <c r="D122">
        <v>78.650002000000001</v>
      </c>
      <c r="E122">
        <v>79.319999999999993</v>
      </c>
      <c r="F122">
        <v>60.042712999999999</v>
      </c>
      <c r="G122">
        <v>12569300</v>
      </c>
      <c r="I122">
        <f t="shared" si="2"/>
        <v>4.3995729301014241E-5</v>
      </c>
    </row>
    <row r="123" spans="1:9" x14ac:dyDescent="0.3">
      <c r="A123" s="5">
        <v>41816</v>
      </c>
      <c r="B123">
        <v>79.239998</v>
      </c>
      <c r="C123">
        <v>79.290001000000004</v>
      </c>
      <c r="D123">
        <v>78.589995999999999</v>
      </c>
      <c r="E123">
        <v>78.620002999999997</v>
      </c>
      <c r="F123">
        <v>59.512836</v>
      </c>
      <c r="G123">
        <v>7258800</v>
      </c>
      <c r="I123">
        <f t="shared" si="2"/>
        <v>8.4975142722575307E-6</v>
      </c>
    </row>
    <row r="124" spans="1:9" x14ac:dyDescent="0.3">
      <c r="A124" s="5">
        <v>41817</v>
      </c>
      <c r="B124">
        <v>78.599997999999999</v>
      </c>
      <c r="C124">
        <v>79.190002000000007</v>
      </c>
      <c r="D124">
        <v>78.519997000000004</v>
      </c>
      <c r="E124">
        <v>79.019997000000004</v>
      </c>
      <c r="F124">
        <v>59.815632000000001</v>
      </c>
      <c r="G124">
        <v>8974900</v>
      </c>
      <c r="I124">
        <f t="shared" si="2"/>
        <v>2.2535882458057955E-5</v>
      </c>
    </row>
    <row r="125" spans="1:9" x14ac:dyDescent="0.3">
      <c r="A125" s="5">
        <v>41820</v>
      </c>
      <c r="B125">
        <v>79.010002</v>
      </c>
      <c r="C125">
        <v>79.459998999999996</v>
      </c>
      <c r="D125">
        <v>78.430000000000007</v>
      </c>
      <c r="E125">
        <v>78.589995999999999</v>
      </c>
      <c r="F125">
        <v>59.490143000000003</v>
      </c>
      <c r="G125">
        <v>10297700</v>
      </c>
      <c r="I125">
        <f t="shared" si="2"/>
        <v>7.754028046712467E-5</v>
      </c>
    </row>
    <row r="126" spans="1:9" x14ac:dyDescent="0.3">
      <c r="A126" s="5">
        <v>41821</v>
      </c>
      <c r="B126">
        <v>78.870002999999997</v>
      </c>
      <c r="C126">
        <v>79.410004000000001</v>
      </c>
      <c r="D126">
        <v>78.510002</v>
      </c>
      <c r="E126">
        <v>79.279999000000004</v>
      </c>
      <c r="F126">
        <v>60.012447000000002</v>
      </c>
      <c r="G126">
        <v>8421200</v>
      </c>
      <c r="I126">
        <f t="shared" si="2"/>
        <v>5.5830635292781108E-5</v>
      </c>
    </row>
    <row r="127" spans="1:9" x14ac:dyDescent="0.3">
      <c r="A127" s="5">
        <v>41822</v>
      </c>
      <c r="B127">
        <v>79.559997999999993</v>
      </c>
      <c r="C127">
        <v>79.860000999999997</v>
      </c>
      <c r="D127">
        <v>79.440002000000007</v>
      </c>
      <c r="E127">
        <v>79.559997999999993</v>
      </c>
      <c r="F127">
        <v>60.224373</v>
      </c>
      <c r="G127">
        <v>6276600</v>
      </c>
      <c r="I127">
        <f t="shared" si="2"/>
        <v>1.6443566970083087E-5</v>
      </c>
    </row>
    <row r="128" spans="1:9" x14ac:dyDescent="0.3">
      <c r="A128" s="5">
        <v>41823</v>
      </c>
      <c r="B128">
        <v>79.930000000000007</v>
      </c>
      <c r="C128">
        <v>80.139999000000003</v>
      </c>
      <c r="D128">
        <v>79.639999000000003</v>
      </c>
      <c r="E128">
        <v>79.980002999999996</v>
      </c>
      <c r="F128">
        <v>60.542296999999998</v>
      </c>
      <c r="G128">
        <v>5501100</v>
      </c>
      <c r="I128">
        <f t="shared" si="2"/>
        <v>2.0728437552497593E-5</v>
      </c>
    </row>
    <row r="129" spans="1:9" x14ac:dyDescent="0.3">
      <c r="A129" s="5">
        <v>41827</v>
      </c>
      <c r="B129">
        <v>79.75</v>
      </c>
      <c r="C129">
        <v>80.199996999999996</v>
      </c>
      <c r="D129">
        <v>79.660004000000001</v>
      </c>
      <c r="E129">
        <v>80.190002000000007</v>
      </c>
      <c r="F129">
        <v>60.701298000000001</v>
      </c>
      <c r="G129">
        <v>6673600</v>
      </c>
      <c r="I129">
        <f t="shared" si="2"/>
        <v>8.1886775235251663E-6</v>
      </c>
    </row>
    <row r="130" spans="1:9" x14ac:dyDescent="0.3">
      <c r="A130" s="5">
        <v>41828</v>
      </c>
      <c r="B130">
        <v>80.029999000000004</v>
      </c>
      <c r="C130">
        <v>80.849997999999999</v>
      </c>
      <c r="D130">
        <v>79.910004000000001</v>
      </c>
      <c r="E130">
        <v>80.559997999999993</v>
      </c>
      <c r="F130">
        <v>60.981361</v>
      </c>
      <c r="G130">
        <v>9150200</v>
      </c>
      <c r="I130">
        <f t="shared" si="2"/>
        <v>4.8786330688854958E-5</v>
      </c>
    </row>
    <row r="131" spans="1:9" x14ac:dyDescent="0.3">
      <c r="A131" s="5">
        <v>41829</v>
      </c>
      <c r="B131">
        <v>80.660004000000001</v>
      </c>
      <c r="C131">
        <v>81.800003000000004</v>
      </c>
      <c r="D131">
        <v>80.5</v>
      </c>
      <c r="E131">
        <v>81.669998000000007</v>
      </c>
      <c r="F131">
        <v>61.821587000000001</v>
      </c>
      <c r="G131">
        <v>12113100</v>
      </c>
      <c r="I131">
        <f t="shared" si="2"/>
        <v>5.0974784478538197E-5</v>
      </c>
    </row>
    <row r="132" spans="1:9" x14ac:dyDescent="0.3">
      <c r="A132" s="5">
        <v>41830</v>
      </c>
      <c r="B132">
        <v>81.269997000000004</v>
      </c>
      <c r="C132">
        <v>81.910004000000001</v>
      </c>
      <c r="D132">
        <v>81.190002000000007</v>
      </c>
      <c r="E132">
        <v>81.610000999999997</v>
      </c>
      <c r="F132">
        <v>61.776184000000001</v>
      </c>
      <c r="G132">
        <v>8786500</v>
      </c>
      <c r="I132">
        <f t="shared" si="2"/>
        <v>3.3864201276875483E-5</v>
      </c>
    </row>
    <row r="133" spans="1:9" x14ac:dyDescent="0.3">
      <c r="A133" s="5">
        <v>41831</v>
      </c>
      <c r="B133">
        <v>81.059997999999993</v>
      </c>
      <c r="C133">
        <v>81.569999999999993</v>
      </c>
      <c r="D133">
        <v>81</v>
      </c>
      <c r="E133">
        <v>81.160004000000001</v>
      </c>
      <c r="F133">
        <v>61.435543000000003</v>
      </c>
      <c r="G133">
        <v>7519300</v>
      </c>
      <c r="I133">
        <f t="shared" si="2"/>
        <v>3.3065448862873508E-5</v>
      </c>
    </row>
    <row r="134" spans="1:9" x14ac:dyDescent="0.3">
      <c r="A134" s="5">
        <v>41834</v>
      </c>
      <c r="B134">
        <v>81.360000999999997</v>
      </c>
      <c r="C134">
        <v>81.739998</v>
      </c>
      <c r="D134">
        <v>81.300003000000004</v>
      </c>
      <c r="E134">
        <v>81.319999999999993</v>
      </c>
      <c r="F134">
        <v>61.556648000000003</v>
      </c>
      <c r="G134">
        <v>6802000</v>
      </c>
      <c r="I134">
        <f t="shared" si="2"/>
        <v>2.418565672422299E-5</v>
      </c>
    </row>
    <row r="135" spans="1:9" x14ac:dyDescent="0.3">
      <c r="A135" s="5">
        <v>41835</v>
      </c>
      <c r="B135">
        <v>81.510002</v>
      </c>
      <c r="C135">
        <v>81.519997000000004</v>
      </c>
      <c r="D135">
        <v>81.089995999999999</v>
      </c>
      <c r="E135">
        <v>81.260002</v>
      </c>
      <c r="F135">
        <v>61.511242000000003</v>
      </c>
      <c r="G135">
        <v>9637600</v>
      </c>
      <c r="I135">
        <f t="shared" si="2"/>
        <v>1.1211208437495406E-5</v>
      </c>
    </row>
    <row r="136" spans="1:9" x14ac:dyDescent="0.3">
      <c r="A136" s="5">
        <v>41836</v>
      </c>
      <c r="B136">
        <v>80.900002000000001</v>
      </c>
      <c r="C136">
        <v>81.199996999999996</v>
      </c>
      <c r="D136">
        <v>80.75</v>
      </c>
      <c r="E136">
        <v>80.940002000000007</v>
      </c>
      <c r="F136">
        <v>61.758476000000002</v>
      </c>
      <c r="G136">
        <v>8940500</v>
      </c>
      <c r="I136">
        <f t="shared" si="2"/>
        <v>1.6232145321595516E-5</v>
      </c>
    </row>
    <row r="137" spans="1:9" x14ac:dyDescent="0.3">
      <c r="A137" s="5">
        <v>41837</v>
      </c>
      <c r="B137">
        <v>80.989998</v>
      </c>
      <c r="C137">
        <v>81.220000999999996</v>
      </c>
      <c r="D137">
        <v>80.389999000000003</v>
      </c>
      <c r="E137">
        <v>80.400002000000001</v>
      </c>
      <c r="F137">
        <v>61.346404999999997</v>
      </c>
      <c r="G137">
        <v>5844700</v>
      </c>
      <c r="I137">
        <f t="shared" si="2"/>
        <v>2.970170521383315E-5</v>
      </c>
    </row>
    <row r="138" spans="1:9" x14ac:dyDescent="0.3">
      <c r="A138" s="5">
        <v>41838</v>
      </c>
      <c r="B138">
        <v>80.550003000000004</v>
      </c>
      <c r="C138">
        <v>80.75</v>
      </c>
      <c r="D138">
        <v>80.160004000000001</v>
      </c>
      <c r="E138">
        <v>80.550003000000004</v>
      </c>
      <c r="F138">
        <v>61.460884</v>
      </c>
      <c r="G138">
        <v>6502400</v>
      </c>
      <c r="I138">
        <f t="shared" si="2"/>
        <v>2.9705553985643828E-5</v>
      </c>
    </row>
    <row r="139" spans="1:9" x14ac:dyDescent="0.3">
      <c r="A139" s="5">
        <v>41841</v>
      </c>
      <c r="B139">
        <v>80.330001999999993</v>
      </c>
      <c r="C139">
        <v>80.400002000000001</v>
      </c>
      <c r="D139">
        <v>79.949996999999996</v>
      </c>
      <c r="E139">
        <v>80.279999000000004</v>
      </c>
      <c r="F139">
        <v>61.254879000000003</v>
      </c>
      <c r="G139">
        <v>4434300</v>
      </c>
      <c r="I139">
        <f t="shared" si="2"/>
        <v>2.083292701082179E-5</v>
      </c>
    </row>
    <row r="140" spans="1:9" x14ac:dyDescent="0.3">
      <c r="A140" s="5">
        <v>41842</v>
      </c>
      <c r="B140">
        <v>80.290001000000004</v>
      </c>
      <c r="C140">
        <v>80.580001999999993</v>
      </c>
      <c r="D140">
        <v>79.769997000000004</v>
      </c>
      <c r="E140">
        <v>80.099997999999999</v>
      </c>
      <c r="F140">
        <v>61.117531</v>
      </c>
      <c r="G140">
        <v>6073200</v>
      </c>
      <c r="I140">
        <f t="shared" ref="I140:I203" si="3">LN(C140/B140)*(LN(C140/B140)-LN(E140/B140))+LN(D140/B140)*(LN(D140/B140)-LN(E140/B140))</f>
        <v>4.8365831311122183E-5</v>
      </c>
    </row>
    <row r="141" spans="1:9" x14ac:dyDescent="0.3">
      <c r="A141" s="5">
        <v>41843</v>
      </c>
      <c r="B141">
        <v>80.330001999999993</v>
      </c>
      <c r="C141">
        <v>80.5</v>
      </c>
      <c r="D141">
        <v>79.819999999999993</v>
      </c>
      <c r="E141">
        <v>79.989998</v>
      </c>
      <c r="F141">
        <v>61.033577000000001</v>
      </c>
      <c r="G141">
        <v>5891200</v>
      </c>
      <c r="I141">
        <f t="shared" si="3"/>
        <v>2.6985983211171327E-5</v>
      </c>
    </row>
    <row r="142" spans="1:9" x14ac:dyDescent="0.3">
      <c r="A142" s="5">
        <v>41844</v>
      </c>
      <c r="B142">
        <v>80.120002999999997</v>
      </c>
      <c r="C142">
        <v>80.319999999999993</v>
      </c>
      <c r="D142">
        <v>79.849997999999999</v>
      </c>
      <c r="E142">
        <v>80.260002</v>
      </c>
      <c r="F142">
        <v>61.23959</v>
      </c>
      <c r="G142">
        <v>6273100</v>
      </c>
      <c r="I142">
        <f t="shared" si="3"/>
        <v>1.9151791116140374E-5</v>
      </c>
    </row>
    <row r="143" spans="1:9" x14ac:dyDescent="0.3">
      <c r="A143" s="5">
        <v>41845</v>
      </c>
      <c r="B143">
        <v>80.019997000000004</v>
      </c>
      <c r="C143">
        <v>80.160004000000001</v>
      </c>
      <c r="D143">
        <v>79.370002999999997</v>
      </c>
      <c r="E143">
        <v>79.559997999999993</v>
      </c>
      <c r="F143">
        <v>60.705475</v>
      </c>
      <c r="G143">
        <v>6293400</v>
      </c>
      <c r="I143">
        <f t="shared" si="3"/>
        <v>3.2634650847336284E-5</v>
      </c>
    </row>
    <row r="144" spans="1:9" x14ac:dyDescent="0.3">
      <c r="A144" s="5">
        <v>41848</v>
      </c>
      <c r="B144">
        <v>79.410004000000001</v>
      </c>
      <c r="C144">
        <v>79.620002999999997</v>
      </c>
      <c r="D144">
        <v>78.849997999999999</v>
      </c>
      <c r="E144">
        <v>79.260002</v>
      </c>
      <c r="F144">
        <v>60.476588999999997</v>
      </c>
      <c r="G144">
        <v>6757300</v>
      </c>
      <c r="I144">
        <f t="shared" si="3"/>
        <v>4.8672301550592037E-5</v>
      </c>
    </row>
    <row r="145" spans="1:9" x14ac:dyDescent="0.3">
      <c r="A145" s="5">
        <v>41849</v>
      </c>
      <c r="B145">
        <v>79.089995999999999</v>
      </c>
      <c r="C145">
        <v>79.5</v>
      </c>
      <c r="D145">
        <v>78.650002000000001</v>
      </c>
      <c r="E145">
        <v>78.650002000000001</v>
      </c>
      <c r="F145">
        <v>60.011139</v>
      </c>
      <c r="G145">
        <v>6419600</v>
      </c>
      <c r="I145">
        <f t="shared" si="3"/>
        <v>5.5580973401226112E-5</v>
      </c>
    </row>
    <row r="146" spans="1:9" x14ac:dyDescent="0.3">
      <c r="A146" s="5">
        <v>41850</v>
      </c>
      <c r="B146">
        <v>78.699996999999996</v>
      </c>
      <c r="C146">
        <v>79.010002</v>
      </c>
      <c r="D146">
        <v>78.139999000000003</v>
      </c>
      <c r="E146">
        <v>78.160004000000001</v>
      </c>
      <c r="F146">
        <v>59.637259999999998</v>
      </c>
      <c r="G146">
        <v>8296500</v>
      </c>
      <c r="I146">
        <f t="shared" si="3"/>
        <v>4.4350840551100349E-5</v>
      </c>
    </row>
    <row r="147" spans="1:9" x14ac:dyDescent="0.3">
      <c r="A147" s="5">
        <v>41851</v>
      </c>
      <c r="B147">
        <v>77.760002</v>
      </c>
      <c r="C147">
        <v>78.010002</v>
      </c>
      <c r="D147">
        <v>77.290001000000004</v>
      </c>
      <c r="E147">
        <v>77.319999999999993</v>
      </c>
      <c r="F147">
        <v>58.996333999999997</v>
      </c>
      <c r="G147">
        <v>11235600</v>
      </c>
      <c r="I147">
        <f t="shared" si="3"/>
        <v>3.0870344804131422E-5</v>
      </c>
    </row>
    <row r="148" spans="1:9" x14ac:dyDescent="0.3">
      <c r="A148" s="5">
        <v>41852</v>
      </c>
      <c r="B148">
        <v>79.25</v>
      </c>
      <c r="C148">
        <v>80.669998000000007</v>
      </c>
      <c r="D148">
        <v>78.830001999999993</v>
      </c>
      <c r="E148">
        <v>79.650002000000001</v>
      </c>
      <c r="F148">
        <v>60.774158</v>
      </c>
      <c r="G148">
        <v>18110700</v>
      </c>
      <c r="I148">
        <f t="shared" si="3"/>
        <v>2.8097039189899558E-4</v>
      </c>
    </row>
    <row r="149" spans="1:9" x14ac:dyDescent="0.3">
      <c r="A149" s="5">
        <v>41855</v>
      </c>
      <c r="B149">
        <v>79.459998999999996</v>
      </c>
      <c r="C149">
        <v>79.459998999999996</v>
      </c>
      <c r="D149">
        <v>78.660004000000001</v>
      </c>
      <c r="E149">
        <v>79.220000999999996</v>
      </c>
      <c r="F149">
        <v>60.446078999999997</v>
      </c>
      <c r="G149">
        <v>12075300</v>
      </c>
      <c r="I149">
        <f t="shared" si="3"/>
        <v>7.178348616107021E-5</v>
      </c>
    </row>
    <row r="150" spans="1:9" x14ac:dyDescent="0.3">
      <c r="A150" s="5">
        <v>41856</v>
      </c>
      <c r="B150">
        <v>78.989998</v>
      </c>
      <c r="C150">
        <v>79.739998</v>
      </c>
      <c r="D150">
        <v>78.980002999999996</v>
      </c>
      <c r="E150">
        <v>79.410004000000001</v>
      </c>
      <c r="F150">
        <v>60.591034000000001</v>
      </c>
      <c r="G150">
        <v>7995900</v>
      </c>
      <c r="I150">
        <f t="shared" si="3"/>
        <v>3.9876204596250975E-5</v>
      </c>
    </row>
    <row r="151" spans="1:9" x14ac:dyDescent="0.3">
      <c r="A151" s="5">
        <v>41857</v>
      </c>
      <c r="B151">
        <v>79.400002000000001</v>
      </c>
      <c r="C151">
        <v>81.300003000000004</v>
      </c>
      <c r="D151">
        <v>79.269997000000004</v>
      </c>
      <c r="E151">
        <v>81.089995999999999</v>
      </c>
      <c r="F151">
        <v>61.872894000000002</v>
      </c>
      <c r="G151">
        <v>12839000</v>
      </c>
      <c r="I151">
        <f t="shared" si="3"/>
        <v>9.8361538221887213E-5</v>
      </c>
    </row>
    <row r="152" spans="1:9" x14ac:dyDescent="0.3">
      <c r="A152" s="5">
        <v>41858</v>
      </c>
      <c r="B152">
        <v>81.019997000000004</v>
      </c>
      <c r="C152">
        <v>81.180000000000007</v>
      </c>
      <c r="D152">
        <v>80.010002</v>
      </c>
      <c r="E152">
        <v>80.139999000000003</v>
      </c>
      <c r="F152">
        <v>61.148037000000002</v>
      </c>
      <c r="G152">
        <v>7904000</v>
      </c>
      <c r="I152">
        <f t="shared" si="3"/>
        <v>4.5803361060114961E-5</v>
      </c>
    </row>
    <row r="153" spans="1:9" x14ac:dyDescent="0.3">
      <c r="A153" s="5">
        <v>41859</v>
      </c>
      <c r="B153">
        <v>80.050003000000004</v>
      </c>
      <c r="C153">
        <v>81.029999000000004</v>
      </c>
      <c r="D153">
        <v>80.040001000000004</v>
      </c>
      <c r="E153">
        <v>80.949996999999996</v>
      </c>
      <c r="F153">
        <v>61.766086999999999</v>
      </c>
      <c r="G153">
        <v>6215600</v>
      </c>
      <c r="I153">
        <f t="shared" si="3"/>
        <v>1.3432159103185101E-5</v>
      </c>
    </row>
    <row r="154" spans="1:9" x14ac:dyDescent="0.3">
      <c r="A154" s="5">
        <v>41862</v>
      </c>
      <c r="B154">
        <v>81.230002999999996</v>
      </c>
      <c r="C154">
        <v>81.870002999999997</v>
      </c>
      <c r="D154">
        <v>81.029999000000004</v>
      </c>
      <c r="E154">
        <v>81.480002999999996</v>
      </c>
      <c r="F154">
        <v>62.170485999999997</v>
      </c>
      <c r="G154">
        <v>8188000</v>
      </c>
      <c r="I154">
        <f t="shared" si="3"/>
        <v>5.1127280017828139E-5</v>
      </c>
    </row>
    <row r="155" spans="1:9" x14ac:dyDescent="0.3">
      <c r="A155" s="5">
        <v>41863</v>
      </c>
      <c r="B155">
        <v>81.5</v>
      </c>
      <c r="C155">
        <v>81.860000999999997</v>
      </c>
      <c r="D155">
        <v>81.209998999999996</v>
      </c>
      <c r="E155">
        <v>81.419998000000007</v>
      </c>
      <c r="F155">
        <v>62.124706000000003</v>
      </c>
      <c r="G155">
        <v>6591200</v>
      </c>
      <c r="I155">
        <f t="shared" si="3"/>
        <v>3.2960128321486937E-5</v>
      </c>
    </row>
    <row r="156" spans="1:9" x14ac:dyDescent="0.3">
      <c r="A156" s="5">
        <v>41864</v>
      </c>
      <c r="B156">
        <v>81.639999000000003</v>
      </c>
      <c r="C156">
        <v>81.800003000000004</v>
      </c>
      <c r="D156">
        <v>81.110000999999997</v>
      </c>
      <c r="E156">
        <v>81.480002999999996</v>
      </c>
      <c r="F156">
        <v>62.170485999999997</v>
      </c>
      <c r="G156">
        <v>5472200</v>
      </c>
      <c r="I156">
        <f t="shared" si="3"/>
        <v>3.7317745573126439E-5</v>
      </c>
    </row>
    <row r="157" spans="1:9" x14ac:dyDescent="0.3">
      <c r="A157" s="5">
        <v>41865</v>
      </c>
      <c r="B157">
        <v>81.589995999999999</v>
      </c>
      <c r="C157">
        <v>82.040001000000004</v>
      </c>
      <c r="D157">
        <v>81.440002000000007</v>
      </c>
      <c r="E157">
        <v>81.949996999999996</v>
      </c>
      <c r="F157">
        <v>62.529099000000002</v>
      </c>
      <c r="G157">
        <v>5930700</v>
      </c>
      <c r="I157">
        <f t="shared" si="3"/>
        <v>1.7524585030286168E-5</v>
      </c>
    </row>
    <row r="158" spans="1:9" x14ac:dyDescent="0.3">
      <c r="A158" s="5">
        <v>41866</v>
      </c>
      <c r="B158">
        <v>82.230002999999996</v>
      </c>
      <c r="C158">
        <v>82.230002999999996</v>
      </c>
      <c r="D158">
        <v>81.180000000000007</v>
      </c>
      <c r="E158">
        <v>81.779999000000004</v>
      </c>
      <c r="F158">
        <v>62.399372</v>
      </c>
      <c r="G158">
        <v>7418400</v>
      </c>
      <c r="I158">
        <f t="shared" si="3"/>
        <v>9.4634468242262213E-5</v>
      </c>
    </row>
    <row r="159" spans="1:9" x14ac:dyDescent="0.3">
      <c r="A159" s="5">
        <v>41869</v>
      </c>
      <c r="B159">
        <v>81.989998</v>
      </c>
      <c r="C159">
        <v>82.849997999999999</v>
      </c>
      <c r="D159">
        <v>81.809997999999993</v>
      </c>
      <c r="E159">
        <v>82.440002000000007</v>
      </c>
      <c r="F159">
        <v>62.902973000000003</v>
      </c>
      <c r="G159">
        <v>8450500</v>
      </c>
      <c r="I159">
        <f t="shared" si="3"/>
        <v>6.8624751423526469E-5</v>
      </c>
    </row>
    <row r="160" spans="1:9" x14ac:dyDescent="0.3">
      <c r="A160" s="5">
        <v>41870</v>
      </c>
      <c r="B160">
        <v>82.349997999999999</v>
      </c>
      <c r="C160">
        <v>82.870002999999997</v>
      </c>
      <c r="D160">
        <v>82.120002999999997</v>
      </c>
      <c r="E160">
        <v>82.690002000000007</v>
      </c>
      <c r="F160">
        <v>63.093719</v>
      </c>
      <c r="G160">
        <v>6867700</v>
      </c>
      <c r="I160">
        <f t="shared" si="3"/>
        <v>3.3033248433770619E-5</v>
      </c>
    </row>
    <row r="161" spans="1:9" x14ac:dyDescent="0.3">
      <c r="A161" s="5">
        <v>41871</v>
      </c>
      <c r="B161">
        <v>82.459998999999996</v>
      </c>
      <c r="C161">
        <v>82.940002000000007</v>
      </c>
      <c r="D161">
        <v>82.459998999999996</v>
      </c>
      <c r="E161">
        <v>82.809997999999993</v>
      </c>
      <c r="F161">
        <v>63.185265000000001</v>
      </c>
      <c r="G161">
        <v>4581800</v>
      </c>
      <c r="I161">
        <f t="shared" si="3"/>
        <v>9.1048526436014952E-6</v>
      </c>
    </row>
    <row r="162" spans="1:9" x14ac:dyDescent="0.3">
      <c r="A162" s="5">
        <v>41872</v>
      </c>
      <c r="B162">
        <v>82.800003000000004</v>
      </c>
      <c r="C162">
        <v>83.470000999999996</v>
      </c>
      <c r="D162">
        <v>82.690002000000007</v>
      </c>
      <c r="E162">
        <v>83.279999000000004</v>
      </c>
      <c r="F162">
        <v>63.543906999999997</v>
      </c>
      <c r="G162">
        <v>7099800</v>
      </c>
      <c r="I162">
        <f t="shared" si="3"/>
        <v>2.7817630176722625E-5</v>
      </c>
    </row>
    <row r="163" spans="1:9" x14ac:dyDescent="0.3">
      <c r="A163" s="5">
        <v>41873</v>
      </c>
      <c r="B163">
        <v>83.160004000000001</v>
      </c>
      <c r="C163">
        <v>83.660004000000001</v>
      </c>
      <c r="D163">
        <v>83.139999000000003</v>
      </c>
      <c r="E163">
        <v>83.389999000000003</v>
      </c>
      <c r="F163">
        <v>63.627831</v>
      </c>
      <c r="G163">
        <v>6978500</v>
      </c>
      <c r="I163">
        <f t="shared" si="3"/>
        <v>2.0100356478486419E-5</v>
      </c>
    </row>
    <row r="164" spans="1:9" x14ac:dyDescent="0.3">
      <c r="A164" s="5">
        <v>41876</v>
      </c>
      <c r="B164">
        <v>83.739998</v>
      </c>
      <c r="C164">
        <v>83.82</v>
      </c>
      <c r="D164">
        <v>83.309997999999993</v>
      </c>
      <c r="E164">
        <v>83.540001000000004</v>
      </c>
      <c r="F164">
        <v>63.742302000000002</v>
      </c>
      <c r="G164">
        <v>5586800</v>
      </c>
      <c r="I164">
        <f t="shared" si="3"/>
        <v>1.7388715747970668E-5</v>
      </c>
    </row>
    <row r="165" spans="1:9" x14ac:dyDescent="0.3">
      <c r="A165" s="5">
        <v>41877</v>
      </c>
      <c r="B165">
        <v>83.610000999999997</v>
      </c>
      <c r="C165">
        <v>83.830001999999993</v>
      </c>
      <c r="D165">
        <v>83.330001999999993</v>
      </c>
      <c r="E165">
        <v>83.379997000000003</v>
      </c>
      <c r="F165">
        <v>63.620209000000003</v>
      </c>
      <c r="G165">
        <v>5188400</v>
      </c>
      <c r="I165">
        <f t="shared" si="3"/>
        <v>1.6156281165920989E-5</v>
      </c>
    </row>
    <row r="166" spans="1:9" x14ac:dyDescent="0.3">
      <c r="A166" s="5">
        <v>41878</v>
      </c>
      <c r="B166">
        <v>83.43</v>
      </c>
      <c r="C166">
        <v>83.599997999999999</v>
      </c>
      <c r="D166">
        <v>83.160004000000001</v>
      </c>
      <c r="E166">
        <v>83.309997999999993</v>
      </c>
      <c r="F166">
        <v>63.566792</v>
      </c>
      <c r="G166">
        <v>4248300</v>
      </c>
      <c r="I166">
        <f t="shared" si="3"/>
        <v>1.2914620096897101E-5</v>
      </c>
    </row>
    <row r="167" spans="1:9" x14ac:dyDescent="0.3">
      <c r="A167" s="5">
        <v>41879</v>
      </c>
      <c r="B167">
        <v>83.019997000000004</v>
      </c>
      <c r="C167">
        <v>83.220000999999996</v>
      </c>
      <c r="D167">
        <v>82.760002</v>
      </c>
      <c r="E167">
        <v>83.029999000000004</v>
      </c>
      <c r="F167">
        <v>63.353149000000002</v>
      </c>
      <c r="G167">
        <v>4278700</v>
      </c>
      <c r="I167">
        <f t="shared" si="3"/>
        <v>1.5716279976749626E-5</v>
      </c>
    </row>
    <row r="168" spans="1:9" x14ac:dyDescent="0.3">
      <c r="A168" s="5">
        <v>41880</v>
      </c>
      <c r="B168">
        <v>83.089995999999999</v>
      </c>
      <c r="C168">
        <v>83.129997000000003</v>
      </c>
      <c r="D168">
        <v>82.599997999999999</v>
      </c>
      <c r="E168">
        <v>83.110000999999997</v>
      </c>
      <c r="F168">
        <v>63.414188000000003</v>
      </c>
      <c r="G168">
        <v>4901300</v>
      </c>
      <c r="I168">
        <f t="shared" si="3"/>
        <v>3.6522767002310454E-5</v>
      </c>
    </row>
    <row r="169" spans="1:9" x14ac:dyDescent="0.3">
      <c r="A169" s="5">
        <v>41884</v>
      </c>
      <c r="B169">
        <v>83.209998999999996</v>
      </c>
      <c r="C169">
        <v>83.489998</v>
      </c>
      <c r="D169">
        <v>82.709998999999996</v>
      </c>
      <c r="E169">
        <v>82.980002999999996</v>
      </c>
      <c r="F169">
        <v>63.315010000000001</v>
      </c>
      <c r="G169">
        <v>5528900</v>
      </c>
      <c r="I169">
        <f t="shared" si="3"/>
        <v>4.022614179912228E-5</v>
      </c>
    </row>
    <row r="170" spans="1:9" x14ac:dyDescent="0.3">
      <c r="A170" s="5">
        <v>41885</v>
      </c>
      <c r="B170">
        <v>83.260002</v>
      </c>
      <c r="C170">
        <v>83.480002999999996</v>
      </c>
      <c r="D170">
        <v>82.769997000000004</v>
      </c>
      <c r="E170">
        <v>82.900002000000001</v>
      </c>
      <c r="F170">
        <v>63.253974999999997</v>
      </c>
      <c r="G170">
        <v>5851800</v>
      </c>
      <c r="I170">
        <f t="shared" si="3"/>
        <v>2.7662011895289055E-5</v>
      </c>
    </row>
    <row r="171" spans="1:9" x14ac:dyDescent="0.3">
      <c r="A171" s="5">
        <v>41886</v>
      </c>
      <c r="B171">
        <v>82.919998000000007</v>
      </c>
      <c r="C171">
        <v>83.75</v>
      </c>
      <c r="D171">
        <v>82.779999000000004</v>
      </c>
      <c r="E171">
        <v>83.699996999999996</v>
      </c>
      <c r="F171">
        <v>63.864367999999999</v>
      </c>
      <c r="G171">
        <v>7444200</v>
      </c>
      <c r="I171">
        <f t="shared" si="3"/>
        <v>2.4624686120770744E-5</v>
      </c>
    </row>
    <row r="172" spans="1:9" x14ac:dyDescent="0.3">
      <c r="A172" s="5">
        <v>41887</v>
      </c>
      <c r="B172">
        <v>83.440002000000007</v>
      </c>
      <c r="C172">
        <v>83.800003000000004</v>
      </c>
      <c r="D172">
        <v>83.07</v>
      </c>
      <c r="E172">
        <v>83.769997000000004</v>
      </c>
      <c r="F172">
        <v>63.917786</v>
      </c>
      <c r="G172">
        <v>5888900</v>
      </c>
      <c r="I172">
        <f t="shared" si="3"/>
        <v>3.883445779535018E-5</v>
      </c>
    </row>
    <row r="173" spans="1:9" x14ac:dyDescent="0.3">
      <c r="A173" s="5">
        <v>41890</v>
      </c>
      <c r="B173">
        <v>83.57</v>
      </c>
      <c r="C173">
        <v>83.599997999999999</v>
      </c>
      <c r="D173">
        <v>83.129997000000003</v>
      </c>
      <c r="E173">
        <v>83.32</v>
      </c>
      <c r="F173">
        <v>63.574435999999999</v>
      </c>
      <c r="G173">
        <v>4899600</v>
      </c>
      <c r="I173">
        <f t="shared" si="3"/>
        <v>1.3256006105812897E-5</v>
      </c>
    </row>
    <row r="174" spans="1:9" x14ac:dyDescent="0.3">
      <c r="A174" s="5">
        <v>41891</v>
      </c>
      <c r="B174">
        <v>83.050003000000004</v>
      </c>
      <c r="C174">
        <v>83.290001000000004</v>
      </c>
      <c r="D174">
        <v>82.830001999999993</v>
      </c>
      <c r="E174">
        <v>82.989998</v>
      </c>
      <c r="F174">
        <v>63.322620000000001</v>
      </c>
      <c r="G174">
        <v>5202900</v>
      </c>
      <c r="I174">
        <f t="shared" si="3"/>
        <v>1.5531295563769217E-5</v>
      </c>
    </row>
    <row r="175" spans="1:9" x14ac:dyDescent="0.3">
      <c r="A175" s="5">
        <v>41892</v>
      </c>
      <c r="B175">
        <v>83.199996999999996</v>
      </c>
      <c r="C175">
        <v>83.959998999999996</v>
      </c>
      <c r="D175">
        <v>83.150002000000001</v>
      </c>
      <c r="E175">
        <v>83.639999000000003</v>
      </c>
      <c r="F175">
        <v>63.818595999999999</v>
      </c>
      <c r="G175">
        <v>6715300</v>
      </c>
      <c r="I175">
        <f t="shared" si="3"/>
        <v>3.8255107301990507E-5</v>
      </c>
    </row>
    <row r="176" spans="1:9" x14ac:dyDescent="0.3">
      <c r="A176" s="5">
        <v>41893</v>
      </c>
      <c r="B176">
        <v>83.610000999999997</v>
      </c>
      <c r="C176">
        <v>83.75</v>
      </c>
      <c r="D176">
        <v>83.370002999999997</v>
      </c>
      <c r="E176">
        <v>83.489998</v>
      </c>
      <c r="F176">
        <v>63.704132000000001</v>
      </c>
      <c r="G176">
        <v>6341600</v>
      </c>
      <c r="I176">
        <f t="shared" si="3"/>
        <v>9.3364171630074528E-6</v>
      </c>
    </row>
    <row r="177" spans="1:9" x14ac:dyDescent="0.3">
      <c r="A177" s="5">
        <v>41894</v>
      </c>
      <c r="B177">
        <v>83.209998999999996</v>
      </c>
      <c r="C177">
        <v>83.379997000000003</v>
      </c>
      <c r="D177">
        <v>82.860000999999997</v>
      </c>
      <c r="E177">
        <v>83.260002</v>
      </c>
      <c r="F177">
        <v>63.528647999999997</v>
      </c>
      <c r="G177">
        <v>6358500</v>
      </c>
      <c r="I177">
        <f t="shared" si="3"/>
        <v>2.3238283326752755E-5</v>
      </c>
    </row>
    <row r="178" spans="1:9" x14ac:dyDescent="0.3">
      <c r="A178" s="5">
        <v>41897</v>
      </c>
      <c r="B178">
        <v>83.18</v>
      </c>
      <c r="C178">
        <v>84.25</v>
      </c>
      <c r="D178">
        <v>83.139999000000003</v>
      </c>
      <c r="E178">
        <v>83.870002999999997</v>
      </c>
      <c r="F178">
        <v>63.994098999999999</v>
      </c>
      <c r="G178">
        <v>7004700</v>
      </c>
      <c r="I178">
        <f t="shared" si="3"/>
        <v>6.1985108368621175E-5</v>
      </c>
    </row>
    <row r="179" spans="1:9" x14ac:dyDescent="0.3">
      <c r="A179" s="5">
        <v>41898</v>
      </c>
      <c r="B179">
        <v>83.580001999999993</v>
      </c>
      <c r="C179">
        <v>84.449996999999996</v>
      </c>
      <c r="D179">
        <v>83.559997999999993</v>
      </c>
      <c r="E179">
        <v>84.080001999999993</v>
      </c>
      <c r="F179">
        <v>64.154297</v>
      </c>
      <c r="G179">
        <v>7143800</v>
      </c>
      <c r="I179">
        <f t="shared" si="3"/>
        <v>4.6953764370607048E-5</v>
      </c>
    </row>
    <row r="180" spans="1:9" x14ac:dyDescent="0.3">
      <c r="A180" s="5">
        <v>41899</v>
      </c>
      <c r="B180">
        <v>84.019997000000004</v>
      </c>
      <c r="C180">
        <v>84.5</v>
      </c>
      <c r="D180">
        <v>83.93</v>
      </c>
      <c r="E180">
        <v>84.160004000000001</v>
      </c>
      <c r="F180">
        <v>64.215362999999996</v>
      </c>
      <c r="G180">
        <v>8273800</v>
      </c>
      <c r="I180">
        <f t="shared" si="3"/>
        <v>2.5900549374899321E-5</v>
      </c>
    </row>
    <row r="181" spans="1:9" x14ac:dyDescent="0.3">
      <c r="A181" s="5">
        <v>41900</v>
      </c>
      <c r="B181">
        <v>84.18</v>
      </c>
      <c r="C181">
        <v>84.440002000000007</v>
      </c>
      <c r="D181">
        <v>84.07</v>
      </c>
      <c r="E181">
        <v>84.190002000000007</v>
      </c>
      <c r="F181">
        <v>64.238265999999996</v>
      </c>
      <c r="G181">
        <v>5309200</v>
      </c>
      <c r="I181">
        <f t="shared" si="3"/>
        <v>1.1009054696273231E-5</v>
      </c>
    </row>
    <row r="182" spans="1:9" x14ac:dyDescent="0.3">
      <c r="A182" s="5">
        <v>41901</v>
      </c>
      <c r="B182">
        <v>84.519997000000004</v>
      </c>
      <c r="C182">
        <v>84.769997000000004</v>
      </c>
      <c r="D182">
        <v>84.18</v>
      </c>
      <c r="E182">
        <v>84.470000999999996</v>
      </c>
      <c r="F182">
        <v>64.451874000000004</v>
      </c>
      <c r="G182">
        <v>11377700</v>
      </c>
      <c r="I182">
        <f t="shared" si="3"/>
        <v>2.4333113868883925E-5</v>
      </c>
    </row>
    <row r="183" spans="1:9" x14ac:dyDescent="0.3">
      <c r="A183" s="5">
        <v>41904</v>
      </c>
      <c r="B183">
        <v>84.639999000000003</v>
      </c>
      <c r="C183">
        <v>84.949996999999996</v>
      </c>
      <c r="D183">
        <v>84.489998</v>
      </c>
      <c r="E183">
        <v>84.809997999999993</v>
      </c>
      <c r="F183">
        <v>64.711310999999995</v>
      </c>
      <c r="G183">
        <v>8397100</v>
      </c>
      <c r="I183">
        <f t="shared" si="3"/>
        <v>1.2735320253536007E-5</v>
      </c>
    </row>
    <row r="184" spans="1:9" x14ac:dyDescent="0.3">
      <c r="A184" s="5">
        <v>41905</v>
      </c>
      <c r="B184">
        <v>84.650002000000001</v>
      </c>
      <c r="C184">
        <v>84.919998000000007</v>
      </c>
      <c r="D184">
        <v>84.440002000000007</v>
      </c>
      <c r="E184">
        <v>84.440002000000007</v>
      </c>
      <c r="F184">
        <v>64.428985999999995</v>
      </c>
      <c r="G184">
        <v>7723500</v>
      </c>
      <c r="I184">
        <f t="shared" si="3"/>
        <v>1.8050806235802066E-5</v>
      </c>
    </row>
    <row r="185" spans="1:9" x14ac:dyDescent="0.3">
      <c r="A185" s="5">
        <v>41906</v>
      </c>
      <c r="B185">
        <v>84.330001999999993</v>
      </c>
      <c r="C185">
        <v>85.400002000000001</v>
      </c>
      <c r="D185">
        <v>84.330001999999993</v>
      </c>
      <c r="E185">
        <v>85.239998</v>
      </c>
      <c r="F185">
        <v>65.039421000000004</v>
      </c>
      <c r="G185">
        <v>11694700</v>
      </c>
      <c r="I185">
        <f t="shared" si="3"/>
        <v>2.3645092952287799E-5</v>
      </c>
    </row>
    <row r="186" spans="1:9" x14ac:dyDescent="0.3">
      <c r="A186" s="5">
        <v>41907</v>
      </c>
      <c r="B186">
        <v>85.019997000000004</v>
      </c>
      <c r="C186">
        <v>85.129997000000003</v>
      </c>
      <c r="D186">
        <v>84.330001999999993</v>
      </c>
      <c r="E186">
        <v>84.330001999999993</v>
      </c>
      <c r="F186">
        <v>64.345100000000002</v>
      </c>
      <c r="G186">
        <v>8212300</v>
      </c>
      <c r="I186">
        <f t="shared" si="3"/>
        <v>1.2207988129641264E-5</v>
      </c>
    </row>
    <row r="187" spans="1:9" x14ac:dyDescent="0.3">
      <c r="A187" s="5">
        <v>41908</v>
      </c>
      <c r="B187">
        <v>84.540001000000004</v>
      </c>
      <c r="C187">
        <v>84.739998</v>
      </c>
      <c r="D187">
        <v>83.860000999999997</v>
      </c>
      <c r="E187">
        <v>84.580001999999993</v>
      </c>
      <c r="F187">
        <v>64.535835000000006</v>
      </c>
      <c r="G187">
        <v>5478000</v>
      </c>
      <c r="I187">
        <f t="shared" si="3"/>
        <v>7.3508595406072293E-5</v>
      </c>
    </row>
    <row r="188" spans="1:9" x14ac:dyDescent="0.3">
      <c r="A188" s="5">
        <v>41911</v>
      </c>
      <c r="B188">
        <v>84.110000999999997</v>
      </c>
      <c r="C188">
        <v>84.470000999999996</v>
      </c>
      <c r="D188">
        <v>83.660004000000001</v>
      </c>
      <c r="E188">
        <v>84.440002000000007</v>
      </c>
      <c r="F188">
        <v>64.428985999999995</v>
      </c>
      <c r="G188">
        <v>6360000</v>
      </c>
      <c r="I188">
        <f t="shared" si="3"/>
        <v>5.1300555414960978E-5</v>
      </c>
    </row>
    <row r="189" spans="1:9" x14ac:dyDescent="0.3">
      <c r="A189" s="5">
        <v>41912</v>
      </c>
      <c r="B189">
        <v>84.339995999999999</v>
      </c>
      <c r="C189">
        <v>84.360000999999997</v>
      </c>
      <c r="D189">
        <v>83.68</v>
      </c>
      <c r="E189">
        <v>83.739998</v>
      </c>
      <c r="F189">
        <v>63.894886</v>
      </c>
      <c r="G189">
        <v>8074700</v>
      </c>
      <c r="I189">
        <f t="shared" si="3"/>
        <v>7.3803150847927707E-6</v>
      </c>
    </row>
    <row r="190" spans="1:9" x14ac:dyDescent="0.3">
      <c r="A190" s="5">
        <v>41913</v>
      </c>
      <c r="B190">
        <v>84.019997000000004</v>
      </c>
      <c r="C190">
        <v>84.040001000000004</v>
      </c>
      <c r="D190">
        <v>83.029999000000004</v>
      </c>
      <c r="E190">
        <v>83.139999000000003</v>
      </c>
      <c r="F190">
        <v>63.437088000000003</v>
      </c>
      <c r="G190">
        <v>9024700</v>
      </c>
      <c r="I190">
        <f t="shared" si="3"/>
        <v>1.8255693938789363E-5</v>
      </c>
    </row>
    <row r="191" spans="1:9" x14ac:dyDescent="0.3">
      <c r="A191" s="5">
        <v>41914</v>
      </c>
      <c r="B191">
        <v>83.099997999999999</v>
      </c>
      <c r="C191">
        <v>83.970000999999996</v>
      </c>
      <c r="D191">
        <v>82.949996999999996</v>
      </c>
      <c r="E191">
        <v>83.050003000000004</v>
      </c>
      <c r="F191">
        <v>63.368431000000001</v>
      </c>
      <c r="G191">
        <v>8858400</v>
      </c>
      <c r="I191">
        <f t="shared" si="3"/>
        <v>1.1691532578543227E-4</v>
      </c>
    </row>
    <row r="192" spans="1:9" x14ac:dyDescent="0.3">
      <c r="A192" s="5">
        <v>41915</v>
      </c>
      <c r="B192">
        <v>83.440002000000007</v>
      </c>
      <c r="C192">
        <v>83.949996999999996</v>
      </c>
      <c r="D192">
        <v>82.879997000000003</v>
      </c>
      <c r="E192">
        <v>83.790001000000004</v>
      </c>
      <c r="F192">
        <v>63.933044000000002</v>
      </c>
      <c r="G192">
        <v>6701500</v>
      </c>
      <c r="I192">
        <f t="shared" si="3"/>
        <v>8.5160267870597914E-5</v>
      </c>
    </row>
    <row r="193" spans="1:9" x14ac:dyDescent="0.3">
      <c r="A193" s="5">
        <v>41918</v>
      </c>
      <c r="B193">
        <v>83.57</v>
      </c>
      <c r="C193">
        <v>83.940002000000007</v>
      </c>
      <c r="D193">
        <v>83.190002000000007</v>
      </c>
      <c r="E193">
        <v>83.57</v>
      </c>
      <c r="F193">
        <v>63.765186</v>
      </c>
      <c r="G193">
        <v>5656500</v>
      </c>
      <c r="I193">
        <f t="shared" si="3"/>
        <v>4.0286059909000206E-5</v>
      </c>
    </row>
    <row r="194" spans="1:9" x14ac:dyDescent="0.3">
      <c r="A194" s="5">
        <v>41919</v>
      </c>
      <c r="B194">
        <v>83.379997000000003</v>
      </c>
      <c r="C194">
        <v>83.919998000000007</v>
      </c>
      <c r="D194">
        <v>83.120002999999997</v>
      </c>
      <c r="E194">
        <v>83.160004000000001</v>
      </c>
      <c r="F194">
        <v>63.452357999999997</v>
      </c>
      <c r="G194">
        <v>7378200</v>
      </c>
      <c r="I194">
        <f t="shared" si="3"/>
        <v>6.0231077568890791E-5</v>
      </c>
    </row>
    <row r="195" spans="1:9" x14ac:dyDescent="0.3">
      <c r="A195" s="5">
        <v>41920</v>
      </c>
      <c r="B195">
        <v>83.339995999999999</v>
      </c>
      <c r="C195">
        <v>84.279999000000004</v>
      </c>
      <c r="D195">
        <v>83.209998999999996</v>
      </c>
      <c r="E195">
        <v>84.18</v>
      </c>
      <c r="F195">
        <v>64.230620999999999</v>
      </c>
      <c r="G195">
        <v>8107100</v>
      </c>
      <c r="I195">
        <f t="shared" si="3"/>
        <v>3.1408193959000778E-5</v>
      </c>
    </row>
    <row r="196" spans="1:9" x14ac:dyDescent="0.3">
      <c r="A196" s="5">
        <v>41921</v>
      </c>
      <c r="B196">
        <v>84.209998999999996</v>
      </c>
      <c r="C196">
        <v>84.879997000000003</v>
      </c>
      <c r="D196">
        <v>83.529999000000004</v>
      </c>
      <c r="E196">
        <v>83.660004000000001</v>
      </c>
      <c r="F196">
        <v>63.833862000000003</v>
      </c>
      <c r="G196">
        <v>7765700</v>
      </c>
      <c r="I196">
        <f t="shared" si="3"/>
        <v>1.2733984997769995E-4</v>
      </c>
    </row>
    <row r="197" spans="1:9" x14ac:dyDescent="0.3">
      <c r="A197" s="5">
        <v>41922</v>
      </c>
      <c r="B197">
        <v>83.949996999999996</v>
      </c>
      <c r="C197">
        <v>85.279999000000004</v>
      </c>
      <c r="D197">
        <v>83.910004000000001</v>
      </c>
      <c r="E197">
        <v>84.690002000000007</v>
      </c>
      <c r="F197">
        <v>64.619759000000002</v>
      </c>
      <c r="G197">
        <v>13732400</v>
      </c>
      <c r="I197">
        <f t="shared" si="3"/>
        <v>1.1353367882260549E-4</v>
      </c>
    </row>
    <row r="198" spans="1:9" x14ac:dyDescent="0.3">
      <c r="A198" s="5">
        <v>41925</v>
      </c>
      <c r="B198">
        <v>84.309997999999993</v>
      </c>
      <c r="C198">
        <v>84.470000999999996</v>
      </c>
      <c r="D198">
        <v>83.309997999999993</v>
      </c>
      <c r="E198">
        <v>83.370002999999997</v>
      </c>
      <c r="F198">
        <v>63.612578999999997</v>
      </c>
      <c r="G198">
        <v>10066100</v>
      </c>
      <c r="I198">
        <f t="shared" si="3"/>
        <v>3.3443480895094536E-5</v>
      </c>
    </row>
    <row r="199" spans="1:9" x14ac:dyDescent="0.3">
      <c r="A199" s="5">
        <v>41926</v>
      </c>
      <c r="B199">
        <v>83.910004000000001</v>
      </c>
      <c r="C199">
        <v>83.910004000000001</v>
      </c>
      <c r="D199">
        <v>83.029999000000004</v>
      </c>
      <c r="E199">
        <v>83.550003000000004</v>
      </c>
      <c r="F199">
        <v>63.749943000000002</v>
      </c>
      <c r="G199">
        <v>8210300</v>
      </c>
      <c r="I199">
        <f t="shared" si="3"/>
        <v>6.5822438720786826E-5</v>
      </c>
    </row>
    <row r="200" spans="1:9" x14ac:dyDescent="0.3">
      <c r="A200" s="5">
        <v>41927</v>
      </c>
      <c r="B200">
        <v>82.589995999999999</v>
      </c>
      <c r="C200">
        <v>83.580001999999993</v>
      </c>
      <c r="D200">
        <v>81.760002</v>
      </c>
      <c r="E200">
        <v>82.949996999999996</v>
      </c>
      <c r="F200">
        <v>63.292110000000001</v>
      </c>
      <c r="G200">
        <v>13283200</v>
      </c>
      <c r="I200">
        <f t="shared" si="3"/>
        <v>2.3610711058713474E-4</v>
      </c>
    </row>
    <row r="201" spans="1:9" x14ac:dyDescent="0.3">
      <c r="A201" s="5">
        <v>41928</v>
      </c>
      <c r="B201">
        <v>81.650002000000001</v>
      </c>
      <c r="C201">
        <v>82.800003000000004</v>
      </c>
      <c r="D201">
        <v>81.569999999999993</v>
      </c>
      <c r="E201">
        <v>82.239998</v>
      </c>
      <c r="F201">
        <v>62.750362000000003</v>
      </c>
      <c r="G201">
        <v>11310200</v>
      </c>
      <c r="I201">
        <f t="shared" si="3"/>
        <v>1.0293424830080243E-4</v>
      </c>
    </row>
    <row r="202" spans="1:9" x14ac:dyDescent="0.3">
      <c r="A202" s="5">
        <v>41929</v>
      </c>
      <c r="B202">
        <v>82.949996999999996</v>
      </c>
      <c r="C202">
        <v>83.480002999999996</v>
      </c>
      <c r="D202">
        <v>82.029999000000004</v>
      </c>
      <c r="E202">
        <v>83.269997000000004</v>
      </c>
      <c r="F202">
        <v>63.536262999999998</v>
      </c>
      <c r="G202">
        <v>11786600</v>
      </c>
      <c r="I202">
        <f t="shared" si="3"/>
        <v>1.8337366079239031E-4</v>
      </c>
    </row>
    <row r="203" spans="1:9" x14ac:dyDescent="0.3">
      <c r="A203" s="5">
        <v>41932</v>
      </c>
      <c r="B203">
        <v>83.25</v>
      </c>
      <c r="C203">
        <v>84.330001999999993</v>
      </c>
      <c r="D203">
        <v>82.830001999999993</v>
      </c>
      <c r="E203">
        <v>84.18</v>
      </c>
      <c r="F203">
        <v>64.230620999999999</v>
      </c>
      <c r="G203">
        <v>8558100</v>
      </c>
      <c r="I203">
        <f t="shared" si="3"/>
        <v>1.0471715340682055E-4</v>
      </c>
    </row>
    <row r="204" spans="1:9" x14ac:dyDescent="0.3">
      <c r="A204" s="5">
        <v>41933</v>
      </c>
      <c r="B204">
        <v>84.470000999999996</v>
      </c>
      <c r="C204">
        <v>84.639999000000003</v>
      </c>
      <c r="D204">
        <v>83.660004000000001</v>
      </c>
      <c r="E204">
        <v>84.610000999999997</v>
      </c>
      <c r="F204">
        <v>64.558730999999995</v>
      </c>
      <c r="G204">
        <v>12389600</v>
      </c>
      <c r="I204">
        <f t="shared" ref="I204:I267" si="4">LN(C204/B204)*(LN(C204/B204)-LN(E204/B204))+LN(D204/B204)*(LN(D204/B204)-LN(E204/B204))</f>
        <v>1.0951087758204424E-4</v>
      </c>
    </row>
    <row r="205" spans="1:9" x14ac:dyDescent="0.3">
      <c r="A205" s="5">
        <v>41934</v>
      </c>
      <c r="B205">
        <v>84.059997999999993</v>
      </c>
      <c r="C205">
        <v>84.589995999999999</v>
      </c>
      <c r="D205">
        <v>83.919998000000007</v>
      </c>
      <c r="E205">
        <v>84.230002999999996</v>
      </c>
      <c r="F205">
        <v>64.761702999999997</v>
      </c>
      <c r="G205">
        <v>9747600</v>
      </c>
      <c r="I205">
        <f t="shared" si="4"/>
        <v>3.2951413387747912E-5</v>
      </c>
    </row>
    <row r="206" spans="1:9" x14ac:dyDescent="0.3">
      <c r="A206" s="5">
        <v>41935</v>
      </c>
      <c r="B206">
        <v>84.260002</v>
      </c>
      <c r="C206">
        <v>84.330001999999993</v>
      </c>
      <c r="D206">
        <v>82.300003000000004</v>
      </c>
      <c r="E206">
        <v>83.230002999999996</v>
      </c>
      <c r="F206">
        <v>63.992820999999999</v>
      </c>
      <c r="G206">
        <v>14292100</v>
      </c>
      <c r="I206">
        <f t="shared" si="4"/>
        <v>2.7537292773751037E-4</v>
      </c>
    </row>
    <row r="207" spans="1:9" x14ac:dyDescent="0.3">
      <c r="A207" s="5">
        <v>41936</v>
      </c>
      <c r="B207">
        <v>85.099997999999999</v>
      </c>
      <c r="C207">
        <v>85.970000999999996</v>
      </c>
      <c r="D207">
        <v>84.910004000000001</v>
      </c>
      <c r="E207">
        <v>85.160004000000001</v>
      </c>
      <c r="F207">
        <v>65.476730000000003</v>
      </c>
      <c r="G207">
        <v>13465600</v>
      </c>
      <c r="I207">
        <f t="shared" si="4"/>
        <v>1.0285887034543174E-4</v>
      </c>
    </row>
    <row r="208" spans="1:9" x14ac:dyDescent="0.3">
      <c r="A208" s="5">
        <v>41939</v>
      </c>
      <c r="B208">
        <v>84.959998999999996</v>
      </c>
      <c r="C208">
        <v>86.480002999999996</v>
      </c>
      <c r="D208">
        <v>84.830001999999993</v>
      </c>
      <c r="E208">
        <v>85.949996999999996</v>
      </c>
      <c r="F208">
        <v>66.084145000000007</v>
      </c>
      <c r="G208">
        <v>10316600</v>
      </c>
      <c r="I208">
        <f t="shared" si="4"/>
        <v>1.2909649603042649E-4</v>
      </c>
    </row>
    <row r="209" spans="1:9" x14ac:dyDescent="0.3">
      <c r="A209" s="5">
        <v>41940</v>
      </c>
      <c r="B209">
        <v>86.199996999999996</v>
      </c>
      <c r="C209">
        <v>86.650002000000001</v>
      </c>
      <c r="D209">
        <v>86.169998000000007</v>
      </c>
      <c r="E209">
        <v>86.470000999999996</v>
      </c>
      <c r="F209">
        <v>66.483947999999998</v>
      </c>
      <c r="G209">
        <v>9437700</v>
      </c>
      <c r="I209">
        <f t="shared" si="4"/>
        <v>1.2037446968894566E-5</v>
      </c>
    </row>
    <row r="210" spans="1:9" x14ac:dyDescent="0.3">
      <c r="A210" s="5">
        <v>41941</v>
      </c>
      <c r="B210">
        <v>86.669998000000007</v>
      </c>
      <c r="C210">
        <v>86.669998000000007</v>
      </c>
      <c r="D210">
        <v>85.910004000000001</v>
      </c>
      <c r="E210">
        <v>86.540001000000004</v>
      </c>
      <c r="F210">
        <v>66.537780999999995</v>
      </c>
      <c r="G210">
        <v>6880600</v>
      </c>
      <c r="I210">
        <f t="shared" si="4"/>
        <v>6.4351651178121646E-5</v>
      </c>
    </row>
    <row r="211" spans="1:9" x14ac:dyDescent="0.3">
      <c r="A211" s="5">
        <v>41942</v>
      </c>
      <c r="B211">
        <v>86.160004000000001</v>
      </c>
      <c r="C211">
        <v>87</v>
      </c>
      <c r="D211">
        <v>85.669998000000007</v>
      </c>
      <c r="E211">
        <v>86.940002000000007</v>
      </c>
      <c r="F211">
        <v>66.845352000000005</v>
      </c>
      <c r="G211">
        <v>5560300</v>
      </c>
      <c r="I211">
        <f t="shared" si="4"/>
        <v>9.0621856124831183E-5</v>
      </c>
    </row>
    <row r="212" spans="1:9" x14ac:dyDescent="0.3">
      <c r="A212" s="5">
        <v>41943</v>
      </c>
      <c r="B212">
        <v>87.080001999999993</v>
      </c>
      <c r="C212">
        <v>87.360000999999997</v>
      </c>
      <c r="D212">
        <v>86.709998999999996</v>
      </c>
      <c r="E212">
        <v>87.269997000000004</v>
      </c>
      <c r="F212">
        <v>67.099036999999996</v>
      </c>
      <c r="G212">
        <v>9359800</v>
      </c>
      <c r="I212">
        <f t="shared" si="4"/>
        <v>3.0720437907700286E-5</v>
      </c>
    </row>
    <row r="213" spans="1:9" x14ac:dyDescent="0.3">
      <c r="A213" s="5">
        <v>41946</v>
      </c>
      <c r="B213">
        <v>86.660004000000001</v>
      </c>
      <c r="C213">
        <v>87.389999000000003</v>
      </c>
      <c r="D213">
        <v>86.199996999999996</v>
      </c>
      <c r="E213">
        <v>87.379997000000003</v>
      </c>
      <c r="F213">
        <v>67.183646999999993</v>
      </c>
      <c r="G213">
        <v>7789500</v>
      </c>
      <c r="I213">
        <f t="shared" si="4"/>
        <v>7.3323694618239652E-5</v>
      </c>
    </row>
    <row r="214" spans="1:9" x14ac:dyDescent="0.3">
      <c r="A214" s="5">
        <v>41947</v>
      </c>
      <c r="B214">
        <v>87.489998</v>
      </c>
      <c r="C214">
        <v>88.870002999999997</v>
      </c>
      <c r="D214">
        <v>87.440002000000007</v>
      </c>
      <c r="E214">
        <v>88.639999000000003</v>
      </c>
      <c r="F214">
        <v>68.152382000000003</v>
      </c>
      <c r="G214">
        <v>10594800</v>
      </c>
      <c r="I214">
        <f t="shared" si="4"/>
        <v>4.8347926270439991E-5</v>
      </c>
    </row>
    <row r="215" spans="1:9" x14ac:dyDescent="0.3">
      <c r="A215" s="5">
        <v>41948</v>
      </c>
      <c r="B215">
        <v>88.739998</v>
      </c>
      <c r="C215">
        <v>89.489998</v>
      </c>
      <c r="D215">
        <v>88.360000999999997</v>
      </c>
      <c r="E215">
        <v>89</v>
      </c>
      <c r="F215">
        <v>68.429198999999997</v>
      </c>
      <c r="G215">
        <v>8462000</v>
      </c>
      <c r="I215">
        <f t="shared" si="4"/>
        <v>7.7179251184222213E-5</v>
      </c>
    </row>
    <row r="216" spans="1:9" x14ac:dyDescent="0.3">
      <c r="A216" s="5">
        <v>41949</v>
      </c>
      <c r="B216">
        <v>89.080001999999993</v>
      </c>
      <c r="C216">
        <v>89.199996999999996</v>
      </c>
      <c r="D216">
        <v>88.57</v>
      </c>
      <c r="E216">
        <v>88.900002000000001</v>
      </c>
      <c r="F216">
        <v>68.352303000000006</v>
      </c>
      <c r="G216">
        <v>6628900</v>
      </c>
      <c r="I216">
        <f t="shared" si="4"/>
        <v>2.5887987658914266E-5</v>
      </c>
    </row>
    <row r="217" spans="1:9" x14ac:dyDescent="0.3">
      <c r="A217" s="5">
        <v>41950</v>
      </c>
      <c r="B217">
        <v>88.739998</v>
      </c>
      <c r="C217">
        <v>89.199996999999996</v>
      </c>
      <c r="D217">
        <v>88.25</v>
      </c>
      <c r="E217">
        <v>89.129997000000003</v>
      </c>
      <c r="F217">
        <v>68.529151999999996</v>
      </c>
      <c r="G217">
        <v>5975700</v>
      </c>
      <c r="I217">
        <f t="shared" si="4"/>
        <v>5.8998754349222634E-5</v>
      </c>
    </row>
    <row r="218" spans="1:9" x14ac:dyDescent="0.3">
      <c r="A218" s="5">
        <v>41953</v>
      </c>
      <c r="B218">
        <v>88.919998000000007</v>
      </c>
      <c r="C218">
        <v>89.5</v>
      </c>
      <c r="D218">
        <v>88.260002</v>
      </c>
      <c r="E218">
        <v>89.449996999999996</v>
      </c>
      <c r="F218">
        <v>68.775146000000007</v>
      </c>
      <c r="G218">
        <v>5927100</v>
      </c>
      <c r="I218">
        <f t="shared" si="4"/>
        <v>1.0340991262588601E-4</v>
      </c>
    </row>
    <row r="219" spans="1:9" x14ac:dyDescent="0.3">
      <c r="A219" s="5">
        <v>41954</v>
      </c>
      <c r="B219">
        <v>89.379997000000003</v>
      </c>
      <c r="C219">
        <v>89.790001000000004</v>
      </c>
      <c r="D219">
        <v>89.169998000000007</v>
      </c>
      <c r="E219">
        <v>89.669998000000007</v>
      </c>
      <c r="F219">
        <v>68.944336000000007</v>
      </c>
      <c r="G219">
        <v>6343900</v>
      </c>
      <c r="I219">
        <f t="shared" si="4"/>
        <v>1.9273775188410949E-5</v>
      </c>
    </row>
    <row r="220" spans="1:9" x14ac:dyDescent="0.3">
      <c r="A220" s="5">
        <v>41955</v>
      </c>
      <c r="B220">
        <v>89.599997999999999</v>
      </c>
      <c r="C220">
        <v>89.879997000000003</v>
      </c>
      <c r="D220">
        <v>89.419998000000007</v>
      </c>
      <c r="E220">
        <v>89.480002999999996</v>
      </c>
      <c r="F220">
        <v>68.798255999999995</v>
      </c>
      <c r="G220">
        <v>6298700</v>
      </c>
      <c r="I220">
        <f t="shared" si="4"/>
        <v>1.5265467655667301E-5</v>
      </c>
    </row>
    <row r="221" spans="1:9" x14ac:dyDescent="0.3">
      <c r="A221" s="5">
        <v>41956</v>
      </c>
      <c r="B221">
        <v>88.940002000000007</v>
      </c>
      <c r="C221">
        <v>89.839995999999999</v>
      </c>
      <c r="D221">
        <v>88.459998999999996</v>
      </c>
      <c r="E221">
        <v>88.599997999999999</v>
      </c>
      <c r="F221">
        <v>68.121643000000006</v>
      </c>
      <c r="G221">
        <v>10191600</v>
      </c>
      <c r="I221">
        <f t="shared" si="4"/>
        <v>1.484906707671232E-4</v>
      </c>
    </row>
    <row r="222" spans="1:9" x14ac:dyDescent="0.3">
      <c r="A222" s="5">
        <v>41957</v>
      </c>
      <c r="B222">
        <v>88.699996999999996</v>
      </c>
      <c r="C222">
        <v>88.889999000000003</v>
      </c>
      <c r="D222">
        <v>87.93</v>
      </c>
      <c r="E222">
        <v>88.110000999999997</v>
      </c>
      <c r="F222">
        <v>67.744904000000005</v>
      </c>
      <c r="G222">
        <v>7559400</v>
      </c>
      <c r="I222">
        <f t="shared" si="4"/>
        <v>3.6689169393621824E-5</v>
      </c>
    </row>
    <row r="223" spans="1:9" x14ac:dyDescent="0.3">
      <c r="A223" s="5">
        <v>41960</v>
      </c>
      <c r="B223">
        <v>88</v>
      </c>
      <c r="C223">
        <v>88.18</v>
      </c>
      <c r="D223">
        <v>87.370002999999997</v>
      </c>
      <c r="E223">
        <v>87.839995999999999</v>
      </c>
      <c r="F223">
        <v>67.537307999999996</v>
      </c>
      <c r="G223">
        <v>9475800</v>
      </c>
      <c r="I223">
        <f t="shared" si="4"/>
        <v>4.6439961095684436E-5</v>
      </c>
    </row>
    <row r="224" spans="1:9" x14ac:dyDescent="0.3">
      <c r="A224" s="5">
        <v>41961</v>
      </c>
      <c r="B224">
        <v>88.019997000000004</v>
      </c>
      <c r="C224">
        <v>88.18</v>
      </c>
      <c r="D224">
        <v>87.489998</v>
      </c>
      <c r="E224">
        <v>87.949996999999996</v>
      </c>
      <c r="F224">
        <v>67.621864000000002</v>
      </c>
      <c r="G224">
        <v>6419400</v>
      </c>
      <c r="I224">
        <f t="shared" si="4"/>
        <v>3.641447009100587E-5</v>
      </c>
    </row>
    <row r="225" spans="1:9" x14ac:dyDescent="0.3">
      <c r="A225" s="5">
        <v>41962</v>
      </c>
      <c r="B225">
        <v>88.239998</v>
      </c>
      <c r="C225">
        <v>88.870002999999997</v>
      </c>
      <c r="D225">
        <v>87.93</v>
      </c>
      <c r="E225">
        <v>88.730002999999996</v>
      </c>
      <c r="F225">
        <v>68.221603000000002</v>
      </c>
      <c r="G225">
        <v>6570400</v>
      </c>
      <c r="I225">
        <f t="shared" si="4"/>
        <v>4.3090781068432102E-5</v>
      </c>
    </row>
    <row r="226" spans="1:9" x14ac:dyDescent="0.3">
      <c r="A226" s="5">
        <v>41963</v>
      </c>
      <c r="B226">
        <v>88.330001999999993</v>
      </c>
      <c r="C226">
        <v>88.800003000000004</v>
      </c>
      <c r="D226">
        <v>88.330001999999993</v>
      </c>
      <c r="E226">
        <v>88.470000999999996</v>
      </c>
      <c r="F226">
        <v>68.021698000000001</v>
      </c>
      <c r="G226">
        <v>5527600</v>
      </c>
      <c r="I226">
        <f t="shared" si="4"/>
        <v>1.9758295520202625E-5</v>
      </c>
    </row>
    <row r="227" spans="1:9" x14ac:dyDescent="0.3">
      <c r="A227" s="5">
        <v>41964</v>
      </c>
      <c r="B227">
        <v>89.260002</v>
      </c>
      <c r="C227">
        <v>89.43</v>
      </c>
      <c r="D227">
        <v>88.459998999999996</v>
      </c>
      <c r="E227">
        <v>88.599997999999999</v>
      </c>
      <c r="F227">
        <v>68.121643000000006</v>
      </c>
      <c r="G227">
        <v>8984100</v>
      </c>
      <c r="I227">
        <f t="shared" si="4"/>
        <v>3.1978741437290915E-5</v>
      </c>
    </row>
    <row r="228" spans="1:9" x14ac:dyDescent="0.3">
      <c r="A228" s="5">
        <v>41967</v>
      </c>
      <c r="B228">
        <v>88.879997000000003</v>
      </c>
      <c r="C228">
        <v>88.889999000000003</v>
      </c>
      <c r="D228">
        <v>87.860000999999997</v>
      </c>
      <c r="E228">
        <v>88.110000999999997</v>
      </c>
      <c r="F228">
        <v>67.744904000000005</v>
      </c>
      <c r="G228">
        <v>5569200</v>
      </c>
      <c r="I228">
        <f t="shared" si="4"/>
        <v>3.3788467282903807E-5</v>
      </c>
    </row>
    <row r="229" spans="1:9" x14ac:dyDescent="0.3">
      <c r="A229" s="5">
        <v>41968</v>
      </c>
      <c r="B229">
        <v>88.360000999999997</v>
      </c>
      <c r="C229">
        <v>88.82</v>
      </c>
      <c r="D229">
        <v>88.080001999999993</v>
      </c>
      <c r="E229">
        <v>88.800003000000004</v>
      </c>
      <c r="F229">
        <v>68.275420999999994</v>
      </c>
      <c r="G229">
        <v>6439700</v>
      </c>
      <c r="I229">
        <f t="shared" si="4"/>
        <v>2.700821550671984E-5</v>
      </c>
    </row>
    <row r="230" spans="1:9" x14ac:dyDescent="0.3">
      <c r="A230" s="5">
        <v>41969</v>
      </c>
      <c r="B230">
        <v>88.830001999999993</v>
      </c>
      <c r="C230">
        <v>88.879997000000003</v>
      </c>
      <c r="D230">
        <v>88.449996999999996</v>
      </c>
      <c r="E230">
        <v>88.879997000000003</v>
      </c>
      <c r="F230">
        <v>68.336913999999993</v>
      </c>
      <c r="G230">
        <v>4420000</v>
      </c>
      <c r="I230">
        <f t="shared" si="4"/>
        <v>2.0791093633467951E-5</v>
      </c>
    </row>
    <row r="231" spans="1:9" x14ac:dyDescent="0.3">
      <c r="A231" s="5">
        <v>41971</v>
      </c>
      <c r="B231">
        <v>89.089995999999999</v>
      </c>
      <c r="C231">
        <v>90.559997999999993</v>
      </c>
      <c r="D231">
        <v>88.970000999999996</v>
      </c>
      <c r="E231">
        <v>90.43</v>
      </c>
      <c r="F231">
        <v>69.528678999999997</v>
      </c>
      <c r="G231">
        <v>7661800</v>
      </c>
      <c r="I231">
        <f t="shared" si="4"/>
        <v>4.5447431322111599E-5</v>
      </c>
    </row>
    <row r="232" spans="1:9" x14ac:dyDescent="0.3">
      <c r="A232" s="5">
        <v>41974</v>
      </c>
      <c r="B232">
        <v>90.169998000000007</v>
      </c>
      <c r="C232">
        <v>90.669998000000007</v>
      </c>
      <c r="D232">
        <v>89.519997000000004</v>
      </c>
      <c r="E232">
        <v>90.080001999999993</v>
      </c>
      <c r="F232">
        <v>69.259559999999993</v>
      </c>
      <c r="G232">
        <v>6745100</v>
      </c>
      <c r="I232">
        <f t="shared" si="4"/>
        <v>8.1217016048105748E-5</v>
      </c>
    </row>
    <row r="233" spans="1:9" x14ac:dyDescent="0.3">
      <c r="A233" s="5">
        <v>41975</v>
      </c>
      <c r="B233">
        <v>90.440002000000007</v>
      </c>
      <c r="C233">
        <v>91.169998000000007</v>
      </c>
      <c r="D233">
        <v>90.120002999999997</v>
      </c>
      <c r="E233">
        <v>91.07</v>
      </c>
      <c r="F233">
        <v>70.020720999999995</v>
      </c>
      <c r="G233">
        <v>7432900</v>
      </c>
      <c r="I233">
        <f t="shared" si="4"/>
        <v>4.599136184762846E-5</v>
      </c>
    </row>
    <row r="234" spans="1:9" x14ac:dyDescent="0.3">
      <c r="A234" s="5">
        <v>41976</v>
      </c>
      <c r="B234">
        <v>90.839995999999999</v>
      </c>
      <c r="C234">
        <v>90.970000999999996</v>
      </c>
      <c r="D234">
        <v>89.639999000000003</v>
      </c>
      <c r="E234">
        <v>90</v>
      </c>
      <c r="F234">
        <v>69.198059000000001</v>
      </c>
      <c r="G234">
        <v>6465600</v>
      </c>
      <c r="I234">
        <f t="shared" si="4"/>
        <v>6.8630016425502829E-5</v>
      </c>
    </row>
    <row r="235" spans="1:9" x14ac:dyDescent="0.3">
      <c r="A235" s="5">
        <v>41977</v>
      </c>
      <c r="B235">
        <v>90.5</v>
      </c>
      <c r="C235">
        <v>90.940002000000007</v>
      </c>
      <c r="D235">
        <v>90.099997999999999</v>
      </c>
      <c r="E235">
        <v>90.580001999999993</v>
      </c>
      <c r="F235">
        <v>69.643996999999999</v>
      </c>
      <c r="G235">
        <v>6406700</v>
      </c>
      <c r="I235">
        <f t="shared" si="4"/>
        <v>4.2774496968419007E-5</v>
      </c>
    </row>
    <row r="236" spans="1:9" x14ac:dyDescent="0.3">
      <c r="A236" s="5">
        <v>41978</v>
      </c>
      <c r="B236">
        <v>90.32</v>
      </c>
      <c r="C236">
        <v>90.419998000000007</v>
      </c>
      <c r="D236">
        <v>89.209998999999996</v>
      </c>
      <c r="E236">
        <v>90.379997000000003</v>
      </c>
      <c r="F236">
        <v>69.490218999999996</v>
      </c>
      <c r="G236">
        <v>6383400</v>
      </c>
      <c r="I236">
        <f t="shared" si="4"/>
        <v>1.6161391177259158E-4</v>
      </c>
    </row>
    <row r="237" spans="1:9" x14ac:dyDescent="0.3">
      <c r="A237" s="5">
        <v>41981</v>
      </c>
      <c r="B237">
        <v>90.339995999999999</v>
      </c>
      <c r="C237">
        <v>91</v>
      </c>
      <c r="D237">
        <v>90.32</v>
      </c>
      <c r="E237">
        <v>90.760002</v>
      </c>
      <c r="F237">
        <v>69.782387</v>
      </c>
      <c r="G237">
        <v>4721900</v>
      </c>
      <c r="I237">
        <f t="shared" si="4"/>
        <v>2.0298931141201197E-5</v>
      </c>
    </row>
    <row r="238" spans="1:9" x14ac:dyDescent="0.3">
      <c r="A238" s="5">
        <v>41982</v>
      </c>
      <c r="B238">
        <v>90.470000999999996</v>
      </c>
      <c r="C238">
        <v>90.779999000000004</v>
      </c>
      <c r="D238">
        <v>89.870002999999997</v>
      </c>
      <c r="E238">
        <v>90.709998999999996</v>
      </c>
      <c r="F238">
        <v>69.743965000000003</v>
      </c>
      <c r="G238">
        <v>5704000</v>
      </c>
      <c r="I238">
        <f t="shared" si="4"/>
        <v>6.4544291166083984E-5</v>
      </c>
    </row>
    <row r="239" spans="1:9" x14ac:dyDescent="0.3">
      <c r="A239" s="5">
        <v>41983</v>
      </c>
      <c r="B239">
        <v>90.949996999999996</v>
      </c>
      <c r="C239">
        <v>91.099997999999999</v>
      </c>
      <c r="D239">
        <v>89.959998999999996</v>
      </c>
      <c r="E239">
        <v>90</v>
      </c>
      <c r="F239">
        <v>69.198059000000001</v>
      </c>
      <c r="G239">
        <v>6293300</v>
      </c>
      <c r="I239">
        <f t="shared" si="4"/>
        <v>2.4884538209833479E-5</v>
      </c>
    </row>
    <row r="240" spans="1:9" x14ac:dyDescent="0.3">
      <c r="A240" s="5">
        <v>41984</v>
      </c>
      <c r="B240">
        <v>90</v>
      </c>
      <c r="C240">
        <v>91.279999000000004</v>
      </c>
      <c r="D240">
        <v>89.980002999999996</v>
      </c>
      <c r="E240">
        <v>90.410004000000001</v>
      </c>
      <c r="F240">
        <v>69.513306</v>
      </c>
      <c r="G240">
        <v>6468700</v>
      </c>
      <c r="I240">
        <f t="shared" si="4"/>
        <v>1.3630276896043578E-4</v>
      </c>
    </row>
    <row r="241" spans="1:9" x14ac:dyDescent="0.3">
      <c r="A241" s="5">
        <v>41985</v>
      </c>
      <c r="B241">
        <v>90.010002</v>
      </c>
      <c r="C241">
        <v>90.970000999999996</v>
      </c>
      <c r="D241">
        <v>89.529999000000004</v>
      </c>
      <c r="E241">
        <v>89.550003000000004</v>
      </c>
      <c r="F241">
        <v>68.852089000000007</v>
      </c>
      <c r="G241">
        <v>6574600</v>
      </c>
      <c r="I241">
        <f t="shared" si="4"/>
        <v>1.6810198225910482E-4</v>
      </c>
    </row>
    <row r="242" spans="1:9" x14ac:dyDescent="0.3">
      <c r="A242" s="5">
        <v>41988</v>
      </c>
      <c r="B242">
        <v>89.699996999999996</v>
      </c>
      <c r="C242">
        <v>90.599997999999999</v>
      </c>
      <c r="D242">
        <v>89.029999000000004</v>
      </c>
      <c r="E242">
        <v>89.199996999999996</v>
      </c>
      <c r="F242">
        <v>68.582970000000003</v>
      </c>
      <c r="G242">
        <v>6511900</v>
      </c>
      <c r="I242">
        <f t="shared" si="4"/>
        <v>1.6977634420860743E-4</v>
      </c>
    </row>
    <row r="243" spans="1:9" x14ac:dyDescent="0.3">
      <c r="A243" s="5">
        <v>41989</v>
      </c>
      <c r="B243">
        <v>89.139999000000003</v>
      </c>
      <c r="C243">
        <v>90.959998999999996</v>
      </c>
      <c r="D243">
        <v>88.379997000000003</v>
      </c>
      <c r="E243">
        <v>89.360000999999997</v>
      </c>
      <c r="F243">
        <v>68.705985999999996</v>
      </c>
      <c r="G243">
        <v>8773800</v>
      </c>
      <c r="I243">
        <f t="shared" si="4"/>
        <v>4.5311296980186401E-4</v>
      </c>
    </row>
    <row r="244" spans="1:9" x14ac:dyDescent="0.3">
      <c r="A244" s="5">
        <v>41990</v>
      </c>
      <c r="B244">
        <v>89.559997999999993</v>
      </c>
      <c r="C244">
        <v>91.160004000000001</v>
      </c>
      <c r="D244">
        <v>89.400002000000001</v>
      </c>
      <c r="E244">
        <v>90.699996999999996</v>
      </c>
      <c r="F244">
        <v>69.736275000000006</v>
      </c>
      <c r="G244">
        <v>7412700</v>
      </c>
      <c r="I244">
        <f t="shared" si="4"/>
        <v>1.1539440535912643E-4</v>
      </c>
    </row>
    <row r="245" spans="1:9" x14ac:dyDescent="0.3">
      <c r="A245" s="5">
        <v>41991</v>
      </c>
      <c r="B245">
        <v>91.010002</v>
      </c>
      <c r="C245">
        <v>92</v>
      </c>
      <c r="D245">
        <v>90.550003000000004</v>
      </c>
      <c r="E245">
        <v>92</v>
      </c>
      <c r="F245">
        <v>70.735793999999999</v>
      </c>
      <c r="G245">
        <v>8724500</v>
      </c>
      <c r="I245">
        <f t="shared" si="4"/>
        <v>8.0499283537757336E-5</v>
      </c>
    </row>
    <row r="246" spans="1:9" x14ac:dyDescent="0.3">
      <c r="A246" s="5">
        <v>41992</v>
      </c>
      <c r="B246">
        <v>92.150002000000001</v>
      </c>
      <c r="C246">
        <v>92.730002999999996</v>
      </c>
      <c r="D246">
        <v>91.760002</v>
      </c>
      <c r="E246">
        <v>92.050003000000004</v>
      </c>
      <c r="F246">
        <v>70.774246000000005</v>
      </c>
      <c r="G246">
        <v>14037800</v>
      </c>
      <c r="I246">
        <f t="shared" si="4"/>
        <v>5.9563143472147091E-5</v>
      </c>
    </row>
    <row r="247" spans="1:9" x14ac:dyDescent="0.3">
      <c r="A247" s="5">
        <v>41995</v>
      </c>
      <c r="B247">
        <v>92.099997999999999</v>
      </c>
      <c r="C247">
        <v>92.730002999999996</v>
      </c>
      <c r="D247">
        <v>92</v>
      </c>
      <c r="E247">
        <v>92.599997999999999</v>
      </c>
      <c r="F247">
        <v>71.197104999999993</v>
      </c>
      <c r="G247">
        <v>7157100</v>
      </c>
      <c r="I247">
        <f t="shared" si="4"/>
        <v>1.6626006065394165E-5</v>
      </c>
    </row>
    <row r="248" spans="1:9" x14ac:dyDescent="0.3">
      <c r="A248" s="5">
        <v>41996</v>
      </c>
      <c r="B248">
        <v>92.739998</v>
      </c>
      <c r="C248">
        <v>93.480002999999996</v>
      </c>
      <c r="D248">
        <v>92.699996999999996</v>
      </c>
      <c r="E248">
        <v>93.290001000000004</v>
      </c>
      <c r="F248">
        <v>71.727615</v>
      </c>
      <c r="G248">
        <v>5610600</v>
      </c>
      <c r="I248">
        <f t="shared" si="4"/>
        <v>1.8907561327333424E-5</v>
      </c>
    </row>
    <row r="249" spans="1:9" x14ac:dyDescent="0.3">
      <c r="A249" s="5">
        <v>41997</v>
      </c>
      <c r="B249">
        <v>93.5</v>
      </c>
      <c r="C249">
        <v>93.889999000000003</v>
      </c>
      <c r="D249">
        <v>93.139999000000003</v>
      </c>
      <c r="E249">
        <v>93.139999000000003</v>
      </c>
      <c r="F249">
        <v>71.612296999999998</v>
      </c>
      <c r="G249">
        <v>2403000</v>
      </c>
      <c r="I249">
        <f t="shared" si="4"/>
        <v>3.3383358401004603E-5</v>
      </c>
    </row>
    <row r="250" spans="1:9" x14ac:dyDescent="0.3">
      <c r="A250" s="5">
        <v>41999</v>
      </c>
      <c r="B250">
        <v>93.150002000000001</v>
      </c>
      <c r="C250">
        <v>93.809997999999993</v>
      </c>
      <c r="D250">
        <v>93.059997999999993</v>
      </c>
      <c r="E250">
        <v>93.459998999999996</v>
      </c>
      <c r="F250">
        <v>71.858322000000001</v>
      </c>
      <c r="G250">
        <v>3148700</v>
      </c>
      <c r="I250">
        <f t="shared" si="4"/>
        <v>3.0537104790870577E-5</v>
      </c>
    </row>
    <row r="251" spans="1:9" x14ac:dyDescent="0.3">
      <c r="A251" s="5">
        <v>42002</v>
      </c>
      <c r="B251">
        <v>93.120002999999997</v>
      </c>
      <c r="C251">
        <v>93.43</v>
      </c>
      <c r="D251">
        <v>92.5</v>
      </c>
      <c r="E251">
        <v>92.639999000000003</v>
      </c>
      <c r="F251">
        <v>71.227858999999995</v>
      </c>
      <c r="G251">
        <v>4657700</v>
      </c>
      <c r="I251">
        <f t="shared" si="4"/>
        <v>3.8324384584043662E-5</v>
      </c>
    </row>
    <row r="252" spans="1:9" x14ac:dyDescent="0.3">
      <c r="A252" s="5">
        <v>42003</v>
      </c>
      <c r="B252">
        <v>92.25</v>
      </c>
      <c r="C252">
        <v>92.82</v>
      </c>
      <c r="D252">
        <v>92.099997999999999</v>
      </c>
      <c r="E252">
        <v>92.400002000000001</v>
      </c>
      <c r="F252">
        <v>71.043364999999994</v>
      </c>
      <c r="G252">
        <v>4730000</v>
      </c>
      <c r="I252">
        <f t="shared" si="4"/>
        <v>3.3228053603459007E-5</v>
      </c>
    </row>
    <row r="253" spans="1:9" x14ac:dyDescent="0.3">
      <c r="A253" s="5">
        <v>42004</v>
      </c>
      <c r="B253">
        <v>92.040001000000004</v>
      </c>
      <c r="C253">
        <v>92.550003000000004</v>
      </c>
      <c r="D253">
        <v>91.029999000000004</v>
      </c>
      <c r="E253">
        <v>91.089995999999999</v>
      </c>
      <c r="F253">
        <v>70.036102</v>
      </c>
      <c r="G253">
        <v>5712100</v>
      </c>
      <c r="I253">
        <f t="shared" si="4"/>
        <v>9.5136267686741471E-5</v>
      </c>
    </row>
    <row r="254" spans="1:9" x14ac:dyDescent="0.3">
      <c r="A254" s="5">
        <v>42006</v>
      </c>
      <c r="B254">
        <v>90.839995999999999</v>
      </c>
      <c r="C254">
        <v>91</v>
      </c>
      <c r="D254">
        <v>89.919998000000007</v>
      </c>
      <c r="E254">
        <v>90.440002000000007</v>
      </c>
      <c r="F254">
        <v>69.536368999999993</v>
      </c>
      <c r="G254">
        <v>7251400</v>
      </c>
      <c r="I254">
        <f t="shared" si="4"/>
        <v>6.9560172607894047E-5</v>
      </c>
    </row>
    <row r="255" spans="1:9" x14ac:dyDescent="0.3">
      <c r="A255" s="5">
        <v>42009</v>
      </c>
      <c r="B255">
        <v>90.230002999999996</v>
      </c>
      <c r="C255">
        <v>91</v>
      </c>
      <c r="D255">
        <v>89.849997999999999</v>
      </c>
      <c r="E255">
        <v>90.010002</v>
      </c>
      <c r="F255">
        <v>69.205742000000001</v>
      </c>
      <c r="G255">
        <v>8626100</v>
      </c>
      <c r="I255">
        <f t="shared" si="4"/>
        <v>1.00460737334605E-4</v>
      </c>
    </row>
    <row r="256" spans="1:9" x14ac:dyDescent="0.3">
      <c r="A256" s="5">
        <v>42010</v>
      </c>
      <c r="B256">
        <v>90.309997999999993</v>
      </c>
      <c r="C256">
        <v>90.559997999999993</v>
      </c>
      <c r="D256">
        <v>89.260002</v>
      </c>
      <c r="E256">
        <v>89.599997999999999</v>
      </c>
      <c r="F256">
        <v>68.890540999999999</v>
      </c>
      <c r="G256">
        <v>7791200</v>
      </c>
      <c r="I256">
        <f t="shared" si="4"/>
        <v>7.3922289732054634E-5</v>
      </c>
    </row>
    <row r="257" spans="1:9" x14ac:dyDescent="0.3">
      <c r="A257" s="5">
        <v>42011</v>
      </c>
      <c r="B257">
        <v>89.940002000000007</v>
      </c>
      <c r="C257">
        <v>90.370002999999997</v>
      </c>
      <c r="D257">
        <v>89.559997999999993</v>
      </c>
      <c r="E257">
        <v>90.07</v>
      </c>
      <c r="F257">
        <v>69.251876999999993</v>
      </c>
      <c r="G257">
        <v>5986600</v>
      </c>
      <c r="I257">
        <f t="shared" si="4"/>
        <v>3.9902455965569079E-5</v>
      </c>
    </row>
    <row r="258" spans="1:9" x14ac:dyDescent="0.3">
      <c r="A258" s="5">
        <v>42012</v>
      </c>
      <c r="B258">
        <v>90.480002999999996</v>
      </c>
      <c r="C258">
        <v>91.230002999999996</v>
      </c>
      <c r="D258">
        <v>90.129997000000003</v>
      </c>
      <c r="E258">
        <v>91.099997999999999</v>
      </c>
      <c r="F258">
        <v>70.043800000000005</v>
      </c>
      <c r="G258">
        <v>6823300</v>
      </c>
      <c r="I258">
        <f t="shared" si="4"/>
        <v>5.3261626315797196E-5</v>
      </c>
    </row>
    <row r="259" spans="1:9" x14ac:dyDescent="0.3">
      <c r="A259" s="5">
        <v>42013</v>
      </c>
      <c r="B259">
        <v>91.18</v>
      </c>
      <c r="C259">
        <v>91.18</v>
      </c>
      <c r="D259">
        <v>90.120002999999997</v>
      </c>
      <c r="E259">
        <v>90.25</v>
      </c>
      <c r="F259">
        <v>69.390274000000005</v>
      </c>
      <c r="G259">
        <v>4872800</v>
      </c>
      <c r="I259">
        <f t="shared" si="4"/>
        <v>1.6855469632890489E-5</v>
      </c>
    </row>
    <row r="260" spans="1:9" x14ac:dyDescent="0.3">
      <c r="A260" s="5">
        <v>42016</v>
      </c>
      <c r="B260">
        <v>90.480002999999996</v>
      </c>
      <c r="C260">
        <v>90.620002999999997</v>
      </c>
      <c r="D260">
        <v>89.510002</v>
      </c>
      <c r="E260">
        <v>89.919998000000007</v>
      </c>
      <c r="F260">
        <v>69.136550999999997</v>
      </c>
      <c r="G260">
        <v>5250900</v>
      </c>
      <c r="I260">
        <f t="shared" si="4"/>
        <v>6.124706408828106E-5</v>
      </c>
    </row>
    <row r="261" spans="1:9" x14ac:dyDescent="0.3">
      <c r="A261" s="5">
        <v>42017</v>
      </c>
      <c r="B261">
        <v>90.779999000000004</v>
      </c>
      <c r="C261">
        <v>91.5</v>
      </c>
      <c r="D261">
        <v>89.769997000000004</v>
      </c>
      <c r="E261">
        <v>90.300003000000004</v>
      </c>
      <c r="F261">
        <v>69.428741000000002</v>
      </c>
      <c r="G261">
        <v>6727100</v>
      </c>
      <c r="I261">
        <f t="shared" si="4"/>
        <v>1.7015274673513534E-4</v>
      </c>
    </row>
    <row r="262" spans="1:9" x14ac:dyDescent="0.3">
      <c r="A262" s="5">
        <v>42018</v>
      </c>
      <c r="B262">
        <v>89.730002999999996</v>
      </c>
      <c r="C262">
        <v>90.160004000000001</v>
      </c>
      <c r="D262">
        <v>89.43</v>
      </c>
      <c r="E262">
        <v>89.989998</v>
      </c>
      <c r="F262">
        <v>69.190369000000004</v>
      </c>
      <c r="G262">
        <v>6418200</v>
      </c>
      <c r="I262">
        <f t="shared" si="4"/>
        <v>2.9928617793335741E-5</v>
      </c>
    </row>
    <row r="263" spans="1:9" x14ac:dyDescent="0.3">
      <c r="A263" s="5">
        <v>42019</v>
      </c>
      <c r="B263">
        <v>90.489998</v>
      </c>
      <c r="C263">
        <v>90.5</v>
      </c>
      <c r="D263">
        <v>89.339995999999999</v>
      </c>
      <c r="E263">
        <v>89.860000999999997</v>
      </c>
      <c r="F263">
        <v>69.090416000000005</v>
      </c>
      <c r="G263">
        <v>6768200</v>
      </c>
      <c r="I263">
        <f t="shared" si="4"/>
        <v>7.5013307925499276E-5</v>
      </c>
    </row>
    <row r="264" spans="1:9" x14ac:dyDescent="0.3">
      <c r="A264" s="5">
        <v>42020</v>
      </c>
      <c r="B264">
        <v>89.949996999999996</v>
      </c>
      <c r="C264">
        <v>91.339995999999999</v>
      </c>
      <c r="D264">
        <v>89.870002999999997</v>
      </c>
      <c r="E264">
        <v>91.25</v>
      </c>
      <c r="F264">
        <v>70.159148999999999</v>
      </c>
      <c r="G264">
        <v>8815700</v>
      </c>
      <c r="I264">
        <f t="shared" si="4"/>
        <v>2.867476823933821E-5</v>
      </c>
    </row>
    <row r="265" spans="1:9" x14ac:dyDescent="0.3">
      <c r="A265" s="5">
        <v>42024</v>
      </c>
      <c r="B265">
        <v>91.25</v>
      </c>
      <c r="C265">
        <v>91.790001000000004</v>
      </c>
      <c r="D265">
        <v>90.5</v>
      </c>
      <c r="E265">
        <v>91.190002000000007</v>
      </c>
      <c r="F265">
        <v>70.113022000000001</v>
      </c>
      <c r="G265">
        <v>9869900</v>
      </c>
      <c r="I265">
        <f t="shared" si="4"/>
        <v>1.0138132522272855E-4</v>
      </c>
    </row>
    <row r="266" spans="1:9" x14ac:dyDescent="0.3">
      <c r="A266" s="5">
        <v>42025</v>
      </c>
      <c r="B266">
        <v>90.400002000000001</v>
      </c>
      <c r="C266">
        <v>91.190002000000007</v>
      </c>
      <c r="D266">
        <v>89.629997000000003</v>
      </c>
      <c r="E266">
        <v>90.730002999999996</v>
      </c>
      <c r="F266">
        <v>70.255516</v>
      </c>
      <c r="G266">
        <v>6974500</v>
      </c>
      <c r="I266">
        <f t="shared" si="4"/>
        <v>1.4834725577135042E-4</v>
      </c>
    </row>
    <row r="267" spans="1:9" x14ac:dyDescent="0.3">
      <c r="A267" s="5">
        <v>42026</v>
      </c>
      <c r="B267">
        <v>91.040001000000004</v>
      </c>
      <c r="C267">
        <v>91.690002000000007</v>
      </c>
      <c r="D267">
        <v>89.870002999999997</v>
      </c>
      <c r="E267">
        <v>91.620002999999997</v>
      </c>
      <c r="F267">
        <v>70.944655999999995</v>
      </c>
      <c r="G267">
        <v>7211200</v>
      </c>
      <c r="I267">
        <f t="shared" si="4"/>
        <v>2.54885621706678E-4</v>
      </c>
    </row>
    <row r="268" spans="1:9" x14ac:dyDescent="0.3">
      <c r="A268" s="5">
        <v>42027</v>
      </c>
      <c r="B268">
        <v>91.169998000000007</v>
      </c>
      <c r="C268">
        <v>91.190002000000007</v>
      </c>
      <c r="D268">
        <v>89.949996999999996</v>
      </c>
      <c r="E268">
        <v>90.080001999999993</v>
      </c>
      <c r="F268">
        <v>69.752182000000005</v>
      </c>
      <c r="G268">
        <v>6745700</v>
      </c>
      <c r="I268">
        <f t="shared" ref="I268:I331" si="5">LN(C268/B268)*(LN(C268/B268)-LN(E268/B268))+LN(D268/B268)*(LN(D268/B268)-LN(E268/B268))</f>
        <v>2.2143876500573481E-5</v>
      </c>
    </row>
    <row r="269" spans="1:9" x14ac:dyDescent="0.3">
      <c r="A269" s="5">
        <v>42030</v>
      </c>
      <c r="B269">
        <v>89.949996999999996</v>
      </c>
      <c r="C269">
        <v>89.949996999999996</v>
      </c>
      <c r="D269">
        <v>88.739998</v>
      </c>
      <c r="E269">
        <v>89.580001999999993</v>
      </c>
      <c r="F269">
        <v>69.364982999999995</v>
      </c>
      <c r="G269">
        <v>9371700</v>
      </c>
      <c r="I269">
        <f t="shared" si="5"/>
        <v>1.2759566366750318E-4</v>
      </c>
    </row>
    <row r="270" spans="1:9" x14ac:dyDescent="0.3">
      <c r="A270" s="5">
        <v>42031</v>
      </c>
      <c r="B270">
        <v>87.099997999999999</v>
      </c>
      <c r="C270">
        <v>87.209998999999996</v>
      </c>
      <c r="D270">
        <v>86.019997000000004</v>
      </c>
      <c r="E270">
        <v>86.489998</v>
      </c>
      <c r="F270">
        <v>66.972342999999995</v>
      </c>
      <c r="G270">
        <v>14417400</v>
      </c>
      <c r="I270">
        <f t="shared" si="5"/>
        <v>7.8450690868350344E-5</v>
      </c>
    </row>
    <row r="271" spans="1:9" x14ac:dyDescent="0.3">
      <c r="A271" s="5">
        <v>42032</v>
      </c>
      <c r="B271">
        <v>86.629997000000003</v>
      </c>
      <c r="C271">
        <v>86.910004000000001</v>
      </c>
      <c r="D271">
        <v>85.010002</v>
      </c>
      <c r="E271">
        <v>85.150002000000001</v>
      </c>
      <c r="F271">
        <v>65.934708000000001</v>
      </c>
      <c r="G271">
        <v>14033400</v>
      </c>
      <c r="I271">
        <f t="shared" si="5"/>
        <v>9.708304700080023E-5</v>
      </c>
    </row>
    <row r="272" spans="1:9" x14ac:dyDescent="0.3">
      <c r="A272" s="5">
        <v>42033</v>
      </c>
      <c r="B272">
        <v>85.779999000000004</v>
      </c>
      <c r="C272">
        <v>86.110000999999997</v>
      </c>
      <c r="D272">
        <v>85.150002000000001</v>
      </c>
      <c r="E272">
        <v>85.669998000000007</v>
      </c>
      <c r="F272">
        <v>66.337356999999997</v>
      </c>
      <c r="G272">
        <v>12054500</v>
      </c>
      <c r="I272">
        <f t="shared" si="5"/>
        <v>6.454944234489778E-5</v>
      </c>
    </row>
    <row r="273" spans="1:9" x14ac:dyDescent="0.3">
      <c r="A273" s="5">
        <v>42034</v>
      </c>
      <c r="B273">
        <v>85.089995999999999</v>
      </c>
      <c r="C273">
        <v>85.220000999999996</v>
      </c>
      <c r="D273">
        <v>84.25</v>
      </c>
      <c r="E273">
        <v>84.290001000000004</v>
      </c>
      <c r="F273">
        <v>65.268783999999997</v>
      </c>
      <c r="G273">
        <v>14685300</v>
      </c>
      <c r="I273">
        <f t="shared" si="5"/>
        <v>2.1461425748528771E-5</v>
      </c>
    </row>
    <row r="274" spans="1:9" x14ac:dyDescent="0.3">
      <c r="A274" s="5">
        <v>42037</v>
      </c>
      <c r="B274">
        <v>84.580001999999993</v>
      </c>
      <c r="C274">
        <v>85.139999000000003</v>
      </c>
      <c r="D274">
        <v>83.68</v>
      </c>
      <c r="E274">
        <v>85.120002999999997</v>
      </c>
      <c r="F274">
        <v>65.911468999999997</v>
      </c>
      <c r="G274">
        <v>10278700</v>
      </c>
      <c r="I274">
        <f t="shared" si="5"/>
        <v>1.8407750237683232E-4</v>
      </c>
    </row>
    <row r="275" spans="1:9" x14ac:dyDescent="0.3">
      <c r="A275" s="5">
        <v>42038</v>
      </c>
      <c r="B275">
        <v>85.949996999999996</v>
      </c>
      <c r="C275">
        <v>86</v>
      </c>
      <c r="D275">
        <v>85.120002999999997</v>
      </c>
      <c r="E275">
        <v>85.949996999999996</v>
      </c>
      <c r="F275">
        <v>66.554160999999993</v>
      </c>
      <c r="G275">
        <v>10747900</v>
      </c>
      <c r="I275">
        <f t="shared" si="5"/>
        <v>9.4498811090924962E-5</v>
      </c>
    </row>
    <row r="276" spans="1:9" x14ac:dyDescent="0.3">
      <c r="A276" s="5">
        <v>42039</v>
      </c>
      <c r="B276">
        <v>85.889999000000003</v>
      </c>
      <c r="C276">
        <v>86.480002999999996</v>
      </c>
      <c r="D276">
        <v>85.550003000000004</v>
      </c>
      <c r="E276">
        <v>85.790001000000004</v>
      </c>
      <c r="F276">
        <v>66.430274999999995</v>
      </c>
      <c r="G276">
        <v>9212800</v>
      </c>
      <c r="I276">
        <f t="shared" si="5"/>
        <v>6.5951530941733727E-5</v>
      </c>
    </row>
    <row r="277" spans="1:9" x14ac:dyDescent="0.3">
      <c r="A277" s="5">
        <v>42040</v>
      </c>
      <c r="B277">
        <v>86.239998</v>
      </c>
      <c r="C277">
        <v>86.779999000000004</v>
      </c>
      <c r="D277">
        <v>86.099997999999999</v>
      </c>
      <c r="E277">
        <v>86.699996999999996</v>
      </c>
      <c r="F277">
        <v>67.134911000000002</v>
      </c>
      <c r="G277">
        <v>6531300</v>
      </c>
      <c r="I277">
        <f t="shared" si="5"/>
        <v>1.7039833958241495E-5</v>
      </c>
    </row>
    <row r="278" spans="1:9" x14ac:dyDescent="0.3">
      <c r="A278" s="5">
        <v>42041</v>
      </c>
      <c r="B278">
        <v>86.559997999999993</v>
      </c>
      <c r="C278">
        <v>86.610000999999997</v>
      </c>
      <c r="D278">
        <v>85.150002000000001</v>
      </c>
      <c r="E278">
        <v>85.610000999999997</v>
      </c>
      <c r="F278">
        <v>66.290901000000005</v>
      </c>
      <c r="G278">
        <v>8429800</v>
      </c>
      <c r="I278">
        <f t="shared" si="5"/>
        <v>9.5190448541187579E-5</v>
      </c>
    </row>
    <row r="279" spans="1:9" x14ac:dyDescent="0.3">
      <c r="A279" s="5">
        <v>42044</v>
      </c>
      <c r="B279">
        <v>85.309997999999993</v>
      </c>
      <c r="C279">
        <v>85.43</v>
      </c>
      <c r="D279">
        <v>84.589995999999999</v>
      </c>
      <c r="E279">
        <v>85.050003000000004</v>
      </c>
      <c r="F279">
        <v>65.857269000000002</v>
      </c>
      <c r="G279">
        <v>8811500</v>
      </c>
      <c r="I279">
        <f t="shared" si="5"/>
        <v>5.2232803940065924E-5</v>
      </c>
    </row>
    <row r="280" spans="1:9" x14ac:dyDescent="0.3">
      <c r="A280" s="5">
        <v>42045</v>
      </c>
      <c r="B280">
        <v>85.330001999999993</v>
      </c>
      <c r="C280">
        <v>85.57</v>
      </c>
      <c r="D280">
        <v>84.82</v>
      </c>
      <c r="E280">
        <v>85.389999000000003</v>
      </c>
      <c r="F280">
        <v>66.120543999999995</v>
      </c>
      <c r="G280">
        <v>7059300</v>
      </c>
      <c r="I280">
        <f t="shared" si="5"/>
        <v>4.6064925031575303E-5</v>
      </c>
    </row>
    <row r="281" spans="1:9" x14ac:dyDescent="0.3">
      <c r="A281" s="5">
        <v>42046</v>
      </c>
      <c r="B281">
        <v>85.949996999999996</v>
      </c>
      <c r="C281">
        <v>86.199996999999996</v>
      </c>
      <c r="D281">
        <v>85.150002000000001</v>
      </c>
      <c r="E281">
        <v>85.639999000000003</v>
      </c>
      <c r="F281">
        <v>66.314109999999999</v>
      </c>
      <c r="G281">
        <v>7184600</v>
      </c>
      <c r="I281">
        <f t="shared" si="5"/>
        <v>7.2588047417193507E-5</v>
      </c>
    </row>
    <row r="282" spans="1:9" x14ac:dyDescent="0.3">
      <c r="A282" s="5">
        <v>42047</v>
      </c>
      <c r="B282">
        <v>86.059997999999993</v>
      </c>
      <c r="C282">
        <v>86.150002000000001</v>
      </c>
      <c r="D282">
        <v>85.410004000000001</v>
      </c>
      <c r="E282">
        <v>86.029999000000004</v>
      </c>
      <c r="F282">
        <v>66.616112000000001</v>
      </c>
      <c r="G282">
        <v>6074600</v>
      </c>
      <c r="I282">
        <f t="shared" si="5"/>
        <v>5.6292465801874952E-5</v>
      </c>
    </row>
    <row r="283" spans="1:9" x14ac:dyDescent="0.3">
      <c r="A283" s="5">
        <v>42048</v>
      </c>
      <c r="B283">
        <v>86.029999000000004</v>
      </c>
      <c r="C283">
        <v>86.150002000000001</v>
      </c>
      <c r="D283">
        <v>85.5</v>
      </c>
      <c r="E283">
        <v>85.900002000000001</v>
      </c>
      <c r="F283">
        <v>66.515441999999993</v>
      </c>
      <c r="G283">
        <v>6272000</v>
      </c>
      <c r="I283">
        <f t="shared" si="5"/>
        <v>3.2894467019764333E-5</v>
      </c>
    </row>
    <row r="284" spans="1:9" x14ac:dyDescent="0.3">
      <c r="A284" s="5">
        <v>42052</v>
      </c>
      <c r="B284">
        <v>86.059997999999993</v>
      </c>
      <c r="C284">
        <v>86.059997999999993</v>
      </c>
      <c r="D284">
        <v>85</v>
      </c>
      <c r="E284">
        <v>85.489998</v>
      </c>
      <c r="F284">
        <v>66.197959999999995</v>
      </c>
      <c r="G284">
        <v>10310400</v>
      </c>
      <c r="I284">
        <f t="shared" si="5"/>
        <v>7.1239150315545669E-5</v>
      </c>
    </row>
    <row r="285" spans="1:9" x14ac:dyDescent="0.3">
      <c r="A285" s="5">
        <v>42053</v>
      </c>
      <c r="B285">
        <v>85.760002</v>
      </c>
      <c r="C285">
        <v>86.389999000000003</v>
      </c>
      <c r="D285">
        <v>85.519997000000004</v>
      </c>
      <c r="E285">
        <v>86.260002</v>
      </c>
      <c r="F285">
        <v>66.794205000000005</v>
      </c>
      <c r="G285">
        <v>8132300</v>
      </c>
      <c r="I285">
        <f t="shared" si="5"/>
        <v>3.516763146465789E-5</v>
      </c>
    </row>
    <row r="286" spans="1:9" x14ac:dyDescent="0.3">
      <c r="A286" s="5">
        <v>42054</v>
      </c>
      <c r="B286">
        <v>86.110000999999997</v>
      </c>
      <c r="C286">
        <v>86.300003000000004</v>
      </c>
      <c r="D286">
        <v>85.050003000000004</v>
      </c>
      <c r="E286">
        <v>85.209998999999996</v>
      </c>
      <c r="F286">
        <v>65.981155000000001</v>
      </c>
      <c r="G286">
        <v>7271600</v>
      </c>
      <c r="I286">
        <f t="shared" si="5"/>
        <v>5.1294660323285174E-5</v>
      </c>
    </row>
    <row r="287" spans="1:9" x14ac:dyDescent="0.3">
      <c r="A287" s="5">
        <v>42055</v>
      </c>
      <c r="B287">
        <v>84.949996999999996</v>
      </c>
      <c r="C287">
        <v>85.050003000000004</v>
      </c>
      <c r="D287">
        <v>84.190002000000007</v>
      </c>
      <c r="E287">
        <v>84.870002999999997</v>
      </c>
      <c r="F287">
        <v>65.717911000000001</v>
      </c>
      <c r="G287">
        <v>9581300</v>
      </c>
      <c r="I287">
        <f t="shared" si="5"/>
        <v>7.4786021699647869E-5</v>
      </c>
    </row>
    <row r="288" spans="1:9" x14ac:dyDescent="0.3">
      <c r="A288" s="5">
        <v>42058</v>
      </c>
      <c r="B288">
        <v>84.959998999999996</v>
      </c>
      <c r="C288">
        <v>85.5</v>
      </c>
      <c r="D288">
        <v>84.650002000000001</v>
      </c>
      <c r="E288">
        <v>85.389999000000003</v>
      </c>
      <c r="F288">
        <v>66.120543999999995</v>
      </c>
      <c r="G288">
        <v>7919200</v>
      </c>
      <c r="I288">
        <f t="shared" si="5"/>
        <v>3.9972868358005411E-5</v>
      </c>
    </row>
    <row r="289" spans="1:9" x14ac:dyDescent="0.3">
      <c r="A289" s="5">
        <v>42059</v>
      </c>
      <c r="B289">
        <v>85.510002</v>
      </c>
      <c r="C289">
        <v>85.739998</v>
      </c>
      <c r="D289">
        <v>85.010002</v>
      </c>
      <c r="E289">
        <v>85.5</v>
      </c>
      <c r="F289">
        <v>66.205680999999998</v>
      </c>
      <c r="G289">
        <v>6502200</v>
      </c>
      <c r="I289">
        <f t="shared" si="5"/>
        <v>4.1234826324211108E-5</v>
      </c>
    </row>
    <row r="290" spans="1:9" x14ac:dyDescent="0.3">
      <c r="A290" s="5">
        <v>42060</v>
      </c>
      <c r="B290">
        <v>85.699996999999996</v>
      </c>
      <c r="C290">
        <v>85.800003000000004</v>
      </c>
      <c r="D290">
        <v>85.239998</v>
      </c>
      <c r="E290">
        <v>85.459998999999996</v>
      </c>
      <c r="F290">
        <v>66.174751000000001</v>
      </c>
      <c r="G290">
        <v>5975800</v>
      </c>
      <c r="I290">
        <f t="shared" si="5"/>
        <v>1.8503590244462273E-5</v>
      </c>
    </row>
    <row r="291" spans="1:9" x14ac:dyDescent="0.3">
      <c r="A291" s="5">
        <v>42061</v>
      </c>
      <c r="B291">
        <v>85.419998000000007</v>
      </c>
      <c r="C291">
        <v>85.760002</v>
      </c>
      <c r="D291">
        <v>84.889999000000003</v>
      </c>
      <c r="E291">
        <v>85.169998000000007</v>
      </c>
      <c r="F291">
        <v>65.950187999999997</v>
      </c>
      <c r="G291">
        <v>7964500</v>
      </c>
      <c r="I291">
        <f t="shared" si="5"/>
        <v>4.7919092216188312E-5</v>
      </c>
    </row>
    <row r="292" spans="1:9" x14ac:dyDescent="0.3">
      <c r="A292" s="5">
        <v>42062</v>
      </c>
      <c r="B292">
        <v>85.019997000000004</v>
      </c>
      <c r="C292">
        <v>85.379997000000003</v>
      </c>
      <c r="D292">
        <v>84.57</v>
      </c>
      <c r="E292">
        <v>85.129997000000003</v>
      </c>
      <c r="F292">
        <v>65.919219999999996</v>
      </c>
      <c r="G292">
        <v>7685000</v>
      </c>
      <c r="I292">
        <f t="shared" si="5"/>
        <v>4.7415177484271521E-5</v>
      </c>
    </row>
    <row r="293" spans="1:9" x14ac:dyDescent="0.3">
      <c r="A293" s="5">
        <v>42065</v>
      </c>
      <c r="B293">
        <v>85.129997000000003</v>
      </c>
      <c r="C293">
        <v>85.410004000000001</v>
      </c>
      <c r="D293">
        <v>84.839995999999999</v>
      </c>
      <c r="E293">
        <v>85.410004000000001</v>
      </c>
      <c r="F293">
        <v>66.136024000000006</v>
      </c>
      <c r="G293">
        <v>7235200</v>
      </c>
      <c r="I293">
        <f t="shared" si="5"/>
        <v>2.2849836920250138E-5</v>
      </c>
    </row>
    <row r="294" spans="1:9" x14ac:dyDescent="0.3">
      <c r="A294" s="5">
        <v>42066</v>
      </c>
      <c r="B294">
        <v>85.349997999999999</v>
      </c>
      <c r="C294">
        <v>85.440002000000007</v>
      </c>
      <c r="D294">
        <v>84.540001000000004</v>
      </c>
      <c r="E294">
        <v>85.160004000000001</v>
      </c>
      <c r="F294">
        <v>65.942443999999995</v>
      </c>
      <c r="G294">
        <v>6095600</v>
      </c>
      <c r="I294">
        <f t="shared" si="5"/>
        <v>7.3137207993837175E-5</v>
      </c>
    </row>
    <row r="295" spans="1:9" x14ac:dyDescent="0.3">
      <c r="A295" s="5">
        <v>42067</v>
      </c>
      <c r="B295">
        <v>85.040001000000004</v>
      </c>
      <c r="C295">
        <v>85.239998</v>
      </c>
      <c r="D295">
        <v>84.209998999999996</v>
      </c>
      <c r="E295">
        <v>84.349997999999999</v>
      </c>
      <c r="F295">
        <v>65.315239000000005</v>
      </c>
      <c r="G295">
        <v>7370000</v>
      </c>
      <c r="I295">
        <f t="shared" si="5"/>
        <v>4.0947876096133573E-5</v>
      </c>
    </row>
    <row r="296" spans="1:9" x14ac:dyDescent="0.3">
      <c r="A296" s="5">
        <v>42068</v>
      </c>
      <c r="B296">
        <v>84.620002999999997</v>
      </c>
      <c r="C296">
        <v>84.760002</v>
      </c>
      <c r="D296">
        <v>84.089995999999999</v>
      </c>
      <c r="E296">
        <v>84.629997000000003</v>
      </c>
      <c r="F296">
        <v>65.532066</v>
      </c>
      <c r="G296">
        <v>5914200</v>
      </c>
      <c r="I296">
        <f t="shared" si="5"/>
        <v>4.2756477025321318E-5</v>
      </c>
    </row>
    <row r="297" spans="1:9" x14ac:dyDescent="0.3">
      <c r="A297" s="5">
        <v>42069</v>
      </c>
      <c r="B297">
        <v>84.339995999999999</v>
      </c>
      <c r="C297">
        <v>84.370002999999997</v>
      </c>
      <c r="D297">
        <v>82.370002999999997</v>
      </c>
      <c r="E297">
        <v>82.660004000000001</v>
      </c>
      <c r="F297">
        <v>64.006607000000002</v>
      </c>
      <c r="G297">
        <v>11338700</v>
      </c>
      <c r="I297">
        <f t="shared" si="5"/>
        <v>9.0349224617783248E-5</v>
      </c>
    </row>
    <row r="298" spans="1:9" x14ac:dyDescent="0.3">
      <c r="A298" s="5">
        <v>42072</v>
      </c>
      <c r="B298">
        <v>82.790001000000004</v>
      </c>
      <c r="C298">
        <v>83.209998999999996</v>
      </c>
      <c r="D298">
        <v>82.68</v>
      </c>
      <c r="E298">
        <v>83.089995999999999</v>
      </c>
      <c r="F298">
        <v>64.339577000000006</v>
      </c>
      <c r="G298">
        <v>7326700</v>
      </c>
      <c r="I298">
        <f t="shared" si="5"/>
        <v>1.3879738094010395E-5</v>
      </c>
    </row>
    <row r="299" spans="1:9" x14ac:dyDescent="0.3">
      <c r="A299" s="5">
        <v>42073</v>
      </c>
      <c r="B299">
        <v>82.470000999999996</v>
      </c>
      <c r="C299">
        <v>82.879997000000003</v>
      </c>
      <c r="D299">
        <v>81.540001000000004</v>
      </c>
      <c r="E299">
        <v>81.540001000000004</v>
      </c>
      <c r="F299">
        <v>63.139342999999997</v>
      </c>
      <c r="G299">
        <v>9681400</v>
      </c>
      <c r="I299">
        <f t="shared" si="5"/>
        <v>8.0834133258718343E-5</v>
      </c>
    </row>
    <row r="300" spans="1:9" x14ac:dyDescent="0.3">
      <c r="A300" s="5">
        <v>42074</v>
      </c>
      <c r="B300">
        <v>81.529999000000004</v>
      </c>
      <c r="C300">
        <v>81.779999000000004</v>
      </c>
      <c r="D300">
        <v>80.809997999999993</v>
      </c>
      <c r="E300">
        <v>81.389999000000003</v>
      </c>
      <c r="F300">
        <v>63.02319</v>
      </c>
      <c r="G300">
        <v>10066600</v>
      </c>
      <c r="I300">
        <f t="shared" si="5"/>
        <v>7.8073771239290743E-5</v>
      </c>
    </row>
    <row r="301" spans="1:9" x14ac:dyDescent="0.3">
      <c r="A301" s="5">
        <v>42075</v>
      </c>
      <c r="B301">
        <v>81.589995999999999</v>
      </c>
      <c r="C301">
        <v>82.120002999999997</v>
      </c>
      <c r="D301">
        <v>81.510002</v>
      </c>
      <c r="E301">
        <v>82.089995999999999</v>
      </c>
      <c r="F301">
        <v>63.565212000000002</v>
      </c>
      <c r="G301">
        <v>6951100</v>
      </c>
      <c r="I301">
        <f t="shared" si="5"/>
        <v>9.3215490497421499E-6</v>
      </c>
    </row>
    <row r="302" spans="1:9" x14ac:dyDescent="0.3">
      <c r="A302" s="5">
        <v>42076</v>
      </c>
      <c r="B302">
        <v>81.980002999999996</v>
      </c>
      <c r="C302">
        <v>82.279999000000004</v>
      </c>
      <c r="D302">
        <v>81.150002000000001</v>
      </c>
      <c r="E302">
        <v>81.830001999999993</v>
      </c>
      <c r="F302">
        <v>63.363917999999998</v>
      </c>
      <c r="G302">
        <v>7492500</v>
      </c>
      <c r="I302">
        <f t="shared" si="5"/>
        <v>1.0494702526697013E-4</v>
      </c>
    </row>
    <row r="303" spans="1:9" x14ac:dyDescent="0.3">
      <c r="A303" s="5">
        <v>42079</v>
      </c>
      <c r="B303">
        <v>82.080001999999993</v>
      </c>
      <c r="C303">
        <v>83.949996999999996</v>
      </c>
      <c r="D303">
        <v>81.989998</v>
      </c>
      <c r="E303">
        <v>83.559997999999993</v>
      </c>
      <c r="F303">
        <v>64.703498999999994</v>
      </c>
      <c r="G303">
        <v>15618300</v>
      </c>
      <c r="I303">
        <f t="shared" si="5"/>
        <v>1.2570543771905508E-4</v>
      </c>
    </row>
    <row r="304" spans="1:9" x14ac:dyDescent="0.3">
      <c r="A304" s="5">
        <v>42080</v>
      </c>
      <c r="B304">
        <v>83.360000999999997</v>
      </c>
      <c r="C304">
        <v>83.370002999999997</v>
      </c>
      <c r="D304">
        <v>82.43</v>
      </c>
      <c r="E304">
        <v>82.849997999999999</v>
      </c>
      <c r="F304">
        <v>64.153709000000006</v>
      </c>
      <c r="G304">
        <v>7509300</v>
      </c>
      <c r="I304">
        <f t="shared" si="5"/>
        <v>5.7769409683372393E-5</v>
      </c>
    </row>
    <row r="305" spans="1:9" x14ac:dyDescent="0.3">
      <c r="A305" s="5">
        <v>42081</v>
      </c>
      <c r="B305">
        <v>82.860000999999997</v>
      </c>
      <c r="C305">
        <v>84.050003000000004</v>
      </c>
      <c r="D305">
        <v>82.019997000000004</v>
      </c>
      <c r="E305">
        <v>83.75</v>
      </c>
      <c r="F305">
        <v>64.850632000000004</v>
      </c>
      <c r="G305">
        <v>12607900</v>
      </c>
      <c r="I305">
        <f t="shared" si="5"/>
        <v>2.6367137052181998E-4</v>
      </c>
    </row>
    <row r="306" spans="1:9" x14ac:dyDescent="0.3">
      <c r="A306" s="5">
        <v>42082</v>
      </c>
      <c r="B306">
        <v>83.459998999999996</v>
      </c>
      <c r="C306">
        <v>83.75</v>
      </c>
      <c r="D306">
        <v>83.120002999999997</v>
      </c>
      <c r="E306">
        <v>83.379997000000003</v>
      </c>
      <c r="F306">
        <v>64.564116999999996</v>
      </c>
      <c r="G306">
        <v>9257500</v>
      </c>
      <c r="I306">
        <f t="shared" si="5"/>
        <v>2.8107070571955784E-5</v>
      </c>
    </row>
    <row r="307" spans="1:9" x14ac:dyDescent="0.3">
      <c r="A307" s="5">
        <v>42083</v>
      </c>
      <c r="B307">
        <v>83.989998</v>
      </c>
      <c r="C307">
        <v>84.790001000000004</v>
      </c>
      <c r="D307">
        <v>83.769997000000004</v>
      </c>
      <c r="E307">
        <v>84.739998</v>
      </c>
      <c r="F307">
        <v>65.61721</v>
      </c>
      <c r="G307">
        <v>22580300</v>
      </c>
      <c r="I307">
        <f t="shared" si="5"/>
        <v>3.5788096856735906E-5</v>
      </c>
    </row>
    <row r="308" spans="1:9" x14ac:dyDescent="0.3">
      <c r="A308" s="5">
        <v>42086</v>
      </c>
      <c r="B308">
        <v>84.370002999999997</v>
      </c>
      <c r="C308">
        <v>85.050003000000004</v>
      </c>
      <c r="D308">
        <v>84.360000999999997</v>
      </c>
      <c r="E308">
        <v>84.860000999999997</v>
      </c>
      <c r="F308">
        <v>65.710136000000006</v>
      </c>
      <c r="G308">
        <v>9891100</v>
      </c>
      <c r="I308">
        <f t="shared" si="5"/>
        <v>1.8653974966367374E-5</v>
      </c>
    </row>
    <row r="309" spans="1:9" x14ac:dyDescent="0.3">
      <c r="A309" s="5">
        <v>42087</v>
      </c>
      <c r="B309">
        <v>84.889999000000003</v>
      </c>
      <c r="C309">
        <v>85.110000999999997</v>
      </c>
      <c r="D309">
        <v>83.870002999999997</v>
      </c>
      <c r="E309">
        <v>83.919998000000007</v>
      </c>
      <c r="F309">
        <v>64.982253999999998</v>
      </c>
      <c r="G309">
        <v>7478800</v>
      </c>
      <c r="I309">
        <f t="shared" si="5"/>
        <v>4.3647966143164228E-5</v>
      </c>
    </row>
    <row r="310" spans="1:9" x14ac:dyDescent="0.3">
      <c r="A310" s="5">
        <v>42088</v>
      </c>
      <c r="B310">
        <v>84.370002999999997</v>
      </c>
      <c r="C310">
        <v>84.370002999999997</v>
      </c>
      <c r="D310">
        <v>82.860000999999997</v>
      </c>
      <c r="E310">
        <v>83.010002</v>
      </c>
      <c r="F310">
        <v>64.277596000000003</v>
      </c>
      <c r="G310">
        <v>8482200</v>
      </c>
      <c r="I310">
        <f t="shared" si="5"/>
        <v>3.2663411123836989E-5</v>
      </c>
    </row>
    <row r="311" spans="1:9" x14ac:dyDescent="0.3">
      <c r="A311" s="5">
        <v>42089</v>
      </c>
      <c r="B311">
        <v>82.580001999999993</v>
      </c>
      <c r="C311">
        <v>82.610000999999997</v>
      </c>
      <c r="D311">
        <v>81.949996999999996</v>
      </c>
      <c r="E311">
        <v>82.150002000000001</v>
      </c>
      <c r="F311">
        <v>63.611679000000002</v>
      </c>
      <c r="G311">
        <v>7311600</v>
      </c>
      <c r="I311">
        <f t="shared" si="5"/>
        <v>2.0695915104781357E-5</v>
      </c>
    </row>
    <row r="312" spans="1:9" x14ac:dyDescent="0.3">
      <c r="A312" s="5">
        <v>42090</v>
      </c>
      <c r="B312">
        <v>82.080001999999993</v>
      </c>
      <c r="C312">
        <v>82.540001000000004</v>
      </c>
      <c r="D312">
        <v>81.989998</v>
      </c>
      <c r="E312">
        <v>82.309997999999993</v>
      </c>
      <c r="F312">
        <v>63.735602999999998</v>
      </c>
      <c r="G312">
        <v>6440600</v>
      </c>
      <c r="I312">
        <f t="shared" si="5"/>
        <v>1.986853121624125E-5</v>
      </c>
    </row>
    <row r="313" spans="1:9" x14ac:dyDescent="0.3">
      <c r="A313" s="5">
        <v>42093</v>
      </c>
      <c r="B313">
        <v>82.629997000000003</v>
      </c>
      <c r="C313">
        <v>82.949996999999996</v>
      </c>
      <c r="D313">
        <v>82.150002000000001</v>
      </c>
      <c r="E313">
        <v>82.720000999999996</v>
      </c>
      <c r="F313">
        <v>64.053061999999997</v>
      </c>
      <c r="G313">
        <v>6416800</v>
      </c>
      <c r="I313">
        <f t="shared" si="5"/>
        <v>5.1015506185020974E-5</v>
      </c>
    </row>
    <row r="314" spans="1:9" x14ac:dyDescent="0.3">
      <c r="A314" s="5">
        <v>42094</v>
      </c>
      <c r="B314">
        <v>82.760002</v>
      </c>
      <c r="C314">
        <v>82.93</v>
      </c>
      <c r="D314">
        <v>81.940002000000007</v>
      </c>
      <c r="E314">
        <v>81.940002000000007</v>
      </c>
      <c r="F314">
        <v>63.449078</v>
      </c>
      <c r="G314">
        <v>8649700</v>
      </c>
      <c r="I314">
        <f t="shared" si="5"/>
        <v>2.4643679180934127E-5</v>
      </c>
    </row>
    <row r="315" spans="1:9" x14ac:dyDescent="0.3">
      <c r="A315" s="5">
        <v>42095</v>
      </c>
      <c r="B315">
        <v>82.440002000000007</v>
      </c>
      <c r="C315">
        <v>82.449996999999996</v>
      </c>
      <c r="D315">
        <v>81.449996999999996</v>
      </c>
      <c r="E315">
        <v>82.32</v>
      </c>
      <c r="F315">
        <v>63.743358999999998</v>
      </c>
      <c r="G315">
        <v>7395300</v>
      </c>
      <c r="I315">
        <f t="shared" si="5"/>
        <v>1.2855454490162896E-4</v>
      </c>
    </row>
    <row r="316" spans="1:9" x14ac:dyDescent="0.3">
      <c r="A316" s="5">
        <v>42096</v>
      </c>
      <c r="B316">
        <v>82.169998000000007</v>
      </c>
      <c r="C316">
        <v>82.589995999999999</v>
      </c>
      <c r="D316">
        <v>81.919998000000007</v>
      </c>
      <c r="E316">
        <v>82.43</v>
      </c>
      <c r="F316">
        <v>63.828518000000003</v>
      </c>
      <c r="G316">
        <v>6169800</v>
      </c>
      <c r="I316">
        <f t="shared" si="5"/>
        <v>2.8797510985195355E-5</v>
      </c>
    </row>
    <row r="317" spans="1:9" x14ac:dyDescent="0.3">
      <c r="A317" s="5">
        <v>42100</v>
      </c>
      <c r="B317">
        <v>81.919998000000007</v>
      </c>
      <c r="C317">
        <v>83.230002999999996</v>
      </c>
      <c r="D317">
        <v>81.510002</v>
      </c>
      <c r="E317">
        <v>83.040001000000004</v>
      </c>
      <c r="F317">
        <v>64.300849999999997</v>
      </c>
      <c r="G317">
        <v>6856300</v>
      </c>
      <c r="I317">
        <f t="shared" si="5"/>
        <v>1.2956540175369438E-4</v>
      </c>
    </row>
    <row r="318" spans="1:9" x14ac:dyDescent="0.3">
      <c r="A318" s="5">
        <v>42101</v>
      </c>
      <c r="B318">
        <v>82.93</v>
      </c>
      <c r="C318">
        <v>83.290001000000004</v>
      </c>
      <c r="D318">
        <v>82.330001999999993</v>
      </c>
      <c r="E318">
        <v>82.389999000000003</v>
      </c>
      <c r="F318">
        <v>63.797530999999999</v>
      </c>
      <c r="G318">
        <v>6329900</v>
      </c>
      <c r="I318">
        <f t="shared" si="5"/>
        <v>5.2350393396685391E-5</v>
      </c>
    </row>
    <row r="319" spans="1:9" x14ac:dyDescent="0.3">
      <c r="A319" s="5">
        <v>42102</v>
      </c>
      <c r="B319">
        <v>82.300003000000004</v>
      </c>
      <c r="C319">
        <v>83.18</v>
      </c>
      <c r="D319">
        <v>82.269997000000004</v>
      </c>
      <c r="E319">
        <v>82.769997000000004</v>
      </c>
      <c r="F319">
        <v>64.091789000000006</v>
      </c>
      <c r="G319">
        <v>6523400</v>
      </c>
      <c r="I319">
        <f t="shared" si="5"/>
        <v>5.476409089705983E-5</v>
      </c>
    </row>
    <row r="320" spans="1:9" x14ac:dyDescent="0.3">
      <c r="A320" s="5">
        <v>42103</v>
      </c>
      <c r="B320">
        <v>82.629997000000003</v>
      </c>
      <c r="C320">
        <v>82.949996999999996</v>
      </c>
      <c r="D320">
        <v>82.010002</v>
      </c>
      <c r="E320">
        <v>82.889999000000003</v>
      </c>
      <c r="F320">
        <v>64.184708000000001</v>
      </c>
      <c r="G320">
        <v>6185000</v>
      </c>
      <c r="I320">
        <f t="shared" si="5"/>
        <v>8.3182563548787081E-5</v>
      </c>
    </row>
    <row r="321" spans="1:9" x14ac:dyDescent="0.3">
      <c r="A321" s="5">
        <v>42104</v>
      </c>
      <c r="B321">
        <v>82.800003000000004</v>
      </c>
      <c r="C321">
        <v>83.629997000000003</v>
      </c>
      <c r="D321">
        <v>82.720000999999996</v>
      </c>
      <c r="E321">
        <v>83.349997999999999</v>
      </c>
      <c r="F321">
        <v>64.540901000000005</v>
      </c>
      <c r="G321">
        <v>7001700</v>
      </c>
      <c r="I321">
        <f t="shared" si="5"/>
        <v>4.0784569002989705E-5</v>
      </c>
    </row>
    <row r="322" spans="1:9" x14ac:dyDescent="0.3">
      <c r="A322" s="5">
        <v>42107</v>
      </c>
      <c r="B322">
        <v>83</v>
      </c>
      <c r="C322">
        <v>83.949996999999996</v>
      </c>
      <c r="D322">
        <v>82.940002000000007</v>
      </c>
      <c r="E322">
        <v>83.43</v>
      </c>
      <c r="F322">
        <v>64.602821000000006</v>
      </c>
      <c r="G322">
        <v>8290500</v>
      </c>
      <c r="I322">
        <f t="shared" si="5"/>
        <v>7.497256065670616E-5</v>
      </c>
    </row>
    <row r="323" spans="1:9" x14ac:dyDescent="0.3">
      <c r="A323" s="5">
        <v>42108</v>
      </c>
      <c r="B323">
        <v>83.389999000000003</v>
      </c>
      <c r="C323">
        <v>83.879997000000003</v>
      </c>
      <c r="D323">
        <v>83.050003000000004</v>
      </c>
      <c r="E323">
        <v>83.599997999999999</v>
      </c>
      <c r="F323">
        <v>64.734488999999996</v>
      </c>
      <c r="G323">
        <v>6792600</v>
      </c>
      <c r="I323">
        <f t="shared" si="5"/>
        <v>4.6556806068507751E-5</v>
      </c>
    </row>
    <row r="324" spans="1:9" x14ac:dyDescent="0.3">
      <c r="A324" s="5">
        <v>42109</v>
      </c>
      <c r="B324">
        <v>83.849997999999999</v>
      </c>
      <c r="C324">
        <v>84.199996999999996</v>
      </c>
      <c r="D324">
        <v>83.480002999999996</v>
      </c>
      <c r="E324">
        <v>83.510002</v>
      </c>
      <c r="F324">
        <v>64.664794999999998</v>
      </c>
      <c r="G324">
        <v>7006400</v>
      </c>
      <c r="I324">
        <f t="shared" si="5"/>
        <v>3.5863979564970729E-5</v>
      </c>
    </row>
    <row r="325" spans="1:9" x14ac:dyDescent="0.3">
      <c r="A325" s="5">
        <v>42110</v>
      </c>
      <c r="B325">
        <v>83.559997999999993</v>
      </c>
      <c r="C325">
        <v>84.07</v>
      </c>
      <c r="D325">
        <v>83.349997999999999</v>
      </c>
      <c r="E325">
        <v>83.5</v>
      </c>
      <c r="F325">
        <v>64.657036000000005</v>
      </c>
      <c r="G325">
        <v>7615900</v>
      </c>
      <c r="I325">
        <f t="shared" si="5"/>
        <v>4.5920793985134747E-5</v>
      </c>
    </row>
    <row r="326" spans="1:9" x14ac:dyDescent="0.3">
      <c r="A326" s="5">
        <v>42111</v>
      </c>
      <c r="B326">
        <v>83</v>
      </c>
      <c r="C326">
        <v>83.220000999999996</v>
      </c>
      <c r="D326">
        <v>82.029999000000004</v>
      </c>
      <c r="E326">
        <v>82.529999000000004</v>
      </c>
      <c r="F326">
        <v>63.905914000000003</v>
      </c>
      <c r="G326">
        <v>9533800</v>
      </c>
      <c r="I326">
        <f t="shared" si="5"/>
        <v>9.3476153098338109E-5</v>
      </c>
    </row>
    <row r="327" spans="1:9" x14ac:dyDescent="0.3">
      <c r="A327" s="5">
        <v>42114</v>
      </c>
      <c r="B327">
        <v>83.089995999999999</v>
      </c>
      <c r="C327">
        <v>83.980002999999996</v>
      </c>
      <c r="D327">
        <v>82.800003000000004</v>
      </c>
      <c r="E327">
        <v>82.870002999999997</v>
      </c>
      <c r="F327">
        <v>64.169212000000002</v>
      </c>
      <c r="G327">
        <v>7416000</v>
      </c>
      <c r="I327">
        <f t="shared" si="5"/>
        <v>1.4471726267024001E-4</v>
      </c>
    </row>
    <row r="328" spans="1:9" x14ac:dyDescent="0.3">
      <c r="A328" s="5">
        <v>42115</v>
      </c>
      <c r="B328">
        <v>83.389999000000003</v>
      </c>
      <c r="C328">
        <v>83.800003000000004</v>
      </c>
      <c r="D328">
        <v>82.900002000000001</v>
      </c>
      <c r="E328">
        <v>83.080001999999993</v>
      </c>
      <c r="F328">
        <v>64.331833000000003</v>
      </c>
      <c r="G328">
        <v>7696400</v>
      </c>
      <c r="I328">
        <f t="shared" si="5"/>
        <v>5.5104580898398509E-5</v>
      </c>
    </row>
    <row r="329" spans="1:9" x14ac:dyDescent="0.3">
      <c r="A329" s="5">
        <v>42116</v>
      </c>
      <c r="B329">
        <v>83.220000999999996</v>
      </c>
      <c r="C329">
        <v>83.339995999999999</v>
      </c>
      <c r="D329">
        <v>82.599997999999999</v>
      </c>
      <c r="E329">
        <v>83.089995999999999</v>
      </c>
      <c r="F329">
        <v>64.339577000000006</v>
      </c>
      <c r="G329">
        <v>6753100</v>
      </c>
      <c r="I329">
        <f t="shared" si="5"/>
        <v>4.8558864831124498E-5</v>
      </c>
    </row>
    <row r="330" spans="1:9" x14ac:dyDescent="0.3">
      <c r="A330" s="5">
        <v>42117</v>
      </c>
      <c r="B330">
        <v>81.419998000000007</v>
      </c>
      <c r="C330">
        <v>82.099997999999999</v>
      </c>
      <c r="D330">
        <v>80.900002000000001</v>
      </c>
      <c r="E330">
        <v>80.949996999999996</v>
      </c>
      <c r="F330">
        <v>63.186664999999998</v>
      </c>
      <c r="G330">
        <v>14569500</v>
      </c>
      <c r="I330">
        <f t="shared" si="5"/>
        <v>1.2128179397144101E-4</v>
      </c>
    </row>
    <row r="331" spans="1:9" x14ac:dyDescent="0.3">
      <c r="A331" s="5">
        <v>42118</v>
      </c>
      <c r="B331">
        <v>81.040001000000004</v>
      </c>
      <c r="C331">
        <v>81.529999000000004</v>
      </c>
      <c r="D331">
        <v>80.900002000000001</v>
      </c>
      <c r="E331">
        <v>81</v>
      </c>
      <c r="F331">
        <v>63.225681000000002</v>
      </c>
      <c r="G331">
        <v>8785500</v>
      </c>
      <c r="I331">
        <f t="shared" si="5"/>
        <v>4.1450871541876284E-5</v>
      </c>
    </row>
    <row r="332" spans="1:9" x14ac:dyDescent="0.3">
      <c r="A332" s="5">
        <v>42121</v>
      </c>
      <c r="B332">
        <v>80.910004000000001</v>
      </c>
      <c r="C332">
        <v>81.199996999999996</v>
      </c>
      <c r="D332">
        <v>80.470000999999996</v>
      </c>
      <c r="E332">
        <v>80.599997999999999</v>
      </c>
      <c r="F332">
        <v>62.913471000000001</v>
      </c>
      <c r="G332">
        <v>9192300</v>
      </c>
      <c r="I332">
        <f t="shared" ref="I332:I395" si="6">LN(C332/B332)*(LN(C332/B332)-LN(E332/B332))+LN(D332/B332)*(LN(D332/B332)-LN(E332/B332))</f>
        <v>3.5336666206841255E-5</v>
      </c>
    </row>
    <row r="333" spans="1:9" x14ac:dyDescent="0.3">
      <c r="A333" s="5">
        <v>42122</v>
      </c>
      <c r="B333">
        <v>80.730002999999996</v>
      </c>
      <c r="C333">
        <v>80.819999999999993</v>
      </c>
      <c r="D333">
        <v>80.190002000000007</v>
      </c>
      <c r="E333">
        <v>80.419998000000007</v>
      </c>
      <c r="F333">
        <v>62.773003000000003</v>
      </c>
      <c r="G333">
        <v>8395500</v>
      </c>
      <c r="I333">
        <f t="shared" si="6"/>
        <v>2.4749846497580686E-5</v>
      </c>
    </row>
    <row r="334" spans="1:9" x14ac:dyDescent="0.3">
      <c r="A334" s="5">
        <v>42123</v>
      </c>
      <c r="B334">
        <v>80</v>
      </c>
      <c r="C334">
        <v>80.309997999999993</v>
      </c>
      <c r="D334">
        <v>79.720000999999996</v>
      </c>
      <c r="E334">
        <v>79.849997999999999</v>
      </c>
      <c r="F334">
        <v>62.328055999999997</v>
      </c>
      <c r="G334">
        <v>11858500</v>
      </c>
      <c r="I334">
        <f t="shared" si="6"/>
        <v>2.7928572558633081E-5</v>
      </c>
    </row>
    <row r="335" spans="1:9" x14ac:dyDescent="0.3">
      <c r="A335" s="5">
        <v>42124</v>
      </c>
      <c r="B335">
        <v>79.949996999999996</v>
      </c>
      <c r="C335">
        <v>80.150002000000001</v>
      </c>
      <c r="D335">
        <v>79.069999999999993</v>
      </c>
      <c r="E335">
        <v>79.510002</v>
      </c>
      <c r="F335">
        <v>62.062655999999997</v>
      </c>
      <c r="G335">
        <v>9409300</v>
      </c>
      <c r="I335">
        <f t="shared" si="6"/>
        <v>8.1449474857682485E-5</v>
      </c>
    </row>
    <row r="336" spans="1:9" x14ac:dyDescent="0.3">
      <c r="A336" s="5">
        <v>42125</v>
      </c>
      <c r="B336">
        <v>79.760002</v>
      </c>
      <c r="C336">
        <v>80.319999999999993</v>
      </c>
      <c r="D336">
        <v>79.629997000000003</v>
      </c>
      <c r="E336">
        <v>80.290001000000004</v>
      </c>
      <c r="F336">
        <v>62.671489999999999</v>
      </c>
      <c r="G336">
        <v>8193000</v>
      </c>
      <c r="I336">
        <f t="shared" si="6"/>
        <v>1.6078605750938255E-5</v>
      </c>
    </row>
    <row r="337" spans="1:9" x14ac:dyDescent="0.3">
      <c r="A337" s="5">
        <v>42128</v>
      </c>
      <c r="B337">
        <v>80.480002999999996</v>
      </c>
      <c r="C337">
        <v>80.970000999999996</v>
      </c>
      <c r="D337">
        <v>80.300003000000004</v>
      </c>
      <c r="E337">
        <v>80.349997999999999</v>
      </c>
      <c r="F337">
        <v>62.718330000000002</v>
      </c>
      <c r="G337">
        <v>7203800</v>
      </c>
      <c r="I337">
        <f t="shared" si="6"/>
        <v>4.8051537840458386E-5</v>
      </c>
    </row>
    <row r="338" spans="1:9" x14ac:dyDescent="0.3">
      <c r="A338" s="5">
        <v>42129</v>
      </c>
      <c r="B338">
        <v>80.5</v>
      </c>
      <c r="C338">
        <v>80.650002000000001</v>
      </c>
      <c r="D338">
        <v>79.779999000000004</v>
      </c>
      <c r="E338">
        <v>80.069999999999993</v>
      </c>
      <c r="F338">
        <v>62.499763000000002</v>
      </c>
      <c r="G338">
        <v>6589400</v>
      </c>
      <c r="I338">
        <f t="shared" si="6"/>
        <v>4.6035546549398379E-5</v>
      </c>
    </row>
    <row r="339" spans="1:9" x14ac:dyDescent="0.3">
      <c r="A339" s="5">
        <v>42130</v>
      </c>
      <c r="B339">
        <v>80.339995999999999</v>
      </c>
      <c r="C339">
        <v>80.580001999999993</v>
      </c>
      <c r="D339">
        <v>79.519997000000004</v>
      </c>
      <c r="E339">
        <v>80.400002000000001</v>
      </c>
      <c r="F339">
        <v>62.757370000000002</v>
      </c>
      <c r="G339">
        <v>7335700</v>
      </c>
      <c r="I339">
        <f t="shared" si="6"/>
        <v>1.1957856129206124E-4</v>
      </c>
    </row>
    <row r="340" spans="1:9" x14ac:dyDescent="0.3">
      <c r="A340" s="5">
        <v>42131</v>
      </c>
      <c r="B340">
        <v>80.370002999999997</v>
      </c>
      <c r="C340">
        <v>80.550003000000004</v>
      </c>
      <c r="D340">
        <v>80</v>
      </c>
      <c r="E340">
        <v>80.199996999999996</v>
      </c>
      <c r="F340">
        <v>62.601227000000002</v>
      </c>
      <c r="G340">
        <v>7224300</v>
      </c>
      <c r="I340">
        <f t="shared" si="6"/>
        <v>2.1263362065556423E-5</v>
      </c>
    </row>
    <row r="341" spans="1:9" x14ac:dyDescent="0.3">
      <c r="A341" s="5">
        <v>42132</v>
      </c>
      <c r="B341">
        <v>80.889999000000003</v>
      </c>
      <c r="C341">
        <v>81.209998999999996</v>
      </c>
      <c r="D341">
        <v>80.819999999999993</v>
      </c>
      <c r="E341">
        <v>80.959998999999996</v>
      </c>
      <c r="F341">
        <v>63.194468999999998</v>
      </c>
      <c r="G341">
        <v>6929400</v>
      </c>
      <c r="I341">
        <f t="shared" si="6"/>
        <v>1.367134944286397E-5</v>
      </c>
    </row>
    <row r="342" spans="1:9" x14ac:dyDescent="0.3">
      <c r="A342" s="5">
        <v>42135</v>
      </c>
      <c r="B342">
        <v>80.949996999999996</v>
      </c>
      <c r="C342">
        <v>80.989998</v>
      </c>
      <c r="D342">
        <v>80.260002</v>
      </c>
      <c r="E342">
        <v>80.269997000000004</v>
      </c>
      <c r="F342">
        <v>62.655887999999997</v>
      </c>
      <c r="G342">
        <v>5237800</v>
      </c>
      <c r="I342">
        <f t="shared" si="6"/>
        <v>5.4774634819669157E-6</v>
      </c>
    </row>
    <row r="343" spans="1:9" x14ac:dyDescent="0.3">
      <c r="A343" s="5">
        <v>42136</v>
      </c>
      <c r="B343">
        <v>80.029999000000004</v>
      </c>
      <c r="C343">
        <v>80.290001000000004</v>
      </c>
      <c r="D343">
        <v>79.360000999999997</v>
      </c>
      <c r="E343">
        <v>79.949996999999996</v>
      </c>
      <c r="F343">
        <v>62.406115999999997</v>
      </c>
      <c r="G343">
        <v>6305800</v>
      </c>
      <c r="I343">
        <f t="shared" si="6"/>
        <v>7.6035178005769128E-5</v>
      </c>
    </row>
    <row r="344" spans="1:9" x14ac:dyDescent="0.3">
      <c r="A344" s="5">
        <v>42137</v>
      </c>
      <c r="B344">
        <v>80.160004000000001</v>
      </c>
      <c r="C344">
        <v>80.589995999999999</v>
      </c>
      <c r="D344">
        <v>79.550003000000004</v>
      </c>
      <c r="E344">
        <v>79.699996999999996</v>
      </c>
      <c r="F344">
        <v>62.210963999999997</v>
      </c>
      <c r="G344">
        <v>6459900</v>
      </c>
      <c r="I344">
        <f t="shared" si="6"/>
        <v>7.3799597877060756E-5</v>
      </c>
    </row>
    <row r="345" spans="1:9" x14ac:dyDescent="0.3">
      <c r="A345" s="5">
        <v>42138</v>
      </c>
      <c r="B345">
        <v>80.110000999999997</v>
      </c>
      <c r="C345">
        <v>80.690002000000007</v>
      </c>
      <c r="D345">
        <v>80.089995999999999</v>
      </c>
      <c r="E345">
        <v>80.569999999999993</v>
      </c>
      <c r="F345">
        <v>62.890056999999999</v>
      </c>
      <c r="G345">
        <v>5634200</v>
      </c>
      <c r="I345">
        <f t="shared" si="6"/>
        <v>1.2228955347360986E-5</v>
      </c>
    </row>
    <row r="346" spans="1:9" x14ac:dyDescent="0.3">
      <c r="A346" s="5">
        <v>42139</v>
      </c>
      <c r="B346">
        <v>80.830001999999993</v>
      </c>
      <c r="C346">
        <v>81.120002999999997</v>
      </c>
      <c r="D346">
        <v>80.730002999999996</v>
      </c>
      <c r="E346">
        <v>81.050003000000004</v>
      </c>
      <c r="F346">
        <v>63.264716999999997</v>
      </c>
      <c r="G346">
        <v>7454800</v>
      </c>
      <c r="I346">
        <f t="shared" si="6"/>
        <v>7.9889619520584979E-6</v>
      </c>
    </row>
    <row r="347" spans="1:9" x14ac:dyDescent="0.3">
      <c r="A347" s="5">
        <v>42142</v>
      </c>
      <c r="B347">
        <v>80.970000999999996</v>
      </c>
      <c r="C347">
        <v>81.129997000000003</v>
      </c>
      <c r="D347">
        <v>80.5</v>
      </c>
      <c r="E347">
        <v>80.739998</v>
      </c>
      <c r="F347">
        <v>63.022742999999998</v>
      </c>
      <c r="G347">
        <v>5590800</v>
      </c>
      <c r="I347">
        <f t="shared" si="6"/>
        <v>2.6842460782668089E-5</v>
      </c>
    </row>
    <row r="348" spans="1:9" x14ac:dyDescent="0.3">
      <c r="A348" s="5">
        <v>42143</v>
      </c>
      <c r="B348">
        <v>80.75</v>
      </c>
      <c r="C348">
        <v>80.949996999999996</v>
      </c>
      <c r="D348">
        <v>80.330001999999993</v>
      </c>
      <c r="E348">
        <v>80.830001999999993</v>
      </c>
      <c r="F348">
        <v>63.093013999999997</v>
      </c>
      <c r="G348">
        <v>5729500</v>
      </c>
      <c r="I348">
        <f t="shared" si="6"/>
        <v>3.6027471527058487E-5</v>
      </c>
    </row>
    <row r="349" spans="1:9" x14ac:dyDescent="0.3">
      <c r="A349" s="5">
        <v>42144</v>
      </c>
      <c r="B349">
        <v>80.930000000000007</v>
      </c>
      <c r="C349">
        <v>81</v>
      </c>
      <c r="D349">
        <v>80.449996999999996</v>
      </c>
      <c r="E349">
        <v>80.480002999999996</v>
      </c>
      <c r="F349">
        <v>62.819823999999997</v>
      </c>
      <c r="G349">
        <v>5487000</v>
      </c>
      <c r="I349">
        <f t="shared" si="6"/>
        <v>7.7865260635814798E-6</v>
      </c>
    </row>
    <row r="350" spans="1:9" x14ac:dyDescent="0.3">
      <c r="A350" s="5">
        <v>42145</v>
      </c>
      <c r="B350">
        <v>80.169998000000007</v>
      </c>
      <c r="C350">
        <v>80.580001999999993</v>
      </c>
      <c r="D350">
        <v>79.839995999999999</v>
      </c>
      <c r="E350">
        <v>80.410004000000001</v>
      </c>
      <c r="F350">
        <v>62.765197999999998</v>
      </c>
      <c r="G350">
        <v>6054700</v>
      </c>
      <c r="I350">
        <f t="shared" si="6"/>
        <v>4.0116855789936705E-5</v>
      </c>
    </row>
    <row r="351" spans="1:9" x14ac:dyDescent="0.3">
      <c r="A351" s="5">
        <v>42146</v>
      </c>
      <c r="B351">
        <v>80.239998</v>
      </c>
      <c r="C351">
        <v>80.400002000000001</v>
      </c>
      <c r="D351">
        <v>79.919998000000007</v>
      </c>
      <c r="E351">
        <v>79.949996999999996</v>
      </c>
      <c r="F351">
        <v>62.406115999999997</v>
      </c>
      <c r="G351">
        <v>6003600</v>
      </c>
      <c r="I351">
        <f t="shared" si="6"/>
        <v>1.2680830454992888E-5</v>
      </c>
    </row>
    <row r="352" spans="1:9" x14ac:dyDescent="0.3">
      <c r="A352" s="5">
        <v>42150</v>
      </c>
      <c r="B352">
        <v>79.970000999999996</v>
      </c>
      <c r="C352">
        <v>80.069999999999993</v>
      </c>
      <c r="D352">
        <v>78.940002000000007</v>
      </c>
      <c r="E352">
        <v>79.139999000000003</v>
      </c>
      <c r="F352">
        <v>61.773842000000002</v>
      </c>
      <c r="G352">
        <v>6698300</v>
      </c>
      <c r="I352">
        <f t="shared" si="6"/>
        <v>4.7401598220403358E-5</v>
      </c>
    </row>
    <row r="353" spans="1:9" x14ac:dyDescent="0.3">
      <c r="A353" s="5">
        <v>42151</v>
      </c>
      <c r="B353">
        <v>79.220000999999996</v>
      </c>
      <c r="C353">
        <v>79.940002000000007</v>
      </c>
      <c r="D353">
        <v>79.089995999999999</v>
      </c>
      <c r="E353">
        <v>79.389999000000003</v>
      </c>
      <c r="F353">
        <v>61.968994000000002</v>
      </c>
      <c r="G353">
        <v>8094600</v>
      </c>
      <c r="I353">
        <f t="shared" si="6"/>
        <v>6.8682405212602883E-5</v>
      </c>
    </row>
    <row r="354" spans="1:9" x14ac:dyDescent="0.3">
      <c r="A354" s="5">
        <v>42152</v>
      </c>
      <c r="B354">
        <v>79.430000000000007</v>
      </c>
      <c r="C354">
        <v>79.449996999999996</v>
      </c>
      <c r="D354">
        <v>79.019997000000004</v>
      </c>
      <c r="E354">
        <v>79.330001999999993</v>
      </c>
      <c r="F354">
        <v>61.922156999999999</v>
      </c>
      <c r="G354">
        <v>5803400</v>
      </c>
      <c r="I354">
        <f t="shared" si="6"/>
        <v>2.0643621789081305E-5</v>
      </c>
    </row>
    <row r="355" spans="1:9" x14ac:dyDescent="0.3">
      <c r="A355" s="5">
        <v>42153</v>
      </c>
      <c r="B355">
        <v>79.180000000000007</v>
      </c>
      <c r="C355">
        <v>79.239998</v>
      </c>
      <c r="D355">
        <v>78.190002000000007</v>
      </c>
      <c r="E355">
        <v>78.389999000000003</v>
      </c>
      <c r="F355">
        <v>61.188431000000001</v>
      </c>
      <c r="G355">
        <v>12551700</v>
      </c>
      <c r="I355">
        <f t="shared" si="6"/>
        <v>4.0310484466252758E-5</v>
      </c>
    </row>
    <row r="356" spans="1:9" x14ac:dyDescent="0.3">
      <c r="A356" s="5">
        <v>42156</v>
      </c>
      <c r="B356">
        <v>78.650002000000001</v>
      </c>
      <c r="C356">
        <v>79.069999999999993</v>
      </c>
      <c r="D356">
        <v>78.269997000000004</v>
      </c>
      <c r="E356">
        <v>78.849997999999999</v>
      </c>
      <c r="F356">
        <v>61.547485000000002</v>
      </c>
      <c r="G356">
        <v>7588000</v>
      </c>
      <c r="I356">
        <f t="shared" si="6"/>
        <v>5.0597052420232451E-5</v>
      </c>
    </row>
    <row r="357" spans="1:9" x14ac:dyDescent="0.3">
      <c r="A357" s="5">
        <v>42157</v>
      </c>
      <c r="B357">
        <v>78.459998999999996</v>
      </c>
      <c r="C357">
        <v>78.720000999999996</v>
      </c>
      <c r="D357">
        <v>78.169998000000007</v>
      </c>
      <c r="E357">
        <v>78.540001000000004</v>
      </c>
      <c r="F357">
        <v>61.305484999999997</v>
      </c>
      <c r="G357">
        <v>7380800</v>
      </c>
      <c r="I357">
        <f t="shared" si="6"/>
        <v>2.5059615383035245E-5</v>
      </c>
    </row>
    <row r="358" spans="1:9" x14ac:dyDescent="0.3">
      <c r="A358" s="5">
        <v>42158</v>
      </c>
      <c r="B358">
        <v>78.910004000000001</v>
      </c>
      <c r="C358">
        <v>78.930000000000007</v>
      </c>
      <c r="D358">
        <v>78.269997000000004</v>
      </c>
      <c r="E358">
        <v>78.559997999999993</v>
      </c>
      <c r="F358">
        <v>61.321120999999998</v>
      </c>
      <c r="G358">
        <v>5985800</v>
      </c>
      <c r="I358">
        <f t="shared" si="6"/>
        <v>3.1308146216589427E-5</v>
      </c>
    </row>
    <row r="359" spans="1:9" x14ac:dyDescent="0.3">
      <c r="A359" s="5">
        <v>42159</v>
      </c>
      <c r="B359">
        <v>78.410004000000001</v>
      </c>
      <c r="C359">
        <v>78.839995999999999</v>
      </c>
      <c r="D359">
        <v>78.059997999999993</v>
      </c>
      <c r="E359">
        <v>78.150002000000001</v>
      </c>
      <c r="F359">
        <v>61.001075999999998</v>
      </c>
      <c r="G359">
        <v>7714600</v>
      </c>
      <c r="I359">
        <f t="shared" si="6"/>
        <v>5.322898046956626E-5</v>
      </c>
    </row>
    <row r="360" spans="1:9" x14ac:dyDescent="0.3">
      <c r="A360" s="5">
        <v>42160</v>
      </c>
      <c r="B360">
        <v>78.040001000000004</v>
      </c>
      <c r="C360">
        <v>78.120002999999997</v>
      </c>
      <c r="D360">
        <v>77.370002999999997</v>
      </c>
      <c r="E360">
        <v>77.430000000000007</v>
      </c>
      <c r="F360">
        <v>60.439095000000002</v>
      </c>
      <c r="G360">
        <v>9439700</v>
      </c>
      <c r="I360">
        <f t="shared" si="6"/>
        <v>1.5773912338092667E-5</v>
      </c>
    </row>
    <row r="361" spans="1:9" x14ac:dyDescent="0.3">
      <c r="A361" s="5">
        <v>42163</v>
      </c>
      <c r="B361">
        <v>77.480002999999996</v>
      </c>
      <c r="C361">
        <v>77.980002999999996</v>
      </c>
      <c r="D361">
        <v>77.099997999999999</v>
      </c>
      <c r="E361">
        <v>77.709998999999996</v>
      </c>
      <c r="F361">
        <v>60.657626999999998</v>
      </c>
      <c r="G361">
        <v>10916200</v>
      </c>
      <c r="I361">
        <f t="shared" si="6"/>
        <v>6.105752746649974E-5</v>
      </c>
    </row>
    <row r="362" spans="1:9" x14ac:dyDescent="0.3">
      <c r="A362" s="5">
        <v>42164</v>
      </c>
      <c r="B362">
        <v>77.970000999999996</v>
      </c>
      <c r="C362">
        <v>79.330001999999993</v>
      </c>
      <c r="D362">
        <v>77.819999999999993</v>
      </c>
      <c r="E362">
        <v>78.900002000000001</v>
      </c>
      <c r="F362">
        <v>61.586514000000001</v>
      </c>
      <c r="G362">
        <v>11528900</v>
      </c>
      <c r="I362">
        <f t="shared" si="6"/>
        <v>1.2052701692499579E-4</v>
      </c>
    </row>
    <row r="363" spans="1:9" x14ac:dyDescent="0.3">
      <c r="A363" s="5">
        <v>42165</v>
      </c>
      <c r="B363">
        <v>79.230002999999996</v>
      </c>
      <c r="C363">
        <v>79.790001000000004</v>
      </c>
      <c r="D363">
        <v>79.010002</v>
      </c>
      <c r="E363">
        <v>79.540001000000004</v>
      </c>
      <c r="F363">
        <v>62.086078999999998</v>
      </c>
      <c r="G363">
        <v>9483500</v>
      </c>
      <c r="I363">
        <f t="shared" si="6"/>
        <v>4.0692378981430909E-5</v>
      </c>
    </row>
    <row r="364" spans="1:9" x14ac:dyDescent="0.3">
      <c r="A364" s="5">
        <v>42166</v>
      </c>
      <c r="B364">
        <v>79.930000000000007</v>
      </c>
      <c r="C364">
        <v>79.930000000000007</v>
      </c>
      <c r="D364">
        <v>79.239998</v>
      </c>
      <c r="E364">
        <v>79.410004000000001</v>
      </c>
      <c r="F364">
        <v>61.984619000000002</v>
      </c>
      <c r="G364">
        <v>7633300</v>
      </c>
      <c r="I364">
        <f t="shared" si="6"/>
        <v>1.8581303800491928E-5</v>
      </c>
    </row>
    <row r="365" spans="1:9" x14ac:dyDescent="0.3">
      <c r="A365" s="5">
        <v>42167</v>
      </c>
      <c r="B365">
        <v>79.169998000000007</v>
      </c>
      <c r="C365">
        <v>79.319999999999993</v>
      </c>
      <c r="D365">
        <v>78.569999999999993</v>
      </c>
      <c r="E365">
        <v>78.870002999999997</v>
      </c>
      <c r="F365">
        <v>61.563099000000001</v>
      </c>
      <c r="G365">
        <v>6508600</v>
      </c>
      <c r="I365">
        <f t="shared" si="6"/>
        <v>3.9761484489176413E-5</v>
      </c>
    </row>
    <row r="366" spans="1:9" x14ac:dyDescent="0.3">
      <c r="A366" s="5">
        <v>42170</v>
      </c>
      <c r="B366">
        <v>78.330001999999993</v>
      </c>
      <c r="C366">
        <v>78.459998999999996</v>
      </c>
      <c r="D366">
        <v>77.930000000000007</v>
      </c>
      <c r="E366">
        <v>78.120002999999997</v>
      </c>
      <c r="F366">
        <v>60.977699000000001</v>
      </c>
      <c r="G366">
        <v>7527900</v>
      </c>
      <c r="I366">
        <f t="shared" si="6"/>
        <v>1.9668632043034154E-5</v>
      </c>
    </row>
    <row r="367" spans="1:9" x14ac:dyDescent="0.3">
      <c r="A367" s="5">
        <v>42171</v>
      </c>
      <c r="B367">
        <v>79.599997999999999</v>
      </c>
      <c r="C367">
        <v>79.599997999999999</v>
      </c>
      <c r="D367">
        <v>78.540001000000004</v>
      </c>
      <c r="E367">
        <v>79.099997999999999</v>
      </c>
      <c r="F367">
        <v>61.742615000000001</v>
      </c>
      <c r="G367">
        <v>8285700</v>
      </c>
      <c r="I367">
        <f t="shared" si="6"/>
        <v>9.524682416806141E-5</v>
      </c>
    </row>
    <row r="368" spans="1:9" x14ac:dyDescent="0.3">
      <c r="A368" s="5">
        <v>42172</v>
      </c>
      <c r="B368">
        <v>79.199996999999996</v>
      </c>
      <c r="C368">
        <v>80.190002000000007</v>
      </c>
      <c r="D368">
        <v>79.160004000000001</v>
      </c>
      <c r="E368">
        <v>80.080001999999993</v>
      </c>
      <c r="F368">
        <v>62.507576</v>
      </c>
      <c r="G368">
        <v>9305800</v>
      </c>
      <c r="I368">
        <f t="shared" si="6"/>
        <v>2.2888583426587656E-5</v>
      </c>
    </row>
    <row r="369" spans="1:9" x14ac:dyDescent="0.3">
      <c r="A369" s="5">
        <v>42173</v>
      </c>
      <c r="B369">
        <v>80.330001999999993</v>
      </c>
      <c r="C369">
        <v>81.220000999999996</v>
      </c>
      <c r="D369">
        <v>80.300003000000004</v>
      </c>
      <c r="E369">
        <v>80.819999999999993</v>
      </c>
      <c r="F369">
        <v>63.085205000000002</v>
      </c>
      <c r="G369">
        <v>10712500</v>
      </c>
      <c r="I369">
        <f t="shared" si="6"/>
        <v>5.6809442834589173E-5</v>
      </c>
    </row>
    <row r="370" spans="1:9" x14ac:dyDescent="0.3">
      <c r="A370" s="5">
        <v>42174</v>
      </c>
      <c r="B370">
        <v>80.709998999999996</v>
      </c>
      <c r="C370">
        <v>81.199996999999996</v>
      </c>
      <c r="D370">
        <v>80.480002999999996</v>
      </c>
      <c r="E370">
        <v>80.540001000000004</v>
      </c>
      <c r="F370">
        <v>62.866630999999998</v>
      </c>
      <c r="G370">
        <v>15598800</v>
      </c>
      <c r="I370">
        <f t="shared" si="6"/>
        <v>5.1524538996361964E-5</v>
      </c>
    </row>
    <row r="371" spans="1:9" x14ac:dyDescent="0.3">
      <c r="A371" s="5">
        <v>42177</v>
      </c>
      <c r="B371">
        <v>80.919998000000007</v>
      </c>
      <c r="C371">
        <v>81.180000000000007</v>
      </c>
      <c r="D371">
        <v>80.330001999999993</v>
      </c>
      <c r="E371">
        <v>80.449996999999996</v>
      </c>
      <c r="F371">
        <v>62.796393999999999</v>
      </c>
      <c r="G371">
        <v>6907900</v>
      </c>
      <c r="I371">
        <f t="shared" si="6"/>
        <v>3.9900431167569565E-5</v>
      </c>
    </row>
    <row r="372" spans="1:9" x14ac:dyDescent="0.3">
      <c r="A372" s="5">
        <v>42178</v>
      </c>
      <c r="B372">
        <v>80.330001999999993</v>
      </c>
      <c r="C372">
        <v>80.449996999999996</v>
      </c>
      <c r="D372">
        <v>79.620002999999997</v>
      </c>
      <c r="E372">
        <v>79.790001000000004</v>
      </c>
      <c r="F372">
        <v>62.281199999999998</v>
      </c>
      <c r="G372">
        <v>7190600</v>
      </c>
      <c r="I372">
        <f t="shared" si="6"/>
        <v>3.1230979531135325E-5</v>
      </c>
    </row>
    <row r="373" spans="1:9" x14ac:dyDescent="0.3">
      <c r="A373" s="5">
        <v>42179</v>
      </c>
      <c r="B373">
        <v>79.800003000000004</v>
      </c>
      <c r="C373">
        <v>79.849997999999999</v>
      </c>
      <c r="D373">
        <v>79.5</v>
      </c>
      <c r="E373">
        <v>79.510002</v>
      </c>
      <c r="F373">
        <v>62.062655999999997</v>
      </c>
      <c r="G373">
        <v>8843700</v>
      </c>
      <c r="I373">
        <f t="shared" si="6"/>
        <v>3.1463108488190828E-6</v>
      </c>
    </row>
    <row r="374" spans="1:9" x14ac:dyDescent="0.3">
      <c r="A374" s="5">
        <v>42180</v>
      </c>
      <c r="B374">
        <v>79.709998999999996</v>
      </c>
      <c r="C374">
        <v>79.900002000000001</v>
      </c>
      <c r="D374">
        <v>79.389999000000003</v>
      </c>
      <c r="E374">
        <v>79.389999000000003</v>
      </c>
      <c r="F374">
        <v>61.968994000000002</v>
      </c>
      <c r="G374">
        <v>5855700</v>
      </c>
      <c r="I374">
        <f t="shared" si="6"/>
        <v>1.5245660840843545E-5</v>
      </c>
    </row>
    <row r="375" spans="1:9" x14ac:dyDescent="0.3">
      <c r="A375" s="5">
        <v>42181</v>
      </c>
      <c r="B375">
        <v>79.540001000000004</v>
      </c>
      <c r="C375">
        <v>79.739998</v>
      </c>
      <c r="D375">
        <v>79.279999000000004</v>
      </c>
      <c r="E375">
        <v>79.339995999999999</v>
      </c>
      <c r="F375">
        <v>61.929943000000002</v>
      </c>
      <c r="G375">
        <v>7703200</v>
      </c>
      <c r="I375">
        <f t="shared" si="6"/>
        <v>1.5105900874091536E-5</v>
      </c>
    </row>
    <row r="376" spans="1:9" x14ac:dyDescent="0.3">
      <c r="A376" s="5">
        <v>42184</v>
      </c>
      <c r="B376">
        <v>78.949996999999996</v>
      </c>
      <c r="C376">
        <v>79.370002999999997</v>
      </c>
      <c r="D376">
        <v>78.260002</v>
      </c>
      <c r="E376">
        <v>78.319999999999993</v>
      </c>
      <c r="F376">
        <v>61.133789</v>
      </c>
      <c r="G376">
        <v>7966200</v>
      </c>
      <c r="I376">
        <f t="shared" si="6"/>
        <v>7.7387099917415375E-5</v>
      </c>
    </row>
    <row r="377" spans="1:9" x14ac:dyDescent="0.3">
      <c r="A377" s="5">
        <v>42185</v>
      </c>
      <c r="B377">
        <v>78.919998000000007</v>
      </c>
      <c r="C377">
        <v>79.010002</v>
      </c>
      <c r="D377">
        <v>78.129997000000003</v>
      </c>
      <c r="E377">
        <v>78.239998</v>
      </c>
      <c r="F377">
        <v>61.071357999999996</v>
      </c>
      <c r="G377">
        <v>8451400</v>
      </c>
      <c r="I377">
        <f t="shared" si="6"/>
        <v>2.5317108633928169E-5</v>
      </c>
    </row>
    <row r="378" spans="1:9" x14ac:dyDescent="0.3">
      <c r="A378" s="5">
        <v>42186</v>
      </c>
      <c r="B378">
        <v>78.389999000000003</v>
      </c>
      <c r="C378">
        <v>79.769997000000004</v>
      </c>
      <c r="D378">
        <v>78.120002999999997</v>
      </c>
      <c r="E378">
        <v>79.720000999999996</v>
      </c>
      <c r="F378">
        <v>62.226570000000002</v>
      </c>
      <c r="G378">
        <v>8868000</v>
      </c>
      <c r="I378">
        <f t="shared" si="6"/>
        <v>8.0891772786978515E-5</v>
      </c>
    </row>
    <row r="379" spans="1:9" x14ac:dyDescent="0.3">
      <c r="A379" s="5">
        <v>42187</v>
      </c>
      <c r="B379">
        <v>80.010002</v>
      </c>
      <c r="C379">
        <v>80.349997999999999</v>
      </c>
      <c r="D379">
        <v>79.769997000000004</v>
      </c>
      <c r="E379">
        <v>79.930000000000007</v>
      </c>
      <c r="F379">
        <v>62.390487999999998</v>
      </c>
      <c r="G379">
        <v>6602500</v>
      </c>
      <c r="I379">
        <f t="shared" si="6"/>
        <v>2.8243028565973653E-5</v>
      </c>
    </row>
    <row r="380" spans="1:9" x14ac:dyDescent="0.3">
      <c r="A380" s="5">
        <v>42191</v>
      </c>
      <c r="B380">
        <v>79.610000999999997</v>
      </c>
      <c r="C380">
        <v>80.220000999999996</v>
      </c>
      <c r="D380">
        <v>79.5</v>
      </c>
      <c r="E380">
        <v>80.050003000000004</v>
      </c>
      <c r="F380">
        <v>62.484158000000001</v>
      </c>
      <c r="G380">
        <v>6601200</v>
      </c>
      <c r="I380">
        <f t="shared" si="6"/>
        <v>2.5725917844667764E-5</v>
      </c>
    </row>
    <row r="381" spans="1:9" x14ac:dyDescent="0.3">
      <c r="A381" s="5">
        <v>42192</v>
      </c>
      <c r="B381">
        <v>80.059997999999993</v>
      </c>
      <c r="C381">
        <v>81.830001999999993</v>
      </c>
      <c r="D381">
        <v>80.059997999999993</v>
      </c>
      <c r="E381">
        <v>81.720000999999996</v>
      </c>
      <c r="F381">
        <v>63.787703999999998</v>
      </c>
      <c r="G381">
        <v>11690400</v>
      </c>
      <c r="I381">
        <f t="shared" si="6"/>
        <v>2.9415596819191383E-5</v>
      </c>
    </row>
    <row r="382" spans="1:9" x14ac:dyDescent="0.3">
      <c r="A382" s="5">
        <v>42193</v>
      </c>
      <c r="B382">
        <v>81.209998999999996</v>
      </c>
      <c r="C382">
        <v>81.690002000000007</v>
      </c>
      <c r="D382">
        <v>80.889999000000003</v>
      </c>
      <c r="E382">
        <v>80.989998</v>
      </c>
      <c r="F382">
        <v>63.217903</v>
      </c>
      <c r="G382">
        <v>6724700</v>
      </c>
      <c r="I382">
        <f t="shared" si="6"/>
        <v>5.5594820762176942E-5</v>
      </c>
    </row>
    <row r="383" spans="1:9" x14ac:dyDescent="0.3">
      <c r="A383" s="5">
        <v>42194</v>
      </c>
      <c r="B383">
        <v>81.75</v>
      </c>
      <c r="C383">
        <v>82</v>
      </c>
      <c r="D383">
        <v>80.519997000000004</v>
      </c>
      <c r="E383">
        <v>80.660004000000001</v>
      </c>
      <c r="F383">
        <v>62.960304000000001</v>
      </c>
      <c r="G383">
        <v>10419800</v>
      </c>
      <c r="I383">
        <f t="shared" si="6"/>
        <v>7.6647207279405052E-5</v>
      </c>
    </row>
    <row r="384" spans="1:9" x14ac:dyDescent="0.3">
      <c r="A384" s="5">
        <v>42195</v>
      </c>
      <c r="B384">
        <v>81.230002999999996</v>
      </c>
      <c r="C384">
        <v>81.360000999999997</v>
      </c>
      <c r="D384">
        <v>80.760002</v>
      </c>
      <c r="E384">
        <v>80.949996999999996</v>
      </c>
      <c r="F384">
        <v>63.186664999999998</v>
      </c>
      <c r="G384">
        <v>6892500</v>
      </c>
      <c r="I384">
        <f t="shared" si="6"/>
        <v>2.1714491053047087E-5</v>
      </c>
    </row>
    <row r="385" spans="1:9" x14ac:dyDescent="0.3">
      <c r="A385" s="5">
        <v>42198</v>
      </c>
      <c r="B385">
        <v>81.519997000000004</v>
      </c>
      <c r="C385">
        <v>82.040001000000004</v>
      </c>
      <c r="D385">
        <v>81.339995999999999</v>
      </c>
      <c r="E385">
        <v>81.910004000000001</v>
      </c>
      <c r="F385">
        <v>63.936024000000003</v>
      </c>
      <c r="G385">
        <v>7332900</v>
      </c>
      <c r="I385">
        <f t="shared" si="6"/>
        <v>2.5520088529845292E-5</v>
      </c>
    </row>
    <row r="386" spans="1:9" x14ac:dyDescent="0.3">
      <c r="A386" s="5">
        <v>42199</v>
      </c>
      <c r="B386">
        <v>82.040001000000004</v>
      </c>
      <c r="C386">
        <v>82.459998999999996</v>
      </c>
      <c r="D386">
        <v>81.980002999999996</v>
      </c>
      <c r="E386">
        <v>82.040001000000004</v>
      </c>
      <c r="F386">
        <v>64.037491000000003</v>
      </c>
      <c r="G386">
        <v>6119500</v>
      </c>
      <c r="I386">
        <f t="shared" si="6"/>
        <v>2.6610241483891624E-5</v>
      </c>
    </row>
    <row r="387" spans="1:9" x14ac:dyDescent="0.3">
      <c r="A387" s="5">
        <v>42200</v>
      </c>
      <c r="B387">
        <v>81.910004000000001</v>
      </c>
      <c r="C387">
        <v>82.32</v>
      </c>
      <c r="D387">
        <v>81.839995999999999</v>
      </c>
      <c r="E387">
        <v>82.150002000000001</v>
      </c>
      <c r="F387">
        <v>64.123337000000006</v>
      </c>
      <c r="G387">
        <v>6673700</v>
      </c>
      <c r="I387">
        <f t="shared" si="6"/>
        <v>1.3554364454092728E-5</v>
      </c>
    </row>
    <row r="388" spans="1:9" x14ac:dyDescent="0.3">
      <c r="A388" s="5">
        <v>42201</v>
      </c>
      <c r="B388">
        <v>82.449996999999996</v>
      </c>
      <c r="C388">
        <v>82.550003000000004</v>
      </c>
      <c r="D388">
        <v>82.099997999999999</v>
      </c>
      <c r="E388">
        <v>82.300003000000004</v>
      </c>
      <c r="F388">
        <v>64.240448000000001</v>
      </c>
      <c r="G388">
        <v>6623400</v>
      </c>
      <c r="I388">
        <f t="shared" si="6"/>
        <v>1.4027339218159741E-5</v>
      </c>
    </row>
    <row r="389" spans="1:9" x14ac:dyDescent="0.3">
      <c r="A389" s="5">
        <v>42202</v>
      </c>
      <c r="B389">
        <v>81.889999000000003</v>
      </c>
      <c r="C389">
        <v>82.379997000000003</v>
      </c>
      <c r="D389">
        <v>81.599997999999999</v>
      </c>
      <c r="E389">
        <v>82.239998</v>
      </c>
      <c r="F389">
        <v>64.193588000000005</v>
      </c>
      <c r="G389">
        <v>5827300</v>
      </c>
      <c r="I389">
        <f t="shared" si="6"/>
        <v>3.7863079087359084E-5</v>
      </c>
    </row>
    <row r="390" spans="1:9" x14ac:dyDescent="0.3">
      <c r="A390" s="5">
        <v>42205</v>
      </c>
      <c r="B390">
        <v>82.089995999999999</v>
      </c>
      <c r="C390">
        <v>82.349997999999999</v>
      </c>
      <c r="D390">
        <v>82</v>
      </c>
      <c r="E390">
        <v>82.190002000000007</v>
      </c>
      <c r="F390">
        <v>64.154572000000002</v>
      </c>
      <c r="G390">
        <v>5012900</v>
      </c>
      <c r="I390">
        <f t="shared" si="6"/>
        <v>8.6885984118382284E-6</v>
      </c>
    </row>
    <row r="391" spans="1:9" x14ac:dyDescent="0.3">
      <c r="A391" s="5">
        <v>42206</v>
      </c>
      <c r="B391">
        <v>82.010002</v>
      </c>
      <c r="C391">
        <v>82.129997000000003</v>
      </c>
      <c r="D391">
        <v>81.370002999999997</v>
      </c>
      <c r="E391">
        <v>81.629997000000003</v>
      </c>
      <c r="F391">
        <v>63.717441999999998</v>
      </c>
      <c r="G391">
        <v>7512400</v>
      </c>
      <c r="I391">
        <f t="shared" si="6"/>
        <v>3.3921390610198906E-5</v>
      </c>
    </row>
    <row r="392" spans="1:9" x14ac:dyDescent="0.3">
      <c r="A392" s="5">
        <v>42207</v>
      </c>
      <c r="B392">
        <v>81.029999000000004</v>
      </c>
      <c r="C392">
        <v>81.300003000000004</v>
      </c>
      <c r="D392">
        <v>80.669998000000007</v>
      </c>
      <c r="E392">
        <v>80.830001999999993</v>
      </c>
      <c r="F392">
        <v>63.609661000000003</v>
      </c>
      <c r="G392">
        <v>6106400</v>
      </c>
      <c r="I392">
        <f t="shared" si="6"/>
        <v>2.8110095637551596E-5</v>
      </c>
    </row>
    <row r="393" spans="1:9" x14ac:dyDescent="0.3">
      <c r="A393" s="5">
        <v>42208</v>
      </c>
      <c r="B393">
        <v>80.830001999999993</v>
      </c>
      <c r="C393">
        <v>80.889999000000003</v>
      </c>
      <c r="D393">
        <v>80.139999000000003</v>
      </c>
      <c r="E393">
        <v>80.699996999999996</v>
      </c>
      <c r="F393">
        <v>63.50732</v>
      </c>
      <c r="G393">
        <v>5380900</v>
      </c>
      <c r="I393">
        <f t="shared" si="6"/>
        <v>6.1443319919815941E-5</v>
      </c>
    </row>
    <row r="394" spans="1:9" x14ac:dyDescent="0.3">
      <c r="A394" s="5">
        <v>42209</v>
      </c>
      <c r="B394">
        <v>80.510002</v>
      </c>
      <c r="C394">
        <v>80.730002999999996</v>
      </c>
      <c r="D394">
        <v>80.230002999999996</v>
      </c>
      <c r="E394">
        <v>80.290001000000004</v>
      </c>
      <c r="F394">
        <v>63.184669</v>
      </c>
      <c r="G394">
        <v>5660800</v>
      </c>
      <c r="I394">
        <f t="shared" si="6"/>
        <v>1.7518146871372571E-5</v>
      </c>
    </row>
    <row r="395" spans="1:9" x14ac:dyDescent="0.3">
      <c r="A395" s="5">
        <v>42212</v>
      </c>
      <c r="B395">
        <v>79.830001999999993</v>
      </c>
      <c r="C395">
        <v>80.069999999999993</v>
      </c>
      <c r="D395">
        <v>79.430000000000007</v>
      </c>
      <c r="E395">
        <v>79.970000999999996</v>
      </c>
      <c r="F395">
        <v>62.932861000000003</v>
      </c>
      <c r="G395">
        <v>8613600</v>
      </c>
      <c r="I395">
        <f t="shared" si="6"/>
        <v>3.7786224369280432E-5</v>
      </c>
    </row>
    <row r="396" spans="1:9" x14ac:dyDescent="0.3">
      <c r="A396" s="5">
        <v>42213</v>
      </c>
      <c r="B396">
        <v>80.139999000000003</v>
      </c>
      <c r="C396">
        <v>80.660004000000001</v>
      </c>
      <c r="D396">
        <v>79.910004000000001</v>
      </c>
      <c r="E396">
        <v>80.230002999999996</v>
      </c>
      <c r="F396">
        <v>63.137481999999999</v>
      </c>
      <c r="G396">
        <v>8649900</v>
      </c>
      <c r="I396">
        <f t="shared" ref="I396:I459" si="7">LN(C396/B396)*(LN(C396/B396)-LN(E396/B396))+LN(D396/B396)*(LN(D396/B396)-LN(E396/B396))</f>
        <v>4.6058085489969316E-5</v>
      </c>
    </row>
    <row r="397" spans="1:9" x14ac:dyDescent="0.3">
      <c r="A397" s="5">
        <v>42214</v>
      </c>
      <c r="B397">
        <v>80.260002</v>
      </c>
      <c r="C397">
        <v>80.989998</v>
      </c>
      <c r="D397">
        <v>80.160004000000001</v>
      </c>
      <c r="E397">
        <v>80.620002999999997</v>
      </c>
      <c r="F397">
        <v>63.444366000000002</v>
      </c>
      <c r="G397">
        <v>8921500</v>
      </c>
      <c r="I397">
        <f t="shared" si="7"/>
        <v>4.8592123951282261E-5</v>
      </c>
    </row>
    <row r="398" spans="1:9" x14ac:dyDescent="0.3">
      <c r="A398" s="5">
        <v>42215</v>
      </c>
      <c r="B398">
        <v>79.400002000000001</v>
      </c>
      <c r="C398">
        <v>79.480002999999996</v>
      </c>
      <c r="D398">
        <v>77.150002000000001</v>
      </c>
      <c r="E398">
        <v>77.389999000000003</v>
      </c>
      <c r="F398">
        <v>60.902504</v>
      </c>
      <c r="G398">
        <v>22067800</v>
      </c>
      <c r="I398">
        <f t="shared" si="7"/>
        <v>1.161223323371415E-4</v>
      </c>
    </row>
    <row r="399" spans="1:9" x14ac:dyDescent="0.3">
      <c r="A399" s="5">
        <v>42216</v>
      </c>
      <c r="B399">
        <v>77.629997000000003</v>
      </c>
      <c r="C399">
        <v>77.739998</v>
      </c>
      <c r="D399">
        <v>76.660004000000001</v>
      </c>
      <c r="E399">
        <v>76.699996999999996</v>
      </c>
      <c r="F399">
        <v>60.359504999999999</v>
      </c>
      <c r="G399">
        <v>11877200</v>
      </c>
      <c r="I399">
        <f t="shared" si="7"/>
        <v>2.5628806505589949E-5</v>
      </c>
    </row>
    <row r="400" spans="1:9" x14ac:dyDescent="0.3">
      <c r="A400" s="5">
        <v>42219</v>
      </c>
      <c r="B400">
        <v>76.510002</v>
      </c>
      <c r="C400">
        <v>77.089995999999999</v>
      </c>
      <c r="D400">
        <v>76.010002</v>
      </c>
      <c r="E400">
        <v>76.400002000000001</v>
      </c>
      <c r="F400">
        <v>60.123451000000003</v>
      </c>
      <c r="G400">
        <v>9511300</v>
      </c>
      <c r="I400">
        <f t="shared" si="7"/>
        <v>1.0145383117995615E-4</v>
      </c>
    </row>
    <row r="401" spans="1:9" x14ac:dyDescent="0.3">
      <c r="A401" s="5">
        <v>42220</v>
      </c>
      <c r="B401">
        <v>76.029999000000004</v>
      </c>
      <c r="C401">
        <v>76.339995999999999</v>
      </c>
      <c r="D401">
        <v>75.75</v>
      </c>
      <c r="E401">
        <v>75.910004000000001</v>
      </c>
      <c r="F401">
        <v>59.737811999999998</v>
      </c>
      <c r="G401">
        <v>13369100</v>
      </c>
      <c r="I401">
        <f t="shared" si="7"/>
        <v>3.0768921193732509E-5</v>
      </c>
    </row>
    <row r="402" spans="1:9" x14ac:dyDescent="0.3">
      <c r="A402" s="5">
        <v>42221</v>
      </c>
      <c r="B402">
        <v>76.050003000000004</v>
      </c>
      <c r="C402">
        <v>76.540001000000004</v>
      </c>
      <c r="D402">
        <v>75.75</v>
      </c>
      <c r="E402">
        <v>75.769997000000004</v>
      </c>
      <c r="F402">
        <v>59.627659000000001</v>
      </c>
      <c r="G402">
        <v>10895400</v>
      </c>
      <c r="I402">
        <f t="shared" si="7"/>
        <v>6.5981160653977457E-5</v>
      </c>
    </row>
    <row r="403" spans="1:9" x14ac:dyDescent="0.3">
      <c r="A403" s="5">
        <v>42222</v>
      </c>
      <c r="B403">
        <v>76.010002</v>
      </c>
      <c r="C403">
        <v>76.010002</v>
      </c>
      <c r="D403">
        <v>75.25</v>
      </c>
      <c r="E403">
        <v>75.739998</v>
      </c>
      <c r="F403">
        <v>59.604038000000003</v>
      </c>
      <c r="G403">
        <v>9353300</v>
      </c>
      <c r="I403">
        <f t="shared" si="7"/>
        <v>6.5223174397016287E-5</v>
      </c>
    </row>
    <row r="404" spans="1:9" x14ac:dyDescent="0.3">
      <c r="A404" s="5">
        <v>42223</v>
      </c>
      <c r="B404">
        <v>75.589995999999999</v>
      </c>
      <c r="C404">
        <v>75.720000999999996</v>
      </c>
      <c r="D404">
        <v>75.339995999999999</v>
      </c>
      <c r="E404">
        <v>75.480002999999996</v>
      </c>
      <c r="F404">
        <v>59.399436999999999</v>
      </c>
      <c r="G404">
        <v>10045400</v>
      </c>
      <c r="I404">
        <f t="shared" si="7"/>
        <v>1.1605751359105967E-5</v>
      </c>
    </row>
    <row r="405" spans="1:9" x14ac:dyDescent="0.3">
      <c r="A405" s="5">
        <v>42226</v>
      </c>
      <c r="B405">
        <v>75.949996999999996</v>
      </c>
      <c r="C405">
        <v>76.5</v>
      </c>
      <c r="D405">
        <v>75.800003000000004</v>
      </c>
      <c r="E405">
        <v>76.379997000000003</v>
      </c>
      <c r="F405">
        <v>60.107677000000002</v>
      </c>
      <c r="G405">
        <v>9165900</v>
      </c>
      <c r="I405">
        <f t="shared" si="7"/>
        <v>2.639629703434506E-5</v>
      </c>
    </row>
    <row r="406" spans="1:9" x14ac:dyDescent="0.3">
      <c r="A406" s="5">
        <v>42227</v>
      </c>
      <c r="B406">
        <v>76.040001000000004</v>
      </c>
      <c r="C406">
        <v>76.449996999999996</v>
      </c>
      <c r="D406">
        <v>75.809997999999993</v>
      </c>
      <c r="E406">
        <v>76.220000999999996</v>
      </c>
      <c r="F406">
        <v>59.981769999999997</v>
      </c>
      <c r="G406">
        <v>7491900</v>
      </c>
      <c r="I406">
        <f t="shared" si="7"/>
        <v>3.2541374553974464E-5</v>
      </c>
    </row>
    <row r="407" spans="1:9" x14ac:dyDescent="0.3">
      <c r="A407" s="5">
        <v>42228</v>
      </c>
      <c r="B407">
        <v>75.889999000000003</v>
      </c>
      <c r="C407">
        <v>76.430000000000007</v>
      </c>
      <c r="D407">
        <v>75.339995999999999</v>
      </c>
      <c r="E407">
        <v>76.389999000000003</v>
      </c>
      <c r="F407">
        <v>60.115546999999999</v>
      </c>
      <c r="G407">
        <v>10397700</v>
      </c>
      <c r="I407">
        <f t="shared" si="7"/>
        <v>1.0438532152650087E-4</v>
      </c>
    </row>
    <row r="408" spans="1:9" x14ac:dyDescent="0.3">
      <c r="A408" s="5">
        <v>42229</v>
      </c>
      <c r="B408">
        <v>76.489998</v>
      </c>
      <c r="C408">
        <v>76.510002</v>
      </c>
      <c r="D408">
        <v>75.629997000000003</v>
      </c>
      <c r="E408">
        <v>75.779999000000004</v>
      </c>
      <c r="F408">
        <v>59.635531999999998</v>
      </c>
      <c r="G408">
        <v>5948000</v>
      </c>
      <c r="I408">
        <f t="shared" si="7"/>
        <v>2.4910637373763855E-5</v>
      </c>
    </row>
    <row r="409" spans="1:9" x14ac:dyDescent="0.3">
      <c r="A409" s="5">
        <v>42230</v>
      </c>
      <c r="B409">
        <v>75.739998</v>
      </c>
      <c r="C409">
        <v>75.809997999999993</v>
      </c>
      <c r="D409">
        <v>75.379997000000003</v>
      </c>
      <c r="E409">
        <v>75.620002999999997</v>
      </c>
      <c r="F409">
        <v>59.509605000000001</v>
      </c>
      <c r="G409">
        <v>5586900</v>
      </c>
      <c r="I409">
        <f t="shared" si="7"/>
        <v>1.7463758989252055E-5</v>
      </c>
    </row>
    <row r="410" spans="1:9" x14ac:dyDescent="0.3">
      <c r="A410" s="5">
        <v>42233</v>
      </c>
      <c r="B410">
        <v>75.809997999999993</v>
      </c>
      <c r="C410">
        <v>75.809997999999993</v>
      </c>
      <c r="D410">
        <v>74.75</v>
      </c>
      <c r="E410">
        <v>75.529999000000004</v>
      </c>
      <c r="F410">
        <v>59.438782000000003</v>
      </c>
      <c r="G410">
        <v>8683900</v>
      </c>
      <c r="I410">
        <f t="shared" si="7"/>
        <v>1.4617037960962709E-4</v>
      </c>
    </row>
    <row r="411" spans="1:9" x14ac:dyDescent="0.3">
      <c r="A411" s="5">
        <v>42234</v>
      </c>
      <c r="B411">
        <v>75.580001999999993</v>
      </c>
      <c r="C411">
        <v>75.800003000000004</v>
      </c>
      <c r="D411">
        <v>75</v>
      </c>
      <c r="E411">
        <v>75.129997000000003</v>
      </c>
      <c r="F411">
        <v>59.123992999999999</v>
      </c>
      <c r="G411">
        <v>7445900</v>
      </c>
      <c r="I411">
        <f t="shared" si="7"/>
        <v>3.9147160668749582E-5</v>
      </c>
    </row>
    <row r="412" spans="1:9" x14ac:dyDescent="0.3">
      <c r="A412" s="5">
        <v>42235</v>
      </c>
      <c r="B412">
        <v>74.930000000000007</v>
      </c>
      <c r="C412">
        <v>74.930000000000007</v>
      </c>
      <c r="D412">
        <v>74.019997000000004</v>
      </c>
      <c r="E412">
        <v>74.120002999999997</v>
      </c>
      <c r="F412">
        <v>58.329169999999998</v>
      </c>
      <c r="G412">
        <v>9865300</v>
      </c>
      <c r="I412">
        <f t="shared" si="7"/>
        <v>1.6497627848766444E-5</v>
      </c>
    </row>
    <row r="413" spans="1:9" x14ac:dyDescent="0.3">
      <c r="A413" s="5">
        <v>42236</v>
      </c>
      <c r="B413">
        <v>73.75</v>
      </c>
      <c r="C413">
        <v>74.720000999999996</v>
      </c>
      <c r="D413">
        <v>73.459998999999996</v>
      </c>
      <c r="E413">
        <v>73.910004000000001</v>
      </c>
      <c r="F413">
        <v>58.163894999999997</v>
      </c>
      <c r="G413">
        <v>10696500</v>
      </c>
      <c r="I413">
        <f t="shared" si="7"/>
        <v>1.6648527308824821E-4</v>
      </c>
    </row>
    <row r="414" spans="1:9" x14ac:dyDescent="0.3">
      <c r="A414" s="5">
        <v>42237</v>
      </c>
      <c r="B414">
        <v>73.550003000000004</v>
      </c>
      <c r="C414">
        <v>73.900002000000001</v>
      </c>
      <c r="D414">
        <v>71.830001999999993</v>
      </c>
      <c r="E414">
        <v>71.839995999999999</v>
      </c>
      <c r="F414">
        <v>56.534889</v>
      </c>
      <c r="G414">
        <v>15763900</v>
      </c>
      <c r="I414">
        <f t="shared" si="7"/>
        <v>1.3750726239493953E-4</v>
      </c>
    </row>
    <row r="415" spans="1:9" x14ac:dyDescent="0.3">
      <c r="A415" s="5">
        <v>42240</v>
      </c>
      <c r="B415">
        <v>68.569999999999993</v>
      </c>
      <c r="C415">
        <v>71.069999999999993</v>
      </c>
      <c r="D415">
        <v>65.019997000000004</v>
      </c>
      <c r="E415">
        <v>69.139999000000003</v>
      </c>
      <c r="F415">
        <v>54.410125999999998</v>
      </c>
      <c r="G415">
        <v>23696300</v>
      </c>
      <c r="I415">
        <f t="shared" si="7"/>
        <v>4.2520108786742797E-3</v>
      </c>
    </row>
    <row r="416" spans="1:9" x14ac:dyDescent="0.3">
      <c r="A416" s="5">
        <v>42241</v>
      </c>
      <c r="B416">
        <v>72.180000000000007</v>
      </c>
      <c r="C416">
        <v>72.230002999999996</v>
      </c>
      <c r="D416">
        <v>68.300003000000004</v>
      </c>
      <c r="E416">
        <v>68.419998000000007</v>
      </c>
      <c r="F416">
        <v>53.843521000000003</v>
      </c>
      <c r="G416">
        <v>21476900</v>
      </c>
      <c r="I416">
        <f t="shared" si="7"/>
        <v>1.3451572814241603E-4</v>
      </c>
    </row>
    <row r="417" spans="1:9" x14ac:dyDescent="0.3">
      <c r="A417" s="5">
        <v>42242</v>
      </c>
      <c r="B417">
        <v>69.900002000000001</v>
      </c>
      <c r="C417">
        <v>71</v>
      </c>
      <c r="D417">
        <v>68.949996999999996</v>
      </c>
      <c r="E417">
        <v>70.900002000000001</v>
      </c>
      <c r="F417">
        <v>55.795161999999998</v>
      </c>
      <c r="G417">
        <v>17464700</v>
      </c>
      <c r="I417">
        <f t="shared" si="7"/>
        <v>4.0364187908847735E-4</v>
      </c>
    </row>
    <row r="418" spans="1:9" x14ac:dyDescent="0.3">
      <c r="A418" s="5">
        <v>42243</v>
      </c>
      <c r="B418">
        <v>71.400002000000001</v>
      </c>
      <c r="C418">
        <v>71.75</v>
      </c>
      <c r="D418">
        <v>70.019997000000004</v>
      </c>
      <c r="E418">
        <v>71.480002999999996</v>
      </c>
      <c r="F418">
        <v>56.251609999999999</v>
      </c>
      <c r="G418">
        <v>13434000</v>
      </c>
      <c r="I418">
        <f t="shared" si="7"/>
        <v>4.2120583501165809E-4</v>
      </c>
    </row>
    <row r="419" spans="1:9" x14ac:dyDescent="0.3">
      <c r="A419" s="5">
        <v>42244</v>
      </c>
      <c r="B419">
        <v>71.169998000000007</v>
      </c>
      <c r="C419">
        <v>71.269997000000004</v>
      </c>
      <c r="D419">
        <v>70.589995999999999</v>
      </c>
      <c r="E419">
        <v>71.209998999999996</v>
      </c>
      <c r="F419">
        <v>56.039130999999998</v>
      </c>
      <c r="G419">
        <v>10020000</v>
      </c>
      <c r="I419">
        <f t="shared" si="7"/>
        <v>7.274057581424863E-5</v>
      </c>
    </row>
    <row r="420" spans="1:9" x14ac:dyDescent="0.3">
      <c r="A420" s="5">
        <v>42247</v>
      </c>
      <c r="B420">
        <v>71</v>
      </c>
      <c r="C420">
        <v>71</v>
      </c>
      <c r="D420">
        <v>70.300003000000004</v>
      </c>
      <c r="E420">
        <v>70.669998000000007</v>
      </c>
      <c r="F420">
        <v>55.614170000000001</v>
      </c>
      <c r="G420">
        <v>9520900</v>
      </c>
      <c r="I420">
        <f t="shared" si="7"/>
        <v>5.2010101515958425E-5</v>
      </c>
    </row>
    <row r="421" spans="1:9" x14ac:dyDescent="0.3">
      <c r="A421" s="5">
        <v>42248</v>
      </c>
      <c r="B421">
        <v>69.370002999999997</v>
      </c>
      <c r="C421">
        <v>69.879997000000003</v>
      </c>
      <c r="D421">
        <v>68.519997000000004</v>
      </c>
      <c r="E421">
        <v>68.900002000000001</v>
      </c>
      <c r="F421">
        <v>54.221260000000001</v>
      </c>
      <c r="G421">
        <v>15437700</v>
      </c>
      <c r="I421">
        <f t="shared" si="7"/>
        <v>1.7163730611143257E-4</v>
      </c>
    </row>
    <row r="422" spans="1:9" x14ac:dyDescent="0.3">
      <c r="A422" s="5">
        <v>42249</v>
      </c>
      <c r="B422">
        <v>69.650002000000001</v>
      </c>
      <c r="C422">
        <v>69.849997999999999</v>
      </c>
      <c r="D422">
        <v>69.220000999999996</v>
      </c>
      <c r="E422">
        <v>69.809997999999993</v>
      </c>
      <c r="F422">
        <v>54.937389000000003</v>
      </c>
      <c r="G422">
        <v>8903700</v>
      </c>
      <c r="I422">
        <f t="shared" si="7"/>
        <v>5.4203785463184331E-5</v>
      </c>
    </row>
    <row r="423" spans="1:9" x14ac:dyDescent="0.3">
      <c r="A423" s="5">
        <v>42250</v>
      </c>
      <c r="B423">
        <v>70.180000000000007</v>
      </c>
      <c r="C423">
        <v>70.459998999999996</v>
      </c>
      <c r="D423">
        <v>69.699996999999996</v>
      </c>
      <c r="E423">
        <v>69.930000000000007</v>
      </c>
      <c r="F423">
        <v>55.031834000000003</v>
      </c>
      <c r="G423">
        <v>8468300</v>
      </c>
      <c r="I423">
        <f t="shared" si="7"/>
        <v>5.2674405445503049E-5</v>
      </c>
    </row>
    <row r="424" spans="1:9" x14ac:dyDescent="0.3">
      <c r="A424" s="5">
        <v>42251</v>
      </c>
      <c r="B424">
        <v>69.279999000000004</v>
      </c>
      <c r="C424">
        <v>69.279999000000004</v>
      </c>
      <c r="D424">
        <v>68.5</v>
      </c>
      <c r="E424">
        <v>68.760002</v>
      </c>
      <c r="F424">
        <v>54.111099000000003</v>
      </c>
      <c r="G424">
        <v>11497500</v>
      </c>
      <c r="I424">
        <f t="shared" si="7"/>
        <v>4.2894904656462277E-5</v>
      </c>
    </row>
    <row r="425" spans="1:9" x14ac:dyDescent="0.3">
      <c r="A425" s="5">
        <v>42255</v>
      </c>
      <c r="B425">
        <v>70.309997999999993</v>
      </c>
      <c r="C425">
        <v>70.440002000000007</v>
      </c>
      <c r="D425">
        <v>69.559997999999993</v>
      </c>
      <c r="E425">
        <v>69.980002999999996</v>
      </c>
      <c r="F425">
        <v>55.071171</v>
      </c>
      <c r="G425">
        <v>9182300</v>
      </c>
      <c r="I425">
        <f t="shared" si="7"/>
        <v>7.6662300206115289E-5</v>
      </c>
    </row>
    <row r="426" spans="1:9" x14ac:dyDescent="0.3">
      <c r="A426" s="5">
        <v>42256</v>
      </c>
      <c r="B426">
        <v>70.440002000000007</v>
      </c>
      <c r="C426">
        <v>70.540001000000004</v>
      </c>
      <c r="D426">
        <v>68.370002999999997</v>
      </c>
      <c r="E426">
        <v>68.480002999999996</v>
      </c>
      <c r="F426">
        <v>53.890720000000002</v>
      </c>
      <c r="G426">
        <v>11070600</v>
      </c>
      <c r="I426">
        <f t="shared" si="7"/>
        <v>8.9995596988633029E-5</v>
      </c>
    </row>
    <row r="427" spans="1:9" x14ac:dyDescent="0.3">
      <c r="A427" s="5">
        <v>42257</v>
      </c>
      <c r="B427">
        <v>68.120002999999997</v>
      </c>
      <c r="C427">
        <v>68.949996999999996</v>
      </c>
      <c r="D427">
        <v>67.75</v>
      </c>
      <c r="E427">
        <v>68.319999999999993</v>
      </c>
      <c r="F427">
        <v>53.764828000000001</v>
      </c>
      <c r="G427">
        <v>12591100</v>
      </c>
      <c r="I427">
        <f t="shared" si="7"/>
        <v>1.5679465619387027E-4</v>
      </c>
    </row>
    <row r="428" spans="1:9" x14ac:dyDescent="0.3">
      <c r="A428" s="5">
        <v>42258</v>
      </c>
      <c r="B428">
        <v>68.059997999999993</v>
      </c>
      <c r="C428">
        <v>68.510002</v>
      </c>
      <c r="D428">
        <v>67.730002999999996</v>
      </c>
      <c r="E428">
        <v>68.419998000000007</v>
      </c>
      <c r="F428">
        <v>53.843521000000003</v>
      </c>
      <c r="G428">
        <v>11291400</v>
      </c>
      <c r="I428">
        <f t="shared" si="7"/>
        <v>5.7927663254314666E-5</v>
      </c>
    </row>
    <row r="429" spans="1:9" x14ac:dyDescent="0.3">
      <c r="A429" s="5">
        <v>42261</v>
      </c>
      <c r="B429">
        <v>68.230002999999996</v>
      </c>
      <c r="C429">
        <v>68.300003000000004</v>
      </c>
      <c r="D429">
        <v>67.330001999999993</v>
      </c>
      <c r="E429">
        <v>68.059997999999993</v>
      </c>
      <c r="F429">
        <v>53.560206999999998</v>
      </c>
      <c r="G429">
        <v>9712800</v>
      </c>
      <c r="I429">
        <f t="shared" si="7"/>
        <v>1.4680069346551349E-4</v>
      </c>
    </row>
    <row r="430" spans="1:9" x14ac:dyDescent="0.3">
      <c r="A430" s="5">
        <v>42262</v>
      </c>
      <c r="B430">
        <v>68.019997000000004</v>
      </c>
      <c r="C430">
        <v>69.739998</v>
      </c>
      <c r="D430">
        <v>67.900002000000001</v>
      </c>
      <c r="E430">
        <v>69.449996999999996</v>
      </c>
      <c r="F430">
        <v>54.654099000000002</v>
      </c>
      <c r="G430">
        <v>11043700</v>
      </c>
      <c r="I430">
        <f t="shared" si="7"/>
        <v>1.4391204645093403E-4</v>
      </c>
    </row>
    <row r="431" spans="1:9" x14ac:dyDescent="0.3">
      <c r="A431" s="5">
        <v>42263</v>
      </c>
      <c r="B431">
        <v>70.120002999999997</v>
      </c>
      <c r="C431">
        <v>70.360000999999997</v>
      </c>
      <c r="D431">
        <v>69.699996999999996</v>
      </c>
      <c r="E431">
        <v>70.099997999999999</v>
      </c>
      <c r="F431">
        <v>55.165604000000002</v>
      </c>
      <c r="G431">
        <v>8704200</v>
      </c>
      <c r="I431">
        <f t="shared" si="7"/>
        <v>4.7029426260547794E-5</v>
      </c>
    </row>
    <row r="432" spans="1:9" x14ac:dyDescent="0.3">
      <c r="A432" s="5">
        <v>42264</v>
      </c>
      <c r="B432">
        <v>70</v>
      </c>
      <c r="C432">
        <v>71.269997000000004</v>
      </c>
      <c r="D432">
        <v>69.860000999999997</v>
      </c>
      <c r="E432">
        <v>70.239998</v>
      </c>
      <c r="F432">
        <v>55.275772000000003</v>
      </c>
      <c r="G432">
        <v>11029600</v>
      </c>
      <c r="I432">
        <f t="shared" si="7"/>
        <v>2.7260717756252611E-4</v>
      </c>
    </row>
    <row r="433" spans="1:9" x14ac:dyDescent="0.3">
      <c r="A433" s="5">
        <v>42265</v>
      </c>
      <c r="B433">
        <v>69.440002000000007</v>
      </c>
      <c r="C433">
        <v>70.779999000000004</v>
      </c>
      <c r="D433">
        <v>69.370002999999997</v>
      </c>
      <c r="E433">
        <v>69.940002000000007</v>
      </c>
      <c r="F433">
        <v>55.039684000000001</v>
      </c>
      <c r="G433">
        <v>18210200</v>
      </c>
      <c r="I433">
        <f t="shared" si="7"/>
        <v>2.3644195697284108E-4</v>
      </c>
    </row>
    <row r="434" spans="1:9" x14ac:dyDescent="0.3">
      <c r="A434" s="5">
        <v>42268</v>
      </c>
      <c r="B434">
        <v>70.150002000000001</v>
      </c>
      <c r="C434">
        <v>70.879997000000003</v>
      </c>
      <c r="D434">
        <v>70.010002</v>
      </c>
      <c r="E434">
        <v>70.650002000000001</v>
      </c>
      <c r="F434">
        <v>55.598438000000002</v>
      </c>
      <c r="G434">
        <v>7742800</v>
      </c>
      <c r="I434">
        <f t="shared" si="7"/>
        <v>5.1825972878898698E-5</v>
      </c>
    </row>
    <row r="435" spans="1:9" x14ac:dyDescent="0.3">
      <c r="A435" s="5">
        <v>42269</v>
      </c>
      <c r="B435">
        <v>70.059997999999993</v>
      </c>
      <c r="C435">
        <v>70.650002000000001</v>
      </c>
      <c r="D435">
        <v>69.980002999999996</v>
      </c>
      <c r="E435">
        <v>70.190002000000007</v>
      </c>
      <c r="F435">
        <v>55.236446000000001</v>
      </c>
      <c r="G435">
        <v>10207800</v>
      </c>
      <c r="I435">
        <f t="shared" si="7"/>
        <v>5.8203693086980926E-5</v>
      </c>
    </row>
    <row r="436" spans="1:9" x14ac:dyDescent="0.3">
      <c r="A436" s="5">
        <v>42270</v>
      </c>
      <c r="B436">
        <v>70.180000000000007</v>
      </c>
      <c r="C436">
        <v>70.489998</v>
      </c>
      <c r="D436">
        <v>69.959998999999996</v>
      </c>
      <c r="E436">
        <v>70.260002</v>
      </c>
      <c r="F436">
        <v>55.291527000000002</v>
      </c>
      <c r="G436">
        <v>6294200</v>
      </c>
      <c r="I436">
        <f t="shared" si="7"/>
        <v>2.783928765145714E-5</v>
      </c>
    </row>
    <row r="437" spans="1:9" x14ac:dyDescent="0.3">
      <c r="A437" s="5">
        <v>42271</v>
      </c>
      <c r="B437">
        <v>69.819999999999993</v>
      </c>
      <c r="C437">
        <v>71.580001999999993</v>
      </c>
      <c r="D437">
        <v>69.739998</v>
      </c>
      <c r="E437">
        <v>71.360000999999997</v>
      </c>
      <c r="F437">
        <v>56.157176999999997</v>
      </c>
      <c r="G437">
        <v>13423500</v>
      </c>
      <c r="I437">
        <f t="shared" si="7"/>
        <v>1.0296066433066093E-4</v>
      </c>
    </row>
    <row r="438" spans="1:9" x14ac:dyDescent="0.3">
      <c r="A438" s="5">
        <v>42272</v>
      </c>
      <c r="B438">
        <v>72.389999000000003</v>
      </c>
      <c r="C438">
        <v>73.379997000000003</v>
      </c>
      <c r="D438">
        <v>71.949996999999996</v>
      </c>
      <c r="E438">
        <v>72.669998000000007</v>
      </c>
      <c r="F438">
        <v>57.188060999999998</v>
      </c>
      <c r="G438">
        <v>15080700</v>
      </c>
      <c r="I438">
        <f t="shared" si="7"/>
        <v>1.9277327772432431E-4</v>
      </c>
    </row>
    <row r="439" spans="1:9" x14ac:dyDescent="0.3">
      <c r="A439" s="5">
        <v>42275</v>
      </c>
      <c r="B439">
        <v>72.309997999999993</v>
      </c>
      <c r="C439">
        <v>72.669998000000007</v>
      </c>
      <c r="D439">
        <v>71.75</v>
      </c>
      <c r="E439">
        <v>71.769997000000004</v>
      </c>
      <c r="F439">
        <v>56.479819999999997</v>
      </c>
      <c r="G439">
        <v>9207300</v>
      </c>
      <c r="I439">
        <f t="shared" si="7"/>
        <v>6.4055920148759618E-5</v>
      </c>
    </row>
    <row r="440" spans="1:9" x14ac:dyDescent="0.3">
      <c r="A440" s="5">
        <v>42276</v>
      </c>
      <c r="B440">
        <v>71.769997000000004</v>
      </c>
      <c r="C440">
        <v>72.410004000000001</v>
      </c>
      <c r="D440">
        <v>71.349997999999999</v>
      </c>
      <c r="E440">
        <v>72.279999000000004</v>
      </c>
      <c r="F440">
        <v>56.881168000000002</v>
      </c>
      <c r="G440">
        <v>9033300</v>
      </c>
      <c r="I440">
        <f t="shared" si="7"/>
        <v>9.1960788486492766E-5</v>
      </c>
    </row>
    <row r="441" spans="1:9" x14ac:dyDescent="0.3">
      <c r="A441" s="5">
        <v>42277</v>
      </c>
      <c r="B441">
        <v>72.860000999999997</v>
      </c>
      <c r="C441">
        <v>73.059997999999993</v>
      </c>
      <c r="D441">
        <v>71.550003000000004</v>
      </c>
      <c r="E441">
        <v>71.940002000000007</v>
      </c>
      <c r="F441">
        <v>56.613593999999999</v>
      </c>
      <c r="G441">
        <v>11041900</v>
      </c>
      <c r="I441">
        <f t="shared" si="7"/>
        <v>1.4097259180504811E-4</v>
      </c>
    </row>
    <row r="442" spans="1:9" x14ac:dyDescent="0.3">
      <c r="A442" s="5">
        <v>42278</v>
      </c>
      <c r="B442">
        <v>71.760002</v>
      </c>
      <c r="C442">
        <v>72.180000000000007</v>
      </c>
      <c r="D442">
        <v>71.400002000000001</v>
      </c>
      <c r="E442">
        <v>71.949996999999996</v>
      </c>
      <c r="F442">
        <v>56.621471</v>
      </c>
      <c r="G442">
        <v>8547600</v>
      </c>
      <c r="I442">
        <f t="shared" si="7"/>
        <v>5.7218110530304019E-5</v>
      </c>
    </row>
    <row r="443" spans="1:9" x14ac:dyDescent="0.3">
      <c r="A443" s="5">
        <v>42279</v>
      </c>
      <c r="B443">
        <v>71.360000999999997</v>
      </c>
      <c r="C443">
        <v>72.419998000000007</v>
      </c>
      <c r="D443">
        <v>71.290001000000004</v>
      </c>
      <c r="E443">
        <v>72.419998000000007</v>
      </c>
      <c r="F443">
        <v>56.991348000000002</v>
      </c>
      <c r="G443">
        <v>9085600</v>
      </c>
      <c r="I443">
        <f t="shared" si="7"/>
        <v>1.5434250296680597E-5</v>
      </c>
    </row>
    <row r="444" spans="1:9" x14ac:dyDescent="0.3">
      <c r="A444" s="5">
        <v>42282</v>
      </c>
      <c r="B444">
        <v>72.970000999999996</v>
      </c>
      <c r="C444">
        <v>73.430000000000007</v>
      </c>
      <c r="D444">
        <v>72.5</v>
      </c>
      <c r="E444">
        <v>73.220000999999996</v>
      </c>
      <c r="F444">
        <v>57.620902999999998</v>
      </c>
      <c r="G444">
        <v>9187700</v>
      </c>
      <c r="I444">
        <f t="shared" si="7"/>
        <v>8.185390306065317E-5</v>
      </c>
    </row>
    <row r="445" spans="1:9" x14ac:dyDescent="0.3">
      <c r="A445" s="5">
        <v>42283</v>
      </c>
      <c r="B445">
        <v>73.339995999999999</v>
      </c>
      <c r="C445">
        <v>73.779999000000004</v>
      </c>
      <c r="D445">
        <v>72.589995999999999</v>
      </c>
      <c r="E445">
        <v>73.400002000000001</v>
      </c>
      <c r="F445">
        <v>57.762562000000003</v>
      </c>
      <c r="G445">
        <v>8851500</v>
      </c>
      <c r="I445">
        <f t="shared" si="7"/>
        <v>1.4495152704585438E-4</v>
      </c>
    </row>
    <row r="446" spans="1:9" x14ac:dyDescent="0.3">
      <c r="A446" s="5">
        <v>42284</v>
      </c>
      <c r="B446">
        <v>73.720000999999996</v>
      </c>
      <c r="C446">
        <v>73.870002999999997</v>
      </c>
      <c r="D446">
        <v>73.319999999999993</v>
      </c>
      <c r="E446">
        <v>73.720000999999996</v>
      </c>
      <c r="F446">
        <v>58.014384999999997</v>
      </c>
      <c r="G446">
        <v>8013200</v>
      </c>
      <c r="I446">
        <f t="shared" si="7"/>
        <v>3.37332825653322E-5</v>
      </c>
    </row>
    <row r="447" spans="1:9" x14ac:dyDescent="0.3">
      <c r="A447" s="5">
        <v>42285</v>
      </c>
      <c r="B447">
        <v>73.680000000000007</v>
      </c>
      <c r="C447">
        <v>74.440002000000007</v>
      </c>
      <c r="D447">
        <v>73.489998</v>
      </c>
      <c r="E447">
        <v>74.400002000000001</v>
      </c>
      <c r="F447">
        <v>58.549503000000001</v>
      </c>
      <c r="G447">
        <v>6856600</v>
      </c>
      <c r="I447">
        <f t="shared" si="7"/>
        <v>3.7292479423423115E-5</v>
      </c>
    </row>
    <row r="448" spans="1:9" x14ac:dyDescent="0.3">
      <c r="A448" s="5">
        <v>42286</v>
      </c>
      <c r="B448">
        <v>74.589995999999999</v>
      </c>
      <c r="C448">
        <v>74.910004000000001</v>
      </c>
      <c r="D448">
        <v>74.319999999999993</v>
      </c>
      <c r="E448">
        <v>74.480002999999996</v>
      </c>
      <c r="F448">
        <v>58.612476000000001</v>
      </c>
      <c r="G448">
        <v>6880100</v>
      </c>
      <c r="I448">
        <f t="shared" si="7"/>
        <v>3.244368125470622E-5</v>
      </c>
    </row>
    <row r="449" spans="1:9" x14ac:dyDescent="0.3">
      <c r="A449" s="5">
        <v>42289</v>
      </c>
      <c r="B449">
        <v>74.690002000000007</v>
      </c>
      <c r="C449">
        <v>74.760002</v>
      </c>
      <c r="D449">
        <v>73.910004000000001</v>
      </c>
      <c r="E449">
        <v>74.330001999999993</v>
      </c>
      <c r="F449">
        <v>58.494430999999999</v>
      </c>
      <c r="G449">
        <v>6255900</v>
      </c>
      <c r="I449">
        <f t="shared" si="7"/>
        <v>6.4890537217020608E-5</v>
      </c>
    </row>
    <row r="450" spans="1:9" x14ac:dyDescent="0.3">
      <c r="A450" s="5">
        <v>42290</v>
      </c>
      <c r="B450">
        <v>74.239998</v>
      </c>
      <c r="C450">
        <v>74.279999000000004</v>
      </c>
      <c r="D450">
        <v>73.660004000000001</v>
      </c>
      <c r="E450">
        <v>74.110000999999997</v>
      </c>
      <c r="F450">
        <v>58.321300999999998</v>
      </c>
      <c r="G450">
        <v>8390200</v>
      </c>
      <c r="I450">
        <f t="shared" si="7"/>
        <v>4.9002766089124249E-5</v>
      </c>
    </row>
    <row r="451" spans="1:9" x14ac:dyDescent="0.3">
      <c r="A451" s="5">
        <v>42291</v>
      </c>
      <c r="B451">
        <v>74.209998999999996</v>
      </c>
      <c r="C451">
        <v>74.610000999999997</v>
      </c>
      <c r="D451">
        <v>73.900002000000001</v>
      </c>
      <c r="E451">
        <v>74.209998999999996</v>
      </c>
      <c r="F451">
        <v>58.399994</v>
      </c>
      <c r="G451">
        <v>8479200</v>
      </c>
      <c r="I451">
        <f t="shared" si="7"/>
        <v>4.6420695360929359E-5</v>
      </c>
    </row>
    <row r="452" spans="1:9" x14ac:dyDescent="0.3">
      <c r="A452" s="5">
        <v>42292</v>
      </c>
      <c r="B452">
        <v>74.639999000000003</v>
      </c>
      <c r="C452">
        <v>74.839995999999999</v>
      </c>
      <c r="D452">
        <v>74.029999000000004</v>
      </c>
      <c r="E452">
        <v>74.269997000000004</v>
      </c>
      <c r="F452">
        <v>58.447186000000002</v>
      </c>
      <c r="G452">
        <v>8607400</v>
      </c>
      <c r="I452">
        <f t="shared" si="7"/>
        <v>4.7018799128531648E-5</v>
      </c>
    </row>
    <row r="453" spans="1:9" x14ac:dyDescent="0.3">
      <c r="A453" s="5">
        <v>42293</v>
      </c>
      <c r="B453">
        <v>74.720000999999996</v>
      </c>
      <c r="C453">
        <v>75.040001000000004</v>
      </c>
      <c r="D453">
        <v>74.339995999999999</v>
      </c>
      <c r="E453">
        <v>74.900002000000001</v>
      </c>
      <c r="F453">
        <v>58.942988999999997</v>
      </c>
      <c r="G453">
        <v>9578900</v>
      </c>
      <c r="I453">
        <f t="shared" si="7"/>
        <v>4.6245084310786341E-5</v>
      </c>
    </row>
    <row r="454" spans="1:9" x14ac:dyDescent="0.3">
      <c r="A454" s="5">
        <v>42296</v>
      </c>
      <c r="B454">
        <v>74.650002000000001</v>
      </c>
      <c r="C454">
        <v>75.190002000000007</v>
      </c>
      <c r="D454">
        <v>74.529999000000004</v>
      </c>
      <c r="E454">
        <v>75.160004000000001</v>
      </c>
      <c r="F454">
        <v>59.147601999999999</v>
      </c>
      <c r="G454">
        <v>7292200</v>
      </c>
      <c r="I454">
        <f t="shared" si="7"/>
        <v>1.6418575220055511E-5</v>
      </c>
    </row>
    <row r="455" spans="1:9" x14ac:dyDescent="0.3">
      <c r="A455" s="5">
        <v>42297</v>
      </c>
      <c r="B455">
        <v>74.870002999999997</v>
      </c>
      <c r="C455">
        <v>75.050003000000004</v>
      </c>
      <c r="D455">
        <v>74.160004000000001</v>
      </c>
      <c r="E455">
        <v>74.430000000000007</v>
      </c>
      <c r="F455">
        <v>58.573132000000001</v>
      </c>
      <c r="G455">
        <v>8531900</v>
      </c>
      <c r="I455">
        <f t="shared" si="7"/>
        <v>5.4546911679574189E-5</v>
      </c>
    </row>
    <row r="456" spans="1:9" x14ac:dyDescent="0.3">
      <c r="A456" s="5">
        <v>42298</v>
      </c>
      <c r="B456">
        <v>73.75</v>
      </c>
      <c r="C456">
        <v>74.540001000000004</v>
      </c>
      <c r="D456">
        <v>73.5</v>
      </c>
      <c r="E456">
        <v>73.589995999999999</v>
      </c>
      <c r="F456">
        <v>58.432578999999997</v>
      </c>
      <c r="G456">
        <v>8302100</v>
      </c>
      <c r="I456">
        <f t="shared" si="7"/>
        <v>1.4082372294906692E-4</v>
      </c>
    </row>
    <row r="457" spans="1:9" x14ac:dyDescent="0.3">
      <c r="A457" s="5">
        <v>42299</v>
      </c>
      <c r="B457">
        <v>73.860000999999997</v>
      </c>
      <c r="C457">
        <v>75.610000999999997</v>
      </c>
      <c r="D457">
        <v>73.610000999999997</v>
      </c>
      <c r="E457">
        <v>74.849997999999999</v>
      </c>
      <c r="F457">
        <v>59.433052000000004</v>
      </c>
      <c r="G457">
        <v>14080900</v>
      </c>
      <c r="I457">
        <f t="shared" si="7"/>
        <v>2.9321047258461832E-4</v>
      </c>
    </row>
    <row r="458" spans="1:9" x14ac:dyDescent="0.3">
      <c r="A458" s="5">
        <v>42300</v>
      </c>
      <c r="B458">
        <v>76.760002</v>
      </c>
      <c r="C458">
        <v>78.449996999999996</v>
      </c>
      <c r="D458">
        <v>76.309997999999993</v>
      </c>
      <c r="E458">
        <v>77.029999000000004</v>
      </c>
      <c r="F458">
        <v>61.164054999999998</v>
      </c>
      <c r="G458">
        <v>16451200</v>
      </c>
      <c r="I458">
        <f t="shared" si="7"/>
        <v>4.5301953936962387E-4</v>
      </c>
    </row>
    <row r="459" spans="1:9" x14ac:dyDescent="0.3">
      <c r="A459" s="5">
        <v>42303</v>
      </c>
      <c r="B459">
        <v>77</v>
      </c>
      <c r="C459">
        <v>77.900002000000001</v>
      </c>
      <c r="D459">
        <v>77</v>
      </c>
      <c r="E459">
        <v>77.489998</v>
      </c>
      <c r="F459">
        <v>61.529297</v>
      </c>
      <c r="G459">
        <v>11464700</v>
      </c>
      <c r="I459">
        <f t="shared" si="7"/>
        <v>6.1322939502966723E-5</v>
      </c>
    </row>
    <row r="460" spans="1:9" x14ac:dyDescent="0.3">
      <c r="A460" s="5">
        <v>42304</v>
      </c>
      <c r="B460">
        <v>77.120002999999997</v>
      </c>
      <c r="C460">
        <v>77.360000999999997</v>
      </c>
      <c r="D460">
        <v>76.809997999999993</v>
      </c>
      <c r="E460">
        <v>77.290001000000004</v>
      </c>
      <c r="F460">
        <v>61.370499000000002</v>
      </c>
      <c r="G460">
        <v>9423400</v>
      </c>
      <c r="I460">
        <f t="shared" ref="I460:I523" si="8">LN(C460/B460)*(LN(C460/B460)-LN(E460/B460))+LN(D460/B460)*(LN(D460/B460)-LN(E460/B460))</f>
        <v>2.7905609132939257E-5</v>
      </c>
    </row>
    <row r="461" spans="1:9" x14ac:dyDescent="0.3">
      <c r="A461" s="5">
        <v>42305</v>
      </c>
      <c r="B461">
        <v>77.389999000000003</v>
      </c>
      <c r="C461">
        <v>77.540001000000004</v>
      </c>
      <c r="D461">
        <v>75.690002000000007</v>
      </c>
      <c r="E461">
        <v>76.510002</v>
      </c>
      <c r="F461">
        <v>60.751140999999997</v>
      </c>
      <c r="G461">
        <v>10178400</v>
      </c>
      <c r="I461">
        <f t="shared" si="8"/>
        <v>2.6523184478749587E-4</v>
      </c>
    </row>
    <row r="462" spans="1:9" x14ac:dyDescent="0.3">
      <c r="A462" s="5">
        <v>42306</v>
      </c>
      <c r="B462">
        <v>76.75</v>
      </c>
      <c r="C462">
        <v>77.190002000000007</v>
      </c>
      <c r="D462">
        <v>76.239998</v>
      </c>
      <c r="E462">
        <v>77.019997000000004</v>
      </c>
      <c r="F462">
        <v>61.156104999999997</v>
      </c>
      <c r="G462">
        <v>8230700</v>
      </c>
      <c r="I462">
        <f t="shared" si="8"/>
        <v>8.0468149263785403E-5</v>
      </c>
    </row>
    <row r="463" spans="1:9" x14ac:dyDescent="0.3">
      <c r="A463" s="5">
        <v>42307</v>
      </c>
      <c r="B463">
        <v>76.980002999999996</v>
      </c>
      <c r="C463">
        <v>77.139999000000003</v>
      </c>
      <c r="D463">
        <v>76.379997000000003</v>
      </c>
      <c r="E463">
        <v>76.379997000000003</v>
      </c>
      <c r="F463">
        <v>60.647902999999999</v>
      </c>
      <c r="G463">
        <v>9547700</v>
      </c>
      <c r="I463">
        <f t="shared" si="8"/>
        <v>2.0557182865068834E-5</v>
      </c>
    </row>
    <row r="464" spans="1:9" x14ac:dyDescent="0.3">
      <c r="A464" s="5">
        <v>42310</v>
      </c>
      <c r="B464">
        <v>76.569999999999993</v>
      </c>
      <c r="C464">
        <v>76.769997000000004</v>
      </c>
      <c r="D464">
        <v>76.050003000000004</v>
      </c>
      <c r="E464">
        <v>76.599997999999999</v>
      </c>
      <c r="F464">
        <v>60.822612999999997</v>
      </c>
      <c r="G464">
        <v>7152900</v>
      </c>
      <c r="I464">
        <f t="shared" si="8"/>
        <v>5.4886522659448228E-5</v>
      </c>
    </row>
    <row r="465" spans="1:9" x14ac:dyDescent="0.3">
      <c r="A465" s="5">
        <v>42311</v>
      </c>
      <c r="B465">
        <v>76.300003000000004</v>
      </c>
      <c r="C465">
        <v>77.419998000000007</v>
      </c>
      <c r="D465">
        <v>75.959998999999996</v>
      </c>
      <c r="E465">
        <v>77.050003000000004</v>
      </c>
      <c r="F465">
        <v>61.179909000000002</v>
      </c>
      <c r="G465">
        <v>8013200</v>
      </c>
      <c r="I465">
        <f t="shared" si="8"/>
        <v>1.3343996258937822E-4</v>
      </c>
    </row>
    <row r="466" spans="1:9" x14ac:dyDescent="0.3">
      <c r="A466" s="5">
        <v>42312</v>
      </c>
      <c r="B466">
        <v>77.029999000000004</v>
      </c>
      <c r="C466">
        <v>77.139999000000003</v>
      </c>
      <c r="D466">
        <v>76.510002</v>
      </c>
      <c r="E466">
        <v>77.059997999999993</v>
      </c>
      <c r="F466">
        <v>61.187869999999997</v>
      </c>
      <c r="G466">
        <v>6375400</v>
      </c>
      <c r="I466">
        <f t="shared" si="8"/>
        <v>4.9997914571487298E-5</v>
      </c>
    </row>
    <row r="467" spans="1:9" x14ac:dyDescent="0.3">
      <c r="A467" s="5">
        <v>42313</v>
      </c>
      <c r="B467">
        <v>77.089995999999999</v>
      </c>
      <c r="C467">
        <v>77.260002</v>
      </c>
      <c r="D467">
        <v>75.959998999999996</v>
      </c>
      <c r="E467">
        <v>76.389999000000003</v>
      </c>
      <c r="F467">
        <v>60.655853</v>
      </c>
      <c r="G467">
        <v>6860900</v>
      </c>
      <c r="I467">
        <f t="shared" si="8"/>
        <v>1.0830296825869094E-4</v>
      </c>
    </row>
    <row r="468" spans="1:9" x14ac:dyDescent="0.3">
      <c r="A468" s="5">
        <v>42314</v>
      </c>
      <c r="B468">
        <v>75.879997000000003</v>
      </c>
      <c r="C468">
        <v>76</v>
      </c>
      <c r="D468">
        <v>74.690002000000007</v>
      </c>
      <c r="E468">
        <v>75.569999999999993</v>
      </c>
      <c r="F468">
        <v>60.004748999999997</v>
      </c>
      <c r="G468">
        <v>9483500</v>
      </c>
      <c r="I468">
        <f t="shared" si="8"/>
        <v>1.9411417285960706E-4</v>
      </c>
    </row>
    <row r="469" spans="1:9" x14ac:dyDescent="0.3">
      <c r="A469" s="5">
        <v>42317</v>
      </c>
      <c r="B469">
        <v>75.190002000000007</v>
      </c>
      <c r="C469">
        <v>75.629997000000003</v>
      </c>
      <c r="D469">
        <v>74.930000000000007</v>
      </c>
      <c r="E469">
        <v>75.400002000000001</v>
      </c>
      <c r="F469">
        <v>59.869774</v>
      </c>
      <c r="G469">
        <v>8607200</v>
      </c>
      <c r="I469">
        <f t="shared" si="8"/>
        <v>3.9430519669075005E-5</v>
      </c>
    </row>
    <row r="470" spans="1:9" x14ac:dyDescent="0.3">
      <c r="A470" s="5">
        <v>42318</v>
      </c>
      <c r="B470">
        <v>75.379997000000003</v>
      </c>
      <c r="C470">
        <v>76.239998</v>
      </c>
      <c r="D470">
        <v>75.230002999999996</v>
      </c>
      <c r="E470">
        <v>75.769997000000004</v>
      </c>
      <c r="F470">
        <v>60.16357</v>
      </c>
      <c r="G470">
        <v>6551000</v>
      </c>
      <c r="I470">
        <f t="shared" si="8"/>
        <v>8.439724354877247E-5</v>
      </c>
    </row>
    <row r="471" spans="1:9" x14ac:dyDescent="0.3">
      <c r="A471" s="5">
        <v>42319</v>
      </c>
      <c r="B471">
        <v>76.019997000000004</v>
      </c>
      <c r="C471">
        <v>76.430000000000007</v>
      </c>
      <c r="D471">
        <v>75.919998000000007</v>
      </c>
      <c r="E471">
        <v>75.959998999999996</v>
      </c>
      <c r="F471">
        <v>60.314419000000001</v>
      </c>
      <c r="G471">
        <v>5295900</v>
      </c>
      <c r="I471">
        <f t="shared" si="8"/>
        <v>3.3872432628644433E-5</v>
      </c>
    </row>
    <row r="472" spans="1:9" x14ac:dyDescent="0.3">
      <c r="A472" s="5">
        <v>42320</v>
      </c>
      <c r="B472">
        <v>75.669998000000007</v>
      </c>
      <c r="C472">
        <v>76.010002</v>
      </c>
      <c r="D472">
        <v>74.660004000000001</v>
      </c>
      <c r="E472">
        <v>74.660004000000001</v>
      </c>
      <c r="F472">
        <v>59.282184999999998</v>
      </c>
      <c r="G472">
        <v>7678600</v>
      </c>
      <c r="I472">
        <f t="shared" si="8"/>
        <v>8.0340469782138463E-5</v>
      </c>
    </row>
    <row r="473" spans="1:9" x14ac:dyDescent="0.3">
      <c r="A473" s="5">
        <v>42321</v>
      </c>
      <c r="B473">
        <v>74.639999000000003</v>
      </c>
      <c r="C473">
        <v>74.980002999999996</v>
      </c>
      <c r="D473">
        <v>73.949996999999996</v>
      </c>
      <c r="E473">
        <v>73.959998999999996</v>
      </c>
      <c r="F473">
        <v>58.726379000000001</v>
      </c>
      <c r="G473">
        <v>8468800</v>
      </c>
      <c r="I473">
        <f t="shared" si="8"/>
        <v>6.3507940550457966E-5</v>
      </c>
    </row>
    <row r="474" spans="1:9" x14ac:dyDescent="0.3">
      <c r="A474" s="5">
        <v>42324</v>
      </c>
      <c r="B474">
        <v>74.25</v>
      </c>
      <c r="C474">
        <v>75.330001999999993</v>
      </c>
      <c r="D474">
        <v>74.010002</v>
      </c>
      <c r="E474">
        <v>75.300003000000004</v>
      </c>
      <c r="F474">
        <v>59.790382000000001</v>
      </c>
      <c r="G474">
        <v>7410600</v>
      </c>
      <c r="I474">
        <f t="shared" si="8"/>
        <v>6.1696245197204527E-5</v>
      </c>
    </row>
    <row r="475" spans="1:9" x14ac:dyDescent="0.3">
      <c r="A475" s="5">
        <v>42325</v>
      </c>
      <c r="B475">
        <v>75.330001999999993</v>
      </c>
      <c r="C475">
        <v>76.010002</v>
      </c>
      <c r="D475">
        <v>74.870002999999997</v>
      </c>
      <c r="E475">
        <v>75.069999999999993</v>
      </c>
      <c r="F475">
        <v>59.607750000000003</v>
      </c>
      <c r="G475">
        <v>8761800</v>
      </c>
      <c r="I475">
        <f t="shared" si="8"/>
        <v>1.2816678652070705E-4</v>
      </c>
    </row>
    <row r="476" spans="1:9" x14ac:dyDescent="0.3">
      <c r="A476" s="5">
        <v>42326</v>
      </c>
      <c r="B476">
        <v>74.980002999999996</v>
      </c>
      <c r="C476">
        <v>75.959998999999996</v>
      </c>
      <c r="D476">
        <v>74.809997999999993</v>
      </c>
      <c r="E476">
        <v>75.900002000000001</v>
      </c>
      <c r="F476">
        <v>60.266787999999998</v>
      </c>
      <c r="G476">
        <v>6447100</v>
      </c>
      <c r="I476">
        <f t="shared" si="8"/>
        <v>4.3095255985071634E-5</v>
      </c>
    </row>
    <row r="477" spans="1:9" x14ac:dyDescent="0.3">
      <c r="A477" s="5">
        <v>42327</v>
      </c>
      <c r="B477">
        <v>76.139999000000003</v>
      </c>
      <c r="C477">
        <v>76.959998999999996</v>
      </c>
      <c r="D477">
        <v>76.019997000000004</v>
      </c>
      <c r="E477">
        <v>76.220000999999996</v>
      </c>
      <c r="F477">
        <v>60.520865999999998</v>
      </c>
      <c r="G477">
        <v>7899500</v>
      </c>
      <c r="I477">
        <f t="shared" si="8"/>
        <v>1.0764301391490117E-4</v>
      </c>
    </row>
    <row r="478" spans="1:9" x14ac:dyDescent="0.3">
      <c r="A478" s="5">
        <v>42328</v>
      </c>
      <c r="B478">
        <v>76.550003000000004</v>
      </c>
      <c r="C478">
        <v>76.860000999999997</v>
      </c>
      <c r="D478">
        <v>75.680000000000007</v>
      </c>
      <c r="E478">
        <v>75.819999999999993</v>
      </c>
      <c r="F478">
        <v>60.203254999999999</v>
      </c>
      <c r="G478">
        <v>9533200</v>
      </c>
      <c r="I478">
        <f t="shared" si="8"/>
        <v>7.6183662393868663E-5</v>
      </c>
    </row>
    <row r="479" spans="1:9" x14ac:dyDescent="0.3">
      <c r="A479" s="5">
        <v>42331</v>
      </c>
      <c r="B479">
        <v>75.819999999999993</v>
      </c>
      <c r="C479">
        <v>76.059997999999993</v>
      </c>
      <c r="D479">
        <v>75.400002000000001</v>
      </c>
      <c r="E479">
        <v>75.970000999999996</v>
      </c>
      <c r="F479">
        <v>60.322356999999997</v>
      </c>
      <c r="G479">
        <v>9421300</v>
      </c>
      <c r="I479">
        <f t="shared" si="8"/>
        <v>4.5576256489899373E-5</v>
      </c>
    </row>
    <row r="480" spans="1:9" x14ac:dyDescent="0.3">
      <c r="A480" s="5">
        <v>42332</v>
      </c>
      <c r="B480">
        <v>75.620002999999997</v>
      </c>
      <c r="C480">
        <v>76.690002000000007</v>
      </c>
      <c r="D480">
        <v>75.610000999999997</v>
      </c>
      <c r="E480">
        <v>76.449996999999996</v>
      </c>
      <c r="F480">
        <v>60.703513999999998</v>
      </c>
      <c r="G480">
        <v>7086800</v>
      </c>
      <c r="I480">
        <f t="shared" si="8"/>
        <v>4.5502108181653894E-5</v>
      </c>
    </row>
    <row r="481" spans="1:9" x14ac:dyDescent="0.3">
      <c r="A481" s="5">
        <v>42333</v>
      </c>
      <c r="B481">
        <v>76.529999000000004</v>
      </c>
      <c r="C481">
        <v>76.739998</v>
      </c>
      <c r="D481">
        <v>75.879997000000003</v>
      </c>
      <c r="E481">
        <v>75.900002000000001</v>
      </c>
      <c r="F481">
        <v>60.266787999999998</v>
      </c>
      <c r="G481">
        <v>4266500</v>
      </c>
      <c r="I481">
        <f t="shared" si="8"/>
        <v>3.2408630188081595E-5</v>
      </c>
    </row>
    <row r="482" spans="1:9" x14ac:dyDescent="0.3">
      <c r="A482" s="5">
        <v>42335</v>
      </c>
      <c r="B482">
        <v>75.889999000000003</v>
      </c>
      <c r="C482">
        <v>76.370002999999997</v>
      </c>
      <c r="D482">
        <v>75.5</v>
      </c>
      <c r="E482">
        <v>75.699996999999996</v>
      </c>
      <c r="F482">
        <v>60.107975000000003</v>
      </c>
      <c r="G482">
        <v>2390100</v>
      </c>
      <c r="I482">
        <f t="shared" si="8"/>
        <v>6.9189615905219557E-5</v>
      </c>
    </row>
    <row r="483" spans="1:9" x14ac:dyDescent="0.3">
      <c r="A483" s="5">
        <v>42338</v>
      </c>
      <c r="B483">
        <v>75.580001999999993</v>
      </c>
      <c r="C483">
        <v>75.809997999999993</v>
      </c>
      <c r="D483">
        <v>74.839995999999999</v>
      </c>
      <c r="E483">
        <v>74.839995999999999</v>
      </c>
      <c r="F483">
        <v>59.425125000000001</v>
      </c>
      <c r="G483">
        <v>8935700</v>
      </c>
      <c r="I483">
        <f t="shared" si="8"/>
        <v>3.9128475925392055E-5</v>
      </c>
    </row>
    <row r="484" spans="1:9" x14ac:dyDescent="0.3">
      <c r="A484" s="5">
        <v>42339</v>
      </c>
      <c r="B484">
        <v>74.870002999999997</v>
      </c>
      <c r="C484">
        <v>76.220000999999996</v>
      </c>
      <c r="D484">
        <v>74.870002999999997</v>
      </c>
      <c r="E484">
        <v>75.940002000000007</v>
      </c>
      <c r="F484">
        <v>60.298569000000001</v>
      </c>
      <c r="G484">
        <v>8391700</v>
      </c>
      <c r="I484">
        <f t="shared" si="8"/>
        <v>6.5769630778870082E-5</v>
      </c>
    </row>
    <row r="485" spans="1:9" x14ac:dyDescent="0.3">
      <c r="A485" s="5">
        <v>42340</v>
      </c>
      <c r="B485">
        <v>75.730002999999996</v>
      </c>
      <c r="C485">
        <v>76.459998999999996</v>
      </c>
      <c r="D485">
        <v>75.650002000000001</v>
      </c>
      <c r="E485">
        <v>75.790001000000004</v>
      </c>
      <c r="F485">
        <v>60.179423999999997</v>
      </c>
      <c r="G485">
        <v>8104200</v>
      </c>
      <c r="I485">
        <f t="shared" si="8"/>
        <v>8.6388079250906917E-5</v>
      </c>
    </row>
    <row r="486" spans="1:9" x14ac:dyDescent="0.3">
      <c r="A486" s="5">
        <v>42341</v>
      </c>
      <c r="B486">
        <v>75.830001999999993</v>
      </c>
      <c r="C486">
        <v>76.199996999999996</v>
      </c>
      <c r="D486">
        <v>75.169998000000007</v>
      </c>
      <c r="E486">
        <v>75.739998</v>
      </c>
      <c r="F486">
        <v>60.139747999999997</v>
      </c>
      <c r="G486">
        <v>11177800</v>
      </c>
      <c r="I486">
        <f t="shared" si="8"/>
        <v>9.5509866729562277E-5</v>
      </c>
    </row>
    <row r="487" spans="1:9" x14ac:dyDescent="0.3">
      <c r="A487" s="5">
        <v>42342</v>
      </c>
      <c r="B487">
        <v>75.980002999999996</v>
      </c>
      <c r="C487">
        <v>77.900002000000001</v>
      </c>
      <c r="D487">
        <v>75.919998000000007</v>
      </c>
      <c r="E487">
        <v>77.830001999999993</v>
      </c>
      <c r="F487">
        <v>61.799244000000002</v>
      </c>
      <c r="G487">
        <v>11961000</v>
      </c>
      <c r="I487">
        <f t="shared" si="8"/>
        <v>4.2065545238836595E-5</v>
      </c>
    </row>
    <row r="488" spans="1:9" x14ac:dyDescent="0.3">
      <c r="A488" s="5">
        <v>42345</v>
      </c>
      <c r="B488">
        <v>77.540001000000004</v>
      </c>
      <c r="C488">
        <v>78.5</v>
      </c>
      <c r="D488">
        <v>77.540001000000004</v>
      </c>
      <c r="E488">
        <v>78.370002999999997</v>
      </c>
      <c r="F488">
        <v>62.228045999999999</v>
      </c>
      <c r="G488">
        <v>9460000</v>
      </c>
      <c r="I488">
        <f t="shared" si="8"/>
        <v>2.0393596938876306E-5</v>
      </c>
    </row>
    <row r="489" spans="1:9" x14ac:dyDescent="0.3">
      <c r="A489" s="5">
        <v>42346</v>
      </c>
      <c r="B489">
        <v>77.680000000000007</v>
      </c>
      <c r="C489">
        <v>78.5</v>
      </c>
      <c r="D489">
        <v>77.349997999999999</v>
      </c>
      <c r="E489">
        <v>77.75</v>
      </c>
      <c r="F489">
        <v>61.735728999999999</v>
      </c>
      <c r="G489">
        <v>8312700</v>
      </c>
      <c r="I489">
        <f t="shared" si="8"/>
        <v>1.2276747471315499E-4</v>
      </c>
    </row>
    <row r="490" spans="1:9" x14ac:dyDescent="0.3">
      <c r="A490" s="5">
        <v>42347</v>
      </c>
      <c r="B490">
        <v>77.599997999999999</v>
      </c>
      <c r="C490">
        <v>78.989998</v>
      </c>
      <c r="D490">
        <v>77.440002000000007</v>
      </c>
      <c r="E490">
        <v>77.699996999999996</v>
      </c>
      <c r="F490">
        <v>61.696033</v>
      </c>
      <c r="G490">
        <v>10081900</v>
      </c>
      <c r="I490">
        <f t="shared" si="8"/>
        <v>2.9925276168712972E-4</v>
      </c>
    </row>
    <row r="491" spans="1:9" x14ac:dyDescent="0.3">
      <c r="A491" s="5">
        <v>42348</v>
      </c>
      <c r="B491">
        <v>77.910004000000001</v>
      </c>
      <c r="C491">
        <v>78.540001000000004</v>
      </c>
      <c r="D491">
        <v>77.569999999999993</v>
      </c>
      <c r="E491">
        <v>77.790001000000004</v>
      </c>
      <c r="F491">
        <v>61.767487000000003</v>
      </c>
      <c r="G491">
        <v>8984200</v>
      </c>
      <c r="I491">
        <f t="shared" si="8"/>
        <v>8.9663218033705279E-5</v>
      </c>
    </row>
    <row r="492" spans="1:9" x14ac:dyDescent="0.3">
      <c r="A492" s="5">
        <v>42349</v>
      </c>
      <c r="B492">
        <v>77.510002</v>
      </c>
      <c r="C492">
        <v>78.330001999999993</v>
      </c>
      <c r="D492">
        <v>77.110000999999997</v>
      </c>
      <c r="E492">
        <v>77.779999000000004</v>
      </c>
      <c r="F492">
        <v>61.759571000000001</v>
      </c>
      <c r="G492">
        <v>12280500</v>
      </c>
      <c r="I492">
        <f t="shared" si="8"/>
        <v>1.1891604671740617E-4</v>
      </c>
    </row>
    <row r="493" spans="1:9" x14ac:dyDescent="0.3">
      <c r="A493" s="5">
        <v>42352</v>
      </c>
      <c r="B493">
        <v>77.629997000000003</v>
      </c>
      <c r="C493">
        <v>78.529999000000004</v>
      </c>
      <c r="D493">
        <v>77.440002000000007</v>
      </c>
      <c r="E493">
        <v>78.290001000000004</v>
      </c>
      <c r="F493">
        <v>62.164515999999999</v>
      </c>
      <c r="G493">
        <v>12179000</v>
      </c>
      <c r="I493">
        <f t="shared" si="8"/>
        <v>6.2031410716367603E-5</v>
      </c>
    </row>
    <row r="494" spans="1:9" x14ac:dyDescent="0.3">
      <c r="A494" s="5">
        <v>42353</v>
      </c>
      <c r="B494">
        <v>78.709998999999996</v>
      </c>
      <c r="C494">
        <v>80</v>
      </c>
      <c r="D494">
        <v>78.480002999999996</v>
      </c>
      <c r="E494">
        <v>79.680000000000007</v>
      </c>
      <c r="F494">
        <v>63.268211000000001</v>
      </c>
      <c r="G494">
        <v>14113400</v>
      </c>
      <c r="I494">
        <f t="shared" si="8"/>
        <v>1.0956273733343889E-4</v>
      </c>
    </row>
    <row r="495" spans="1:9" x14ac:dyDescent="0.3">
      <c r="A495" s="5">
        <v>42354</v>
      </c>
      <c r="B495">
        <v>79.980002999999996</v>
      </c>
      <c r="C495">
        <v>81.230002999999996</v>
      </c>
      <c r="D495">
        <v>79.800003000000004</v>
      </c>
      <c r="E495">
        <v>80.989998</v>
      </c>
      <c r="F495">
        <v>64.308387999999994</v>
      </c>
      <c r="G495">
        <v>14102600</v>
      </c>
      <c r="I495">
        <f t="shared" si="8"/>
        <v>7.9239048447301961E-5</v>
      </c>
    </row>
    <row r="496" spans="1:9" x14ac:dyDescent="0.3">
      <c r="A496" s="5">
        <v>42355</v>
      </c>
      <c r="B496">
        <v>80.980002999999996</v>
      </c>
      <c r="C496">
        <v>81.029999000000004</v>
      </c>
      <c r="D496">
        <v>80.199996999999996</v>
      </c>
      <c r="E496">
        <v>80.290001000000004</v>
      </c>
      <c r="F496">
        <v>63.752560000000003</v>
      </c>
      <c r="G496">
        <v>9864200</v>
      </c>
      <c r="I496">
        <f t="shared" si="8"/>
        <v>1.6518233067151086E-5</v>
      </c>
    </row>
    <row r="497" spans="1:9" x14ac:dyDescent="0.3">
      <c r="A497" s="5">
        <v>42356</v>
      </c>
      <c r="B497">
        <v>79.949996999999996</v>
      </c>
      <c r="C497">
        <v>80.120002999999997</v>
      </c>
      <c r="D497">
        <v>78.129997000000003</v>
      </c>
      <c r="E497">
        <v>78.129997000000003</v>
      </c>
      <c r="F497">
        <v>62.037460000000003</v>
      </c>
      <c r="G497">
        <v>21342100</v>
      </c>
      <c r="I497">
        <f t="shared" si="8"/>
        <v>5.3425429171996048E-5</v>
      </c>
    </row>
    <row r="498" spans="1:9" x14ac:dyDescent="0.3">
      <c r="A498" s="5">
        <v>42359</v>
      </c>
      <c r="B498">
        <v>78.629997000000003</v>
      </c>
      <c r="C498">
        <v>78.980002999999996</v>
      </c>
      <c r="D498">
        <v>78.150002000000001</v>
      </c>
      <c r="E498">
        <v>78.949996999999996</v>
      </c>
      <c r="F498">
        <v>62.688564</v>
      </c>
      <c r="G498">
        <v>9105800</v>
      </c>
      <c r="I498">
        <f t="shared" si="8"/>
        <v>6.4050020411796343E-5</v>
      </c>
    </row>
    <row r="499" spans="1:9" x14ac:dyDescent="0.3">
      <c r="A499" s="5">
        <v>42360</v>
      </c>
      <c r="B499">
        <v>79.160004000000001</v>
      </c>
      <c r="C499">
        <v>79.75</v>
      </c>
      <c r="D499">
        <v>78.879997000000003</v>
      </c>
      <c r="E499">
        <v>79.599997999999999</v>
      </c>
      <c r="F499">
        <v>63.204681000000001</v>
      </c>
      <c r="G499">
        <v>9872200</v>
      </c>
      <c r="I499">
        <f t="shared" si="8"/>
        <v>4.6177561146897587E-5</v>
      </c>
    </row>
    <row r="500" spans="1:9" x14ac:dyDescent="0.3">
      <c r="A500" s="5">
        <v>42361</v>
      </c>
      <c r="B500">
        <v>79.949996999999996</v>
      </c>
      <c r="C500">
        <v>80.430000000000007</v>
      </c>
      <c r="D500">
        <v>79.5</v>
      </c>
      <c r="E500">
        <v>79.919998000000007</v>
      </c>
      <c r="F500">
        <v>63.458793999999997</v>
      </c>
      <c r="G500">
        <v>8254600</v>
      </c>
      <c r="I500">
        <f t="shared" si="8"/>
        <v>6.7817444119089803E-5</v>
      </c>
    </row>
    <row r="501" spans="1:9" x14ac:dyDescent="0.3">
      <c r="A501" s="5">
        <v>42362</v>
      </c>
      <c r="B501">
        <v>79.660004000000001</v>
      </c>
      <c r="C501">
        <v>80.150002000000001</v>
      </c>
      <c r="D501">
        <v>79.599997999999999</v>
      </c>
      <c r="E501">
        <v>79.790001000000004</v>
      </c>
      <c r="F501">
        <v>63.355556</v>
      </c>
      <c r="G501">
        <v>2498000</v>
      </c>
      <c r="I501">
        <f t="shared" si="8"/>
        <v>2.9402301240452732E-5</v>
      </c>
    </row>
    <row r="502" spans="1:9" x14ac:dyDescent="0.3">
      <c r="A502" s="5">
        <v>42366</v>
      </c>
      <c r="B502">
        <v>79.739998</v>
      </c>
      <c r="C502">
        <v>79.970000999999996</v>
      </c>
      <c r="D502">
        <v>79.470000999999996</v>
      </c>
      <c r="E502">
        <v>79.919998000000007</v>
      </c>
      <c r="F502">
        <v>63.458793999999997</v>
      </c>
      <c r="G502">
        <v>4150000</v>
      </c>
      <c r="I502">
        <f t="shared" si="8"/>
        <v>2.0952829021062683E-5</v>
      </c>
    </row>
    <row r="503" spans="1:9" x14ac:dyDescent="0.3">
      <c r="A503" s="5">
        <v>42367</v>
      </c>
      <c r="B503">
        <v>80.220000999999996</v>
      </c>
      <c r="C503">
        <v>80.610000999999997</v>
      </c>
      <c r="D503">
        <v>79.849997999999999</v>
      </c>
      <c r="E503">
        <v>80.360000999999997</v>
      </c>
      <c r="F503">
        <v>63.808140000000002</v>
      </c>
      <c r="G503">
        <v>4406100</v>
      </c>
      <c r="I503">
        <f t="shared" si="8"/>
        <v>4.4497882306541776E-5</v>
      </c>
    </row>
    <row r="504" spans="1:9" x14ac:dyDescent="0.3">
      <c r="A504" s="5">
        <v>42368</v>
      </c>
      <c r="B504">
        <v>80.459998999999996</v>
      </c>
      <c r="C504">
        <v>80.5</v>
      </c>
      <c r="D504">
        <v>80</v>
      </c>
      <c r="E504">
        <v>80.069999999999993</v>
      </c>
      <c r="F504">
        <v>63.577877000000001</v>
      </c>
      <c r="G504">
        <v>3793200</v>
      </c>
      <c r="I504">
        <f t="shared" si="8"/>
        <v>7.6766967343708936E-6</v>
      </c>
    </row>
    <row r="505" spans="1:9" x14ac:dyDescent="0.3">
      <c r="A505" s="5">
        <v>42369</v>
      </c>
      <c r="B505">
        <v>79.910004000000001</v>
      </c>
      <c r="C505">
        <v>80.040001000000004</v>
      </c>
      <c r="D505">
        <v>79.309997999999993</v>
      </c>
      <c r="E505">
        <v>79.410004000000001</v>
      </c>
      <c r="F505">
        <v>63.053840999999998</v>
      </c>
      <c r="G505">
        <v>5077700</v>
      </c>
      <c r="I505">
        <f t="shared" si="8"/>
        <v>2.2342354340853592E-5</v>
      </c>
    </row>
    <row r="506" spans="1:9" x14ac:dyDescent="0.3">
      <c r="A506" s="5">
        <v>42373</v>
      </c>
      <c r="B506">
        <v>78.360000999999997</v>
      </c>
      <c r="C506">
        <v>78.5</v>
      </c>
      <c r="D506">
        <v>77.540001000000004</v>
      </c>
      <c r="E506">
        <v>78.370002999999997</v>
      </c>
      <c r="F506">
        <v>62.228045999999999</v>
      </c>
      <c r="G506">
        <v>11529800</v>
      </c>
      <c r="I506">
        <f t="shared" si="8"/>
        <v>1.1496438682373214E-4</v>
      </c>
    </row>
    <row r="507" spans="1:9" x14ac:dyDescent="0.3">
      <c r="A507" s="5">
        <v>42374</v>
      </c>
      <c r="B507">
        <v>78.440002000000007</v>
      </c>
      <c r="C507">
        <v>78.959998999999996</v>
      </c>
      <c r="D507">
        <v>78.209998999999996</v>
      </c>
      <c r="E507">
        <v>78.620002999999997</v>
      </c>
      <c r="F507">
        <v>62.426552000000001</v>
      </c>
      <c r="G507">
        <v>8133700</v>
      </c>
      <c r="I507">
        <f t="shared" si="8"/>
        <v>4.3866285325104333E-5</v>
      </c>
    </row>
    <row r="508" spans="1:9" x14ac:dyDescent="0.3">
      <c r="A508" s="5">
        <v>42375</v>
      </c>
      <c r="B508">
        <v>77.669998000000007</v>
      </c>
      <c r="C508">
        <v>78.290001000000004</v>
      </c>
      <c r="D508">
        <v>77.120002999999997</v>
      </c>
      <c r="E508">
        <v>77.860000999999997</v>
      </c>
      <c r="F508">
        <v>61.823070999999999</v>
      </c>
      <c r="G508">
        <v>9551000</v>
      </c>
      <c r="I508">
        <f t="shared" si="8"/>
        <v>1.1165297691427458E-4</v>
      </c>
    </row>
    <row r="509" spans="1:9" x14ac:dyDescent="0.3">
      <c r="A509" s="5">
        <v>42376</v>
      </c>
      <c r="B509">
        <v>76.849997999999999</v>
      </c>
      <c r="C509">
        <v>77.599997999999999</v>
      </c>
      <c r="D509">
        <v>76.069999999999993</v>
      </c>
      <c r="E509">
        <v>77.180000000000007</v>
      </c>
      <c r="F509">
        <v>61.283146000000002</v>
      </c>
      <c r="G509">
        <v>11973900</v>
      </c>
      <c r="I509">
        <f t="shared" si="8"/>
        <v>2.0048974825813553E-4</v>
      </c>
    </row>
    <row r="510" spans="1:9" x14ac:dyDescent="0.3">
      <c r="A510" s="5">
        <v>42377</v>
      </c>
      <c r="B510">
        <v>77.360000999999997</v>
      </c>
      <c r="C510">
        <v>77.480002999999996</v>
      </c>
      <c r="D510">
        <v>75.669998000000007</v>
      </c>
      <c r="E510">
        <v>75.970000999999996</v>
      </c>
      <c r="F510">
        <v>60.322356999999997</v>
      </c>
      <c r="G510">
        <v>9676400</v>
      </c>
      <c r="I510">
        <f t="shared" si="8"/>
        <v>1.1790422265125575E-4</v>
      </c>
    </row>
    <row r="511" spans="1:9" x14ac:dyDescent="0.3">
      <c r="A511" s="5">
        <v>42380</v>
      </c>
      <c r="B511">
        <v>76.169998000000007</v>
      </c>
      <c r="C511">
        <v>77.040001000000004</v>
      </c>
      <c r="D511">
        <v>75.599997999999999</v>
      </c>
      <c r="E511">
        <v>76.669998000000007</v>
      </c>
      <c r="F511">
        <v>60.878180999999998</v>
      </c>
      <c r="G511">
        <v>10209200</v>
      </c>
      <c r="I511">
        <f t="shared" si="8"/>
        <v>1.6024354448241669E-4</v>
      </c>
    </row>
    <row r="512" spans="1:9" x14ac:dyDescent="0.3">
      <c r="A512" s="5">
        <v>42381</v>
      </c>
      <c r="B512">
        <v>77</v>
      </c>
      <c r="C512">
        <v>77.019997000000004</v>
      </c>
      <c r="D512">
        <v>75.75</v>
      </c>
      <c r="E512">
        <v>76.510002</v>
      </c>
      <c r="F512">
        <v>60.751140999999997</v>
      </c>
      <c r="G512">
        <v>8774700</v>
      </c>
      <c r="I512">
        <f t="shared" si="8"/>
        <v>1.6511720672619611E-4</v>
      </c>
    </row>
    <row r="513" spans="1:9" x14ac:dyDescent="0.3">
      <c r="A513" s="5">
        <v>42382</v>
      </c>
      <c r="B513">
        <v>76.970000999999996</v>
      </c>
      <c r="C513">
        <v>76.989998</v>
      </c>
      <c r="D513">
        <v>75.790001000000004</v>
      </c>
      <c r="E513">
        <v>75.849997999999999</v>
      </c>
      <c r="F513">
        <v>60.227085000000002</v>
      </c>
      <c r="G513">
        <v>9310100</v>
      </c>
      <c r="I513">
        <f t="shared" si="8"/>
        <v>1.6100410798605268E-5</v>
      </c>
    </row>
    <row r="514" spans="1:9" x14ac:dyDescent="0.3">
      <c r="A514" s="5">
        <v>42383</v>
      </c>
      <c r="B514">
        <v>76.099997999999999</v>
      </c>
      <c r="C514">
        <v>76.949996999999996</v>
      </c>
      <c r="D514">
        <v>75.879997000000003</v>
      </c>
      <c r="E514">
        <v>76.150002000000001</v>
      </c>
      <c r="F514">
        <v>60.465294</v>
      </c>
      <c r="G514">
        <v>12835100</v>
      </c>
      <c r="I514">
        <f t="shared" si="8"/>
        <v>1.2636570179460455E-4</v>
      </c>
    </row>
    <row r="515" spans="1:9" x14ac:dyDescent="0.3">
      <c r="A515" s="5">
        <v>42384</v>
      </c>
      <c r="B515">
        <v>74.5</v>
      </c>
      <c r="C515">
        <v>75.680000000000007</v>
      </c>
      <c r="D515">
        <v>74.470000999999996</v>
      </c>
      <c r="E515">
        <v>74.980002999999996</v>
      </c>
      <c r="F515">
        <v>59.536282</v>
      </c>
      <c r="G515">
        <v>17023900</v>
      </c>
      <c r="I515">
        <f t="shared" si="8"/>
        <v>1.4877817090164797E-4</v>
      </c>
    </row>
    <row r="516" spans="1:9" x14ac:dyDescent="0.3">
      <c r="A516" s="5">
        <v>42388</v>
      </c>
      <c r="B516">
        <v>75.800003000000004</v>
      </c>
      <c r="C516">
        <v>76.910004000000001</v>
      </c>
      <c r="D516">
        <v>75.720000999999996</v>
      </c>
      <c r="E516">
        <v>76.730002999999996</v>
      </c>
      <c r="F516">
        <v>60.925831000000002</v>
      </c>
      <c r="G516">
        <v>13457300</v>
      </c>
      <c r="I516">
        <f t="shared" si="8"/>
        <v>4.8056290264432602E-5</v>
      </c>
    </row>
    <row r="517" spans="1:9" x14ac:dyDescent="0.3">
      <c r="A517" s="5">
        <v>42389</v>
      </c>
      <c r="B517">
        <v>75.290001000000004</v>
      </c>
      <c r="C517">
        <v>76.089995999999999</v>
      </c>
      <c r="D517">
        <v>74.459998999999996</v>
      </c>
      <c r="E517">
        <v>75.830001999999993</v>
      </c>
      <c r="F517">
        <v>60.735996</v>
      </c>
      <c r="G517">
        <v>17795000</v>
      </c>
      <c r="I517">
        <f t="shared" si="8"/>
        <v>2.3828338792790499E-4</v>
      </c>
    </row>
    <row r="518" spans="1:9" x14ac:dyDescent="0.3">
      <c r="A518" s="5">
        <v>42390</v>
      </c>
      <c r="B518">
        <v>76.019997000000004</v>
      </c>
      <c r="C518">
        <v>77.180000000000007</v>
      </c>
      <c r="D518">
        <v>75.410004000000001</v>
      </c>
      <c r="E518">
        <v>76.720000999999996</v>
      </c>
      <c r="F518">
        <v>61.448864</v>
      </c>
      <c r="G518">
        <v>12712900</v>
      </c>
      <c r="I518">
        <f t="shared" si="8"/>
        <v>2.292817940101273E-4</v>
      </c>
    </row>
    <row r="519" spans="1:9" x14ac:dyDescent="0.3">
      <c r="A519" s="5">
        <v>42391</v>
      </c>
      <c r="B519">
        <v>77.400002000000001</v>
      </c>
      <c r="C519">
        <v>77.970000999999996</v>
      </c>
      <c r="D519">
        <v>76.550003000000004</v>
      </c>
      <c r="E519">
        <v>77.360000999999997</v>
      </c>
      <c r="F519">
        <v>61.961449000000002</v>
      </c>
      <c r="G519">
        <v>9465800</v>
      </c>
      <c r="I519">
        <f t="shared" si="8"/>
        <v>1.7386119718598226E-4</v>
      </c>
    </row>
    <row r="520" spans="1:9" x14ac:dyDescent="0.3">
      <c r="A520" s="5">
        <v>42394</v>
      </c>
      <c r="B520">
        <v>77.199996999999996</v>
      </c>
      <c r="C520">
        <v>77.360000999999997</v>
      </c>
      <c r="D520">
        <v>76.559997999999993</v>
      </c>
      <c r="E520">
        <v>76.849997999999999</v>
      </c>
      <c r="F520">
        <v>61.552967000000002</v>
      </c>
      <c r="G520">
        <v>9870400</v>
      </c>
      <c r="I520">
        <f t="shared" si="8"/>
        <v>4.5168172475794767E-5</v>
      </c>
    </row>
    <row r="521" spans="1:9" x14ac:dyDescent="0.3">
      <c r="A521" s="5">
        <v>42395</v>
      </c>
      <c r="B521">
        <v>78</v>
      </c>
      <c r="C521">
        <v>79.580001999999993</v>
      </c>
      <c r="D521">
        <v>77.540001000000004</v>
      </c>
      <c r="E521">
        <v>78.809997999999993</v>
      </c>
      <c r="F521">
        <v>63.122799000000001</v>
      </c>
      <c r="G521">
        <v>16374800</v>
      </c>
      <c r="I521">
        <f t="shared" si="8"/>
        <v>2.9107703973044879E-4</v>
      </c>
    </row>
    <row r="522" spans="1:9" x14ac:dyDescent="0.3">
      <c r="A522" s="5">
        <v>42396</v>
      </c>
      <c r="B522">
        <v>78.529999000000004</v>
      </c>
      <c r="C522">
        <v>79.849997999999999</v>
      </c>
      <c r="D522">
        <v>78.150002000000001</v>
      </c>
      <c r="E522">
        <v>78.800003000000004</v>
      </c>
      <c r="F522">
        <v>63.114821999999997</v>
      </c>
      <c r="G522">
        <v>10816100</v>
      </c>
      <c r="I522">
        <f t="shared" si="8"/>
        <v>2.6082385581813276E-4</v>
      </c>
    </row>
    <row r="523" spans="1:9" x14ac:dyDescent="0.3">
      <c r="A523" s="5">
        <v>42397</v>
      </c>
      <c r="B523">
        <v>79.400002000000001</v>
      </c>
      <c r="C523">
        <v>80</v>
      </c>
      <c r="D523">
        <v>78.610000999999997</v>
      </c>
      <c r="E523">
        <v>79.819999999999993</v>
      </c>
      <c r="F523">
        <v>63.931789000000002</v>
      </c>
      <c r="G523">
        <v>9895100</v>
      </c>
      <c r="I523">
        <f t="shared" si="8"/>
        <v>1.6970111414399861E-4</v>
      </c>
    </row>
    <row r="524" spans="1:9" x14ac:dyDescent="0.3">
      <c r="A524" s="5">
        <v>42398</v>
      </c>
      <c r="B524">
        <v>79.980002999999996</v>
      </c>
      <c r="C524">
        <v>82</v>
      </c>
      <c r="D524">
        <v>79.830001999999993</v>
      </c>
      <c r="E524">
        <v>81.690002000000007</v>
      </c>
      <c r="F524">
        <v>65.429573000000005</v>
      </c>
      <c r="G524">
        <v>19895000</v>
      </c>
      <c r="I524">
        <f t="shared" ref="I524:I587" si="9">LN(C524/B524)*(LN(C524/B524)-LN(E524/B524))+LN(D524/B524)*(LN(D524/B524)-LN(E524/B524))</f>
        <v>1.3771035772740221E-4</v>
      </c>
    </row>
    <row r="525" spans="1:9" x14ac:dyDescent="0.3">
      <c r="A525" s="5">
        <v>42401</v>
      </c>
      <c r="B525">
        <v>81.209998999999996</v>
      </c>
      <c r="C525">
        <v>81.400002000000001</v>
      </c>
      <c r="D525">
        <v>80.529999000000004</v>
      </c>
      <c r="E525">
        <v>81.120002999999997</v>
      </c>
      <c r="F525">
        <v>64.973015000000004</v>
      </c>
      <c r="G525">
        <v>9657200</v>
      </c>
      <c r="I525">
        <f t="shared" si="9"/>
        <v>6.9433540745019465E-5</v>
      </c>
    </row>
    <row r="526" spans="1:9" x14ac:dyDescent="0.3">
      <c r="A526" s="5">
        <v>42402</v>
      </c>
      <c r="B526">
        <v>80.089995999999999</v>
      </c>
      <c r="C526">
        <v>80.540001000000004</v>
      </c>
      <c r="D526">
        <v>79.809997999999993</v>
      </c>
      <c r="E526">
        <v>80.220000999999996</v>
      </c>
      <c r="F526">
        <v>64.252150999999998</v>
      </c>
      <c r="G526">
        <v>9116400</v>
      </c>
      <c r="I526">
        <f t="shared" si="9"/>
        <v>4.0251551675159946E-5</v>
      </c>
    </row>
    <row r="527" spans="1:9" x14ac:dyDescent="0.3">
      <c r="A527" s="5">
        <v>42403</v>
      </c>
      <c r="B527">
        <v>80.480002999999996</v>
      </c>
      <c r="C527">
        <v>81.239998</v>
      </c>
      <c r="D527">
        <v>80.019997000000004</v>
      </c>
      <c r="E527">
        <v>81.099997999999999</v>
      </c>
      <c r="F527">
        <v>64.957008000000002</v>
      </c>
      <c r="G527">
        <v>10149600</v>
      </c>
      <c r="I527">
        <f t="shared" si="9"/>
        <v>9.3058809789230588E-5</v>
      </c>
    </row>
    <row r="528" spans="1:9" x14ac:dyDescent="0.3">
      <c r="A528" s="5">
        <v>42404</v>
      </c>
      <c r="B528">
        <v>80.849997999999999</v>
      </c>
      <c r="C528">
        <v>81.099997999999999</v>
      </c>
      <c r="D528">
        <v>80.330001999999993</v>
      </c>
      <c r="E528">
        <v>80.699996999999996</v>
      </c>
      <c r="F528">
        <v>64.636619999999994</v>
      </c>
      <c r="G528">
        <v>8295100</v>
      </c>
      <c r="I528">
        <f t="shared" si="9"/>
        <v>4.4916269683126472E-5</v>
      </c>
    </row>
    <row r="529" spans="1:9" x14ac:dyDescent="0.3">
      <c r="A529" s="5">
        <v>42405</v>
      </c>
      <c r="B529">
        <v>80.580001999999993</v>
      </c>
      <c r="C529">
        <v>81.199996999999996</v>
      </c>
      <c r="D529">
        <v>80.569999999999993</v>
      </c>
      <c r="E529">
        <v>81.199996999999996</v>
      </c>
      <c r="F529">
        <v>65.037109000000001</v>
      </c>
      <c r="G529">
        <v>9957600</v>
      </c>
      <c r="I529">
        <f t="shared" si="9"/>
        <v>9.6685027784262261E-7</v>
      </c>
    </row>
    <row r="530" spans="1:9" x14ac:dyDescent="0.3">
      <c r="A530" s="5">
        <v>42408</v>
      </c>
      <c r="B530">
        <v>80.290001000000004</v>
      </c>
      <c r="C530">
        <v>82.720000999999996</v>
      </c>
      <c r="D530">
        <v>80.290001000000004</v>
      </c>
      <c r="E530">
        <v>82.620002999999997</v>
      </c>
      <c r="F530">
        <v>66.174437999999995</v>
      </c>
      <c r="G530">
        <v>16530200</v>
      </c>
      <c r="I530">
        <f t="shared" si="9"/>
        <v>3.6065969257426444E-5</v>
      </c>
    </row>
    <row r="531" spans="1:9" x14ac:dyDescent="0.3">
      <c r="A531" s="5">
        <v>42409</v>
      </c>
      <c r="B531">
        <v>81.830001999999993</v>
      </c>
      <c r="C531">
        <v>83</v>
      </c>
      <c r="D531">
        <v>81.019997000000004</v>
      </c>
      <c r="E531">
        <v>82.639999000000003</v>
      </c>
      <c r="F531">
        <v>66.190483</v>
      </c>
      <c r="G531">
        <v>14308900</v>
      </c>
      <c r="I531">
        <f t="shared" si="9"/>
        <v>2.5865757533527045E-4</v>
      </c>
    </row>
    <row r="532" spans="1:9" x14ac:dyDescent="0.3">
      <c r="A532" s="5">
        <v>42410</v>
      </c>
      <c r="B532">
        <v>82.910004000000001</v>
      </c>
      <c r="C532">
        <v>83</v>
      </c>
      <c r="D532">
        <v>81.459998999999996</v>
      </c>
      <c r="E532">
        <v>81.620002999999997</v>
      </c>
      <c r="F532">
        <v>65.373497</v>
      </c>
      <c r="G532">
        <v>10585400</v>
      </c>
      <c r="I532">
        <f t="shared" si="9"/>
        <v>5.2811022492622354E-5</v>
      </c>
    </row>
    <row r="533" spans="1:9" x14ac:dyDescent="0.3">
      <c r="A533" s="5">
        <v>42411</v>
      </c>
      <c r="B533">
        <v>80.389999000000003</v>
      </c>
      <c r="C533">
        <v>80.989998</v>
      </c>
      <c r="D533">
        <v>79.629997000000003</v>
      </c>
      <c r="E533">
        <v>79.900002000000001</v>
      </c>
      <c r="F533">
        <v>63.995857000000001</v>
      </c>
      <c r="G533">
        <v>12343900</v>
      </c>
      <c r="I533">
        <f t="shared" si="9"/>
        <v>1.3290859517196843E-4</v>
      </c>
    </row>
    <row r="534" spans="1:9" x14ac:dyDescent="0.3">
      <c r="A534" s="5">
        <v>42412</v>
      </c>
      <c r="B534">
        <v>80.360000999999997</v>
      </c>
      <c r="C534">
        <v>81.019997000000004</v>
      </c>
      <c r="D534">
        <v>79.790001000000004</v>
      </c>
      <c r="E534">
        <v>80.989998</v>
      </c>
      <c r="F534">
        <v>64.868896000000007</v>
      </c>
      <c r="G534">
        <v>9306100</v>
      </c>
      <c r="I534">
        <f t="shared" si="9"/>
        <v>1.0928818910541134E-4</v>
      </c>
    </row>
    <row r="535" spans="1:9" x14ac:dyDescent="0.3">
      <c r="A535" s="5">
        <v>42416</v>
      </c>
      <c r="B535">
        <v>81.989998</v>
      </c>
      <c r="C535">
        <v>81.989998</v>
      </c>
      <c r="D535">
        <v>80.839995999999999</v>
      </c>
      <c r="E535">
        <v>81.470000999999996</v>
      </c>
      <c r="F535">
        <v>65.253356999999994</v>
      </c>
      <c r="G535">
        <v>9352600</v>
      </c>
      <c r="I535">
        <f t="shared" si="9"/>
        <v>1.096559770056086E-4</v>
      </c>
    </row>
    <row r="536" spans="1:9" x14ac:dyDescent="0.3">
      <c r="A536" s="5">
        <v>42417</v>
      </c>
      <c r="B536">
        <v>81.650002000000001</v>
      </c>
      <c r="C536">
        <v>82.830001999999993</v>
      </c>
      <c r="D536">
        <v>81.510002</v>
      </c>
      <c r="E536">
        <v>82.449996999999996</v>
      </c>
      <c r="F536">
        <v>66.038300000000007</v>
      </c>
      <c r="G536">
        <v>10892900</v>
      </c>
      <c r="I536">
        <f t="shared" si="9"/>
        <v>8.5656418399105477E-5</v>
      </c>
    </row>
    <row r="537" spans="1:9" x14ac:dyDescent="0.3">
      <c r="A537" s="5">
        <v>42418</v>
      </c>
      <c r="B537">
        <v>82.230002999999996</v>
      </c>
      <c r="C537">
        <v>82.32</v>
      </c>
      <c r="D537">
        <v>81.209998999999996</v>
      </c>
      <c r="E537">
        <v>81.980002999999996</v>
      </c>
      <c r="F537">
        <v>65.661865000000006</v>
      </c>
      <c r="G537">
        <v>7702600</v>
      </c>
      <c r="I537">
        <f t="shared" si="9"/>
        <v>1.2231810252347978E-4</v>
      </c>
    </row>
    <row r="538" spans="1:9" x14ac:dyDescent="0.3">
      <c r="A538" s="5">
        <v>42419</v>
      </c>
      <c r="B538">
        <v>81.959998999999996</v>
      </c>
      <c r="C538">
        <v>82.260002</v>
      </c>
      <c r="D538">
        <v>81.400002000000001</v>
      </c>
      <c r="E538">
        <v>81.790001000000004</v>
      </c>
      <c r="F538">
        <v>65.509665999999996</v>
      </c>
      <c r="G538">
        <v>7709600</v>
      </c>
      <c r="I538">
        <f t="shared" si="9"/>
        <v>5.3705217568758638E-5</v>
      </c>
    </row>
    <row r="539" spans="1:9" x14ac:dyDescent="0.3">
      <c r="A539" s="5">
        <v>42422</v>
      </c>
      <c r="B539">
        <v>81.790001000000004</v>
      </c>
      <c r="C539">
        <v>82.669998000000007</v>
      </c>
      <c r="D539">
        <v>81.709998999999996</v>
      </c>
      <c r="E539">
        <v>82.129997000000003</v>
      </c>
      <c r="F539">
        <v>65.781981999999999</v>
      </c>
      <c r="G539">
        <v>6916500</v>
      </c>
      <c r="I539">
        <f t="shared" si="9"/>
        <v>7.5150565529440386E-5</v>
      </c>
    </row>
    <row r="540" spans="1:9" x14ac:dyDescent="0.3">
      <c r="A540" s="5">
        <v>42423</v>
      </c>
      <c r="B540">
        <v>82</v>
      </c>
      <c r="C540">
        <v>82.459998999999996</v>
      </c>
      <c r="D540">
        <v>81.610000999999997</v>
      </c>
      <c r="E540">
        <v>81.809997999999993</v>
      </c>
      <c r="F540">
        <v>65.525688000000002</v>
      </c>
      <c r="G540">
        <v>5840600</v>
      </c>
      <c r="I540">
        <f t="shared" si="9"/>
        <v>5.5939618522400352E-5</v>
      </c>
    </row>
    <row r="541" spans="1:9" x14ac:dyDescent="0.3">
      <c r="A541" s="5">
        <v>42424</v>
      </c>
      <c r="B541">
        <v>81.260002</v>
      </c>
      <c r="C541">
        <v>81.639999000000003</v>
      </c>
      <c r="D541">
        <v>80.660004000000001</v>
      </c>
      <c r="E541">
        <v>81.559997999999993</v>
      </c>
      <c r="F541">
        <v>65.325455000000005</v>
      </c>
      <c r="G541">
        <v>6759800</v>
      </c>
      <c r="I541">
        <f t="shared" si="9"/>
        <v>8.6807899118582021E-5</v>
      </c>
    </row>
    <row r="542" spans="1:9" x14ac:dyDescent="0.3">
      <c r="A542" s="5">
        <v>42425</v>
      </c>
      <c r="B542">
        <v>81.699996999999996</v>
      </c>
      <c r="C542">
        <v>82.339995999999999</v>
      </c>
      <c r="D542">
        <v>81.470000999999996</v>
      </c>
      <c r="E542">
        <v>82.339995999999999</v>
      </c>
      <c r="F542">
        <v>65.950180000000003</v>
      </c>
      <c r="G542">
        <v>6789700</v>
      </c>
      <c r="I542">
        <f t="shared" si="9"/>
        <v>2.9944749986104663E-5</v>
      </c>
    </row>
    <row r="543" spans="1:9" x14ac:dyDescent="0.3">
      <c r="A543" s="5">
        <v>42426</v>
      </c>
      <c r="B543">
        <v>82.519997000000004</v>
      </c>
      <c r="C543">
        <v>82.650002000000001</v>
      </c>
      <c r="D543">
        <v>80.949996999999996</v>
      </c>
      <c r="E543">
        <v>81.099997999999999</v>
      </c>
      <c r="F543">
        <v>64.957008000000002</v>
      </c>
      <c r="G543">
        <v>9281100</v>
      </c>
      <c r="I543">
        <f t="shared" si="9"/>
        <v>6.5364062956388915E-5</v>
      </c>
    </row>
    <row r="544" spans="1:9" x14ac:dyDescent="0.3">
      <c r="A544" s="5">
        <v>42429</v>
      </c>
      <c r="B544">
        <v>81.099997999999999</v>
      </c>
      <c r="C544">
        <v>81.349997999999999</v>
      </c>
      <c r="D544">
        <v>80.209998999999996</v>
      </c>
      <c r="E544">
        <v>80.290001000000004</v>
      </c>
      <c r="F544">
        <v>64.308220000000006</v>
      </c>
      <c r="G544">
        <v>11065300</v>
      </c>
      <c r="I544">
        <f t="shared" si="9"/>
        <v>5.1369157770005145E-5</v>
      </c>
    </row>
    <row r="545" spans="1:9" x14ac:dyDescent="0.3">
      <c r="A545" s="5">
        <v>42430</v>
      </c>
      <c r="B545">
        <v>80.540001000000004</v>
      </c>
      <c r="C545">
        <v>81.360000999999997</v>
      </c>
      <c r="D545">
        <v>80.529999000000004</v>
      </c>
      <c r="E545">
        <v>81.230002999999996</v>
      </c>
      <c r="F545">
        <v>65.061126999999999</v>
      </c>
      <c r="G545">
        <v>9483900</v>
      </c>
      <c r="I545">
        <f t="shared" si="9"/>
        <v>1.7273346778978087E-5</v>
      </c>
    </row>
    <row r="546" spans="1:9" x14ac:dyDescent="0.3">
      <c r="A546" s="5">
        <v>42431</v>
      </c>
      <c r="B546">
        <v>81.580001999999993</v>
      </c>
      <c r="C546">
        <v>82.660004000000001</v>
      </c>
      <c r="D546">
        <v>80.849997999999999</v>
      </c>
      <c r="E546">
        <v>82.550003000000004</v>
      </c>
      <c r="F546">
        <v>66.118378000000007</v>
      </c>
      <c r="G546">
        <v>12096600</v>
      </c>
      <c r="I546">
        <f t="shared" si="9"/>
        <v>2.0455400044536046E-4</v>
      </c>
    </row>
    <row r="547" spans="1:9" x14ac:dyDescent="0.3">
      <c r="A547" s="5">
        <v>42432</v>
      </c>
      <c r="B547">
        <v>82.540001000000004</v>
      </c>
      <c r="C547">
        <v>82.93</v>
      </c>
      <c r="D547">
        <v>82.18</v>
      </c>
      <c r="E547">
        <v>82.839995999999999</v>
      </c>
      <c r="F547">
        <v>66.350662</v>
      </c>
      <c r="G547">
        <v>8747100</v>
      </c>
      <c r="I547">
        <f t="shared" si="9"/>
        <v>4.0083036104902043E-5</v>
      </c>
    </row>
    <row r="548" spans="1:9" x14ac:dyDescent="0.3">
      <c r="A548" s="5">
        <v>42433</v>
      </c>
      <c r="B548">
        <v>82.620002999999997</v>
      </c>
      <c r="C548">
        <v>83.739998</v>
      </c>
      <c r="D548">
        <v>82.260002</v>
      </c>
      <c r="E548">
        <v>83.489998</v>
      </c>
      <c r="F548">
        <v>66.871291999999997</v>
      </c>
      <c r="G548">
        <v>9406700</v>
      </c>
      <c r="I548">
        <f t="shared" si="9"/>
        <v>1.0507057870044543E-4</v>
      </c>
    </row>
    <row r="549" spans="1:9" x14ac:dyDescent="0.3">
      <c r="A549" s="5">
        <v>42436</v>
      </c>
      <c r="B549">
        <v>83.18</v>
      </c>
      <c r="C549">
        <v>83.699996999999996</v>
      </c>
      <c r="D549">
        <v>83</v>
      </c>
      <c r="E549">
        <v>83.099997999999999</v>
      </c>
      <c r="F549">
        <v>66.558921999999995</v>
      </c>
      <c r="G549">
        <v>6792400</v>
      </c>
      <c r="I549">
        <f t="shared" si="9"/>
        <v>4.7443113929341384E-5</v>
      </c>
    </row>
    <row r="550" spans="1:9" x14ac:dyDescent="0.3">
      <c r="A550" s="5">
        <v>42437</v>
      </c>
      <c r="B550">
        <v>82.970000999999996</v>
      </c>
      <c r="C550">
        <v>83.75</v>
      </c>
      <c r="D550">
        <v>82.669998000000007</v>
      </c>
      <c r="E550">
        <v>83.059997999999993</v>
      </c>
      <c r="F550">
        <v>66.526863000000006</v>
      </c>
      <c r="G550">
        <v>7788400</v>
      </c>
      <c r="I550">
        <f t="shared" si="9"/>
        <v>9.4459026617764712E-5</v>
      </c>
    </row>
    <row r="551" spans="1:9" x14ac:dyDescent="0.3">
      <c r="A551" s="5">
        <v>42438</v>
      </c>
      <c r="B551">
        <v>83.300003000000004</v>
      </c>
      <c r="C551">
        <v>83.690002000000007</v>
      </c>
      <c r="D551">
        <v>82.68</v>
      </c>
      <c r="E551">
        <v>82.959998999999996</v>
      </c>
      <c r="F551">
        <v>66.446770000000001</v>
      </c>
      <c r="G551">
        <v>8954800</v>
      </c>
      <c r="I551">
        <f t="shared" si="9"/>
        <v>6.6179488621491986E-5</v>
      </c>
    </row>
    <row r="552" spans="1:9" x14ac:dyDescent="0.3">
      <c r="A552" s="5">
        <v>42439</v>
      </c>
      <c r="B552">
        <v>83.129997000000003</v>
      </c>
      <c r="C552">
        <v>83.230002999999996</v>
      </c>
      <c r="D552">
        <v>81.75</v>
      </c>
      <c r="E552">
        <v>82.279999000000004</v>
      </c>
      <c r="F552">
        <v>65.90213</v>
      </c>
      <c r="G552">
        <v>10385600</v>
      </c>
      <c r="I552">
        <f t="shared" si="9"/>
        <v>1.2197869952436708E-4</v>
      </c>
    </row>
    <row r="553" spans="1:9" x14ac:dyDescent="0.3">
      <c r="A553" s="5">
        <v>42440</v>
      </c>
      <c r="B553">
        <v>82.75</v>
      </c>
      <c r="C553">
        <v>82.800003000000004</v>
      </c>
      <c r="D553">
        <v>81.440002000000007</v>
      </c>
      <c r="E553">
        <v>81.75</v>
      </c>
      <c r="F553">
        <v>65.477615</v>
      </c>
      <c r="G553">
        <v>11109500</v>
      </c>
      <c r="I553">
        <f t="shared" si="9"/>
        <v>6.8335497353171846E-5</v>
      </c>
    </row>
    <row r="554" spans="1:9" x14ac:dyDescent="0.3">
      <c r="A554" s="5">
        <v>42443</v>
      </c>
      <c r="B554">
        <v>81.569999999999993</v>
      </c>
      <c r="C554">
        <v>81.849997999999999</v>
      </c>
      <c r="D554">
        <v>80.680000000000007</v>
      </c>
      <c r="E554">
        <v>81.169998000000007</v>
      </c>
      <c r="F554">
        <v>65.013092</v>
      </c>
      <c r="G554">
        <v>12389300</v>
      </c>
      <c r="I554">
        <f t="shared" si="9"/>
        <v>9.501601282024763E-5</v>
      </c>
    </row>
    <row r="555" spans="1:9" x14ac:dyDescent="0.3">
      <c r="A555" s="5">
        <v>42444</v>
      </c>
      <c r="B555">
        <v>81</v>
      </c>
      <c r="C555">
        <v>81.459998999999996</v>
      </c>
      <c r="D555">
        <v>80.760002</v>
      </c>
      <c r="E555">
        <v>81.309997999999993</v>
      </c>
      <c r="F555">
        <v>65.125197999999997</v>
      </c>
      <c r="G555">
        <v>9297800</v>
      </c>
      <c r="I555">
        <f t="shared" si="9"/>
        <v>3.0577189819512765E-5</v>
      </c>
    </row>
    <row r="556" spans="1:9" x14ac:dyDescent="0.3">
      <c r="A556" s="5">
        <v>42445</v>
      </c>
      <c r="B556">
        <v>81.309997999999993</v>
      </c>
      <c r="C556">
        <v>81.800003000000004</v>
      </c>
      <c r="D556">
        <v>80.480002999999996</v>
      </c>
      <c r="E556">
        <v>81.339995999999999</v>
      </c>
      <c r="F556">
        <v>65.149238999999994</v>
      </c>
      <c r="G556">
        <v>9490300</v>
      </c>
      <c r="I556">
        <f t="shared" si="9"/>
        <v>1.4294056796991503E-4</v>
      </c>
    </row>
    <row r="557" spans="1:9" x14ac:dyDescent="0.3">
      <c r="A557" s="5">
        <v>42446</v>
      </c>
      <c r="B557">
        <v>81.290001000000004</v>
      </c>
      <c r="C557">
        <v>83.230002999999996</v>
      </c>
      <c r="D557">
        <v>81.279999000000004</v>
      </c>
      <c r="E557">
        <v>82.75</v>
      </c>
      <c r="F557">
        <v>66.278571999999997</v>
      </c>
      <c r="G557">
        <v>12061500</v>
      </c>
      <c r="I557">
        <f t="shared" si="9"/>
        <v>1.3861765472612003E-4</v>
      </c>
    </row>
    <row r="558" spans="1:9" x14ac:dyDescent="0.3">
      <c r="A558" s="5">
        <v>42447</v>
      </c>
      <c r="B558">
        <v>82.860000999999997</v>
      </c>
      <c r="C558">
        <v>83.5</v>
      </c>
      <c r="D558">
        <v>82.440002000000007</v>
      </c>
      <c r="E558">
        <v>83.150002000000001</v>
      </c>
      <c r="F558">
        <v>66.598968999999997</v>
      </c>
      <c r="G558">
        <v>33635200</v>
      </c>
      <c r="I558">
        <f t="shared" si="9"/>
        <v>7.5896254099091099E-5</v>
      </c>
    </row>
    <row r="559" spans="1:9" x14ac:dyDescent="0.3">
      <c r="A559" s="5">
        <v>42450</v>
      </c>
      <c r="B559">
        <v>83.120002999999997</v>
      </c>
      <c r="C559">
        <v>83.870002999999997</v>
      </c>
      <c r="D559">
        <v>82.910004000000001</v>
      </c>
      <c r="E559">
        <v>83.32</v>
      </c>
      <c r="F559">
        <v>66.735129999999998</v>
      </c>
      <c r="G559">
        <v>8625600</v>
      </c>
      <c r="I559">
        <f t="shared" si="9"/>
        <v>7.1578832221089241E-5</v>
      </c>
    </row>
    <row r="560" spans="1:9" x14ac:dyDescent="0.3">
      <c r="A560" s="5">
        <v>42451</v>
      </c>
      <c r="B560">
        <v>83.279999000000004</v>
      </c>
      <c r="C560">
        <v>83.32</v>
      </c>
      <c r="D560">
        <v>82.489998</v>
      </c>
      <c r="E560">
        <v>82.739998</v>
      </c>
      <c r="F560">
        <v>66.270568999999995</v>
      </c>
      <c r="G560">
        <v>7205900</v>
      </c>
      <c r="I560">
        <f t="shared" si="9"/>
        <v>3.2197190770330262E-5</v>
      </c>
    </row>
    <row r="561" spans="1:9" x14ac:dyDescent="0.3">
      <c r="A561" s="5">
        <v>42452</v>
      </c>
      <c r="B561">
        <v>82.720000999999996</v>
      </c>
      <c r="C561">
        <v>83.489998</v>
      </c>
      <c r="D561">
        <v>82.580001999999993</v>
      </c>
      <c r="E561">
        <v>82.82</v>
      </c>
      <c r="F561">
        <v>66.334632999999997</v>
      </c>
      <c r="G561">
        <v>5594600</v>
      </c>
      <c r="I561">
        <f t="shared" si="9"/>
        <v>7.9569587883167653E-5</v>
      </c>
    </row>
    <row r="562" spans="1:9" x14ac:dyDescent="0.3">
      <c r="A562" s="5">
        <v>42453</v>
      </c>
      <c r="B562">
        <v>82.459998999999996</v>
      </c>
      <c r="C562">
        <v>83.120002999999997</v>
      </c>
      <c r="D562">
        <v>82.43</v>
      </c>
      <c r="E562">
        <v>82.889999000000003</v>
      </c>
      <c r="F562">
        <v>66.390701000000007</v>
      </c>
      <c r="G562">
        <v>6645700</v>
      </c>
      <c r="I562">
        <f t="shared" si="9"/>
        <v>2.411524630954477E-5</v>
      </c>
    </row>
    <row r="563" spans="1:9" x14ac:dyDescent="0.3">
      <c r="A563" s="5">
        <v>42457</v>
      </c>
      <c r="B563">
        <v>82.989998</v>
      </c>
      <c r="C563">
        <v>83.449996999999996</v>
      </c>
      <c r="D563">
        <v>82.519997000000004</v>
      </c>
      <c r="E563">
        <v>82.620002999999997</v>
      </c>
      <c r="F563">
        <v>66.174437999999995</v>
      </c>
      <c r="G563">
        <v>4988500</v>
      </c>
      <c r="I563">
        <f t="shared" si="9"/>
        <v>6.2130708409381506E-5</v>
      </c>
    </row>
    <row r="564" spans="1:9" x14ac:dyDescent="0.3">
      <c r="A564" s="5">
        <v>42458</v>
      </c>
      <c r="B564">
        <v>82.660004000000001</v>
      </c>
      <c r="C564">
        <v>83.089995999999999</v>
      </c>
      <c r="D564">
        <v>82.160004000000001</v>
      </c>
      <c r="E564">
        <v>82.800003000000004</v>
      </c>
      <c r="F564">
        <v>66.318625999999995</v>
      </c>
      <c r="G564">
        <v>6731400</v>
      </c>
      <c r="I564">
        <f t="shared" si="9"/>
        <v>6.5218600059672278E-5</v>
      </c>
    </row>
    <row r="565" spans="1:9" x14ac:dyDescent="0.3">
      <c r="A565" s="5">
        <v>42459</v>
      </c>
      <c r="B565">
        <v>83.089995999999999</v>
      </c>
      <c r="C565">
        <v>83.360000999999997</v>
      </c>
      <c r="D565">
        <v>82.650002000000001</v>
      </c>
      <c r="E565">
        <v>82.68</v>
      </c>
      <c r="F565">
        <v>66.222526999999999</v>
      </c>
      <c r="G565">
        <v>6925400</v>
      </c>
      <c r="I565">
        <f t="shared" si="9"/>
        <v>2.8500162414539688E-5</v>
      </c>
    </row>
    <row r="566" spans="1:9" x14ac:dyDescent="0.3">
      <c r="A566" s="5">
        <v>42460</v>
      </c>
      <c r="B566">
        <v>82.75</v>
      </c>
      <c r="C566">
        <v>83</v>
      </c>
      <c r="D566">
        <v>82.150002000000001</v>
      </c>
      <c r="E566">
        <v>82.309997999999993</v>
      </c>
      <c r="F566">
        <v>65.926163000000003</v>
      </c>
      <c r="G566">
        <v>6819200</v>
      </c>
      <c r="I566">
        <f t="shared" si="9"/>
        <v>3.93418413154397E-5</v>
      </c>
    </row>
    <row r="567" spans="1:9" x14ac:dyDescent="0.3">
      <c r="A567" s="5">
        <v>42461</v>
      </c>
      <c r="B567">
        <v>82</v>
      </c>
      <c r="C567">
        <v>83.620002999999997</v>
      </c>
      <c r="D567">
        <v>81.93</v>
      </c>
      <c r="E567">
        <v>83.529999000000004</v>
      </c>
      <c r="F567">
        <v>66.903343000000007</v>
      </c>
      <c r="G567">
        <v>8028600</v>
      </c>
      <c r="I567">
        <f t="shared" si="9"/>
        <v>3.7585768239954941E-5</v>
      </c>
    </row>
    <row r="568" spans="1:9" x14ac:dyDescent="0.3">
      <c r="A568" s="5">
        <v>42464</v>
      </c>
      <c r="B568">
        <v>83.650002000000001</v>
      </c>
      <c r="C568">
        <v>83.650002000000001</v>
      </c>
      <c r="D568">
        <v>83.029999000000004</v>
      </c>
      <c r="E568">
        <v>83.209998999999996</v>
      </c>
      <c r="F568">
        <v>66.647034000000005</v>
      </c>
      <c r="G568">
        <v>5593400</v>
      </c>
      <c r="I568">
        <f t="shared" si="9"/>
        <v>1.6110515634854544E-5</v>
      </c>
    </row>
    <row r="569" spans="1:9" x14ac:dyDescent="0.3">
      <c r="A569" s="5">
        <v>42465</v>
      </c>
      <c r="B569">
        <v>83.160004000000001</v>
      </c>
      <c r="C569">
        <v>83.559997999999993</v>
      </c>
      <c r="D569">
        <v>82.989998</v>
      </c>
      <c r="E569">
        <v>83.160004000000001</v>
      </c>
      <c r="F569">
        <v>66.606955999999997</v>
      </c>
      <c r="G569">
        <v>5259100</v>
      </c>
      <c r="I569">
        <f t="shared" si="9"/>
        <v>2.721247933927509E-5</v>
      </c>
    </row>
    <row r="570" spans="1:9" x14ac:dyDescent="0.3">
      <c r="A570" s="5">
        <v>42466</v>
      </c>
      <c r="B570">
        <v>83.139999000000003</v>
      </c>
      <c r="C570">
        <v>83.839995999999999</v>
      </c>
      <c r="D570">
        <v>83.080001999999993</v>
      </c>
      <c r="E570">
        <v>83.809997999999993</v>
      </c>
      <c r="F570">
        <v>67.127585999999994</v>
      </c>
      <c r="G570">
        <v>6292100</v>
      </c>
      <c r="I570">
        <f t="shared" si="9"/>
        <v>9.3158026082746563E-6</v>
      </c>
    </row>
    <row r="571" spans="1:9" x14ac:dyDescent="0.3">
      <c r="A571" s="5">
        <v>42467</v>
      </c>
      <c r="B571">
        <v>83.239998</v>
      </c>
      <c r="C571">
        <v>83.68</v>
      </c>
      <c r="D571">
        <v>82.870002999999997</v>
      </c>
      <c r="E571">
        <v>83.239998</v>
      </c>
      <c r="F571">
        <v>66.671065999999996</v>
      </c>
      <c r="G571">
        <v>6655900</v>
      </c>
      <c r="I571">
        <f t="shared" si="9"/>
        <v>4.7639703171958604E-5</v>
      </c>
    </row>
    <row r="572" spans="1:9" x14ac:dyDescent="0.3">
      <c r="A572" s="5">
        <v>42468</v>
      </c>
      <c r="B572">
        <v>83.440002000000007</v>
      </c>
      <c r="C572">
        <v>83.449996999999996</v>
      </c>
      <c r="D572">
        <v>82.769997000000004</v>
      </c>
      <c r="E572">
        <v>83.199996999999996</v>
      </c>
      <c r="F572">
        <v>66.639022999999995</v>
      </c>
      <c r="G572">
        <v>5453000</v>
      </c>
      <c r="I572">
        <f t="shared" si="9"/>
        <v>4.213501254937643E-5</v>
      </c>
    </row>
    <row r="573" spans="1:9" x14ac:dyDescent="0.3">
      <c r="A573" s="5">
        <v>42471</v>
      </c>
      <c r="B573">
        <v>83.029999000000004</v>
      </c>
      <c r="C573">
        <v>83.339995999999999</v>
      </c>
      <c r="D573">
        <v>82.660004000000001</v>
      </c>
      <c r="E573">
        <v>82.730002999999996</v>
      </c>
      <c r="F573">
        <v>66.262573000000003</v>
      </c>
      <c r="G573">
        <v>7081500</v>
      </c>
      <c r="I573">
        <f t="shared" si="9"/>
        <v>3.1156987204269616E-5</v>
      </c>
    </row>
    <row r="574" spans="1:9" x14ac:dyDescent="0.3">
      <c r="A574" s="5">
        <v>42472</v>
      </c>
      <c r="B574">
        <v>82.709998999999996</v>
      </c>
      <c r="C574">
        <v>83.209998999999996</v>
      </c>
      <c r="D574">
        <v>82.449996999999996</v>
      </c>
      <c r="E574">
        <v>82.830001999999993</v>
      </c>
      <c r="F574">
        <v>66.342651000000004</v>
      </c>
      <c r="G574">
        <v>7081600</v>
      </c>
      <c r="I574">
        <f t="shared" si="9"/>
        <v>4.2064544230247615E-5</v>
      </c>
    </row>
    <row r="575" spans="1:9" x14ac:dyDescent="0.3">
      <c r="A575" s="5">
        <v>42473</v>
      </c>
      <c r="B575">
        <v>83.050003000000004</v>
      </c>
      <c r="C575">
        <v>83.43</v>
      </c>
      <c r="D575">
        <v>81.839995999999999</v>
      </c>
      <c r="E575">
        <v>82.459998999999996</v>
      </c>
      <c r="F575">
        <v>66.046295000000001</v>
      </c>
      <c r="G575">
        <v>11738600</v>
      </c>
      <c r="I575">
        <f t="shared" si="9"/>
        <v>1.6415639315932261E-4</v>
      </c>
    </row>
    <row r="576" spans="1:9" x14ac:dyDescent="0.3">
      <c r="A576" s="5">
        <v>42474</v>
      </c>
      <c r="B576">
        <v>81.949996999999996</v>
      </c>
      <c r="C576">
        <v>82.370002999999997</v>
      </c>
      <c r="D576">
        <v>81.540001000000004</v>
      </c>
      <c r="E576">
        <v>82.010002</v>
      </c>
      <c r="F576">
        <v>66.223961000000003</v>
      </c>
      <c r="G576">
        <v>6904400</v>
      </c>
      <c r="I576">
        <f t="shared" si="9"/>
        <v>5.1218362656522024E-5</v>
      </c>
    </row>
    <row r="577" spans="1:9" x14ac:dyDescent="0.3">
      <c r="A577" s="5">
        <v>42475</v>
      </c>
      <c r="B577">
        <v>82.050003000000004</v>
      </c>
      <c r="C577">
        <v>82.43</v>
      </c>
      <c r="D577">
        <v>81.849997999999999</v>
      </c>
      <c r="E577">
        <v>82.300003000000004</v>
      </c>
      <c r="F577">
        <v>66.458129999999997</v>
      </c>
      <c r="G577">
        <v>7299300</v>
      </c>
      <c r="I577">
        <f t="shared" si="9"/>
        <v>2.067404431993961E-5</v>
      </c>
    </row>
    <row r="578" spans="1:9" x14ac:dyDescent="0.3">
      <c r="A578" s="5">
        <v>42478</v>
      </c>
      <c r="B578">
        <v>82.300003000000004</v>
      </c>
      <c r="C578">
        <v>82.989998</v>
      </c>
      <c r="D578">
        <v>82.019997000000004</v>
      </c>
      <c r="E578">
        <v>82.830001999999993</v>
      </c>
      <c r="F578">
        <v>66.886116000000001</v>
      </c>
      <c r="G578">
        <v>5628000</v>
      </c>
      <c r="I578">
        <f t="shared" si="9"/>
        <v>4.9603318314614846E-5</v>
      </c>
    </row>
    <row r="579" spans="1:9" x14ac:dyDescent="0.3">
      <c r="A579" s="5">
        <v>42479</v>
      </c>
      <c r="B579">
        <v>82.910004000000001</v>
      </c>
      <c r="C579">
        <v>83.699996999999996</v>
      </c>
      <c r="D579">
        <v>82.849997999999999</v>
      </c>
      <c r="E579">
        <v>83.279999000000004</v>
      </c>
      <c r="F579">
        <v>67.249504000000002</v>
      </c>
      <c r="G579">
        <v>6606100</v>
      </c>
      <c r="I579">
        <f t="shared" si="9"/>
        <v>5.1453553216357866E-5</v>
      </c>
    </row>
    <row r="580" spans="1:9" x14ac:dyDescent="0.3">
      <c r="A580" s="5">
        <v>42480</v>
      </c>
      <c r="B580">
        <v>83.290001000000004</v>
      </c>
      <c r="C580">
        <v>83.339995999999999</v>
      </c>
      <c r="D580">
        <v>81.480002999999996</v>
      </c>
      <c r="E580">
        <v>81.550003000000004</v>
      </c>
      <c r="F580">
        <v>65.852508999999998</v>
      </c>
      <c r="G580">
        <v>9124200</v>
      </c>
      <c r="I580">
        <f t="shared" si="9"/>
        <v>3.189611207407787E-5</v>
      </c>
    </row>
    <row r="581" spans="1:9" x14ac:dyDescent="0.3">
      <c r="A581" s="5">
        <v>42481</v>
      </c>
      <c r="B581">
        <v>81.040001000000004</v>
      </c>
      <c r="C581">
        <v>81.309997999999993</v>
      </c>
      <c r="D581">
        <v>80.550003000000004</v>
      </c>
      <c r="E581">
        <v>80.800003000000004</v>
      </c>
      <c r="F581">
        <v>65.246871999999996</v>
      </c>
      <c r="G581">
        <v>8802100</v>
      </c>
      <c r="I581">
        <f t="shared" si="9"/>
        <v>3.9721557950612817E-5</v>
      </c>
    </row>
    <row r="582" spans="1:9" x14ac:dyDescent="0.3">
      <c r="A582" s="5">
        <v>42482</v>
      </c>
      <c r="B582">
        <v>80.400002000000001</v>
      </c>
      <c r="C582">
        <v>80.949996999999996</v>
      </c>
      <c r="D582">
        <v>79.910004000000001</v>
      </c>
      <c r="E582">
        <v>80.949996999999996</v>
      </c>
      <c r="F582">
        <v>65.368003999999999</v>
      </c>
      <c r="G582">
        <v>8027700</v>
      </c>
      <c r="I582">
        <f t="shared" si="9"/>
        <v>7.9046641226886627E-5</v>
      </c>
    </row>
    <row r="583" spans="1:9" x14ac:dyDescent="0.3">
      <c r="A583" s="5">
        <v>42485</v>
      </c>
      <c r="B583">
        <v>80.919998000000007</v>
      </c>
      <c r="C583">
        <v>81.480002999999996</v>
      </c>
      <c r="D583">
        <v>80.419998000000007</v>
      </c>
      <c r="E583">
        <v>81.410004000000001</v>
      </c>
      <c r="F583">
        <v>65.739440999999999</v>
      </c>
      <c r="G583">
        <v>7672800</v>
      </c>
      <c r="I583">
        <f t="shared" si="9"/>
        <v>8.1763084261450759E-5</v>
      </c>
    </row>
    <row r="584" spans="1:9" x14ac:dyDescent="0.3">
      <c r="A584" s="5">
        <v>42486</v>
      </c>
      <c r="B584">
        <v>81.5</v>
      </c>
      <c r="C584">
        <v>81.5</v>
      </c>
      <c r="D584">
        <v>79.209998999999996</v>
      </c>
      <c r="E584">
        <v>79.550003000000004</v>
      </c>
      <c r="F584">
        <v>64.237472999999994</v>
      </c>
      <c r="G584">
        <v>13742300</v>
      </c>
      <c r="I584">
        <f t="shared" si="9"/>
        <v>1.2207472523627938E-4</v>
      </c>
    </row>
    <row r="585" spans="1:9" x14ac:dyDescent="0.3">
      <c r="A585" s="5">
        <v>42487</v>
      </c>
      <c r="B585">
        <v>79.470000999999996</v>
      </c>
      <c r="C585">
        <v>80.150002000000001</v>
      </c>
      <c r="D585">
        <v>79.099997999999999</v>
      </c>
      <c r="E585">
        <v>79.889999000000003</v>
      </c>
      <c r="F585">
        <v>64.512039000000001</v>
      </c>
      <c r="G585">
        <v>7689700</v>
      </c>
      <c r="I585">
        <f t="shared" si="9"/>
        <v>7.4061797800174253E-5</v>
      </c>
    </row>
    <row r="586" spans="1:9" x14ac:dyDescent="0.3">
      <c r="A586" s="5">
        <v>42488</v>
      </c>
      <c r="B586">
        <v>79.480002999999996</v>
      </c>
      <c r="C586">
        <v>80.269997000000004</v>
      </c>
      <c r="D586">
        <v>79.389999000000003</v>
      </c>
      <c r="E586">
        <v>79.760002</v>
      </c>
      <c r="F586">
        <v>64.407066</v>
      </c>
      <c r="G586">
        <v>7615900</v>
      </c>
      <c r="I586">
        <f t="shared" si="9"/>
        <v>6.8307861235571068E-5</v>
      </c>
    </row>
    <row r="587" spans="1:9" x14ac:dyDescent="0.3">
      <c r="A587" s="5">
        <v>42489</v>
      </c>
      <c r="B587">
        <v>79.669998000000007</v>
      </c>
      <c r="C587">
        <v>80.150002000000001</v>
      </c>
      <c r="D587">
        <v>79.370002999999997</v>
      </c>
      <c r="E587">
        <v>80.120002999999997</v>
      </c>
      <c r="F587">
        <v>64.697745999999995</v>
      </c>
      <c r="G587">
        <v>9391000</v>
      </c>
      <c r="I587">
        <f t="shared" si="9"/>
        <v>3.7729958786030839E-5</v>
      </c>
    </row>
    <row r="588" spans="1:9" x14ac:dyDescent="0.3">
      <c r="A588" s="5">
        <v>42492</v>
      </c>
      <c r="B588">
        <v>80.019997000000004</v>
      </c>
      <c r="C588">
        <v>81.300003000000004</v>
      </c>
      <c r="D588">
        <v>80.019997000000004</v>
      </c>
      <c r="E588">
        <v>80.970000999999996</v>
      </c>
      <c r="F588">
        <v>65.384124999999997</v>
      </c>
      <c r="G588">
        <v>7862600</v>
      </c>
      <c r="I588">
        <f t="shared" ref="I588:I651" si="10">LN(C588/B588)*(LN(C588/B588)-LN(E588/B588))+LN(D588/B588)*(LN(D588/B588)-LN(E588/B588))</f>
        <v>6.4546369750428532E-5</v>
      </c>
    </row>
    <row r="589" spans="1:9" x14ac:dyDescent="0.3">
      <c r="A589" s="5">
        <v>42493</v>
      </c>
      <c r="B589">
        <v>80.800003000000004</v>
      </c>
      <c r="C589">
        <v>81.699996999999996</v>
      </c>
      <c r="D589">
        <v>80.690002000000007</v>
      </c>
      <c r="E589">
        <v>81.099997999999999</v>
      </c>
      <c r="F589">
        <v>65.489113000000003</v>
      </c>
      <c r="G589">
        <v>7617500</v>
      </c>
      <c r="I589">
        <f t="shared" si="10"/>
        <v>8.8553230434259176E-5</v>
      </c>
    </row>
    <row r="590" spans="1:9" x14ac:dyDescent="0.3">
      <c r="A590" s="5">
        <v>42494</v>
      </c>
      <c r="B590">
        <v>80.870002999999997</v>
      </c>
      <c r="C590">
        <v>81.769997000000004</v>
      </c>
      <c r="D590">
        <v>80.870002999999997</v>
      </c>
      <c r="E590">
        <v>81.599997999999999</v>
      </c>
      <c r="F590">
        <v>65.892859999999999</v>
      </c>
      <c r="G590">
        <v>7365900</v>
      </c>
      <c r="I590">
        <f t="shared" si="10"/>
        <v>2.3033020836829872E-5</v>
      </c>
    </row>
    <row r="591" spans="1:9" x14ac:dyDescent="0.3">
      <c r="A591" s="5">
        <v>42495</v>
      </c>
      <c r="B591">
        <v>81.599997999999999</v>
      </c>
      <c r="C591">
        <v>82.089995999999999</v>
      </c>
      <c r="D591">
        <v>80.919998000000007</v>
      </c>
      <c r="E591">
        <v>81.300003000000004</v>
      </c>
      <c r="F591">
        <v>65.650620000000004</v>
      </c>
      <c r="G591">
        <v>6399500</v>
      </c>
      <c r="I591">
        <f t="shared" si="10"/>
        <v>9.7099943674516012E-5</v>
      </c>
    </row>
    <row r="592" spans="1:9" x14ac:dyDescent="0.3">
      <c r="A592" s="5">
        <v>42496</v>
      </c>
      <c r="B592">
        <v>81.419998000000007</v>
      </c>
      <c r="C592">
        <v>82.25</v>
      </c>
      <c r="D592">
        <v>81.169998000000007</v>
      </c>
      <c r="E592">
        <v>82.129997000000003</v>
      </c>
      <c r="F592">
        <v>66.320853999999997</v>
      </c>
      <c r="G592">
        <v>6297200</v>
      </c>
      <c r="I592">
        <f t="shared" si="10"/>
        <v>5.0966013598546483E-5</v>
      </c>
    </row>
    <row r="593" spans="1:9" x14ac:dyDescent="0.3">
      <c r="A593" s="5">
        <v>42499</v>
      </c>
      <c r="B593">
        <v>82.209998999999996</v>
      </c>
      <c r="C593">
        <v>82.730002999999996</v>
      </c>
      <c r="D593">
        <v>81.970000999999996</v>
      </c>
      <c r="E593">
        <v>82.120002999999997</v>
      </c>
      <c r="F593">
        <v>66.312781999999999</v>
      </c>
      <c r="G593">
        <v>6718800</v>
      </c>
      <c r="I593">
        <f t="shared" si="10"/>
        <v>5.2009507646728591E-5</v>
      </c>
    </row>
    <row r="594" spans="1:9" x14ac:dyDescent="0.3">
      <c r="A594" s="5">
        <v>42500</v>
      </c>
      <c r="B594">
        <v>82.150002000000001</v>
      </c>
      <c r="C594">
        <v>82.68</v>
      </c>
      <c r="D594">
        <v>82.120002999999997</v>
      </c>
      <c r="E594">
        <v>82.480002999999996</v>
      </c>
      <c r="F594">
        <v>66.603470000000002</v>
      </c>
      <c r="G594">
        <v>6222400</v>
      </c>
      <c r="I594">
        <f t="shared" si="10"/>
        <v>1.7172299701720666E-5</v>
      </c>
    </row>
    <row r="595" spans="1:9" x14ac:dyDescent="0.3">
      <c r="A595" s="5">
        <v>42501</v>
      </c>
      <c r="B595">
        <v>82.5</v>
      </c>
      <c r="C595">
        <v>82.889999000000003</v>
      </c>
      <c r="D595">
        <v>82.129997000000003</v>
      </c>
      <c r="E595">
        <v>82.150002000000001</v>
      </c>
      <c r="F595">
        <v>66.337006000000002</v>
      </c>
      <c r="G595">
        <v>5975000</v>
      </c>
      <c r="I595">
        <f t="shared" si="10"/>
        <v>4.338678579787155E-5</v>
      </c>
    </row>
    <row r="596" spans="1:9" x14ac:dyDescent="0.3">
      <c r="A596" s="5">
        <v>42502</v>
      </c>
      <c r="B596">
        <v>82.480002999999996</v>
      </c>
      <c r="C596">
        <v>82.739998</v>
      </c>
      <c r="D596">
        <v>82.110000999999997</v>
      </c>
      <c r="E596">
        <v>82.410004000000001</v>
      </c>
      <c r="F596">
        <v>66.546943999999996</v>
      </c>
      <c r="G596">
        <v>4925000</v>
      </c>
      <c r="I596">
        <f t="shared" si="10"/>
        <v>2.8974559447633243E-5</v>
      </c>
    </row>
    <row r="597" spans="1:9" x14ac:dyDescent="0.3">
      <c r="A597" s="5">
        <v>42503</v>
      </c>
      <c r="B597">
        <v>82.419998000000007</v>
      </c>
      <c r="C597">
        <v>82.419998000000007</v>
      </c>
      <c r="D597">
        <v>81</v>
      </c>
      <c r="E597">
        <v>81.230002999999996</v>
      </c>
      <c r="F597">
        <v>65.594100999999995</v>
      </c>
      <c r="G597">
        <v>6579000</v>
      </c>
      <c r="I597">
        <f t="shared" si="10"/>
        <v>4.9278339946175435E-5</v>
      </c>
    </row>
    <row r="598" spans="1:9" x14ac:dyDescent="0.3">
      <c r="A598" s="5">
        <v>42506</v>
      </c>
      <c r="B598">
        <v>81.010002</v>
      </c>
      <c r="C598">
        <v>81.889999000000003</v>
      </c>
      <c r="D598">
        <v>80.75</v>
      </c>
      <c r="E598">
        <v>81.629997000000003</v>
      </c>
      <c r="F598">
        <v>65.917090999999999</v>
      </c>
      <c r="G598">
        <v>6497200</v>
      </c>
      <c r="I598">
        <f t="shared" si="10"/>
        <v>6.9201471684314793E-5</v>
      </c>
    </row>
    <row r="599" spans="1:9" x14ac:dyDescent="0.3">
      <c r="A599" s="5">
        <v>42507</v>
      </c>
      <c r="B599">
        <v>81.639999000000003</v>
      </c>
      <c r="C599">
        <v>82.059997999999993</v>
      </c>
      <c r="D599">
        <v>80.330001999999993</v>
      </c>
      <c r="E599">
        <v>80.620002999999997</v>
      </c>
      <c r="F599">
        <v>65.101517000000001</v>
      </c>
      <c r="G599">
        <v>10188200</v>
      </c>
      <c r="I599">
        <f t="shared" si="10"/>
        <v>1.4913720758737825E-4</v>
      </c>
    </row>
    <row r="600" spans="1:9" x14ac:dyDescent="0.3">
      <c r="A600" s="5">
        <v>42508</v>
      </c>
      <c r="B600">
        <v>80.589995999999999</v>
      </c>
      <c r="C600">
        <v>80.769997000000004</v>
      </c>
      <c r="D600">
        <v>79.410004000000001</v>
      </c>
      <c r="E600">
        <v>79.849997999999999</v>
      </c>
      <c r="F600">
        <v>64.479743999999997</v>
      </c>
      <c r="G600">
        <v>8344100</v>
      </c>
      <c r="I600">
        <f t="shared" si="10"/>
        <v>1.0706025219552572E-4</v>
      </c>
    </row>
    <row r="601" spans="1:9" x14ac:dyDescent="0.3">
      <c r="A601" s="5">
        <v>42509</v>
      </c>
      <c r="B601">
        <v>79.639999000000003</v>
      </c>
      <c r="C601">
        <v>80.220000999999996</v>
      </c>
      <c r="D601">
        <v>79.449996999999996</v>
      </c>
      <c r="E601">
        <v>80.190002000000007</v>
      </c>
      <c r="F601">
        <v>64.754272</v>
      </c>
      <c r="G601">
        <v>6242500</v>
      </c>
      <c r="I601">
        <f t="shared" si="10"/>
        <v>2.4858895749858254E-5</v>
      </c>
    </row>
    <row r="602" spans="1:9" x14ac:dyDescent="0.3">
      <c r="A602" s="5">
        <v>42510</v>
      </c>
      <c r="B602">
        <v>80.440002000000007</v>
      </c>
      <c r="C602">
        <v>80.5</v>
      </c>
      <c r="D602">
        <v>79.790001000000004</v>
      </c>
      <c r="E602">
        <v>80.019997000000004</v>
      </c>
      <c r="F602">
        <v>64.617003999999994</v>
      </c>
      <c r="G602">
        <v>6526800</v>
      </c>
      <c r="I602">
        <f t="shared" si="10"/>
        <v>2.7812467522320463E-5</v>
      </c>
    </row>
    <row r="603" spans="1:9" x14ac:dyDescent="0.3">
      <c r="A603" s="5">
        <v>42513</v>
      </c>
      <c r="B603">
        <v>80.050003000000004</v>
      </c>
      <c r="C603">
        <v>80.330001999999993</v>
      </c>
      <c r="D603">
        <v>79.849997999999999</v>
      </c>
      <c r="E603">
        <v>80.199996999999996</v>
      </c>
      <c r="F603">
        <v>64.762352000000007</v>
      </c>
      <c r="G603">
        <v>5620600</v>
      </c>
      <c r="I603">
        <f t="shared" si="10"/>
        <v>1.6596682052527184E-5</v>
      </c>
    </row>
    <row r="604" spans="1:9" x14ac:dyDescent="0.3">
      <c r="A604" s="5">
        <v>42514</v>
      </c>
      <c r="B604">
        <v>80.300003000000004</v>
      </c>
      <c r="C604">
        <v>81.379997000000003</v>
      </c>
      <c r="D604">
        <v>80.300003000000004</v>
      </c>
      <c r="E604">
        <v>80.970000999999996</v>
      </c>
      <c r="F604">
        <v>65.384124999999997</v>
      </c>
      <c r="G604">
        <v>6293300</v>
      </c>
      <c r="I604">
        <f t="shared" si="10"/>
        <v>6.747761878860383E-5</v>
      </c>
    </row>
    <row r="605" spans="1:9" x14ac:dyDescent="0.3">
      <c r="A605" s="5">
        <v>42515</v>
      </c>
      <c r="B605">
        <v>81.080001999999993</v>
      </c>
      <c r="C605">
        <v>81.769997000000004</v>
      </c>
      <c r="D605">
        <v>81.010002</v>
      </c>
      <c r="E605">
        <v>81.480002999999996</v>
      </c>
      <c r="F605">
        <v>65.795974999999999</v>
      </c>
      <c r="G605">
        <v>6049800</v>
      </c>
      <c r="I605">
        <f t="shared" si="10"/>
        <v>3.5102883687512295E-5</v>
      </c>
    </row>
    <row r="606" spans="1:9" x14ac:dyDescent="0.3">
      <c r="A606" s="5">
        <v>42516</v>
      </c>
      <c r="B606">
        <v>81.480002999999996</v>
      </c>
      <c r="C606">
        <v>81.599997999999999</v>
      </c>
      <c r="D606">
        <v>81.089995999999999</v>
      </c>
      <c r="E606">
        <v>81.220000999999996</v>
      </c>
      <c r="F606">
        <v>65.586021000000002</v>
      </c>
      <c r="G606">
        <v>4622300</v>
      </c>
      <c r="I606">
        <f t="shared" si="10"/>
        <v>1.4555164486478463E-5</v>
      </c>
    </row>
    <row r="607" spans="1:9" x14ac:dyDescent="0.3">
      <c r="A607" s="5">
        <v>42517</v>
      </c>
      <c r="B607">
        <v>81.269997000000004</v>
      </c>
      <c r="C607">
        <v>81.660004000000001</v>
      </c>
      <c r="D607">
        <v>81.160004000000001</v>
      </c>
      <c r="E607">
        <v>81.430000000000007</v>
      </c>
      <c r="F607">
        <v>65.755607999999995</v>
      </c>
      <c r="G607">
        <v>4322200</v>
      </c>
      <c r="I607">
        <f t="shared" si="10"/>
        <v>1.8001352145354593E-5</v>
      </c>
    </row>
    <row r="608" spans="1:9" x14ac:dyDescent="0.3">
      <c r="A608" s="5">
        <v>42521</v>
      </c>
      <c r="B608">
        <v>81.580001999999993</v>
      </c>
      <c r="C608">
        <v>81.819999999999993</v>
      </c>
      <c r="D608">
        <v>80.739998</v>
      </c>
      <c r="E608">
        <v>81.040001000000004</v>
      </c>
      <c r="F608">
        <v>65.440642999999994</v>
      </c>
      <c r="G608">
        <v>6705000</v>
      </c>
      <c r="I608">
        <f t="shared" si="10"/>
        <v>6.6524502431886083E-5</v>
      </c>
    </row>
    <row r="609" spans="1:9" x14ac:dyDescent="0.3">
      <c r="A609" s="5">
        <v>42522</v>
      </c>
      <c r="B609">
        <v>80.949996999999996</v>
      </c>
      <c r="C609">
        <v>81.800003000000004</v>
      </c>
      <c r="D609">
        <v>80.860000999999997</v>
      </c>
      <c r="E609">
        <v>81.790001000000004</v>
      </c>
      <c r="F609">
        <v>66.046288000000004</v>
      </c>
      <c r="G609">
        <v>6184100</v>
      </c>
      <c r="I609">
        <f t="shared" si="10"/>
        <v>1.3998020516714074E-5</v>
      </c>
    </row>
    <row r="610" spans="1:9" x14ac:dyDescent="0.3">
      <c r="A610" s="5">
        <v>42523</v>
      </c>
      <c r="B610">
        <v>81.529999000000004</v>
      </c>
      <c r="C610">
        <v>81.949996999999996</v>
      </c>
      <c r="D610">
        <v>81.330001999999993</v>
      </c>
      <c r="E610">
        <v>81.949996999999996</v>
      </c>
      <c r="F610">
        <v>66.175499000000002</v>
      </c>
      <c r="G610">
        <v>5186300</v>
      </c>
      <c r="I610">
        <f t="shared" si="10"/>
        <v>1.8652048799653168E-5</v>
      </c>
    </row>
    <row r="611" spans="1:9" x14ac:dyDescent="0.3">
      <c r="A611" s="5">
        <v>42524</v>
      </c>
      <c r="B611">
        <v>81.93</v>
      </c>
      <c r="C611">
        <v>82.489998</v>
      </c>
      <c r="D611">
        <v>81.779999000000004</v>
      </c>
      <c r="E611">
        <v>82.470000999999996</v>
      </c>
      <c r="F611">
        <v>66.595412999999994</v>
      </c>
      <c r="G611">
        <v>6306700</v>
      </c>
      <c r="I611">
        <f t="shared" si="10"/>
        <v>1.7048166720743243E-5</v>
      </c>
    </row>
    <row r="612" spans="1:9" x14ac:dyDescent="0.3">
      <c r="A612" s="5">
        <v>42527</v>
      </c>
      <c r="B612">
        <v>82.400002000000001</v>
      </c>
      <c r="C612">
        <v>82.830001999999993</v>
      </c>
      <c r="D612">
        <v>82.230002999999996</v>
      </c>
      <c r="E612">
        <v>82.769997000000004</v>
      </c>
      <c r="F612">
        <v>66.837654000000001</v>
      </c>
      <c r="G612">
        <v>5292300</v>
      </c>
      <c r="I612">
        <f t="shared" si="10"/>
        <v>1.7289704052437796E-5</v>
      </c>
    </row>
    <row r="613" spans="1:9" x14ac:dyDescent="0.3">
      <c r="A613" s="5">
        <v>42528</v>
      </c>
      <c r="B613">
        <v>82.760002</v>
      </c>
      <c r="C613">
        <v>82.889999000000003</v>
      </c>
      <c r="D613">
        <v>82.25</v>
      </c>
      <c r="E613">
        <v>82.32</v>
      </c>
      <c r="F613">
        <v>66.474288999999999</v>
      </c>
      <c r="G613">
        <v>6327500</v>
      </c>
      <c r="I613">
        <f t="shared" si="10"/>
        <v>1.608892712427879E-5</v>
      </c>
    </row>
    <row r="614" spans="1:9" x14ac:dyDescent="0.3">
      <c r="A614" s="5">
        <v>42529</v>
      </c>
      <c r="B614">
        <v>82.370002999999997</v>
      </c>
      <c r="C614">
        <v>82.75</v>
      </c>
      <c r="D614">
        <v>82.019997000000004</v>
      </c>
      <c r="E614">
        <v>82.650002000000001</v>
      </c>
      <c r="F614">
        <v>66.740768000000003</v>
      </c>
      <c r="G614">
        <v>4712600</v>
      </c>
      <c r="I614">
        <f t="shared" si="10"/>
        <v>3.814850704519402E-5</v>
      </c>
    </row>
    <row r="615" spans="1:9" x14ac:dyDescent="0.3">
      <c r="A615" s="5">
        <v>42530</v>
      </c>
      <c r="B615">
        <v>82.580001999999993</v>
      </c>
      <c r="C615">
        <v>83.260002</v>
      </c>
      <c r="D615">
        <v>82.43</v>
      </c>
      <c r="E615">
        <v>83.169998000000007</v>
      </c>
      <c r="F615">
        <v>67.160651999999999</v>
      </c>
      <c r="G615">
        <v>6144900</v>
      </c>
      <c r="I615">
        <f t="shared" si="10"/>
        <v>2.5118520005312653E-5</v>
      </c>
    </row>
    <row r="616" spans="1:9" x14ac:dyDescent="0.3">
      <c r="A616" s="5">
        <v>42531</v>
      </c>
      <c r="B616">
        <v>82.769997000000004</v>
      </c>
      <c r="C616">
        <v>83.339995999999999</v>
      </c>
      <c r="D616">
        <v>82.610000999999997</v>
      </c>
      <c r="E616">
        <v>83.199996999999996</v>
      </c>
      <c r="F616">
        <v>67.184905999999998</v>
      </c>
      <c r="G616">
        <v>6840800</v>
      </c>
      <c r="I616">
        <f t="shared" si="10"/>
        <v>2.5308187482951804E-5</v>
      </c>
    </row>
    <row r="617" spans="1:9" x14ac:dyDescent="0.3">
      <c r="A617" s="5">
        <v>42534</v>
      </c>
      <c r="B617">
        <v>82.959998999999996</v>
      </c>
      <c r="C617">
        <v>83.400002000000001</v>
      </c>
      <c r="D617">
        <v>82.529999000000004</v>
      </c>
      <c r="E617">
        <v>82.57</v>
      </c>
      <c r="F617">
        <v>66.676140000000004</v>
      </c>
      <c r="G617">
        <v>6167400</v>
      </c>
      <c r="I617">
        <f t="shared" si="10"/>
        <v>5.5426093479638256E-5</v>
      </c>
    </row>
    <row r="618" spans="1:9" x14ac:dyDescent="0.3">
      <c r="A618" s="5">
        <v>42535</v>
      </c>
      <c r="B618">
        <v>82.550003000000004</v>
      </c>
      <c r="C618">
        <v>83.370002999999997</v>
      </c>
      <c r="D618">
        <v>82.269997000000004</v>
      </c>
      <c r="E618">
        <v>83.349997999999999</v>
      </c>
      <c r="F618">
        <v>67.306006999999994</v>
      </c>
      <c r="G618">
        <v>6868600</v>
      </c>
      <c r="I618">
        <f t="shared" si="10"/>
        <v>4.6685512446800628E-5</v>
      </c>
    </row>
    <row r="619" spans="1:9" x14ac:dyDescent="0.3">
      <c r="A619" s="5">
        <v>42536</v>
      </c>
      <c r="B619">
        <v>83.400002000000001</v>
      </c>
      <c r="C619">
        <v>83.5</v>
      </c>
      <c r="D619">
        <v>82.82</v>
      </c>
      <c r="E619">
        <v>82.949996999999996</v>
      </c>
      <c r="F619">
        <v>66.983017000000004</v>
      </c>
      <c r="G619">
        <v>7082200</v>
      </c>
      <c r="I619">
        <f t="shared" si="10"/>
        <v>1.8864633236794592E-5</v>
      </c>
    </row>
    <row r="620" spans="1:9" x14ac:dyDescent="0.3">
      <c r="A620" s="5">
        <v>42537</v>
      </c>
      <c r="B620">
        <v>82.669998000000007</v>
      </c>
      <c r="C620">
        <v>83.610000999999997</v>
      </c>
      <c r="D620">
        <v>82.660004000000001</v>
      </c>
      <c r="E620">
        <v>83.410004000000001</v>
      </c>
      <c r="F620">
        <v>67.354477000000003</v>
      </c>
      <c r="G620">
        <v>6630100</v>
      </c>
      <c r="I620">
        <f t="shared" si="10"/>
        <v>2.8169524748978534E-5</v>
      </c>
    </row>
    <row r="621" spans="1:9" x14ac:dyDescent="0.3">
      <c r="A621" s="5">
        <v>42538</v>
      </c>
      <c r="B621">
        <v>83.309997999999993</v>
      </c>
      <c r="C621">
        <v>83.440002000000007</v>
      </c>
      <c r="D621">
        <v>82.349997999999999</v>
      </c>
      <c r="E621">
        <v>83.129997000000003</v>
      </c>
      <c r="F621">
        <v>67.128356999999994</v>
      </c>
      <c r="G621">
        <v>11741700</v>
      </c>
      <c r="I621">
        <f t="shared" si="10"/>
        <v>1.1506621192588247E-4</v>
      </c>
    </row>
    <row r="622" spans="1:9" x14ac:dyDescent="0.3">
      <c r="A622" s="5">
        <v>42541</v>
      </c>
      <c r="B622">
        <v>83.519997000000004</v>
      </c>
      <c r="C622">
        <v>83.699996999999996</v>
      </c>
      <c r="D622">
        <v>83.029999000000004</v>
      </c>
      <c r="E622">
        <v>83.040001000000004</v>
      </c>
      <c r="F622">
        <v>67.055678999999998</v>
      </c>
      <c r="G622">
        <v>6164300</v>
      </c>
      <c r="I622">
        <f t="shared" si="10"/>
        <v>1.7751858250757172E-5</v>
      </c>
    </row>
    <row r="623" spans="1:9" x14ac:dyDescent="0.3">
      <c r="A623" s="5">
        <v>42542</v>
      </c>
      <c r="B623">
        <v>83.089995999999999</v>
      </c>
      <c r="C623">
        <v>83.779999000000004</v>
      </c>
      <c r="D623">
        <v>83.089995999999999</v>
      </c>
      <c r="E623">
        <v>83.410004000000001</v>
      </c>
      <c r="F623">
        <v>67.354477000000003</v>
      </c>
      <c r="G623">
        <v>6594700</v>
      </c>
      <c r="I623">
        <f t="shared" si="10"/>
        <v>3.6603401968289839E-5</v>
      </c>
    </row>
    <row r="624" spans="1:9" x14ac:dyDescent="0.3">
      <c r="A624" s="5">
        <v>42543</v>
      </c>
      <c r="B624">
        <v>83.5</v>
      </c>
      <c r="C624">
        <v>83.760002</v>
      </c>
      <c r="D624">
        <v>83.290001000000004</v>
      </c>
      <c r="E624">
        <v>83.57</v>
      </c>
      <c r="F624">
        <v>67.483649999999997</v>
      </c>
      <c r="G624">
        <v>4940100</v>
      </c>
      <c r="I624">
        <f t="shared" si="10"/>
        <v>1.5511480202191959E-5</v>
      </c>
    </row>
    <row r="625" spans="1:9" x14ac:dyDescent="0.3">
      <c r="A625" s="5">
        <v>42544</v>
      </c>
      <c r="B625">
        <v>83.809997999999993</v>
      </c>
      <c r="C625">
        <v>84.209998999999996</v>
      </c>
      <c r="D625">
        <v>83.57</v>
      </c>
      <c r="E625">
        <v>84.209998999999996</v>
      </c>
      <c r="F625">
        <v>68.000473</v>
      </c>
      <c r="G625">
        <v>7361300</v>
      </c>
      <c r="I625">
        <f t="shared" si="10"/>
        <v>2.1877896706456596E-5</v>
      </c>
    </row>
    <row r="626" spans="1:9" x14ac:dyDescent="0.3">
      <c r="A626" s="5">
        <v>42545</v>
      </c>
      <c r="B626">
        <v>82.610000999999997</v>
      </c>
      <c r="C626">
        <v>83.82</v>
      </c>
      <c r="D626">
        <v>81.989998</v>
      </c>
      <c r="E626">
        <v>82.260002</v>
      </c>
      <c r="F626">
        <v>66.425842000000003</v>
      </c>
      <c r="G626">
        <v>12401100</v>
      </c>
      <c r="I626">
        <f t="shared" si="10"/>
        <v>2.9794273948464034E-4</v>
      </c>
    </row>
    <row r="627" spans="1:9" x14ac:dyDescent="0.3">
      <c r="A627" s="5">
        <v>42548</v>
      </c>
      <c r="B627">
        <v>81.830001999999993</v>
      </c>
      <c r="C627">
        <v>81.889999000000003</v>
      </c>
      <c r="D627">
        <v>81</v>
      </c>
      <c r="E627">
        <v>81.230002999999996</v>
      </c>
      <c r="F627">
        <v>65.594100999999995</v>
      </c>
      <c r="G627">
        <v>9601800</v>
      </c>
      <c r="I627">
        <f t="shared" si="10"/>
        <v>3.4838486245974645E-5</v>
      </c>
    </row>
    <row r="628" spans="1:9" x14ac:dyDescent="0.3">
      <c r="A628" s="5">
        <v>42549</v>
      </c>
      <c r="B628">
        <v>81.440002000000007</v>
      </c>
      <c r="C628">
        <v>82.489998</v>
      </c>
      <c r="D628">
        <v>80.949996999999996</v>
      </c>
      <c r="E628">
        <v>82.459998999999996</v>
      </c>
      <c r="F628">
        <v>66.587333999999998</v>
      </c>
      <c r="G628">
        <v>9257100</v>
      </c>
      <c r="I628">
        <f t="shared" si="10"/>
        <v>1.1619528715146657E-4</v>
      </c>
    </row>
    <row r="629" spans="1:9" x14ac:dyDescent="0.3">
      <c r="A629" s="5">
        <v>42550</v>
      </c>
      <c r="B629">
        <v>82.959998999999996</v>
      </c>
      <c r="C629">
        <v>83.910004000000001</v>
      </c>
      <c r="D629">
        <v>82.910004000000001</v>
      </c>
      <c r="E629">
        <v>83.910004000000001</v>
      </c>
      <c r="F629">
        <v>67.758232000000007</v>
      </c>
      <c r="G629">
        <v>7927500</v>
      </c>
      <c r="I629">
        <f t="shared" si="10"/>
        <v>7.2272951189360905E-6</v>
      </c>
    </row>
    <row r="630" spans="1:9" x14ac:dyDescent="0.3">
      <c r="A630" s="5">
        <v>42551</v>
      </c>
      <c r="B630">
        <v>83.910004000000001</v>
      </c>
      <c r="C630">
        <v>84.800003000000004</v>
      </c>
      <c r="D630">
        <v>83.82</v>
      </c>
      <c r="E630">
        <v>84.669998000000007</v>
      </c>
      <c r="F630">
        <v>68.371925000000005</v>
      </c>
      <c r="G630">
        <v>10969300</v>
      </c>
      <c r="I630">
        <f t="shared" si="10"/>
        <v>2.7015765169167839E-5</v>
      </c>
    </row>
    <row r="631" spans="1:9" x14ac:dyDescent="0.3">
      <c r="A631" s="5">
        <v>42552</v>
      </c>
      <c r="B631">
        <v>84.519997000000004</v>
      </c>
      <c r="C631">
        <v>84.989998</v>
      </c>
      <c r="D631">
        <v>84.510002</v>
      </c>
      <c r="E631">
        <v>84.779999000000004</v>
      </c>
      <c r="F631">
        <v>68.460753999999994</v>
      </c>
      <c r="G631">
        <v>9531100</v>
      </c>
      <c r="I631">
        <f t="shared" si="10"/>
        <v>1.4096187279332782E-5</v>
      </c>
    </row>
    <row r="632" spans="1:9" x14ac:dyDescent="0.3">
      <c r="A632" s="5">
        <v>42556</v>
      </c>
      <c r="B632">
        <v>84.480002999999996</v>
      </c>
      <c r="C632">
        <v>85.949996999999996</v>
      </c>
      <c r="D632">
        <v>84.449996999999996</v>
      </c>
      <c r="E632">
        <v>85.440002000000007</v>
      </c>
      <c r="F632">
        <v>68.993720999999994</v>
      </c>
      <c r="G632">
        <v>11403100</v>
      </c>
      <c r="I632">
        <f t="shared" si="10"/>
        <v>1.0680524162721775E-4</v>
      </c>
    </row>
    <row r="633" spans="1:9" x14ac:dyDescent="0.3">
      <c r="A633" s="5">
        <v>42557</v>
      </c>
      <c r="B633">
        <v>85.370002999999997</v>
      </c>
      <c r="C633">
        <v>85.5</v>
      </c>
      <c r="D633">
        <v>84.739998</v>
      </c>
      <c r="E633">
        <v>85.029999000000004</v>
      </c>
      <c r="F633">
        <v>68.662643000000003</v>
      </c>
      <c r="G633">
        <v>8356500</v>
      </c>
      <c r="I633">
        <f t="shared" si="10"/>
        <v>3.3692897267450134E-5</v>
      </c>
    </row>
    <row r="634" spans="1:9" x14ac:dyDescent="0.3">
      <c r="A634" s="5">
        <v>42558</v>
      </c>
      <c r="B634">
        <v>85.230002999999996</v>
      </c>
      <c r="C634">
        <v>85.239998</v>
      </c>
      <c r="D634">
        <v>84.529999000000004</v>
      </c>
      <c r="E634">
        <v>84.830001999999993</v>
      </c>
      <c r="F634">
        <v>68.501121999999995</v>
      </c>
      <c r="G634">
        <v>7905700</v>
      </c>
      <c r="I634">
        <f t="shared" si="10"/>
        <v>2.9782872766856453E-5</v>
      </c>
    </row>
    <row r="635" spans="1:9" x14ac:dyDescent="0.3">
      <c r="A635" s="5">
        <v>42559</v>
      </c>
      <c r="B635">
        <v>84.980002999999996</v>
      </c>
      <c r="C635">
        <v>85.900002000000001</v>
      </c>
      <c r="D635">
        <v>84.769997000000004</v>
      </c>
      <c r="E635">
        <v>85.769997000000004</v>
      </c>
      <c r="F635">
        <v>69.260208000000006</v>
      </c>
      <c r="G635">
        <v>6827300</v>
      </c>
      <c r="I635">
        <f t="shared" si="10"/>
        <v>4.532650943163203E-5</v>
      </c>
    </row>
    <row r="636" spans="1:9" x14ac:dyDescent="0.3">
      <c r="A636" s="5">
        <v>42562</v>
      </c>
      <c r="B636">
        <v>85.610000999999997</v>
      </c>
      <c r="C636">
        <v>85.949996999999996</v>
      </c>
      <c r="D636">
        <v>84.910004000000001</v>
      </c>
      <c r="E636">
        <v>85.75</v>
      </c>
      <c r="F636">
        <v>69.244063999999995</v>
      </c>
      <c r="G636">
        <v>6156800</v>
      </c>
      <c r="I636">
        <f t="shared" si="10"/>
        <v>9.0056108007955071E-5</v>
      </c>
    </row>
    <row r="637" spans="1:9" x14ac:dyDescent="0.3">
      <c r="A637" s="5">
        <v>42563</v>
      </c>
      <c r="B637">
        <v>85.489998</v>
      </c>
      <c r="C637">
        <v>85.940002000000007</v>
      </c>
      <c r="D637">
        <v>85.190002000000007</v>
      </c>
      <c r="E637">
        <v>85.75</v>
      </c>
      <c r="F637">
        <v>69.244063999999995</v>
      </c>
      <c r="G637">
        <v>6649800</v>
      </c>
      <c r="I637">
        <f t="shared" si="10"/>
        <v>3.4652254999774497E-5</v>
      </c>
    </row>
    <row r="638" spans="1:9" x14ac:dyDescent="0.3">
      <c r="A638" s="5">
        <v>42564</v>
      </c>
      <c r="B638">
        <v>85.809997999999993</v>
      </c>
      <c r="C638">
        <v>86.150002000000001</v>
      </c>
      <c r="D638">
        <v>85.410004000000001</v>
      </c>
      <c r="E638">
        <v>85.889999000000003</v>
      </c>
      <c r="F638">
        <v>69.357094000000004</v>
      </c>
      <c r="G638">
        <v>7572100</v>
      </c>
      <c r="I638">
        <f t="shared" si="10"/>
        <v>3.8136966588024209E-5</v>
      </c>
    </row>
    <row r="639" spans="1:9" x14ac:dyDescent="0.3">
      <c r="A639" s="5">
        <v>42565</v>
      </c>
      <c r="B639">
        <v>86.440002000000007</v>
      </c>
      <c r="C639">
        <v>86.889999000000003</v>
      </c>
      <c r="D639">
        <v>85.849997999999999</v>
      </c>
      <c r="E639">
        <v>85.870002999999997</v>
      </c>
      <c r="F639">
        <v>69.340941999999998</v>
      </c>
      <c r="G639">
        <v>11342600</v>
      </c>
      <c r="I639">
        <f t="shared" si="10"/>
        <v>6.2909433142496889E-5</v>
      </c>
    </row>
    <row r="640" spans="1:9" x14ac:dyDescent="0.3">
      <c r="A640" s="5">
        <v>42566</v>
      </c>
      <c r="B640">
        <v>86.25</v>
      </c>
      <c r="C640">
        <v>86.480002999999996</v>
      </c>
      <c r="D640">
        <v>85.790001000000004</v>
      </c>
      <c r="E640">
        <v>86.010002</v>
      </c>
      <c r="F640">
        <v>69.453986999999998</v>
      </c>
      <c r="G640">
        <v>8491300</v>
      </c>
      <c r="I640">
        <f t="shared" si="10"/>
        <v>2.8209045105569596E-5</v>
      </c>
    </row>
    <row r="641" spans="1:9" x14ac:dyDescent="0.3">
      <c r="A641" s="5">
        <v>42569</v>
      </c>
      <c r="B641">
        <v>86.019997000000004</v>
      </c>
      <c r="C641">
        <v>86.050003000000004</v>
      </c>
      <c r="D641">
        <v>85.699996999999996</v>
      </c>
      <c r="E641">
        <v>85.93</v>
      </c>
      <c r="F641">
        <v>69.389388999999994</v>
      </c>
      <c r="G641">
        <v>4781300</v>
      </c>
      <c r="I641">
        <f t="shared" si="10"/>
        <v>1.0475905421033161E-5</v>
      </c>
    </row>
    <row r="642" spans="1:9" x14ac:dyDescent="0.3">
      <c r="A642" s="5">
        <v>42570</v>
      </c>
      <c r="B642">
        <v>85.669998000000007</v>
      </c>
      <c r="C642">
        <v>86.18</v>
      </c>
      <c r="D642">
        <v>85.559997999999993</v>
      </c>
      <c r="E642">
        <v>86.169998000000007</v>
      </c>
      <c r="F642">
        <v>69.583198999999993</v>
      </c>
      <c r="G642">
        <v>6078200</v>
      </c>
      <c r="I642">
        <f t="shared" si="10"/>
        <v>9.8165424124734932E-6</v>
      </c>
    </row>
    <row r="643" spans="1:9" x14ac:dyDescent="0.3">
      <c r="A643" s="5">
        <v>42571</v>
      </c>
      <c r="B643">
        <v>85.379997000000003</v>
      </c>
      <c r="C643">
        <v>85.730002999999996</v>
      </c>
      <c r="D643">
        <v>85.129997000000003</v>
      </c>
      <c r="E643">
        <v>85.32</v>
      </c>
      <c r="F643">
        <v>69.436706999999998</v>
      </c>
      <c r="G643">
        <v>6289000</v>
      </c>
      <c r="I643">
        <f t="shared" si="10"/>
        <v>2.6149698428963142E-5</v>
      </c>
    </row>
    <row r="644" spans="1:9" x14ac:dyDescent="0.3">
      <c r="A644" s="5">
        <v>42572</v>
      </c>
      <c r="B644">
        <v>85.019997000000004</v>
      </c>
      <c r="C644">
        <v>85.370002999999997</v>
      </c>
      <c r="D644">
        <v>84.879997000000003</v>
      </c>
      <c r="E644">
        <v>85.260002</v>
      </c>
      <c r="F644">
        <v>69.387878000000001</v>
      </c>
      <c r="G644">
        <v>5407000</v>
      </c>
      <c r="I644">
        <f t="shared" si="10"/>
        <v>1.2658744617253195E-5</v>
      </c>
    </row>
    <row r="645" spans="1:9" x14ac:dyDescent="0.3">
      <c r="A645" s="5">
        <v>42573</v>
      </c>
      <c r="B645">
        <v>85.5</v>
      </c>
      <c r="C645">
        <v>85.980002999999996</v>
      </c>
      <c r="D645">
        <v>85.449996999999996</v>
      </c>
      <c r="E645">
        <v>85.720000999999996</v>
      </c>
      <c r="F645">
        <v>69.762244999999993</v>
      </c>
      <c r="G645">
        <v>6165600</v>
      </c>
      <c r="I645">
        <f t="shared" si="10"/>
        <v>1.8800587422338873E-5</v>
      </c>
    </row>
    <row r="646" spans="1:9" x14ac:dyDescent="0.3">
      <c r="A646" s="5">
        <v>42576</v>
      </c>
      <c r="B646">
        <v>85.529999000000004</v>
      </c>
      <c r="C646">
        <v>85.800003000000004</v>
      </c>
      <c r="D646">
        <v>85.150002000000001</v>
      </c>
      <c r="E646">
        <v>85.800003000000004</v>
      </c>
      <c r="F646">
        <v>69.827315999999996</v>
      </c>
      <c r="G646">
        <v>5605300</v>
      </c>
      <c r="I646">
        <f t="shared" si="10"/>
        <v>3.3861425725984813E-5</v>
      </c>
    </row>
    <row r="647" spans="1:9" x14ac:dyDescent="0.3">
      <c r="A647" s="5">
        <v>42577</v>
      </c>
      <c r="B647">
        <v>85.68</v>
      </c>
      <c r="C647">
        <v>86.080001999999993</v>
      </c>
      <c r="D647">
        <v>85.169998000000007</v>
      </c>
      <c r="E647">
        <v>85.269997000000004</v>
      </c>
      <c r="F647">
        <v>69.396004000000005</v>
      </c>
      <c r="G647">
        <v>5379300</v>
      </c>
      <c r="I647">
        <f t="shared" si="10"/>
        <v>5.1041538884825599E-5</v>
      </c>
    </row>
    <row r="648" spans="1:9" x14ac:dyDescent="0.3">
      <c r="A648" s="5">
        <v>42578</v>
      </c>
      <c r="B648">
        <v>85.239998</v>
      </c>
      <c r="C648">
        <v>85.300003000000004</v>
      </c>
      <c r="D648">
        <v>84.32</v>
      </c>
      <c r="E648">
        <v>84.459998999999996</v>
      </c>
      <c r="F648">
        <v>68.736794000000003</v>
      </c>
      <c r="G648">
        <v>7744700</v>
      </c>
      <c r="I648">
        <f t="shared" si="10"/>
        <v>2.4966648854577623E-5</v>
      </c>
    </row>
    <row r="649" spans="1:9" x14ac:dyDescent="0.3">
      <c r="A649" s="5">
        <v>42579</v>
      </c>
      <c r="B649">
        <v>84.419998000000007</v>
      </c>
      <c r="C649">
        <v>84.980002999999996</v>
      </c>
      <c r="D649">
        <v>84.400002000000001</v>
      </c>
      <c r="E649">
        <v>84.809997999999993</v>
      </c>
      <c r="F649">
        <v>69.021652000000003</v>
      </c>
      <c r="G649">
        <v>5911600</v>
      </c>
      <c r="I649">
        <f t="shared" si="10"/>
        <v>1.4388033551837227E-5</v>
      </c>
    </row>
    <row r="650" spans="1:9" x14ac:dyDescent="0.3">
      <c r="A650" s="5">
        <v>42580</v>
      </c>
      <c r="B650">
        <v>84.889999000000003</v>
      </c>
      <c r="C650">
        <v>85.790001000000004</v>
      </c>
      <c r="D650">
        <v>84.800003000000004</v>
      </c>
      <c r="E650">
        <v>85.589995999999999</v>
      </c>
      <c r="F650">
        <v>69.656424999999999</v>
      </c>
      <c r="G650">
        <v>7520900</v>
      </c>
      <c r="I650">
        <f t="shared" si="10"/>
        <v>3.4451126241710986E-5</v>
      </c>
    </row>
    <row r="651" spans="1:9" x14ac:dyDescent="0.3">
      <c r="A651" s="5">
        <v>42583</v>
      </c>
      <c r="B651">
        <v>85.440002000000007</v>
      </c>
      <c r="C651">
        <v>86.580001999999993</v>
      </c>
      <c r="D651">
        <v>85.419998000000007</v>
      </c>
      <c r="E651">
        <v>86.410004000000001</v>
      </c>
      <c r="F651">
        <v>70.323807000000002</v>
      </c>
      <c r="G651">
        <v>10420600</v>
      </c>
      <c r="I651">
        <f t="shared" si="10"/>
        <v>2.8748684215891738E-5</v>
      </c>
    </row>
    <row r="652" spans="1:9" x14ac:dyDescent="0.3">
      <c r="A652" s="5">
        <v>42584</v>
      </c>
      <c r="B652">
        <v>87.019997000000004</v>
      </c>
      <c r="C652">
        <v>87.150002000000001</v>
      </c>
      <c r="D652">
        <v>86.239998</v>
      </c>
      <c r="E652">
        <v>86.760002</v>
      </c>
      <c r="F652">
        <v>70.608643000000001</v>
      </c>
      <c r="G652">
        <v>13083200</v>
      </c>
      <c r="I652">
        <f t="shared" ref="I652:I715" si="11">LN(C652/B652)*(LN(C652/B652)-LN(E652/B652))+LN(D652/B652)*(LN(D652/B652)-LN(E652/B652))</f>
        <v>6.0823393217035027E-5</v>
      </c>
    </row>
    <row r="653" spans="1:9" x14ac:dyDescent="0.3">
      <c r="A653" s="5">
        <v>42585</v>
      </c>
      <c r="B653">
        <v>86.510002</v>
      </c>
      <c r="C653">
        <v>86.720000999999996</v>
      </c>
      <c r="D653">
        <v>85.459998999999996</v>
      </c>
      <c r="E653">
        <v>85.970000999999996</v>
      </c>
      <c r="F653">
        <v>69.965691000000007</v>
      </c>
      <c r="G653">
        <v>8192100</v>
      </c>
      <c r="I653">
        <f t="shared" si="11"/>
        <v>9.3718674097378245E-5</v>
      </c>
    </row>
    <row r="654" spans="1:9" x14ac:dyDescent="0.3">
      <c r="A654" s="5">
        <v>42586</v>
      </c>
      <c r="B654">
        <v>86.120002999999997</v>
      </c>
      <c r="C654">
        <v>86.529999000000004</v>
      </c>
      <c r="D654">
        <v>85.800003000000004</v>
      </c>
      <c r="E654">
        <v>86.050003000000004</v>
      </c>
      <c r="F654">
        <v>70.030806999999996</v>
      </c>
      <c r="G654">
        <v>5564100</v>
      </c>
      <c r="I654">
        <f t="shared" si="11"/>
        <v>3.7250504913240298E-5</v>
      </c>
    </row>
    <row r="655" spans="1:9" x14ac:dyDescent="0.3">
      <c r="A655" s="5">
        <v>42587</v>
      </c>
      <c r="B655">
        <v>86.080001999999993</v>
      </c>
      <c r="C655">
        <v>86.440002000000007</v>
      </c>
      <c r="D655">
        <v>85.529999000000004</v>
      </c>
      <c r="E655">
        <v>85.779999000000004</v>
      </c>
      <c r="F655">
        <v>69.811081000000001</v>
      </c>
      <c r="G655">
        <v>6729700</v>
      </c>
      <c r="I655">
        <f t="shared" si="11"/>
        <v>5.0696686622435494E-5</v>
      </c>
    </row>
    <row r="656" spans="1:9" x14ac:dyDescent="0.3">
      <c r="A656" s="5">
        <v>42590</v>
      </c>
      <c r="B656">
        <v>85.610000999999997</v>
      </c>
      <c r="C656">
        <v>85.900002000000001</v>
      </c>
      <c r="D656">
        <v>85.129997000000003</v>
      </c>
      <c r="E656">
        <v>85.760002</v>
      </c>
      <c r="F656">
        <v>69.794785000000005</v>
      </c>
      <c r="G656">
        <v>5388200</v>
      </c>
      <c r="I656">
        <f t="shared" si="11"/>
        <v>4.6973272735488516E-5</v>
      </c>
    </row>
    <row r="657" spans="1:9" x14ac:dyDescent="0.3">
      <c r="A657" s="5">
        <v>42591</v>
      </c>
      <c r="B657">
        <v>85.860000999999997</v>
      </c>
      <c r="C657">
        <v>86.339995999999999</v>
      </c>
      <c r="D657">
        <v>85.68</v>
      </c>
      <c r="E657">
        <v>85.989998</v>
      </c>
      <c r="F657">
        <v>69.981978999999995</v>
      </c>
      <c r="G657">
        <v>4158800</v>
      </c>
      <c r="I657">
        <f t="shared" si="11"/>
        <v>3.0224273984496709E-5</v>
      </c>
    </row>
    <row r="658" spans="1:9" x14ac:dyDescent="0.3">
      <c r="A658" s="5">
        <v>42592</v>
      </c>
      <c r="B658">
        <v>86.260002</v>
      </c>
      <c r="C658">
        <v>86.82</v>
      </c>
      <c r="D658">
        <v>86</v>
      </c>
      <c r="E658">
        <v>86.309997999999993</v>
      </c>
      <c r="F658">
        <v>70.242424</v>
      </c>
      <c r="G658">
        <v>5981400</v>
      </c>
      <c r="I658">
        <f t="shared" si="11"/>
        <v>4.898609320517495E-5</v>
      </c>
    </row>
    <row r="659" spans="1:9" x14ac:dyDescent="0.3">
      <c r="A659" s="5">
        <v>42593</v>
      </c>
      <c r="B659">
        <v>86.699996999999996</v>
      </c>
      <c r="C659">
        <v>87</v>
      </c>
      <c r="D659">
        <v>86.400002000000001</v>
      </c>
      <c r="E659">
        <v>86.730002999999996</v>
      </c>
      <c r="F659">
        <v>70.584228999999993</v>
      </c>
      <c r="G659">
        <v>7387100</v>
      </c>
      <c r="I659">
        <f t="shared" si="11"/>
        <v>2.3950286062767345E-5</v>
      </c>
    </row>
    <row r="660" spans="1:9" x14ac:dyDescent="0.3">
      <c r="A660" s="5">
        <v>42594</v>
      </c>
      <c r="B660">
        <v>86.919998000000007</v>
      </c>
      <c r="C660">
        <v>87.449996999999996</v>
      </c>
      <c r="D660">
        <v>86.779999000000004</v>
      </c>
      <c r="E660">
        <v>87.040001000000004</v>
      </c>
      <c r="F660">
        <v>70.836510000000004</v>
      </c>
      <c r="G660">
        <v>8063400</v>
      </c>
      <c r="I660">
        <f t="shared" si="11"/>
        <v>3.3390040865509053E-5</v>
      </c>
    </row>
    <row r="661" spans="1:9" x14ac:dyDescent="0.3">
      <c r="A661" s="5">
        <v>42597</v>
      </c>
      <c r="B661">
        <v>87.519997000000004</v>
      </c>
      <c r="C661">
        <v>87.57</v>
      </c>
      <c r="D661">
        <v>86.989998</v>
      </c>
      <c r="E661">
        <v>87.019997000000004</v>
      </c>
      <c r="F661">
        <v>70.820228999999998</v>
      </c>
      <c r="G661">
        <v>6871200</v>
      </c>
      <c r="I661">
        <f t="shared" si="11"/>
        <v>5.6930157943384065E-6</v>
      </c>
    </row>
    <row r="662" spans="1:9" x14ac:dyDescent="0.3">
      <c r="A662" s="5">
        <v>42598</v>
      </c>
      <c r="B662">
        <v>86.980002999999996</v>
      </c>
      <c r="C662">
        <v>87.400002000000001</v>
      </c>
      <c r="D662">
        <v>86.470000999999996</v>
      </c>
      <c r="E662">
        <v>86.580001999999993</v>
      </c>
      <c r="F662">
        <v>70.462135000000004</v>
      </c>
      <c r="G662">
        <v>8071100</v>
      </c>
      <c r="I662">
        <f t="shared" si="11"/>
        <v>5.288401701885825E-5</v>
      </c>
    </row>
    <row r="663" spans="1:9" x14ac:dyDescent="0.3">
      <c r="A663" s="5">
        <v>42599</v>
      </c>
      <c r="B663">
        <v>86.449996999999996</v>
      </c>
      <c r="C663">
        <v>87.110000999999997</v>
      </c>
      <c r="D663">
        <v>85.970000999999996</v>
      </c>
      <c r="E663">
        <v>86.959998999999996</v>
      </c>
      <c r="F663">
        <v>70.771393000000003</v>
      </c>
      <c r="G663">
        <v>6762100</v>
      </c>
      <c r="I663">
        <f t="shared" si="11"/>
        <v>7.6857818814855518E-5</v>
      </c>
    </row>
    <row r="664" spans="1:9" x14ac:dyDescent="0.3">
      <c r="A664" s="5">
        <v>42600</v>
      </c>
      <c r="B664">
        <v>86.940002000000007</v>
      </c>
      <c r="C664">
        <v>87.459998999999996</v>
      </c>
      <c r="D664">
        <v>86.940002000000007</v>
      </c>
      <c r="E664">
        <v>87.440002000000007</v>
      </c>
      <c r="F664">
        <v>71.162047999999999</v>
      </c>
      <c r="G664">
        <v>7082800</v>
      </c>
      <c r="I664">
        <f t="shared" si="11"/>
        <v>1.3636115460152446E-6</v>
      </c>
    </row>
    <row r="665" spans="1:9" x14ac:dyDescent="0.3">
      <c r="A665" s="5">
        <v>42601</v>
      </c>
      <c r="B665">
        <v>87.199996999999996</v>
      </c>
      <c r="C665">
        <v>87.410004000000001</v>
      </c>
      <c r="D665">
        <v>87.050003000000004</v>
      </c>
      <c r="E665">
        <v>87.309997999999993</v>
      </c>
      <c r="F665">
        <v>71.056252000000001</v>
      </c>
      <c r="G665">
        <v>6199900</v>
      </c>
      <c r="I665">
        <f t="shared" si="11"/>
        <v>7.8879286757405027E-6</v>
      </c>
    </row>
    <row r="666" spans="1:9" x14ac:dyDescent="0.3">
      <c r="A666" s="5">
        <v>42604</v>
      </c>
      <c r="B666">
        <v>87.139999000000003</v>
      </c>
      <c r="C666">
        <v>87.209998999999996</v>
      </c>
      <c r="D666">
        <v>86.580001999999993</v>
      </c>
      <c r="E666">
        <v>86.849997999999999</v>
      </c>
      <c r="F666">
        <v>70.681892000000005</v>
      </c>
      <c r="G666">
        <v>5921100</v>
      </c>
      <c r="I666">
        <f t="shared" si="11"/>
        <v>2.3395412282452761E-5</v>
      </c>
    </row>
    <row r="667" spans="1:9" x14ac:dyDescent="0.3">
      <c r="A667" s="5">
        <v>42605</v>
      </c>
      <c r="B667">
        <v>87.129997000000003</v>
      </c>
      <c r="C667">
        <v>87.5</v>
      </c>
      <c r="D667">
        <v>87.040001000000004</v>
      </c>
      <c r="E667">
        <v>87.400002000000001</v>
      </c>
      <c r="F667">
        <v>71.129493999999994</v>
      </c>
      <c r="G667">
        <v>5420100</v>
      </c>
      <c r="I667">
        <f t="shared" si="11"/>
        <v>9.1110935958026625E-6</v>
      </c>
    </row>
    <row r="668" spans="1:9" x14ac:dyDescent="0.3">
      <c r="A668" s="5">
        <v>42606</v>
      </c>
      <c r="B668">
        <v>87.32</v>
      </c>
      <c r="C668">
        <v>87.449996999999996</v>
      </c>
      <c r="D668">
        <v>86.559997999999993</v>
      </c>
      <c r="E668">
        <v>87.309997999999993</v>
      </c>
      <c r="F668">
        <v>71.056252000000001</v>
      </c>
      <c r="G668">
        <v>5713300</v>
      </c>
      <c r="I668">
        <f t="shared" si="11"/>
        <v>7.7800108909713124E-5</v>
      </c>
    </row>
    <row r="669" spans="1:9" x14ac:dyDescent="0.3">
      <c r="A669" s="5">
        <v>42607</v>
      </c>
      <c r="B669">
        <v>87.300003000000004</v>
      </c>
      <c r="C669">
        <v>87.940002000000007</v>
      </c>
      <c r="D669">
        <v>87.040001000000004</v>
      </c>
      <c r="E669">
        <v>87.900002000000001</v>
      </c>
      <c r="F669">
        <v>71.536392000000006</v>
      </c>
      <c r="G669">
        <v>10595500</v>
      </c>
      <c r="I669">
        <f t="shared" si="11"/>
        <v>3.2649182590869235E-5</v>
      </c>
    </row>
    <row r="670" spans="1:9" x14ac:dyDescent="0.3">
      <c r="A670" s="5">
        <v>42608</v>
      </c>
      <c r="B670">
        <v>87.870002999999997</v>
      </c>
      <c r="C670">
        <v>88.5</v>
      </c>
      <c r="D670">
        <v>87.169998000000007</v>
      </c>
      <c r="E670">
        <v>87.580001999999993</v>
      </c>
      <c r="F670">
        <v>71.275993</v>
      </c>
      <c r="G670">
        <v>16408200</v>
      </c>
      <c r="I670">
        <f t="shared" si="11"/>
        <v>1.121862364220749E-4</v>
      </c>
    </row>
    <row r="671" spans="1:9" x14ac:dyDescent="0.3">
      <c r="A671" s="5">
        <v>42611</v>
      </c>
      <c r="B671">
        <v>87.389999000000003</v>
      </c>
      <c r="C671">
        <v>88.400002000000001</v>
      </c>
      <c r="D671">
        <v>87.32</v>
      </c>
      <c r="E671">
        <v>88.300003000000004</v>
      </c>
      <c r="F671">
        <v>71.861953999999997</v>
      </c>
      <c r="G671">
        <v>8934500</v>
      </c>
      <c r="I671">
        <f t="shared" si="11"/>
        <v>2.1949440296395104E-5</v>
      </c>
    </row>
    <row r="672" spans="1:9" x14ac:dyDescent="0.3">
      <c r="A672" s="5">
        <v>42612</v>
      </c>
      <c r="B672">
        <v>87.720000999999996</v>
      </c>
      <c r="C672">
        <v>88.300003000000004</v>
      </c>
      <c r="D672">
        <v>87.459998999999996</v>
      </c>
      <c r="E672">
        <v>87.540001000000004</v>
      </c>
      <c r="F672">
        <v>71.243431000000001</v>
      </c>
      <c r="G672">
        <v>11619400</v>
      </c>
      <c r="I672">
        <f t="shared" si="11"/>
        <v>5.9681746783789538E-5</v>
      </c>
    </row>
    <row r="673" spans="1:9" x14ac:dyDescent="0.3">
      <c r="A673" s="5">
        <v>42613</v>
      </c>
      <c r="B673">
        <v>87.75</v>
      </c>
      <c r="C673">
        <v>87.849997999999999</v>
      </c>
      <c r="D673">
        <v>87.029999000000004</v>
      </c>
      <c r="E673">
        <v>87.309997999999993</v>
      </c>
      <c r="F673">
        <v>71.056252000000001</v>
      </c>
      <c r="G673">
        <v>11407800</v>
      </c>
      <c r="I673">
        <f t="shared" si="11"/>
        <v>3.3486920545220574E-5</v>
      </c>
    </row>
    <row r="674" spans="1:9" x14ac:dyDescent="0.3">
      <c r="A674" s="5">
        <v>42614</v>
      </c>
      <c r="B674">
        <v>87.360000999999997</v>
      </c>
      <c r="C674">
        <v>88.309997999999993</v>
      </c>
      <c r="D674">
        <v>86.980002999999996</v>
      </c>
      <c r="E674">
        <v>88.309997999999993</v>
      </c>
      <c r="F674">
        <v>71.870079000000004</v>
      </c>
      <c r="G674">
        <v>29793300</v>
      </c>
      <c r="I674">
        <f t="shared" si="11"/>
        <v>6.6152481073450918E-5</v>
      </c>
    </row>
    <row r="675" spans="1:9" x14ac:dyDescent="0.3">
      <c r="A675" s="5">
        <v>42615</v>
      </c>
      <c r="B675">
        <v>88.480002999999996</v>
      </c>
      <c r="C675">
        <v>88.870002999999997</v>
      </c>
      <c r="D675">
        <v>88.040001000000004</v>
      </c>
      <c r="E675">
        <v>88.199996999999996</v>
      </c>
      <c r="F675">
        <v>71.780556000000004</v>
      </c>
      <c r="G675">
        <v>17470400</v>
      </c>
      <c r="I675">
        <f t="shared" si="11"/>
        <v>4.2335188709821851E-5</v>
      </c>
    </row>
    <row r="676" spans="1:9" x14ac:dyDescent="0.3">
      <c r="A676" s="5">
        <v>42619</v>
      </c>
      <c r="B676">
        <v>88.25</v>
      </c>
      <c r="C676">
        <v>88.639999000000003</v>
      </c>
      <c r="D676">
        <v>87.879997000000003</v>
      </c>
      <c r="E676">
        <v>88.639999000000003</v>
      </c>
      <c r="F676">
        <v>72.138633999999996</v>
      </c>
      <c r="G676">
        <v>14472100</v>
      </c>
      <c r="I676">
        <f t="shared" si="11"/>
        <v>3.6178958262083702E-5</v>
      </c>
    </row>
    <row r="677" spans="1:9" x14ac:dyDescent="0.3">
      <c r="A677" s="5">
        <v>42620</v>
      </c>
      <c r="B677">
        <v>88.309997999999993</v>
      </c>
      <c r="C677">
        <v>88.410004000000001</v>
      </c>
      <c r="D677">
        <v>87.709998999999996</v>
      </c>
      <c r="E677">
        <v>87.949996999999996</v>
      </c>
      <c r="F677">
        <v>71.577102999999994</v>
      </c>
      <c r="G677">
        <v>17556400</v>
      </c>
      <c r="I677">
        <f t="shared" si="11"/>
        <v>2.4533077704080638E-5</v>
      </c>
    </row>
    <row r="678" spans="1:9" x14ac:dyDescent="0.3">
      <c r="A678" s="5">
        <v>42621</v>
      </c>
      <c r="B678">
        <v>87.949996999999996</v>
      </c>
      <c r="C678">
        <v>88.18</v>
      </c>
      <c r="D678">
        <v>87.629997000000003</v>
      </c>
      <c r="E678">
        <v>87.779999000000004</v>
      </c>
      <c r="F678">
        <v>71.438727999999998</v>
      </c>
      <c r="G678">
        <v>23465700</v>
      </c>
      <c r="I678">
        <f t="shared" si="11"/>
        <v>1.810847154964967E-5</v>
      </c>
    </row>
    <row r="679" spans="1:9" x14ac:dyDescent="0.3">
      <c r="A679" s="5">
        <v>42622</v>
      </c>
      <c r="B679">
        <v>87.099997999999999</v>
      </c>
      <c r="C679">
        <v>87.169998000000007</v>
      </c>
      <c r="D679">
        <v>86.239998</v>
      </c>
      <c r="E679">
        <v>86.239998</v>
      </c>
      <c r="F679">
        <v>70.185424999999995</v>
      </c>
      <c r="G679">
        <v>21955000</v>
      </c>
      <c r="I679">
        <f t="shared" si="11"/>
        <v>8.6168477113629386E-6</v>
      </c>
    </row>
    <row r="680" spans="1:9" x14ac:dyDescent="0.3">
      <c r="A680" s="5">
        <v>42625</v>
      </c>
      <c r="B680">
        <v>86.040001000000004</v>
      </c>
      <c r="C680">
        <v>88.379997000000003</v>
      </c>
      <c r="D680">
        <v>85.959998999999996</v>
      </c>
      <c r="E680">
        <v>88.25</v>
      </c>
      <c r="F680">
        <v>71.821228000000005</v>
      </c>
      <c r="G680">
        <v>16105700</v>
      </c>
      <c r="I680">
        <f t="shared" si="11"/>
        <v>6.3955833037929904E-5</v>
      </c>
    </row>
    <row r="681" spans="1:9" x14ac:dyDescent="0.3">
      <c r="A681" s="5">
        <v>42626</v>
      </c>
      <c r="B681">
        <v>87.550003000000004</v>
      </c>
      <c r="C681">
        <v>87.910004000000001</v>
      </c>
      <c r="D681">
        <v>87.010002</v>
      </c>
      <c r="E681">
        <v>87.050003000000004</v>
      </c>
      <c r="F681">
        <v>70.844634999999997</v>
      </c>
      <c r="G681">
        <v>19682700</v>
      </c>
      <c r="I681">
        <f t="shared" si="11"/>
        <v>4.3184989987755868E-5</v>
      </c>
    </row>
    <row r="682" spans="1:9" x14ac:dyDescent="0.3">
      <c r="A682" s="5">
        <v>42627</v>
      </c>
      <c r="B682">
        <v>87.120002999999997</v>
      </c>
      <c r="C682">
        <v>87.599997999999999</v>
      </c>
      <c r="D682">
        <v>86.870002999999997</v>
      </c>
      <c r="E682">
        <v>87.010002</v>
      </c>
      <c r="F682">
        <v>70.812102999999993</v>
      </c>
      <c r="G682">
        <v>25397900</v>
      </c>
      <c r="I682">
        <f t="shared" si="11"/>
        <v>4.1758564383932244E-5</v>
      </c>
    </row>
    <row r="683" spans="1:9" x14ac:dyDescent="0.3">
      <c r="A683" s="5">
        <v>42628</v>
      </c>
      <c r="B683">
        <v>86.75</v>
      </c>
      <c r="C683">
        <v>88.269997000000004</v>
      </c>
      <c r="D683">
        <v>86.75</v>
      </c>
      <c r="E683">
        <v>88.059997999999993</v>
      </c>
      <c r="F683">
        <v>71.666611000000003</v>
      </c>
      <c r="G683">
        <v>13833600</v>
      </c>
      <c r="I683">
        <f t="shared" si="11"/>
        <v>4.1373018363571635E-5</v>
      </c>
    </row>
    <row r="684" spans="1:9" x14ac:dyDescent="0.3">
      <c r="A684" s="5">
        <v>42629</v>
      </c>
      <c r="B684">
        <v>87.620002999999997</v>
      </c>
      <c r="C684">
        <v>88.110000999999997</v>
      </c>
      <c r="D684">
        <v>87.300003000000004</v>
      </c>
      <c r="E684">
        <v>88.050003000000004</v>
      </c>
      <c r="F684">
        <v>71.658478000000002</v>
      </c>
      <c r="G684">
        <v>23518300</v>
      </c>
      <c r="I684">
        <f t="shared" si="11"/>
        <v>3.5097636515276934E-5</v>
      </c>
    </row>
    <row r="685" spans="1:9" x14ac:dyDescent="0.3">
      <c r="A685" s="5">
        <v>42632</v>
      </c>
      <c r="B685">
        <v>87.919998000000007</v>
      </c>
      <c r="C685">
        <v>88.949996999999996</v>
      </c>
      <c r="D685">
        <v>87.25</v>
      </c>
      <c r="E685">
        <v>88.370002999999997</v>
      </c>
      <c r="F685">
        <v>71.918907000000004</v>
      </c>
      <c r="G685">
        <v>19173900</v>
      </c>
      <c r="I685">
        <f t="shared" si="11"/>
        <v>1.7376536302617741E-4</v>
      </c>
    </row>
    <row r="686" spans="1:9" x14ac:dyDescent="0.3">
      <c r="A686" s="5">
        <v>42633</v>
      </c>
      <c r="B686">
        <v>88.5</v>
      </c>
      <c r="C686">
        <v>88.949996999999996</v>
      </c>
      <c r="D686">
        <v>88.18</v>
      </c>
      <c r="E686">
        <v>88.580001999999993</v>
      </c>
      <c r="F686">
        <v>72.089805999999996</v>
      </c>
      <c r="G686">
        <v>33986500</v>
      </c>
      <c r="I686">
        <f t="shared" si="11"/>
        <v>3.7535338687715283E-5</v>
      </c>
    </row>
    <row r="687" spans="1:9" x14ac:dyDescent="0.3">
      <c r="A687" s="5">
        <v>42634</v>
      </c>
      <c r="B687">
        <v>88.540001000000004</v>
      </c>
      <c r="C687">
        <v>88.790001000000004</v>
      </c>
      <c r="D687">
        <v>86.440002000000007</v>
      </c>
      <c r="E687">
        <v>87.800003000000004</v>
      </c>
      <c r="F687">
        <v>71.455032000000003</v>
      </c>
      <c r="G687">
        <v>55409800</v>
      </c>
      <c r="I687">
        <f t="shared" si="11"/>
        <v>4.0633897879502459E-4</v>
      </c>
    </row>
    <row r="688" spans="1:9" x14ac:dyDescent="0.3">
      <c r="A688" s="5">
        <v>42635</v>
      </c>
      <c r="B688">
        <v>87.769997000000004</v>
      </c>
      <c r="C688">
        <v>89.300003000000004</v>
      </c>
      <c r="D688">
        <v>87.769997000000004</v>
      </c>
      <c r="E688">
        <v>88.989998</v>
      </c>
      <c r="F688">
        <v>72.423477000000005</v>
      </c>
      <c r="G688">
        <v>52692700</v>
      </c>
      <c r="I688">
        <f t="shared" si="11"/>
        <v>6.0098148909734613E-5</v>
      </c>
    </row>
    <row r="689" spans="1:9" x14ac:dyDescent="0.3">
      <c r="A689" s="5">
        <v>42636</v>
      </c>
      <c r="B689">
        <v>88.629997000000003</v>
      </c>
      <c r="C689">
        <v>88.940002000000007</v>
      </c>
      <c r="D689">
        <v>87.489998</v>
      </c>
      <c r="E689">
        <v>87.760002</v>
      </c>
      <c r="F689">
        <v>71.422470000000004</v>
      </c>
      <c r="G689">
        <v>48281400</v>
      </c>
      <c r="I689">
        <f t="shared" si="11"/>
        <v>8.6525892072311978E-5</v>
      </c>
    </row>
    <row r="690" spans="1:9" x14ac:dyDescent="0.3">
      <c r="A690" s="5">
        <v>42639</v>
      </c>
      <c r="B690">
        <v>87.419998000000007</v>
      </c>
      <c r="C690">
        <v>88.43</v>
      </c>
      <c r="D690">
        <v>86.610000999999997</v>
      </c>
      <c r="E690">
        <v>87.849997999999999</v>
      </c>
      <c r="F690">
        <v>71.495705000000001</v>
      </c>
      <c r="G690">
        <v>60276600</v>
      </c>
      <c r="I690">
        <f t="shared" si="11"/>
        <v>2.0792028526609921E-4</v>
      </c>
    </row>
    <row r="691" spans="1:9" x14ac:dyDescent="0.3">
      <c r="A691" s="5">
        <v>42640</v>
      </c>
      <c r="B691">
        <v>88.059997999999993</v>
      </c>
      <c r="C691">
        <v>88.809997999999993</v>
      </c>
      <c r="D691">
        <v>87.660004000000001</v>
      </c>
      <c r="E691">
        <v>88.360000999999997</v>
      </c>
      <c r="F691">
        <v>71.910758999999999</v>
      </c>
      <c r="G691">
        <v>65150800</v>
      </c>
      <c r="I691">
        <f t="shared" si="11"/>
        <v>7.9291502947538079E-5</v>
      </c>
    </row>
    <row r="692" spans="1:9" x14ac:dyDescent="0.3">
      <c r="A692" s="5">
        <v>42641</v>
      </c>
      <c r="B692">
        <v>88.980002999999996</v>
      </c>
      <c r="C692">
        <v>89.730002999999996</v>
      </c>
      <c r="D692">
        <v>88.470000999999996</v>
      </c>
      <c r="E692">
        <v>89.459998999999996</v>
      </c>
      <c r="F692">
        <v>72.805999999999997</v>
      </c>
      <c r="G692">
        <v>89806000</v>
      </c>
      <c r="I692">
        <f t="shared" si="11"/>
        <v>8.9260454217618591E-5</v>
      </c>
    </row>
    <row r="693" spans="1:9" x14ac:dyDescent="0.3">
      <c r="A693" s="5">
        <v>42642</v>
      </c>
      <c r="B693">
        <v>89.160004000000001</v>
      </c>
      <c r="C693">
        <v>89.269997000000004</v>
      </c>
      <c r="D693">
        <v>87.540001000000004</v>
      </c>
      <c r="E693">
        <v>88.230002999999996</v>
      </c>
      <c r="F693">
        <v>71.804985000000002</v>
      </c>
      <c r="G693">
        <v>74587500</v>
      </c>
      <c r="I693">
        <f t="shared" si="11"/>
        <v>1.584133319325894E-4</v>
      </c>
    </row>
    <row r="694" spans="1:9" x14ac:dyDescent="0.3">
      <c r="A694" s="5">
        <v>42643</v>
      </c>
      <c r="B694">
        <v>88.300003000000004</v>
      </c>
      <c r="C694">
        <v>90.220000999999996</v>
      </c>
      <c r="D694">
        <v>88.290001000000004</v>
      </c>
      <c r="E694">
        <v>89.75</v>
      </c>
      <c r="F694">
        <v>73.042023</v>
      </c>
      <c r="G694">
        <v>123735700</v>
      </c>
      <c r="I694">
        <f t="shared" si="11"/>
        <v>1.1421236270665503E-4</v>
      </c>
    </row>
    <row r="695" spans="1:9" x14ac:dyDescent="0.3">
      <c r="A695" s="5">
        <v>42646</v>
      </c>
      <c r="B695">
        <v>89.349997999999999</v>
      </c>
      <c r="C695">
        <v>89.449996999999996</v>
      </c>
      <c r="D695">
        <v>88.410004000000001</v>
      </c>
      <c r="E695">
        <v>88.660004000000001</v>
      </c>
      <c r="F695">
        <v>72.154915000000003</v>
      </c>
      <c r="G695">
        <v>26789500</v>
      </c>
      <c r="I695">
        <f t="shared" si="11"/>
        <v>3.9786775438237169E-5</v>
      </c>
    </row>
    <row r="696" spans="1:9" x14ac:dyDescent="0.3">
      <c r="A696" s="5">
        <v>42647</v>
      </c>
      <c r="B696">
        <v>88.290001000000004</v>
      </c>
      <c r="C696">
        <v>88.68</v>
      </c>
      <c r="D696">
        <v>87.949996999999996</v>
      </c>
      <c r="E696">
        <v>88.349997999999999</v>
      </c>
      <c r="F696">
        <v>71.902641000000003</v>
      </c>
      <c r="G696">
        <v>23317600</v>
      </c>
      <c r="I696">
        <f t="shared" si="11"/>
        <v>3.3940689976422314E-5</v>
      </c>
    </row>
    <row r="697" spans="1:9" x14ac:dyDescent="0.3">
      <c r="A697" s="5">
        <v>42648</v>
      </c>
      <c r="B697">
        <v>88.480002999999996</v>
      </c>
      <c r="C697">
        <v>89</v>
      </c>
      <c r="D697">
        <v>88.209998999999996</v>
      </c>
      <c r="E697">
        <v>88.849997999999999</v>
      </c>
      <c r="F697">
        <v>72.309569999999994</v>
      </c>
      <c r="G697">
        <v>64580300</v>
      </c>
      <c r="I697">
        <f t="shared" si="11"/>
        <v>3.1978779058553696E-5</v>
      </c>
    </row>
    <row r="698" spans="1:9" x14ac:dyDescent="0.3">
      <c r="A698" s="5">
        <v>42649</v>
      </c>
      <c r="B698">
        <v>88.610000999999997</v>
      </c>
      <c r="C698">
        <v>89.730002999999996</v>
      </c>
      <c r="D698">
        <v>88.470000999999996</v>
      </c>
      <c r="E698">
        <v>89.220000999999996</v>
      </c>
      <c r="F698">
        <v>72.610671999999994</v>
      </c>
      <c r="G698">
        <v>61462800</v>
      </c>
      <c r="I698">
        <f t="shared" si="11"/>
        <v>8.4942172858424475E-5</v>
      </c>
    </row>
    <row r="699" spans="1:9" x14ac:dyDescent="0.3">
      <c r="A699" s="5">
        <v>42650</v>
      </c>
      <c r="B699">
        <v>89.010002</v>
      </c>
      <c r="C699">
        <v>90.050003000000004</v>
      </c>
      <c r="D699">
        <v>88.300003000000004</v>
      </c>
      <c r="E699">
        <v>90</v>
      </c>
      <c r="F699">
        <v>73.245468000000002</v>
      </c>
      <c r="G699">
        <v>20518800</v>
      </c>
      <c r="I699">
        <f t="shared" si="11"/>
        <v>1.5917242949291748E-4</v>
      </c>
    </row>
    <row r="700" spans="1:9" x14ac:dyDescent="0.3">
      <c r="A700" s="5">
        <v>42653</v>
      </c>
      <c r="B700">
        <v>90.190002000000007</v>
      </c>
      <c r="C700">
        <v>90.330001999999993</v>
      </c>
      <c r="D700">
        <v>88.779999000000004</v>
      </c>
      <c r="E700">
        <v>89.059997999999993</v>
      </c>
      <c r="F700">
        <v>72.480452999999997</v>
      </c>
      <c r="G700">
        <v>15492400</v>
      </c>
      <c r="I700">
        <f t="shared" si="11"/>
        <v>7.1579900779749511E-5</v>
      </c>
    </row>
    <row r="701" spans="1:9" x14ac:dyDescent="0.3">
      <c r="A701" s="5">
        <v>42654</v>
      </c>
      <c r="B701">
        <v>88.830001999999993</v>
      </c>
      <c r="C701">
        <v>89.120002999999997</v>
      </c>
      <c r="D701">
        <v>88.199996999999996</v>
      </c>
      <c r="E701">
        <v>88.540001000000004</v>
      </c>
      <c r="F701">
        <v>72.057250999999994</v>
      </c>
      <c r="G701">
        <v>11723100</v>
      </c>
      <c r="I701">
        <f t="shared" si="11"/>
        <v>4.8666291952159725E-5</v>
      </c>
    </row>
    <row r="702" spans="1:9" x14ac:dyDescent="0.3">
      <c r="A702" s="5">
        <v>42655</v>
      </c>
      <c r="B702">
        <v>88.739998</v>
      </c>
      <c r="C702">
        <v>89.010002</v>
      </c>
      <c r="D702">
        <v>88.330001999999993</v>
      </c>
      <c r="E702">
        <v>88.57</v>
      </c>
      <c r="F702">
        <v>72.081672999999995</v>
      </c>
      <c r="G702">
        <v>17118000</v>
      </c>
      <c r="I702">
        <f t="shared" si="11"/>
        <v>2.762043165653796E-5</v>
      </c>
    </row>
    <row r="703" spans="1:9" x14ac:dyDescent="0.3">
      <c r="A703" s="5">
        <v>42656</v>
      </c>
      <c r="B703">
        <v>88.050003000000004</v>
      </c>
      <c r="C703">
        <v>88.57</v>
      </c>
      <c r="D703">
        <v>87.599997999999999</v>
      </c>
      <c r="E703">
        <v>88.239998</v>
      </c>
      <c r="F703">
        <v>71.813141000000002</v>
      </c>
      <c r="G703">
        <v>11158100</v>
      </c>
      <c r="I703">
        <f t="shared" si="11"/>
        <v>5.9278997467774817E-5</v>
      </c>
    </row>
    <row r="704" spans="1:9" x14ac:dyDescent="0.3">
      <c r="A704" s="5">
        <v>42657</v>
      </c>
      <c r="B704">
        <v>88.5</v>
      </c>
      <c r="C704">
        <v>88.959998999999996</v>
      </c>
      <c r="D704">
        <v>88.220000999999996</v>
      </c>
      <c r="E704">
        <v>88.43</v>
      </c>
      <c r="F704">
        <v>71.967735000000005</v>
      </c>
      <c r="G704">
        <v>7369000</v>
      </c>
      <c r="I704">
        <f t="shared" si="11"/>
        <v>3.8512961149655409E-5</v>
      </c>
    </row>
    <row r="705" spans="1:9" x14ac:dyDescent="0.3">
      <c r="A705" s="5">
        <v>42660</v>
      </c>
      <c r="B705">
        <v>88.43</v>
      </c>
      <c r="C705">
        <v>88.650002000000001</v>
      </c>
      <c r="D705">
        <v>87.709998999999996</v>
      </c>
      <c r="E705">
        <v>87.830001999999993</v>
      </c>
      <c r="F705">
        <v>71.479454000000004</v>
      </c>
      <c r="G705">
        <v>7610600</v>
      </c>
      <c r="I705">
        <f t="shared" si="11"/>
        <v>3.4268519838023658E-5</v>
      </c>
    </row>
    <row r="706" spans="1:9" x14ac:dyDescent="0.3">
      <c r="A706" s="5">
        <v>42661</v>
      </c>
      <c r="B706">
        <v>88.209998999999996</v>
      </c>
      <c r="C706">
        <v>88.269997000000004</v>
      </c>
      <c r="D706">
        <v>87.440002000000007</v>
      </c>
      <c r="E706">
        <v>87.449996999999996</v>
      </c>
      <c r="F706">
        <v>71.170158000000001</v>
      </c>
      <c r="G706">
        <v>10749500</v>
      </c>
      <c r="I706">
        <f t="shared" si="11"/>
        <v>7.3480809732748668E-6</v>
      </c>
    </row>
    <row r="707" spans="1:9" x14ac:dyDescent="0.3">
      <c r="A707" s="5">
        <v>42662</v>
      </c>
      <c r="B707">
        <v>86.650002000000001</v>
      </c>
      <c r="C707">
        <v>86.82</v>
      </c>
      <c r="D707">
        <v>85.440002000000007</v>
      </c>
      <c r="E707">
        <v>85.540001000000004</v>
      </c>
      <c r="F707">
        <v>70.153244000000001</v>
      </c>
      <c r="G707">
        <v>12788800</v>
      </c>
      <c r="I707">
        <f t="shared" si="11"/>
        <v>4.5560532594612961E-5</v>
      </c>
    </row>
    <row r="708" spans="1:9" x14ac:dyDescent="0.3">
      <c r="A708" s="5">
        <v>42663</v>
      </c>
      <c r="B708">
        <v>85.379997000000003</v>
      </c>
      <c r="C708">
        <v>85.519997000000004</v>
      </c>
      <c r="D708">
        <v>84.790001000000004</v>
      </c>
      <c r="E708">
        <v>84.93</v>
      </c>
      <c r="F708">
        <v>69.652953999999994</v>
      </c>
      <c r="G708">
        <v>10175100</v>
      </c>
      <c r="I708">
        <f t="shared" si="11"/>
        <v>2.2782122931356805E-5</v>
      </c>
    </row>
    <row r="709" spans="1:9" x14ac:dyDescent="0.3">
      <c r="A709" s="5">
        <v>42664</v>
      </c>
      <c r="B709">
        <v>84.410004000000001</v>
      </c>
      <c r="C709">
        <v>84.860000999999997</v>
      </c>
      <c r="D709">
        <v>84.239998</v>
      </c>
      <c r="E709">
        <v>84.330001999999993</v>
      </c>
      <c r="F709">
        <v>69.160888999999997</v>
      </c>
      <c r="G709">
        <v>13974100</v>
      </c>
      <c r="I709">
        <f t="shared" si="11"/>
        <v>3.5464241555394249E-5</v>
      </c>
    </row>
    <row r="710" spans="1:9" x14ac:dyDescent="0.3">
      <c r="A710" s="5">
        <v>42667</v>
      </c>
      <c r="B710">
        <v>84.389999000000003</v>
      </c>
      <c r="C710">
        <v>84.699996999999996</v>
      </c>
      <c r="D710">
        <v>84.059997999999993</v>
      </c>
      <c r="E710">
        <v>84.099997999999999</v>
      </c>
      <c r="F710">
        <v>68.972244000000003</v>
      </c>
      <c r="G710">
        <v>10573200</v>
      </c>
      <c r="I710">
        <f t="shared" si="11"/>
        <v>2.7930403293317397E-5</v>
      </c>
    </row>
    <row r="711" spans="1:9" x14ac:dyDescent="0.3">
      <c r="A711" s="5">
        <v>42668</v>
      </c>
      <c r="B711">
        <v>87.489998</v>
      </c>
      <c r="C711">
        <v>88.080001999999993</v>
      </c>
      <c r="D711">
        <v>86.970000999999996</v>
      </c>
      <c r="E711">
        <v>86.970000999999996</v>
      </c>
      <c r="F711">
        <v>71.325996000000004</v>
      </c>
      <c r="G711">
        <v>20761200</v>
      </c>
      <c r="I711">
        <f t="shared" si="11"/>
        <v>8.5238017756227735E-5</v>
      </c>
    </row>
    <row r="712" spans="1:9" x14ac:dyDescent="0.3">
      <c r="A712" s="5">
        <v>42669</v>
      </c>
      <c r="B712">
        <v>86.910004000000001</v>
      </c>
      <c r="C712">
        <v>87.739998</v>
      </c>
      <c r="D712">
        <v>86.779999000000004</v>
      </c>
      <c r="E712">
        <v>87.400002000000001</v>
      </c>
      <c r="F712">
        <v>71.67868</v>
      </c>
      <c r="G712">
        <v>8464100</v>
      </c>
      <c r="I712">
        <f t="shared" si="11"/>
        <v>4.7559929485207107E-5</v>
      </c>
    </row>
    <row r="713" spans="1:9" x14ac:dyDescent="0.3">
      <c r="A713" s="5">
        <v>42670</v>
      </c>
      <c r="B713">
        <v>87.510002</v>
      </c>
      <c r="C713">
        <v>87.599997999999999</v>
      </c>
      <c r="D713">
        <v>86.449996999999996</v>
      </c>
      <c r="E713">
        <v>86.580001999999993</v>
      </c>
      <c r="F713">
        <v>71.006157000000002</v>
      </c>
      <c r="G713">
        <v>6598300</v>
      </c>
      <c r="I713">
        <f t="shared" si="11"/>
        <v>3.0351771796236602E-5</v>
      </c>
    </row>
    <row r="714" spans="1:9" x14ac:dyDescent="0.3">
      <c r="A714" s="5">
        <v>42671</v>
      </c>
      <c r="B714">
        <v>86.870002999999997</v>
      </c>
      <c r="C714">
        <v>87.230002999999996</v>
      </c>
      <c r="D714">
        <v>86.449996999999996</v>
      </c>
      <c r="E714">
        <v>86.839995999999999</v>
      </c>
      <c r="F714">
        <v>71.219359999999995</v>
      </c>
      <c r="G714">
        <v>7021100</v>
      </c>
      <c r="I714">
        <f t="shared" si="11"/>
        <v>4.0346785778186899E-5</v>
      </c>
    </row>
    <row r="715" spans="1:9" x14ac:dyDescent="0.3">
      <c r="A715" s="5">
        <v>42674</v>
      </c>
      <c r="B715">
        <v>87.010002</v>
      </c>
      <c r="C715">
        <v>87.470000999999996</v>
      </c>
      <c r="D715">
        <v>86.690002000000007</v>
      </c>
      <c r="E715">
        <v>86.800003000000004</v>
      </c>
      <c r="F715">
        <v>71.186599999999999</v>
      </c>
      <c r="G715">
        <v>8207100</v>
      </c>
      <c r="I715">
        <f t="shared" si="11"/>
        <v>4.5216195801512159E-5</v>
      </c>
    </row>
    <row r="716" spans="1:9" x14ac:dyDescent="0.3">
      <c r="A716" s="5">
        <v>42675</v>
      </c>
      <c r="B716">
        <v>86.580001999999993</v>
      </c>
      <c r="C716">
        <v>86.989998</v>
      </c>
      <c r="D716">
        <v>86.480002999999996</v>
      </c>
      <c r="E716">
        <v>86.849997999999999</v>
      </c>
      <c r="F716">
        <v>71.227599999999995</v>
      </c>
      <c r="G716">
        <v>8564500</v>
      </c>
      <c r="I716">
        <f t="shared" ref="I716:I779" si="12">LN(C716/B716)*(LN(C716/B716)-LN(E716/B716))+LN(D716/B716)*(LN(D716/B716)-LN(E716/B716))</f>
        <v>1.2543093291579092E-5</v>
      </c>
    </row>
    <row r="717" spans="1:9" x14ac:dyDescent="0.3">
      <c r="A717" s="5">
        <v>42676</v>
      </c>
      <c r="B717">
        <v>86.769997000000004</v>
      </c>
      <c r="C717">
        <v>87.410004000000001</v>
      </c>
      <c r="D717">
        <v>86.559997999999993</v>
      </c>
      <c r="E717">
        <v>86.739998</v>
      </c>
      <c r="F717">
        <v>71.137366999999998</v>
      </c>
      <c r="G717">
        <v>7773200</v>
      </c>
      <c r="I717">
        <f t="shared" si="12"/>
        <v>6.1580090123461472E-5</v>
      </c>
    </row>
    <row r="718" spans="1:9" x14ac:dyDescent="0.3">
      <c r="A718" s="5">
        <v>42677</v>
      </c>
      <c r="B718">
        <v>86.800003000000004</v>
      </c>
      <c r="C718">
        <v>86.980002999999996</v>
      </c>
      <c r="D718">
        <v>86.470000999999996</v>
      </c>
      <c r="E718">
        <v>86.599997999999999</v>
      </c>
      <c r="F718">
        <v>71.022552000000005</v>
      </c>
      <c r="G718">
        <v>6899900</v>
      </c>
      <c r="I718">
        <f t="shared" si="12"/>
        <v>1.4792561727000032E-5</v>
      </c>
    </row>
    <row r="719" spans="1:9" x14ac:dyDescent="0.3">
      <c r="A719" s="5">
        <v>42678</v>
      </c>
      <c r="B719">
        <v>86.690002000000007</v>
      </c>
      <c r="C719">
        <v>86.730002999999996</v>
      </c>
      <c r="D719">
        <v>85.07</v>
      </c>
      <c r="E719">
        <v>85.080001999999993</v>
      </c>
      <c r="F719">
        <v>69.775977999999995</v>
      </c>
      <c r="G719">
        <v>9378100</v>
      </c>
      <c r="I719">
        <f t="shared" si="12"/>
        <v>1.1078754086916088E-5</v>
      </c>
    </row>
    <row r="720" spans="1:9" x14ac:dyDescent="0.3">
      <c r="A720" s="5">
        <v>42681</v>
      </c>
      <c r="B720">
        <v>86.019997000000004</v>
      </c>
      <c r="C720">
        <v>86.57</v>
      </c>
      <c r="D720">
        <v>85.599997999999999</v>
      </c>
      <c r="E720">
        <v>86.559997999999993</v>
      </c>
      <c r="F720">
        <v>70.989738000000003</v>
      </c>
      <c r="G720">
        <v>8878500</v>
      </c>
      <c r="I720">
        <f t="shared" si="12"/>
        <v>5.5322853298323666E-5</v>
      </c>
    </row>
    <row r="721" spans="1:9" x14ac:dyDescent="0.3">
      <c r="A721" s="5">
        <v>42682</v>
      </c>
      <c r="B721">
        <v>86.769997000000004</v>
      </c>
      <c r="C721">
        <v>87.690002000000007</v>
      </c>
      <c r="D721">
        <v>86.589995999999999</v>
      </c>
      <c r="E721">
        <v>87.459998999999996</v>
      </c>
      <c r="F721">
        <v>71.727867000000003</v>
      </c>
      <c r="G721">
        <v>7674600</v>
      </c>
      <c r="I721">
        <f t="shared" si="12"/>
        <v>4.84605779867512E-5</v>
      </c>
    </row>
    <row r="722" spans="1:9" x14ac:dyDescent="0.3">
      <c r="A722" s="5">
        <v>42683</v>
      </c>
      <c r="B722">
        <v>85.260002</v>
      </c>
      <c r="C722">
        <v>86.540001000000004</v>
      </c>
      <c r="D722">
        <v>84.309997999999993</v>
      </c>
      <c r="E722">
        <v>85.93</v>
      </c>
      <c r="F722">
        <v>70.473083000000003</v>
      </c>
      <c r="G722">
        <v>11972500</v>
      </c>
      <c r="I722">
        <f t="shared" si="12"/>
        <v>3.1866724143469842E-4</v>
      </c>
    </row>
    <row r="723" spans="1:9" x14ac:dyDescent="0.3">
      <c r="A723" s="5">
        <v>42684</v>
      </c>
      <c r="B723">
        <v>85.510002</v>
      </c>
      <c r="C723">
        <v>85.699996999999996</v>
      </c>
      <c r="D723">
        <v>82.18</v>
      </c>
      <c r="E723">
        <v>82.959998999999996</v>
      </c>
      <c r="F723">
        <v>68.037323000000001</v>
      </c>
      <c r="G723">
        <v>22095000</v>
      </c>
      <c r="I723">
        <f t="shared" si="12"/>
        <v>4.4735058659507607E-4</v>
      </c>
    </row>
    <row r="724" spans="1:9" x14ac:dyDescent="0.3">
      <c r="A724" s="5">
        <v>42685</v>
      </c>
      <c r="B724">
        <v>82.669998000000007</v>
      </c>
      <c r="C724">
        <v>84.059997999999993</v>
      </c>
      <c r="D724">
        <v>82.650002000000001</v>
      </c>
      <c r="E724">
        <v>83.580001999999993</v>
      </c>
      <c r="F724">
        <v>68.545783999999998</v>
      </c>
      <c r="G724">
        <v>8905700</v>
      </c>
      <c r="I724">
        <f t="shared" si="12"/>
        <v>9.8191163154468853E-5</v>
      </c>
    </row>
    <row r="725" spans="1:9" x14ac:dyDescent="0.3">
      <c r="A725" s="5">
        <v>42688</v>
      </c>
      <c r="B725">
        <v>83.559997999999993</v>
      </c>
      <c r="C725">
        <v>83.779999000000004</v>
      </c>
      <c r="D725">
        <v>82.760002</v>
      </c>
      <c r="E725">
        <v>83</v>
      </c>
      <c r="F725">
        <v>68.070114000000004</v>
      </c>
      <c r="G725">
        <v>12862500</v>
      </c>
      <c r="I725">
        <f t="shared" si="12"/>
        <v>5.245155517132285E-5</v>
      </c>
    </row>
    <row r="726" spans="1:9" x14ac:dyDescent="0.3">
      <c r="A726" s="5">
        <v>42689</v>
      </c>
      <c r="B726">
        <v>84.580001999999993</v>
      </c>
      <c r="C726">
        <v>84.580001999999993</v>
      </c>
      <c r="D726">
        <v>82.879997000000003</v>
      </c>
      <c r="E726">
        <v>83.620002999999997</v>
      </c>
      <c r="F726">
        <v>68.578605999999994</v>
      </c>
      <c r="G726">
        <v>9464000</v>
      </c>
      <c r="I726">
        <f t="shared" si="12"/>
        <v>1.8048365954445312E-4</v>
      </c>
    </row>
    <row r="727" spans="1:9" x14ac:dyDescent="0.3">
      <c r="A727" s="5">
        <v>42690</v>
      </c>
      <c r="B727">
        <v>83.980002999999996</v>
      </c>
      <c r="C727">
        <v>84.199996999999996</v>
      </c>
      <c r="D727">
        <v>83.169998000000007</v>
      </c>
      <c r="E727">
        <v>83.190002000000007</v>
      </c>
      <c r="F727">
        <v>68.225937000000002</v>
      </c>
      <c r="G727">
        <v>8542900</v>
      </c>
      <c r="I727">
        <f t="shared" si="12"/>
        <v>3.3902086421075877E-5</v>
      </c>
    </row>
    <row r="728" spans="1:9" x14ac:dyDescent="0.3">
      <c r="A728" s="5">
        <v>42691</v>
      </c>
      <c r="B728">
        <v>83.269997000000004</v>
      </c>
      <c r="C728">
        <v>83.5</v>
      </c>
      <c r="D728">
        <v>82.93</v>
      </c>
      <c r="E728">
        <v>83.07</v>
      </c>
      <c r="F728">
        <v>68.127510000000001</v>
      </c>
      <c r="G728">
        <v>9083700</v>
      </c>
      <c r="I728">
        <f t="shared" si="12"/>
        <v>2.1142463861774978E-5</v>
      </c>
    </row>
    <row r="729" spans="1:9" x14ac:dyDescent="0.3">
      <c r="A729" s="5">
        <v>42692</v>
      </c>
      <c r="B729">
        <v>82.919998000000007</v>
      </c>
      <c r="C729">
        <v>83.099997999999999</v>
      </c>
      <c r="D729">
        <v>81.989998</v>
      </c>
      <c r="E729">
        <v>82</v>
      </c>
      <c r="F729">
        <v>67.249992000000006</v>
      </c>
      <c r="G729">
        <v>14565500</v>
      </c>
      <c r="I729">
        <f t="shared" si="12"/>
        <v>3.0270901448738588E-5</v>
      </c>
    </row>
    <row r="730" spans="1:9" x14ac:dyDescent="0.3">
      <c r="A730" s="5">
        <v>42695</v>
      </c>
      <c r="B730">
        <v>82</v>
      </c>
      <c r="C730">
        <v>82.75</v>
      </c>
      <c r="D730">
        <v>81.709998999999996</v>
      </c>
      <c r="E730">
        <v>82.639999000000003</v>
      </c>
      <c r="F730">
        <v>67.774878999999999</v>
      </c>
      <c r="G730">
        <v>11482100</v>
      </c>
      <c r="I730">
        <f t="shared" si="12"/>
        <v>5.2207319788972989E-5</v>
      </c>
    </row>
    <row r="731" spans="1:9" x14ac:dyDescent="0.3">
      <c r="A731" s="5">
        <v>42696</v>
      </c>
      <c r="B731">
        <v>83.010002</v>
      </c>
      <c r="C731">
        <v>83.18</v>
      </c>
      <c r="D731">
        <v>82.660004000000001</v>
      </c>
      <c r="E731">
        <v>82.760002</v>
      </c>
      <c r="F731">
        <v>67.873290999999995</v>
      </c>
      <c r="G731">
        <v>7426500</v>
      </c>
      <c r="I731">
        <f t="shared" si="12"/>
        <v>1.5464506088165217E-5</v>
      </c>
    </row>
    <row r="732" spans="1:9" x14ac:dyDescent="0.3">
      <c r="A732" s="5">
        <v>42697</v>
      </c>
      <c r="B732">
        <v>82.589995999999999</v>
      </c>
      <c r="C732">
        <v>82.93</v>
      </c>
      <c r="D732">
        <v>82.519997000000004</v>
      </c>
      <c r="E732">
        <v>82.68</v>
      </c>
      <c r="F732">
        <v>67.807693</v>
      </c>
      <c r="G732">
        <v>7693300</v>
      </c>
      <c r="I732">
        <f t="shared" si="12"/>
        <v>1.4046072694581404E-5</v>
      </c>
    </row>
    <row r="733" spans="1:9" x14ac:dyDescent="0.3">
      <c r="A733" s="5">
        <v>42699</v>
      </c>
      <c r="B733">
        <v>82.989998</v>
      </c>
      <c r="C733">
        <v>83.459998999999996</v>
      </c>
      <c r="D733">
        <v>82.949996999999996</v>
      </c>
      <c r="E733">
        <v>83.459998999999996</v>
      </c>
      <c r="F733">
        <v>68.447372000000001</v>
      </c>
      <c r="G733">
        <v>3882900</v>
      </c>
      <c r="I733">
        <f t="shared" si="12"/>
        <v>2.9551096791720387E-6</v>
      </c>
    </row>
    <row r="734" spans="1:9" x14ac:dyDescent="0.3">
      <c r="A734" s="5">
        <v>42702</v>
      </c>
      <c r="B734">
        <v>83.129997000000003</v>
      </c>
      <c r="C734">
        <v>83.360000999999997</v>
      </c>
      <c r="D734">
        <v>82.760002</v>
      </c>
      <c r="E734">
        <v>83.07</v>
      </c>
      <c r="F734">
        <v>68.127510000000001</v>
      </c>
      <c r="G734">
        <v>6990100</v>
      </c>
      <c r="I734">
        <f t="shared" si="12"/>
        <v>2.6306446642042872E-5</v>
      </c>
    </row>
    <row r="735" spans="1:9" x14ac:dyDescent="0.3">
      <c r="A735" s="5">
        <v>42703</v>
      </c>
      <c r="B735">
        <v>83.419998000000007</v>
      </c>
      <c r="C735">
        <v>83.480002999999996</v>
      </c>
      <c r="D735">
        <v>82.690002000000007</v>
      </c>
      <c r="E735">
        <v>82.889999000000003</v>
      </c>
      <c r="F735">
        <v>67.979911999999999</v>
      </c>
      <c r="G735">
        <v>6183100</v>
      </c>
      <c r="I735">
        <f t="shared" si="12"/>
        <v>2.6332637583934353E-5</v>
      </c>
    </row>
    <row r="736" spans="1:9" x14ac:dyDescent="0.3">
      <c r="A736" s="5">
        <v>42704</v>
      </c>
      <c r="B736">
        <v>82.519997000000004</v>
      </c>
      <c r="C736">
        <v>82.830001999999993</v>
      </c>
      <c r="D736">
        <v>82.260002</v>
      </c>
      <c r="E736">
        <v>82.459998999999996</v>
      </c>
      <c r="F736">
        <v>67.627266000000006</v>
      </c>
      <c r="G736">
        <v>12115500</v>
      </c>
      <c r="I736">
        <f t="shared" si="12"/>
        <v>2.4450425938678762E-5</v>
      </c>
    </row>
    <row r="737" spans="1:9" x14ac:dyDescent="0.3">
      <c r="A737" s="5">
        <v>42705</v>
      </c>
      <c r="B737">
        <v>82.209998999999996</v>
      </c>
      <c r="C737">
        <v>82.32</v>
      </c>
      <c r="D737">
        <v>81.180000000000007</v>
      </c>
      <c r="E737">
        <v>81.860000999999997</v>
      </c>
      <c r="F737">
        <v>67.135177999999996</v>
      </c>
      <c r="G737">
        <v>12516900</v>
      </c>
      <c r="I737">
        <f t="shared" si="12"/>
        <v>1.1266364171152597E-4</v>
      </c>
    </row>
    <row r="738" spans="1:9" x14ac:dyDescent="0.3">
      <c r="A738" s="5">
        <v>42706</v>
      </c>
      <c r="B738">
        <v>82.349997999999999</v>
      </c>
      <c r="C738">
        <v>82.68</v>
      </c>
      <c r="D738">
        <v>82.07</v>
      </c>
      <c r="E738">
        <v>82.400002000000001</v>
      </c>
      <c r="F738">
        <v>67.578056000000004</v>
      </c>
      <c r="G738">
        <v>9079400</v>
      </c>
      <c r="I738">
        <f t="shared" si="12"/>
        <v>2.723429365672406E-5</v>
      </c>
    </row>
    <row r="739" spans="1:9" x14ac:dyDescent="0.3">
      <c r="A739" s="5">
        <v>42709</v>
      </c>
      <c r="B739">
        <v>82.559997999999993</v>
      </c>
      <c r="C739">
        <v>83.080001999999993</v>
      </c>
      <c r="D739">
        <v>82.480002999999996</v>
      </c>
      <c r="E739">
        <v>82.989998</v>
      </c>
      <c r="F739">
        <v>68.061920000000001</v>
      </c>
      <c r="G739">
        <v>8597500</v>
      </c>
      <c r="I739">
        <f t="shared" si="12"/>
        <v>1.2781313854191014E-5</v>
      </c>
    </row>
    <row r="740" spans="1:9" x14ac:dyDescent="0.3">
      <c r="A740" s="5">
        <v>42710</v>
      </c>
      <c r="B740">
        <v>83.239998</v>
      </c>
      <c r="C740">
        <v>83.25</v>
      </c>
      <c r="D740">
        <v>82.610000999999997</v>
      </c>
      <c r="E740">
        <v>82.910004000000001</v>
      </c>
      <c r="F740">
        <v>67.996323000000004</v>
      </c>
      <c r="G740">
        <v>7327200</v>
      </c>
      <c r="I740">
        <f t="shared" si="12"/>
        <v>2.8031500199859441E-5</v>
      </c>
    </row>
    <row r="741" spans="1:9" x14ac:dyDescent="0.3">
      <c r="A741" s="5">
        <v>42711</v>
      </c>
      <c r="B741">
        <v>82.739998</v>
      </c>
      <c r="C741">
        <v>84.279999000000004</v>
      </c>
      <c r="D741">
        <v>82.709998999999996</v>
      </c>
      <c r="E741">
        <v>84.18</v>
      </c>
      <c r="F741">
        <v>69.037857000000002</v>
      </c>
      <c r="G741">
        <v>8567700</v>
      </c>
      <c r="I741">
        <f t="shared" si="12"/>
        <v>2.8282426005686495E-5</v>
      </c>
    </row>
    <row r="742" spans="1:9" x14ac:dyDescent="0.3">
      <c r="A742" s="5">
        <v>42712</v>
      </c>
      <c r="B742">
        <v>83.790001000000004</v>
      </c>
      <c r="C742">
        <v>84.18</v>
      </c>
      <c r="D742">
        <v>83.5</v>
      </c>
      <c r="E742">
        <v>83.5</v>
      </c>
      <c r="F742">
        <v>68.480193999999997</v>
      </c>
      <c r="G742">
        <v>7522800</v>
      </c>
      <c r="I742">
        <f t="shared" si="12"/>
        <v>3.7663664154295066E-5</v>
      </c>
    </row>
    <row r="743" spans="1:9" x14ac:dyDescent="0.3">
      <c r="A743" s="5">
        <v>42713</v>
      </c>
      <c r="B743">
        <v>83.519997000000004</v>
      </c>
      <c r="C743">
        <v>84.400002000000001</v>
      </c>
      <c r="D743">
        <v>83.470000999999996</v>
      </c>
      <c r="E743">
        <v>84.370002999999997</v>
      </c>
      <c r="F743">
        <v>69.193686999999997</v>
      </c>
      <c r="G743">
        <v>8004500</v>
      </c>
      <c r="I743">
        <f t="shared" si="12"/>
        <v>1.0147934445078625E-5</v>
      </c>
    </row>
    <row r="744" spans="1:9" x14ac:dyDescent="0.3">
      <c r="A744" s="5">
        <v>42716</v>
      </c>
      <c r="B744">
        <v>84.209998999999996</v>
      </c>
      <c r="C744">
        <v>85.18</v>
      </c>
      <c r="D744">
        <v>84.209998999999996</v>
      </c>
      <c r="E744">
        <v>85.129997000000003</v>
      </c>
      <c r="F744">
        <v>69.816970999999995</v>
      </c>
      <c r="G744">
        <v>7494100</v>
      </c>
      <c r="I744">
        <f t="shared" si="12"/>
        <v>6.7251981909119309E-6</v>
      </c>
    </row>
    <row r="745" spans="1:9" x14ac:dyDescent="0.3">
      <c r="A745" s="5">
        <v>42717</v>
      </c>
      <c r="B745">
        <v>84.669998000000007</v>
      </c>
      <c r="C745">
        <v>85.360000999999997</v>
      </c>
      <c r="D745">
        <v>84.529999000000004</v>
      </c>
      <c r="E745">
        <v>85.18</v>
      </c>
      <c r="F745">
        <v>69.857979</v>
      </c>
      <c r="G745">
        <v>11795900</v>
      </c>
      <c r="I745">
        <f t="shared" si="12"/>
        <v>2.9809452180812439E-5</v>
      </c>
    </row>
    <row r="746" spans="1:9" x14ac:dyDescent="0.3">
      <c r="A746" s="5">
        <v>42718</v>
      </c>
      <c r="B746">
        <v>85.290001000000004</v>
      </c>
      <c r="C746">
        <v>85.739998</v>
      </c>
      <c r="D746">
        <v>84.169998000000007</v>
      </c>
      <c r="E746">
        <v>84.370002999999997</v>
      </c>
      <c r="F746">
        <v>69.193686999999997</v>
      </c>
      <c r="G746">
        <v>12292200</v>
      </c>
      <c r="I746">
        <f t="shared" si="12"/>
        <v>1.161341734855044E-4</v>
      </c>
    </row>
    <row r="747" spans="1:9" x14ac:dyDescent="0.3">
      <c r="A747" s="5">
        <v>42719</v>
      </c>
      <c r="B747">
        <v>84.150002000000001</v>
      </c>
      <c r="C747">
        <v>84.800003000000004</v>
      </c>
      <c r="D747">
        <v>83.610000999999997</v>
      </c>
      <c r="E747">
        <v>84.68</v>
      </c>
      <c r="F747">
        <v>69.447922000000005</v>
      </c>
      <c r="G747">
        <v>8768100</v>
      </c>
      <c r="I747">
        <f t="shared" si="12"/>
        <v>9.2761668243049954E-5</v>
      </c>
    </row>
    <row r="748" spans="1:9" x14ac:dyDescent="0.3">
      <c r="A748" s="5">
        <v>42720</v>
      </c>
      <c r="B748">
        <v>84.900002000000001</v>
      </c>
      <c r="C748">
        <v>85.120002999999997</v>
      </c>
      <c r="D748">
        <v>84.150002000000001</v>
      </c>
      <c r="E748">
        <v>84.68</v>
      </c>
      <c r="F748">
        <v>69.447922000000005</v>
      </c>
      <c r="G748">
        <v>21172400</v>
      </c>
      <c r="I748">
        <f t="shared" si="12"/>
        <v>6.9122545977914917E-5</v>
      </c>
    </row>
    <row r="749" spans="1:9" x14ac:dyDescent="0.3">
      <c r="A749" s="5">
        <v>42723</v>
      </c>
      <c r="B749">
        <v>84.75</v>
      </c>
      <c r="C749">
        <v>84.980002999999996</v>
      </c>
      <c r="D749">
        <v>84.32</v>
      </c>
      <c r="E749">
        <v>84.709998999999996</v>
      </c>
      <c r="F749">
        <v>69.472542000000004</v>
      </c>
      <c r="G749">
        <v>6431200</v>
      </c>
      <c r="I749">
        <f t="shared" si="12"/>
        <v>3.209752218523591E-5</v>
      </c>
    </row>
    <row r="750" spans="1:9" x14ac:dyDescent="0.3">
      <c r="A750" s="5">
        <v>42724</v>
      </c>
      <c r="B750">
        <v>84.57</v>
      </c>
      <c r="C750">
        <v>84.709998999999996</v>
      </c>
      <c r="D750">
        <v>84.190002000000007</v>
      </c>
      <c r="E750">
        <v>84.57</v>
      </c>
      <c r="F750">
        <v>69.357719000000003</v>
      </c>
      <c r="G750">
        <v>7485400</v>
      </c>
      <c r="I750">
        <f t="shared" si="12"/>
        <v>2.3016688711915078E-5</v>
      </c>
    </row>
    <row r="751" spans="1:9" x14ac:dyDescent="0.3">
      <c r="A751" s="5">
        <v>42725</v>
      </c>
      <c r="B751">
        <v>84.190002000000007</v>
      </c>
      <c r="C751">
        <v>84.730002999999996</v>
      </c>
      <c r="D751">
        <v>84.120002999999997</v>
      </c>
      <c r="E751">
        <v>84.279999000000004</v>
      </c>
      <c r="F751">
        <v>69.119881000000007</v>
      </c>
      <c r="G751">
        <v>6099300</v>
      </c>
      <c r="I751">
        <f t="shared" si="12"/>
        <v>3.5627638682010026E-5</v>
      </c>
    </row>
    <row r="752" spans="1:9" x14ac:dyDescent="0.3">
      <c r="A752" s="5">
        <v>42726</v>
      </c>
      <c r="B752">
        <v>84</v>
      </c>
      <c r="C752">
        <v>84.610000999999997</v>
      </c>
      <c r="D752">
        <v>83.870002999999997</v>
      </c>
      <c r="E752">
        <v>84.470000999999996</v>
      </c>
      <c r="F752">
        <v>69.275695999999996</v>
      </c>
      <c r="G752">
        <v>7864800</v>
      </c>
      <c r="I752">
        <f t="shared" si="12"/>
        <v>2.3022827717133621E-5</v>
      </c>
    </row>
    <row r="753" spans="1:9" x14ac:dyDescent="0.3">
      <c r="A753" s="5">
        <v>42727</v>
      </c>
      <c r="B753">
        <v>84.68</v>
      </c>
      <c r="C753">
        <v>85.18</v>
      </c>
      <c r="D753">
        <v>84.550003000000004</v>
      </c>
      <c r="E753">
        <v>84.959998999999996</v>
      </c>
      <c r="F753">
        <v>69.677536000000003</v>
      </c>
      <c r="G753">
        <v>5284200</v>
      </c>
      <c r="I753">
        <f t="shared" si="12"/>
        <v>2.2656968244711026E-5</v>
      </c>
    </row>
    <row r="754" spans="1:9" x14ac:dyDescent="0.3">
      <c r="A754" s="5">
        <v>42731</v>
      </c>
      <c r="B754">
        <v>84.900002000000001</v>
      </c>
      <c r="C754">
        <v>84.940002000000007</v>
      </c>
      <c r="D754">
        <v>84.419998000000007</v>
      </c>
      <c r="E754">
        <v>84.599997999999999</v>
      </c>
      <c r="F754">
        <v>69.382323999999997</v>
      </c>
      <c r="G754">
        <v>3782600</v>
      </c>
      <c r="I754">
        <f t="shared" si="12"/>
        <v>1.396551967468239E-5</v>
      </c>
    </row>
    <row r="755" spans="1:9" x14ac:dyDescent="0.3">
      <c r="A755" s="5">
        <v>42732</v>
      </c>
      <c r="B755">
        <v>84.400002000000001</v>
      </c>
      <c r="C755">
        <v>84.629997000000003</v>
      </c>
      <c r="D755">
        <v>83.949996999999996</v>
      </c>
      <c r="E755">
        <v>84.07</v>
      </c>
      <c r="F755">
        <v>68.947661999999994</v>
      </c>
      <c r="G755">
        <v>4298800</v>
      </c>
      <c r="I755">
        <f t="shared" si="12"/>
        <v>2.5703580162458671E-5</v>
      </c>
    </row>
    <row r="756" spans="1:9" x14ac:dyDescent="0.3">
      <c r="A756" s="5">
        <v>42733</v>
      </c>
      <c r="B756">
        <v>84.239998</v>
      </c>
      <c r="C756">
        <v>84.489998</v>
      </c>
      <c r="D756">
        <v>84.099997999999999</v>
      </c>
      <c r="E756">
        <v>84.349997999999999</v>
      </c>
      <c r="F756">
        <v>69.177299000000005</v>
      </c>
      <c r="G756">
        <v>3718300</v>
      </c>
      <c r="I756">
        <f t="shared" si="12"/>
        <v>9.8513701671160021E-6</v>
      </c>
    </row>
    <row r="757" spans="1:9" x14ac:dyDescent="0.3">
      <c r="A757" s="5">
        <v>42734</v>
      </c>
      <c r="B757">
        <v>84.169998000000007</v>
      </c>
      <c r="C757">
        <v>84.449996999999996</v>
      </c>
      <c r="D757">
        <v>83.919998000000007</v>
      </c>
      <c r="E757">
        <v>84.080001999999993</v>
      </c>
      <c r="F757">
        <v>68.955855999999997</v>
      </c>
      <c r="G757">
        <v>6209800</v>
      </c>
      <c r="I757">
        <f t="shared" si="12"/>
        <v>2.0248383704737017E-5</v>
      </c>
    </row>
    <row r="758" spans="1:9" x14ac:dyDescent="0.3">
      <c r="A758" s="5">
        <v>42738</v>
      </c>
      <c r="B758">
        <v>83.879997000000003</v>
      </c>
      <c r="C758">
        <v>84.389999000000003</v>
      </c>
      <c r="D758">
        <v>83.5</v>
      </c>
      <c r="E758">
        <v>84.199996999999996</v>
      </c>
      <c r="F758">
        <v>69.054267999999993</v>
      </c>
      <c r="G758">
        <v>8792700</v>
      </c>
      <c r="I758">
        <f t="shared" si="12"/>
        <v>5.1568787211959767E-5</v>
      </c>
    </row>
    <row r="759" spans="1:9" x14ac:dyDescent="0.3">
      <c r="A759" s="5">
        <v>42739</v>
      </c>
      <c r="B759">
        <v>84.449996999999996</v>
      </c>
      <c r="C759">
        <v>84.599997999999999</v>
      </c>
      <c r="D759">
        <v>84.239998</v>
      </c>
      <c r="E759">
        <v>84.5</v>
      </c>
      <c r="F759">
        <v>69.300308000000001</v>
      </c>
      <c r="G759">
        <v>8096700</v>
      </c>
      <c r="I759">
        <f t="shared" si="12"/>
        <v>9.7715568016050027E-6</v>
      </c>
    </row>
    <row r="760" spans="1:9" x14ac:dyDescent="0.3">
      <c r="A760" s="5">
        <v>42740</v>
      </c>
      <c r="B760">
        <v>84.410004000000001</v>
      </c>
      <c r="C760">
        <v>85.43</v>
      </c>
      <c r="D760">
        <v>84.379997000000003</v>
      </c>
      <c r="E760">
        <v>85.059997999999993</v>
      </c>
      <c r="F760">
        <v>69.759590000000003</v>
      </c>
      <c r="G760">
        <v>6852400</v>
      </c>
      <c r="I760">
        <f t="shared" si="12"/>
        <v>5.4988873585724873E-5</v>
      </c>
    </row>
    <row r="761" spans="1:9" x14ac:dyDescent="0.3">
      <c r="A761" s="5">
        <v>42741</v>
      </c>
      <c r="B761">
        <v>84.940002000000007</v>
      </c>
      <c r="C761">
        <v>85.25</v>
      </c>
      <c r="D761">
        <v>84.620002999999997</v>
      </c>
      <c r="E761">
        <v>85.029999000000004</v>
      </c>
      <c r="F761">
        <v>69.734970000000004</v>
      </c>
      <c r="G761">
        <v>4799900</v>
      </c>
      <c r="I761">
        <f t="shared" si="12"/>
        <v>2.765707540822505E-5</v>
      </c>
    </row>
    <row r="762" spans="1:9" x14ac:dyDescent="0.3">
      <c r="A762" s="5">
        <v>42744</v>
      </c>
      <c r="B762">
        <v>84.059997999999993</v>
      </c>
      <c r="C762">
        <v>84.660004000000001</v>
      </c>
      <c r="D762">
        <v>83.75</v>
      </c>
      <c r="E762">
        <v>84.400002000000001</v>
      </c>
      <c r="F762">
        <v>69.218292000000005</v>
      </c>
      <c r="G762">
        <v>11000600</v>
      </c>
      <c r="I762">
        <f t="shared" si="12"/>
        <v>5.044112552885062E-5</v>
      </c>
    </row>
    <row r="763" spans="1:9" x14ac:dyDescent="0.3">
      <c r="A763" s="5">
        <v>42745</v>
      </c>
      <c r="B763">
        <v>84.339995999999999</v>
      </c>
      <c r="C763">
        <v>84.43</v>
      </c>
      <c r="D763">
        <v>83.239998</v>
      </c>
      <c r="E763">
        <v>83.489998</v>
      </c>
      <c r="F763">
        <v>68.471976999999995</v>
      </c>
      <c r="G763">
        <v>10918200</v>
      </c>
      <c r="I763">
        <f t="shared" si="12"/>
        <v>5.1311202032418448E-5</v>
      </c>
    </row>
    <row r="764" spans="1:9" x14ac:dyDescent="0.3">
      <c r="A764" s="5">
        <v>42746</v>
      </c>
      <c r="B764">
        <v>83.389999000000003</v>
      </c>
      <c r="C764">
        <v>83.75</v>
      </c>
      <c r="D764">
        <v>83.279999000000004</v>
      </c>
      <c r="E764">
        <v>83.75</v>
      </c>
      <c r="F764">
        <v>68.685203999999999</v>
      </c>
      <c r="G764">
        <v>9572300</v>
      </c>
      <c r="I764">
        <f t="shared" si="12"/>
        <v>7.4284936939778199E-6</v>
      </c>
    </row>
    <row r="765" spans="1:9" x14ac:dyDescent="0.3">
      <c r="A765" s="5">
        <v>42747</v>
      </c>
      <c r="B765">
        <v>83.709998999999996</v>
      </c>
      <c r="C765">
        <v>83.879997000000003</v>
      </c>
      <c r="D765">
        <v>83.370002999999997</v>
      </c>
      <c r="E765">
        <v>83.839995999999999</v>
      </c>
      <c r="F765">
        <v>68.759033000000002</v>
      </c>
      <c r="G765">
        <v>6545400</v>
      </c>
      <c r="I765">
        <f t="shared" si="12"/>
        <v>2.3846869937242412E-5</v>
      </c>
    </row>
    <row r="766" spans="1:9" x14ac:dyDescent="0.3">
      <c r="A766" s="5">
        <v>42748</v>
      </c>
      <c r="B766">
        <v>83.849997999999999</v>
      </c>
      <c r="C766">
        <v>84.019997000000004</v>
      </c>
      <c r="D766">
        <v>83.440002000000007</v>
      </c>
      <c r="E766">
        <v>84.010002</v>
      </c>
      <c r="F766">
        <v>68.898437999999999</v>
      </c>
      <c r="G766">
        <v>6762800</v>
      </c>
      <c r="I766">
        <f t="shared" si="12"/>
        <v>3.3611386547985217E-5</v>
      </c>
    </row>
    <row r="767" spans="1:9" x14ac:dyDescent="0.3">
      <c r="A767" s="5">
        <v>42752</v>
      </c>
      <c r="B767">
        <v>83.900002000000001</v>
      </c>
      <c r="C767">
        <v>85.580001999999993</v>
      </c>
      <c r="D767">
        <v>83.879997000000003</v>
      </c>
      <c r="E767">
        <v>85.209998999999996</v>
      </c>
      <c r="F767">
        <v>69.882576</v>
      </c>
      <c r="G767">
        <v>13145100</v>
      </c>
      <c r="I767">
        <f t="shared" si="12"/>
        <v>8.9654508606121445E-5</v>
      </c>
    </row>
    <row r="768" spans="1:9" x14ac:dyDescent="0.3">
      <c r="A768" s="5">
        <v>42753</v>
      </c>
      <c r="B768">
        <v>84.800003000000004</v>
      </c>
      <c r="C768">
        <v>85.300003000000004</v>
      </c>
      <c r="D768">
        <v>84.589995999999999</v>
      </c>
      <c r="E768">
        <v>84.93</v>
      </c>
      <c r="F768">
        <v>70.204971</v>
      </c>
      <c r="G768">
        <v>10520400</v>
      </c>
      <c r="I768">
        <f t="shared" si="12"/>
        <v>3.550271818998883E-5</v>
      </c>
    </row>
    <row r="769" spans="1:9" x14ac:dyDescent="0.3">
      <c r="A769" s="5">
        <v>42754</v>
      </c>
      <c r="B769">
        <v>84.629997000000003</v>
      </c>
      <c r="C769">
        <v>85</v>
      </c>
      <c r="D769">
        <v>84.279999000000004</v>
      </c>
      <c r="E769">
        <v>84.699996999999996</v>
      </c>
      <c r="F769">
        <v>70.014838999999995</v>
      </c>
      <c r="G769">
        <v>14074500</v>
      </c>
      <c r="I769">
        <f t="shared" si="12"/>
        <v>3.6025150935195706E-5</v>
      </c>
    </row>
    <row r="770" spans="1:9" x14ac:dyDescent="0.3">
      <c r="A770" s="5">
        <v>42755</v>
      </c>
      <c r="B770">
        <v>86.889999000000003</v>
      </c>
      <c r="C770">
        <v>87.980002999999996</v>
      </c>
      <c r="D770">
        <v>86.419998000000007</v>
      </c>
      <c r="E770">
        <v>87.449996999999996</v>
      </c>
      <c r="F770">
        <v>72.288055</v>
      </c>
      <c r="G770">
        <v>22944400</v>
      </c>
      <c r="I770">
        <f t="shared" si="12"/>
        <v>1.3958992032629187E-4</v>
      </c>
    </row>
    <row r="771" spans="1:9" x14ac:dyDescent="0.3">
      <c r="A771" s="5">
        <v>42758</v>
      </c>
      <c r="B771">
        <v>87.089995999999999</v>
      </c>
      <c r="C771">
        <v>87.349997999999999</v>
      </c>
      <c r="D771">
        <v>86.849997999999999</v>
      </c>
      <c r="E771">
        <v>86.959998999999996</v>
      </c>
      <c r="F771">
        <v>71.883010999999996</v>
      </c>
      <c r="G771">
        <v>9408900</v>
      </c>
      <c r="I771">
        <f t="shared" si="12"/>
        <v>1.683222849952214E-5</v>
      </c>
    </row>
    <row r="772" spans="1:9" x14ac:dyDescent="0.3">
      <c r="A772" s="5">
        <v>42759</v>
      </c>
      <c r="B772">
        <v>87.220000999999996</v>
      </c>
      <c r="C772">
        <v>87.949996999999996</v>
      </c>
      <c r="D772">
        <v>87.220000999999996</v>
      </c>
      <c r="E772">
        <v>87.860000999999997</v>
      </c>
      <c r="F772">
        <v>72.626975999999999</v>
      </c>
      <c r="G772">
        <v>8704700</v>
      </c>
      <c r="I772">
        <f t="shared" si="12"/>
        <v>8.5330234048445258E-6</v>
      </c>
    </row>
    <row r="773" spans="1:9" x14ac:dyDescent="0.3">
      <c r="A773" s="5">
        <v>42760</v>
      </c>
      <c r="B773">
        <v>87.839995999999999</v>
      </c>
      <c r="C773">
        <v>87.900002000000001</v>
      </c>
      <c r="D773">
        <v>87.059997999999993</v>
      </c>
      <c r="E773">
        <v>87.160004000000001</v>
      </c>
      <c r="F773">
        <v>72.048339999999996</v>
      </c>
      <c r="G773">
        <v>8082900</v>
      </c>
      <c r="I773">
        <f t="shared" si="12"/>
        <v>1.6013256584930051E-5</v>
      </c>
    </row>
    <row r="774" spans="1:9" x14ac:dyDescent="0.3">
      <c r="A774" s="5">
        <v>42761</v>
      </c>
      <c r="B774">
        <v>87.120002999999997</v>
      </c>
      <c r="C774">
        <v>87.230002999999996</v>
      </c>
      <c r="D774">
        <v>86.589995999999999</v>
      </c>
      <c r="E774">
        <v>86.599997999999999</v>
      </c>
      <c r="F774">
        <v>71.585419000000002</v>
      </c>
      <c r="G774">
        <v>6542300</v>
      </c>
      <c r="I774">
        <f t="shared" si="12"/>
        <v>9.8512631169771733E-6</v>
      </c>
    </row>
    <row r="775" spans="1:9" x14ac:dyDescent="0.3">
      <c r="A775" s="5">
        <v>42762</v>
      </c>
      <c r="B775">
        <v>86.449996999999996</v>
      </c>
      <c r="C775">
        <v>86.849997999999999</v>
      </c>
      <c r="D775">
        <v>86.019997000000004</v>
      </c>
      <c r="E775">
        <v>86.720000999999996</v>
      </c>
      <c r="F775">
        <v>71.684630999999996</v>
      </c>
      <c r="G775">
        <v>9332300</v>
      </c>
      <c r="I775">
        <f t="shared" si="12"/>
        <v>4.7328275495877127E-5</v>
      </c>
    </row>
    <row r="776" spans="1:9" x14ac:dyDescent="0.3">
      <c r="A776" s="5">
        <v>42765</v>
      </c>
      <c r="B776">
        <v>86.779999000000004</v>
      </c>
      <c r="C776">
        <v>86.860000999999997</v>
      </c>
      <c r="D776">
        <v>86.5</v>
      </c>
      <c r="E776">
        <v>86.75</v>
      </c>
      <c r="F776">
        <v>71.709427000000005</v>
      </c>
      <c r="G776">
        <v>7350000</v>
      </c>
      <c r="I776">
        <f t="shared" si="12"/>
        <v>1.0494565201868558E-5</v>
      </c>
    </row>
    <row r="777" spans="1:9" x14ac:dyDescent="0.3">
      <c r="A777" s="5">
        <v>42766</v>
      </c>
      <c r="B777">
        <v>86.629997000000003</v>
      </c>
      <c r="C777">
        <v>87.660004000000001</v>
      </c>
      <c r="D777">
        <v>86.529999000000004</v>
      </c>
      <c r="E777">
        <v>87.599997999999999</v>
      </c>
      <c r="F777">
        <v>72.412047999999999</v>
      </c>
      <c r="G777">
        <v>9712400</v>
      </c>
      <c r="I777">
        <f t="shared" si="12"/>
        <v>2.2288119101671292E-5</v>
      </c>
    </row>
    <row r="778" spans="1:9" x14ac:dyDescent="0.3">
      <c r="A778" s="5">
        <v>42767</v>
      </c>
      <c r="B778">
        <v>87.029999000000004</v>
      </c>
      <c r="C778">
        <v>87.589995999999999</v>
      </c>
      <c r="D778">
        <v>86.75</v>
      </c>
      <c r="E778">
        <v>87.330001999999993</v>
      </c>
      <c r="F778">
        <v>72.188857999999996</v>
      </c>
      <c r="G778">
        <v>8291000</v>
      </c>
      <c r="I778">
        <f t="shared" si="12"/>
        <v>4.0540105317025393E-5</v>
      </c>
    </row>
    <row r="779" spans="1:9" x14ac:dyDescent="0.3">
      <c r="A779" s="5">
        <v>42768</v>
      </c>
      <c r="B779">
        <v>87.610000999999997</v>
      </c>
      <c r="C779">
        <v>88.349997999999999</v>
      </c>
      <c r="D779">
        <v>87.25</v>
      </c>
      <c r="E779">
        <v>87.760002</v>
      </c>
      <c r="F779">
        <v>72.544303999999997</v>
      </c>
      <c r="G779">
        <v>8997200</v>
      </c>
      <c r="I779">
        <f t="shared" si="12"/>
        <v>8.0355157206659595E-5</v>
      </c>
    </row>
    <row r="780" spans="1:9" x14ac:dyDescent="0.3">
      <c r="A780" s="5">
        <v>42769</v>
      </c>
      <c r="B780">
        <v>88.120002999999997</v>
      </c>
      <c r="C780">
        <v>88.169998000000007</v>
      </c>
      <c r="D780">
        <v>87.389999000000003</v>
      </c>
      <c r="E780">
        <v>87.410004000000001</v>
      </c>
      <c r="F780">
        <v>72.254981999999998</v>
      </c>
      <c r="G780">
        <v>7161900</v>
      </c>
      <c r="I780">
        <f t="shared" ref="I780:I843" si="13">LN(C780/B780)*(LN(C780/B780)-LN(E780/B780))+LN(D780/B780)*(LN(D780/B780)-LN(E780/B780))</f>
        <v>6.8142425168062741E-6</v>
      </c>
    </row>
    <row r="781" spans="1:9" x14ac:dyDescent="0.3">
      <c r="A781" s="5">
        <v>42772</v>
      </c>
      <c r="B781">
        <v>87.5</v>
      </c>
      <c r="C781">
        <v>87.790001000000004</v>
      </c>
      <c r="D781">
        <v>87.129997000000003</v>
      </c>
      <c r="E781">
        <v>87.400002000000001</v>
      </c>
      <c r="F781">
        <v>72.246741999999998</v>
      </c>
      <c r="G781">
        <v>7483000</v>
      </c>
      <c r="I781">
        <f t="shared" si="13"/>
        <v>2.7843262809849045E-5</v>
      </c>
    </row>
    <row r="782" spans="1:9" x14ac:dyDescent="0.3">
      <c r="A782" s="5">
        <v>42773</v>
      </c>
      <c r="B782">
        <v>87.639999000000003</v>
      </c>
      <c r="C782">
        <v>88.279999000000004</v>
      </c>
      <c r="D782">
        <v>87.480002999999996</v>
      </c>
      <c r="E782">
        <v>88.010002</v>
      </c>
      <c r="F782">
        <v>72.750968999999998</v>
      </c>
      <c r="G782">
        <v>6646100</v>
      </c>
      <c r="I782">
        <f t="shared" si="13"/>
        <v>3.332450480826427E-5</v>
      </c>
    </row>
    <row r="783" spans="1:9" x14ac:dyDescent="0.3">
      <c r="A783" s="5">
        <v>42774</v>
      </c>
      <c r="B783">
        <v>88.07</v>
      </c>
      <c r="C783">
        <v>88.339995999999999</v>
      </c>
      <c r="D783">
        <v>87.809997999999993</v>
      </c>
      <c r="E783">
        <v>88.330001999999993</v>
      </c>
      <c r="F783">
        <v>73.015502999999995</v>
      </c>
      <c r="G783">
        <v>6815800</v>
      </c>
      <c r="I783">
        <f t="shared" si="13"/>
        <v>1.7803350402590799E-5</v>
      </c>
    </row>
    <row r="784" spans="1:9" x14ac:dyDescent="0.3">
      <c r="A784" s="5">
        <v>42775</v>
      </c>
      <c r="B784">
        <v>88.330001999999993</v>
      </c>
      <c r="C784">
        <v>88.779999000000004</v>
      </c>
      <c r="D784">
        <v>88.029999000000004</v>
      </c>
      <c r="E784">
        <v>88.669998000000007</v>
      </c>
      <c r="F784">
        <v>73.296538999999996</v>
      </c>
      <c r="G784">
        <v>9914100</v>
      </c>
      <c r="I784">
        <f t="shared" si="13"/>
        <v>3.0945209309189206E-5</v>
      </c>
    </row>
    <row r="785" spans="1:9" x14ac:dyDescent="0.3">
      <c r="A785" s="5">
        <v>42776</v>
      </c>
      <c r="B785">
        <v>88.559997999999993</v>
      </c>
      <c r="C785">
        <v>88.730002999999996</v>
      </c>
      <c r="D785">
        <v>87.970000999999996</v>
      </c>
      <c r="E785">
        <v>87.970000999999996</v>
      </c>
      <c r="F785">
        <v>72.717903000000007</v>
      </c>
      <c r="G785">
        <v>11057600</v>
      </c>
      <c r="I785">
        <f t="shared" si="13"/>
        <v>1.6497511145207189E-5</v>
      </c>
    </row>
    <row r="786" spans="1:9" x14ac:dyDescent="0.3">
      <c r="A786" s="5">
        <v>42779</v>
      </c>
      <c r="B786">
        <v>88.040001000000004</v>
      </c>
      <c r="C786">
        <v>88.360000999999997</v>
      </c>
      <c r="D786">
        <v>87.639999000000003</v>
      </c>
      <c r="E786">
        <v>88.309997999999993</v>
      </c>
      <c r="F786">
        <v>72.998947000000001</v>
      </c>
      <c r="G786">
        <v>6905100</v>
      </c>
      <c r="I786">
        <f t="shared" si="13"/>
        <v>3.6734415810392612E-5</v>
      </c>
    </row>
    <row r="787" spans="1:9" x14ac:dyDescent="0.3">
      <c r="A787" s="5">
        <v>42780</v>
      </c>
      <c r="B787">
        <v>88</v>
      </c>
      <c r="C787">
        <v>88.220000999999996</v>
      </c>
      <c r="D787">
        <v>87.230002999999996</v>
      </c>
      <c r="E787">
        <v>87.860000999999997</v>
      </c>
      <c r="F787">
        <v>72.626975999999999</v>
      </c>
      <c r="G787">
        <v>20123400</v>
      </c>
      <c r="I787">
        <f t="shared" si="13"/>
        <v>7.3454470317853976E-5</v>
      </c>
    </row>
    <row r="788" spans="1:9" x14ac:dyDescent="0.3">
      <c r="A788" s="5">
        <v>42781</v>
      </c>
      <c r="B788">
        <v>89.809997999999993</v>
      </c>
      <c r="C788">
        <v>91.150002000000001</v>
      </c>
      <c r="D788">
        <v>89.809997999999993</v>
      </c>
      <c r="E788">
        <v>91.120002999999997</v>
      </c>
      <c r="F788">
        <v>75.321762000000007</v>
      </c>
      <c r="G788">
        <v>25847700</v>
      </c>
      <c r="I788">
        <f t="shared" si="13"/>
        <v>4.8750942140060306E-6</v>
      </c>
    </row>
    <row r="789" spans="1:9" x14ac:dyDescent="0.3">
      <c r="A789" s="5">
        <v>42782</v>
      </c>
      <c r="B789">
        <v>90.919998000000007</v>
      </c>
      <c r="C789">
        <v>91.120002999999997</v>
      </c>
      <c r="D789">
        <v>90.540001000000004</v>
      </c>
      <c r="E789">
        <v>90.790001000000004</v>
      </c>
      <c r="F789">
        <v>75.048964999999995</v>
      </c>
      <c r="G789">
        <v>12408500</v>
      </c>
      <c r="I789">
        <f t="shared" si="13"/>
        <v>1.9521133391983926E-5</v>
      </c>
    </row>
    <row r="790" spans="1:9" x14ac:dyDescent="0.3">
      <c r="A790" s="5">
        <v>42783</v>
      </c>
      <c r="B790">
        <v>90.610000999999997</v>
      </c>
      <c r="C790">
        <v>91.360000999999997</v>
      </c>
      <c r="D790">
        <v>90.449996999999996</v>
      </c>
      <c r="E790">
        <v>91.089995999999999</v>
      </c>
      <c r="F790">
        <v>75.296951000000007</v>
      </c>
      <c r="G790">
        <v>12152400</v>
      </c>
      <c r="I790">
        <f t="shared" si="13"/>
        <v>3.6859582583745664E-5</v>
      </c>
    </row>
    <row r="791" spans="1:9" x14ac:dyDescent="0.3">
      <c r="A791" s="5">
        <v>42787</v>
      </c>
      <c r="B791">
        <v>90.580001999999993</v>
      </c>
      <c r="C791">
        <v>91.800003000000004</v>
      </c>
      <c r="D791">
        <v>90.580001999999993</v>
      </c>
      <c r="E791">
        <v>91.669998000000007</v>
      </c>
      <c r="F791">
        <v>75.776390000000006</v>
      </c>
      <c r="G791">
        <v>9018700</v>
      </c>
      <c r="I791">
        <f t="shared" si="13"/>
        <v>1.8960269131068588E-5</v>
      </c>
    </row>
    <row r="792" spans="1:9" x14ac:dyDescent="0.3">
      <c r="A792" s="5">
        <v>42788</v>
      </c>
      <c r="B792">
        <v>91.449996999999996</v>
      </c>
      <c r="C792">
        <v>91.800003000000004</v>
      </c>
      <c r="D792">
        <v>91.25</v>
      </c>
      <c r="E792">
        <v>91.440002000000007</v>
      </c>
      <c r="F792">
        <v>75.586281</v>
      </c>
      <c r="G792">
        <v>6749900</v>
      </c>
      <c r="I792">
        <f t="shared" si="13"/>
        <v>1.9563791859950745E-5</v>
      </c>
    </row>
    <row r="793" spans="1:9" x14ac:dyDescent="0.3">
      <c r="A793" s="5">
        <v>42789</v>
      </c>
      <c r="B793">
        <v>91.610000999999997</v>
      </c>
      <c r="C793">
        <v>91.800003000000004</v>
      </c>
      <c r="D793">
        <v>90.910004000000001</v>
      </c>
      <c r="E793">
        <v>91.129997000000003</v>
      </c>
      <c r="F793">
        <v>75.330032000000003</v>
      </c>
      <c r="G793">
        <v>7611600</v>
      </c>
      <c r="I793">
        <f t="shared" si="13"/>
        <v>3.3716337792826202E-5</v>
      </c>
    </row>
    <row r="794" spans="1:9" x14ac:dyDescent="0.3">
      <c r="A794" s="5">
        <v>42790</v>
      </c>
      <c r="B794">
        <v>90.970000999999996</v>
      </c>
      <c r="C794">
        <v>91.339995999999999</v>
      </c>
      <c r="D794">
        <v>90.669998000000007</v>
      </c>
      <c r="E794">
        <v>91.050003000000004</v>
      </c>
      <c r="F794">
        <v>75.263901000000004</v>
      </c>
      <c r="G794">
        <v>6643400</v>
      </c>
      <c r="I794">
        <f t="shared" si="13"/>
        <v>2.6722567257940008E-5</v>
      </c>
    </row>
    <row r="795" spans="1:9" x14ac:dyDescent="0.3">
      <c r="A795" s="5">
        <v>42793</v>
      </c>
      <c r="B795">
        <v>90.529999000000004</v>
      </c>
      <c r="C795">
        <v>90.910004000000001</v>
      </c>
      <c r="D795">
        <v>90.059997999999993</v>
      </c>
      <c r="E795">
        <v>90.889999000000003</v>
      </c>
      <c r="F795">
        <v>75.131645000000006</v>
      </c>
      <c r="G795">
        <v>11840300</v>
      </c>
      <c r="I795">
        <f t="shared" si="13"/>
        <v>4.8673586507615633E-5</v>
      </c>
    </row>
    <row r="796" spans="1:9" x14ac:dyDescent="0.3">
      <c r="A796" s="5">
        <v>42794</v>
      </c>
      <c r="B796">
        <v>90.900002000000001</v>
      </c>
      <c r="C796">
        <v>91.790001000000004</v>
      </c>
      <c r="D796">
        <v>90.650002000000001</v>
      </c>
      <c r="E796">
        <v>91.07</v>
      </c>
      <c r="F796">
        <v>75.280426000000006</v>
      </c>
      <c r="G796">
        <v>10535600</v>
      </c>
      <c r="I796">
        <f t="shared" si="13"/>
        <v>8.945877272299198E-5</v>
      </c>
    </row>
    <row r="797" spans="1:9" x14ac:dyDescent="0.3">
      <c r="A797" s="5">
        <v>42795</v>
      </c>
      <c r="B797">
        <v>91.050003000000004</v>
      </c>
      <c r="C797">
        <v>91.889999000000003</v>
      </c>
      <c r="D797">
        <v>90.709998999999996</v>
      </c>
      <c r="E797">
        <v>91.660004000000001</v>
      </c>
      <c r="F797">
        <v>75.768135000000001</v>
      </c>
      <c r="G797">
        <v>8792200</v>
      </c>
      <c r="I797">
        <f t="shared" si="13"/>
        <v>6.1992471417575263E-5</v>
      </c>
    </row>
    <row r="798" spans="1:9" x14ac:dyDescent="0.3">
      <c r="A798" s="5">
        <v>42796</v>
      </c>
      <c r="B798">
        <v>91.400002000000001</v>
      </c>
      <c r="C798">
        <v>91.589995999999999</v>
      </c>
      <c r="D798">
        <v>90.879997000000003</v>
      </c>
      <c r="E798">
        <v>90.910004000000001</v>
      </c>
      <c r="F798">
        <v>75.148169999999993</v>
      </c>
      <c r="G798">
        <v>7031200</v>
      </c>
      <c r="I798">
        <f t="shared" si="13"/>
        <v>1.735803652902797E-5</v>
      </c>
    </row>
    <row r="799" spans="1:9" x14ac:dyDescent="0.3">
      <c r="A799" s="5">
        <v>42797</v>
      </c>
      <c r="B799">
        <v>90.910004000000001</v>
      </c>
      <c r="C799">
        <v>90.910004000000001</v>
      </c>
      <c r="D799">
        <v>89.889999000000003</v>
      </c>
      <c r="E799">
        <v>90.5</v>
      </c>
      <c r="F799">
        <v>74.809235000000001</v>
      </c>
      <c r="G799">
        <v>8334900</v>
      </c>
      <c r="I799">
        <f t="shared" si="13"/>
        <v>7.6311187618302955E-5</v>
      </c>
    </row>
    <row r="800" spans="1:9" x14ac:dyDescent="0.3">
      <c r="A800" s="5">
        <v>42800</v>
      </c>
      <c r="B800">
        <v>89.889999000000003</v>
      </c>
      <c r="C800">
        <v>90.510002</v>
      </c>
      <c r="D800">
        <v>89.589995999999999</v>
      </c>
      <c r="E800">
        <v>90.370002999999997</v>
      </c>
      <c r="F800">
        <v>74.701804999999993</v>
      </c>
      <c r="G800">
        <v>9533800</v>
      </c>
      <c r="I800">
        <f t="shared" si="13"/>
        <v>3.9620075347378114E-5</v>
      </c>
    </row>
    <row r="801" spans="1:9" x14ac:dyDescent="0.3">
      <c r="A801" s="5">
        <v>42801</v>
      </c>
      <c r="B801">
        <v>90.139999000000003</v>
      </c>
      <c r="C801">
        <v>90.489998</v>
      </c>
      <c r="D801">
        <v>90.059997999999993</v>
      </c>
      <c r="E801">
        <v>90.290001000000004</v>
      </c>
      <c r="F801">
        <v>74.635673999999995</v>
      </c>
      <c r="G801">
        <v>5363000</v>
      </c>
      <c r="I801">
        <f t="shared" si="13"/>
        <v>1.0839277721092479E-5</v>
      </c>
    </row>
    <row r="802" spans="1:9" x14ac:dyDescent="0.3">
      <c r="A802" s="5">
        <v>42802</v>
      </c>
      <c r="B802">
        <v>90.019997000000004</v>
      </c>
      <c r="C802">
        <v>90.349997999999999</v>
      </c>
      <c r="D802">
        <v>89.760002</v>
      </c>
      <c r="E802">
        <v>90.139999000000003</v>
      </c>
      <c r="F802">
        <v>74.511680999999996</v>
      </c>
      <c r="G802">
        <v>5503700</v>
      </c>
      <c r="I802">
        <f t="shared" si="13"/>
        <v>2.0733765849188482E-5</v>
      </c>
    </row>
    <row r="803" spans="1:9" x14ac:dyDescent="0.3">
      <c r="A803" s="5">
        <v>42803</v>
      </c>
      <c r="B803">
        <v>90.139999000000003</v>
      </c>
      <c r="C803">
        <v>90.489998</v>
      </c>
      <c r="D803">
        <v>90.099997999999999</v>
      </c>
      <c r="E803">
        <v>90.339995999999999</v>
      </c>
      <c r="F803">
        <v>74.676993999999993</v>
      </c>
      <c r="G803">
        <v>5587400</v>
      </c>
      <c r="I803">
        <f t="shared" si="13"/>
        <v>7.6100480094921151E-6</v>
      </c>
    </row>
    <row r="804" spans="1:9" x14ac:dyDescent="0.3">
      <c r="A804" s="5">
        <v>42804</v>
      </c>
      <c r="B804">
        <v>90.800003000000004</v>
      </c>
      <c r="C804">
        <v>91.160004000000001</v>
      </c>
      <c r="D804">
        <v>90.650002000000001</v>
      </c>
      <c r="E804">
        <v>91.07</v>
      </c>
      <c r="F804">
        <v>75.280426000000006</v>
      </c>
      <c r="G804">
        <v>6797800</v>
      </c>
      <c r="I804">
        <f t="shared" si="13"/>
        <v>1.1551305997888857E-5</v>
      </c>
    </row>
    <row r="805" spans="1:9" x14ac:dyDescent="0.3">
      <c r="A805" s="5">
        <v>42807</v>
      </c>
      <c r="B805">
        <v>91.059997999999993</v>
      </c>
      <c r="C805">
        <v>91.489998</v>
      </c>
      <c r="D805">
        <v>90.849997999999999</v>
      </c>
      <c r="E805">
        <v>91.309997999999993</v>
      </c>
      <c r="F805">
        <v>75.478827999999993</v>
      </c>
      <c r="G805">
        <v>7397500</v>
      </c>
      <c r="I805">
        <f t="shared" si="13"/>
        <v>2.0938584519361598E-5</v>
      </c>
    </row>
    <row r="806" spans="1:9" x14ac:dyDescent="0.3">
      <c r="A806" s="5">
        <v>42808</v>
      </c>
      <c r="B806">
        <v>91.260002</v>
      </c>
      <c r="C806">
        <v>91.589995999999999</v>
      </c>
      <c r="D806">
        <v>90.82</v>
      </c>
      <c r="E806">
        <v>91</v>
      </c>
      <c r="F806">
        <v>75.222542000000004</v>
      </c>
      <c r="G806">
        <v>6686400</v>
      </c>
      <c r="I806">
        <f t="shared" si="13"/>
        <v>3.2895651315794445E-5</v>
      </c>
    </row>
    <row r="807" spans="1:9" x14ac:dyDescent="0.3">
      <c r="A807" s="5">
        <v>42809</v>
      </c>
      <c r="B807">
        <v>91</v>
      </c>
      <c r="C807">
        <v>91.779999000000004</v>
      </c>
      <c r="D807">
        <v>90.730002999999996</v>
      </c>
      <c r="E807">
        <v>91.400002000000001</v>
      </c>
      <c r="F807">
        <v>75.553229999999999</v>
      </c>
      <c r="G807">
        <v>7855300</v>
      </c>
      <c r="I807">
        <f t="shared" si="13"/>
        <v>5.727225827812512E-5</v>
      </c>
    </row>
    <row r="808" spans="1:9" x14ac:dyDescent="0.3">
      <c r="A808" s="5">
        <v>42810</v>
      </c>
      <c r="B808">
        <v>91.440002000000007</v>
      </c>
      <c r="C808">
        <v>91.720000999999996</v>
      </c>
      <c r="D808">
        <v>91.099997999999999</v>
      </c>
      <c r="E808">
        <v>91.440002000000007</v>
      </c>
      <c r="F808">
        <v>75.586281</v>
      </c>
      <c r="G808">
        <v>6601200</v>
      </c>
      <c r="I808">
        <f t="shared" si="13"/>
        <v>2.322541808920565E-5</v>
      </c>
    </row>
    <row r="809" spans="1:9" x14ac:dyDescent="0.3">
      <c r="A809" s="5">
        <v>42811</v>
      </c>
      <c r="B809">
        <v>91.449996999999996</v>
      </c>
      <c r="C809">
        <v>92</v>
      </c>
      <c r="D809">
        <v>90.919998000000007</v>
      </c>
      <c r="E809">
        <v>91</v>
      </c>
      <c r="F809">
        <v>75.222542000000004</v>
      </c>
      <c r="G809">
        <v>37010100</v>
      </c>
      <c r="I809">
        <f t="shared" si="13"/>
        <v>7.0645422123659675E-5</v>
      </c>
    </row>
    <row r="810" spans="1:9" x14ac:dyDescent="0.3">
      <c r="A810" s="5">
        <v>42814</v>
      </c>
      <c r="B810">
        <v>90.959998999999996</v>
      </c>
      <c r="C810">
        <v>91.410004000000001</v>
      </c>
      <c r="D810">
        <v>90.940002000000007</v>
      </c>
      <c r="E810">
        <v>91.220000999999996</v>
      </c>
      <c r="F810">
        <v>75.404419000000004</v>
      </c>
      <c r="G810">
        <v>7772900</v>
      </c>
      <c r="I810">
        <f t="shared" si="13"/>
        <v>1.0944569555282513E-5</v>
      </c>
    </row>
    <row r="811" spans="1:9" x14ac:dyDescent="0.3">
      <c r="A811" s="5">
        <v>42815</v>
      </c>
      <c r="B811">
        <v>91.300003000000004</v>
      </c>
      <c r="C811">
        <v>91.75</v>
      </c>
      <c r="D811">
        <v>91.029999000000004</v>
      </c>
      <c r="E811">
        <v>91.190002000000007</v>
      </c>
      <c r="F811">
        <v>75.379608000000005</v>
      </c>
      <c r="G811">
        <v>8211000</v>
      </c>
      <c r="I811">
        <f t="shared" si="13"/>
        <v>3.5302140938271716E-5</v>
      </c>
    </row>
    <row r="812" spans="1:9" x14ac:dyDescent="0.3">
      <c r="A812" s="5">
        <v>42816</v>
      </c>
      <c r="B812">
        <v>91.309997999999993</v>
      </c>
      <c r="C812">
        <v>91.800003000000004</v>
      </c>
      <c r="D812">
        <v>90.75</v>
      </c>
      <c r="E812">
        <v>90.989998</v>
      </c>
      <c r="F812">
        <v>75.214293999999995</v>
      </c>
      <c r="G812">
        <v>7798000</v>
      </c>
      <c r="I812">
        <f t="shared" si="13"/>
        <v>6.3681417171327894E-5</v>
      </c>
    </row>
    <row r="813" spans="1:9" x14ac:dyDescent="0.3">
      <c r="A813" s="5">
        <v>42817</v>
      </c>
      <c r="B813">
        <v>90.910004000000001</v>
      </c>
      <c r="C813">
        <v>91.459998999999996</v>
      </c>
      <c r="D813">
        <v>90.599997999999999</v>
      </c>
      <c r="E813">
        <v>90.769997000000004</v>
      </c>
      <c r="F813">
        <v>75.032432999999997</v>
      </c>
      <c r="G813">
        <v>6831400</v>
      </c>
      <c r="I813">
        <f t="shared" si="13"/>
        <v>5.208057705650313E-5</v>
      </c>
    </row>
    <row r="814" spans="1:9" x14ac:dyDescent="0.3">
      <c r="A814" s="5">
        <v>42818</v>
      </c>
      <c r="B814">
        <v>90.769997000000004</v>
      </c>
      <c r="C814">
        <v>90.919998000000007</v>
      </c>
      <c r="D814">
        <v>90.209998999999996</v>
      </c>
      <c r="E814">
        <v>90.57</v>
      </c>
      <c r="F814">
        <v>74.867119000000002</v>
      </c>
      <c r="G814">
        <v>9252000</v>
      </c>
      <c r="I814">
        <f t="shared" si="13"/>
        <v>3.1015896246851135E-5</v>
      </c>
    </row>
    <row r="815" spans="1:9" x14ac:dyDescent="0.3">
      <c r="A815" s="5">
        <v>42821</v>
      </c>
      <c r="B815">
        <v>90.449996999999996</v>
      </c>
      <c r="C815">
        <v>90.720000999999996</v>
      </c>
      <c r="D815">
        <v>90.18</v>
      </c>
      <c r="E815">
        <v>90.489998</v>
      </c>
      <c r="F815">
        <v>74.800972000000002</v>
      </c>
      <c r="G815">
        <v>10072000</v>
      </c>
      <c r="I815">
        <f t="shared" si="13"/>
        <v>1.7825457382783658E-5</v>
      </c>
    </row>
    <row r="816" spans="1:9" x14ac:dyDescent="0.3">
      <c r="A816" s="5">
        <v>42822</v>
      </c>
      <c r="B816">
        <v>90.169998000000007</v>
      </c>
      <c r="C816">
        <v>91.059997999999993</v>
      </c>
      <c r="D816">
        <v>90.129997000000003</v>
      </c>
      <c r="E816">
        <v>90.760002</v>
      </c>
      <c r="F816">
        <v>75.024169999999998</v>
      </c>
      <c r="G816">
        <v>11855800</v>
      </c>
      <c r="I816">
        <f t="shared" si="13"/>
        <v>3.5502154193129551E-5</v>
      </c>
    </row>
    <row r="817" spans="1:9" x14ac:dyDescent="0.3">
      <c r="A817" s="5">
        <v>42823</v>
      </c>
      <c r="B817">
        <v>90.559997999999993</v>
      </c>
      <c r="C817">
        <v>90.870002999999997</v>
      </c>
      <c r="D817">
        <v>90.389999000000003</v>
      </c>
      <c r="E817">
        <v>90.599997999999999</v>
      </c>
      <c r="F817">
        <v>74.891930000000002</v>
      </c>
      <c r="G817">
        <v>4252800</v>
      </c>
      <c r="I817">
        <f t="shared" si="13"/>
        <v>1.4529455462320233E-5</v>
      </c>
    </row>
    <row r="818" spans="1:9" x14ac:dyDescent="0.3">
      <c r="A818" s="5">
        <v>42824</v>
      </c>
      <c r="B818">
        <v>90.5</v>
      </c>
      <c r="C818">
        <v>90.57</v>
      </c>
      <c r="D818">
        <v>90.099997999999999</v>
      </c>
      <c r="E818">
        <v>90.199996999999996</v>
      </c>
      <c r="F818">
        <v>74.561263999999994</v>
      </c>
      <c r="G818">
        <v>3691900</v>
      </c>
      <c r="I818">
        <f t="shared" si="13"/>
        <v>8.078786444570436E-6</v>
      </c>
    </row>
    <row r="819" spans="1:9" x14ac:dyDescent="0.3">
      <c r="A819" s="5">
        <v>42825</v>
      </c>
      <c r="B819">
        <v>90.029999000000004</v>
      </c>
      <c r="C819">
        <v>90.339995999999999</v>
      </c>
      <c r="D819">
        <v>89.839995999999999</v>
      </c>
      <c r="E819">
        <v>89.849997999999999</v>
      </c>
      <c r="F819">
        <v>74.271941999999996</v>
      </c>
      <c r="G819">
        <v>6942400</v>
      </c>
      <c r="I819">
        <f t="shared" si="13"/>
        <v>1.8929885646481978E-5</v>
      </c>
    </row>
    <row r="820" spans="1:9" x14ac:dyDescent="0.3">
      <c r="A820" s="5">
        <v>42828</v>
      </c>
      <c r="B820">
        <v>89.860000999999997</v>
      </c>
      <c r="C820">
        <v>90.059997999999993</v>
      </c>
      <c r="D820">
        <v>89.449996999999996</v>
      </c>
      <c r="E820">
        <v>89.68</v>
      </c>
      <c r="F820">
        <v>74.131423999999996</v>
      </c>
      <c r="G820">
        <v>6967400</v>
      </c>
      <c r="I820">
        <f t="shared" si="13"/>
        <v>2.1144124031052735E-5</v>
      </c>
    </row>
    <row r="821" spans="1:9" x14ac:dyDescent="0.3">
      <c r="A821" s="5">
        <v>42829</v>
      </c>
      <c r="B821">
        <v>89.75</v>
      </c>
      <c r="C821">
        <v>89.959998999999996</v>
      </c>
      <c r="D821">
        <v>89.419998000000007</v>
      </c>
      <c r="E821">
        <v>89.910004000000001</v>
      </c>
      <c r="F821">
        <v>74.321548000000007</v>
      </c>
      <c r="G821">
        <v>5680800</v>
      </c>
      <c r="I821">
        <f t="shared" si="13"/>
        <v>2.1430002940935696E-5</v>
      </c>
    </row>
    <row r="822" spans="1:9" x14ac:dyDescent="0.3">
      <c r="A822" s="5">
        <v>42830</v>
      </c>
      <c r="B822">
        <v>90</v>
      </c>
      <c r="C822">
        <v>90.5</v>
      </c>
      <c r="D822">
        <v>89.760002</v>
      </c>
      <c r="E822">
        <v>89.970000999999996</v>
      </c>
      <c r="F822">
        <v>74.371123999999995</v>
      </c>
      <c r="G822">
        <v>6320100</v>
      </c>
      <c r="I822">
        <f t="shared" si="13"/>
        <v>3.8780385754344142E-5</v>
      </c>
    </row>
    <row r="823" spans="1:9" x14ac:dyDescent="0.3">
      <c r="A823" s="5">
        <v>42831</v>
      </c>
      <c r="B823">
        <v>89.769997000000004</v>
      </c>
      <c r="C823">
        <v>89.809997999999993</v>
      </c>
      <c r="D823">
        <v>89.309997999999993</v>
      </c>
      <c r="E823">
        <v>89.400002000000001</v>
      </c>
      <c r="F823">
        <v>73.899970999999994</v>
      </c>
      <c r="G823">
        <v>7231500</v>
      </c>
      <c r="I823">
        <f t="shared" si="13"/>
        <v>7.2130906364279439E-6</v>
      </c>
    </row>
    <row r="824" spans="1:9" x14ac:dyDescent="0.3">
      <c r="A824" s="5">
        <v>42832</v>
      </c>
      <c r="B824">
        <v>89.459998999999996</v>
      </c>
      <c r="C824">
        <v>89.610000999999997</v>
      </c>
      <c r="D824">
        <v>89.18</v>
      </c>
      <c r="E824">
        <v>89.230002999999996</v>
      </c>
      <c r="F824">
        <v>73.759452999999993</v>
      </c>
      <c r="G824">
        <v>4739100</v>
      </c>
      <c r="I824">
        <f t="shared" si="13"/>
        <v>8.8767094608308962E-6</v>
      </c>
    </row>
    <row r="825" spans="1:9" x14ac:dyDescent="0.3">
      <c r="A825" s="5">
        <v>42835</v>
      </c>
      <c r="B825">
        <v>89.129997000000003</v>
      </c>
      <c r="C825">
        <v>89.68</v>
      </c>
      <c r="D825">
        <v>88.75</v>
      </c>
      <c r="E825">
        <v>89.489998</v>
      </c>
      <c r="F825">
        <v>73.974350000000001</v>
      </c>
      <c r="G825">
        <v>5956000</v>
      </c>
      <c r="I825">
        <f t="shared" si="13"/>
        <v>4.8524077271931372E-5</v>
      </c>
    </row>
    <row r="826" spans="1:9" x14ac:dyDescent="0.3">
      <c r="A826" s="5">
        <v>42836</v>
      </c>
      <c r="B826">
        <v>89.660004000000001</v>
      </c>
      <c r="C826">
        <v>89.82</v>
      </c>
      <c r="D826">
        <v>89.290001000000004</v>
      </c>
      <c r="E826">
        <v>89.800003000000004</v>
      </c>
      <c r="F826">
        <v>74.230628999999993</v>
      </c>
      <c r="G826">
        <v>5186000</v>
      </c>
      <c r="I826">
        <f t="shared" si="13"/>
        <v>2.3949411975707872E-5</v>
      </c>
    </row>
    <row r="827" spans="1:9" x14ac:dyDescent="0.3">
      <c r="A827" s="5">
        <v>42837</v>
      </c>
      <c r="B827">
        <v>89.699996999999996</v>
      </c>
      <c r="C827">
        <v>90.419998000000007</v>
      </c>
      <c r="D827">
        <v>89.559997999999993</v>
      </c>
      <c r="E827">
        <v>90.309997999999993</v>
      </c>
      <c r="F827">
        <v>74.652191000000002</v>
      </c>
      <c r="G827">
        <v>6286300</v>
      </c>
      <c r="I827">
        <f t="shared" si="13"/>
        <v>2.2757731272096167E-5</v>
      </c>
    </row>
    <row r="828" spans="1:9" x14ac:dyDescent="0.3">
      <c r="A828" s="5">
        <v>42838</v>
      </c>
      <c r="B828">
        <v>90.050003000000004</v>
      </c>
      <c r="C828">
        <v>90.540001000000004</v>
      </c>
      <c r="D828">
        <v>89.790001000000004</v>
      </c>
      <c r="E828">
        <v>90.029999000000004</v>
      </c>
      <c r="F828">
        <v>74.420769000000007</v>
      </c>
      <c r="G828">
        <v>5040100</v>
      </c>
      <c r="I828">
        <f t="shared" si="13"/>
        <v>3.8372417567616712E-5</v>
      </c>
    </row>
    <row r="829" spans="1:9" x14ac:dyDescent="0.3">
      <c r="A829" s="5">
        <v>42842</v>
      </c>
      <c r="B829">
        <v>90.230002999999996</v>
      </c>
      <c r="C829">
        <v>90.589995999999999</v>
      </c>
      <c r="D829">
        <v>90.129997000000003</v>
      </c>
      <c r="E829">
        <v>90.389999000000003</v>
      </c>
      <c r="F829">
        <v>74.718329999999995</v>
      </c>
      <c r="G829">
        <v>6931700</v>
      </c>
      <c r="I829">
        <f t="shared" si="13"/>
        <v>1.1994836969432018E-5</v>
      </c>
    </row>
    <row r="830" spans="1:9" x14ac:dyDescent="0.3">
      <c r="A830" s="5">
        <v>42843</v>
      </c>
      <c r="B830">
        <v>90.400002000000001</v>
      </c>
      <c r="C830">
        <v>91.129997000000003</v>
      </c>
      <c r="D830">
        <v>90.339995999999999</v>
      </c>
      <c r="E830">
        <v>90.800003000000004</v>
      </c>
      <c r="F830">
        <v>75.057243</v>
      </c>
      <c r="G830">
        <v>7087800</v>
      </c>
      <c r="I830">
        <f t="shared" si="13"/>
        <v>3.254918530966593E-5</v>
      </c>
    </row>
    <row r="831" spans="1:9" x14ac:dyDescent="0.3">
      <c r="A831" s="5">
        <v>42844</v>
      </c>
      <c r="B831">
        <v>90.099997999999999</v>
      </c>
      <c r="C831">
        <v>90.449996999999996</v>
      </c>
      <c r="D831">
        <v>89.5</v>
      </c>
      <c r="E831">
        <v>89.599997999999999</v>
      </c>
      <c r="F831">
        <v>74.632430999999997</v>
      </c>
      <c r="G831">
        <v>6919000</v>
      </c>
      <c r="I831">
        <f t="shared" si="13"/>
        <v>4.4067580660756948E-5</v>
      </c>
    </row>
    <row r="832" spans="1:9" x14ac:dyDescent="0.3">
      <c r="A832" s="5">
        <v>42845</v>
      </c>
      <c r="B832">
        <v>89.699996999999996</v>
      </c>
      <c r="C832">
        <v>89.699996999999996</v>
      </c>
      <c r="D832">
        <v>89.309997999999993</v>
      </c>
      <c r="E832">
        <v>89.330001999999993</v>
      </c>
      <c r="F832">
        <v>74.407532000000003</v>
      </c>
      <c r="G832">
        <v>6983500</v>
      </c>
      <c r="I832">
        <f t="shared" si="13"/>
        <v>9.7585441001555666E-7</v>
      </c>
    </row>
    <row r="833" spans="1:9" x14ac:dyDescent="0.3">
      <c r="A833" s="5">
        <v>42846</v>
      </c>
      <c r="B833">
        <v>89.169998000000007</v>
      </c>
      <c r="C833">
        <v>89.279999000000004</v>
      </c>
      <c r="D833">
        <v>88.610000999999997</v>
      </c>
      <c r="E833">
        <v>88.620002999999997</v>
      </c>
      <c r="F833">
        <v>73.816147000000001</v>
      </c>
      <c r="G833">
        <v>9061200</v>
      </c>
      <c r="I833">
        <f t="shared" si="13"/>
        <v>9.8586789834027945E-6</v>
      </c>
    </row>
    <row r="834" spans="1:9" x14ac:dyDescent="0.3">
      <c r="A834" s="5">
        <v>42849</v>
      </c>
      <c r="B834">
        <v>89.120002999999997</v>
      </c>
      <c r="C834">
        <v>89.660004000000001</v>
      </c>
      <c r="D834">
        <v>89.010002</v>
      </c>
      <c r="E834">
        <v>89.550003000000004</v>
      </c>
      <c r="F834">
        <v>74.590796999999995</v>
      </c>
      <c r="G834">
        <v>8338500</v>
      </c>
      <c r="I834">
        <f t="shared" si="13"/>
        <v>1.4886211923629764E-5</v>
      </c>
    </row>
    <row r="835" spans="1:9" x14ac:dyDescent="0.3">
      <c r="A835" s="5">
        <v>42850</v>
      </c>
      <c r="B835">
        <v>89.580001999999993</v>
      </c>
      <c r="C835">
        <v>90.25</v>
      </c>
      <c r="D835">
        <v>89.470000999999996</v>
      </c>
      <c r="E835">
        <v>90</v>
      </c>
      <c r="F835">
        <v>74.965614000000002</v>
      </c>
      <c r="G835">
        <v>9088400</v>
      </c>
      <c r="I835">
        <f t="shared" si="13"/>
        <v>2.7927061423521839E-5</v>
      </c>
    </row>
    <row r="836" spans="1:9" x14ac:dyDescent="0.3">
      <c r="A836" s="5">
        <v>42851</v>
      </c>
      <c r="B836">
        <v>89.849997999999999</v>
      </c>
      <c r="C836">
        <v>90</v>
      </c>
      <c r="D836">
        <v>87.610000999999997</v>
      </c>
      <c r="E836">
        <v>87.739998</v>
      </c>
      <c r="F836">
        <v>73.083152999999996</v>
      </c>
      <c r="G836">
        <v>11951300</v>
      </c>
      <c r="I836">
        <f t="shared" si="13"/>
        <v>7.9855517270545638E-5</v>
      </c>
    </row>
    <row r="837" spans="1:9" x14ac:dyDescent="0.3">
      <c r="A837" s="5">
        <v>42852</v>
      </c>
      <c r="B837">
        <v>87.580001999999993</v>
      </c>
      <c r="C837">
        <v>88.239998</v>
      </c>
      <c r="D837">
        <v>87.230002999999996</v>
      </c>
      <c r="E837">
        <v>87.690002000000007</v>
      </c>
      <c r="F837">
        <v>73.041518999999994</v>
      </c>
      <c r="G837">
        <v>8517500</v>
      </c>
      <c r="I837">
        <f t="shared" si="13"/>
        <v>6.8002431626310394E-5</v>
      </c>
    </row>
    <row r="838" spans="1:9" x14ac:dyDescent="0.3">
      <c r="A838" s="5">
        <v>42853</v>
      </c>
      <c r="B838">
        <v>87.519997000000004</v>
      </c>
      <c r="C838">
        <v>87.589995999999999</v>
      </c>
      <c r="D838">
        <v>87.150002000000001</v>
      </c>
      <c r="E838">
        <v>87.330001999999993</v>
      </c>
      <c r="F838">
        <v>72.741614999999996</v>
      </c>
      <c r="G838">
        <v>8295400</v>
      </c>
      <c r="I838">
        <f t="shared" si="13"/>
        <v>1.111773090755238E-5</v>
      </c>
    </row>
    <row r="839" spans="1:9" x14ac:dyDescent="0.3">
      <c r="A839" s="5">
        <v>42856</v>
      </c>
      <c r="B839">
        <v>87.379997000000003</v>
      </c>
      <c r="C839">
        <v>87.599997999999999</v>
      </c>
      <c r="D839">
        <v>87.080001999999993</v>
      </c>
      <c r="E839">
        <v>87.089995999999999</v>
      </c>
      <c r="F839">
        <v>72.541732999999994</v>
      </c>
      <c r="G839">
        <v>4546600</v>
      </c>
      <c r="I839">
        <f t="shared" si="13"/>
        <v>1.5077231865476924E-5</v>
      </c>
    </row>
    <row r="840" spans="1:9" x14ac:dyDescent="0.3">
      <c r="A840" s="5">
        <v>42857</v>
      </c>
      <c r="B840">
        <v>87.290001000000004</v>
      </c>
      <c r="C840">
        <v>87.290001000000004</v>
      </c>
      <c r="D840">
        <v>86.019997000000004</v>
      </c>
      <c r="E840">
        <v>86.220000999999996</v>
      </c>
      <c r="F840">
        <v>71.817070000000001</v>
      </c>
      <c r="G840">
        <v>13197500</v>
      </c>
      <c r="I840">
        <f t="shared" si="13"/>
        <v>3.4037221559498903E-5</v>
      </c>
    </row>
    <row r="841" spans="1:9" x14ac:dyDescent="0.3">
      <c r="A841" s="5">
        <v>42858</v>
      </c>
      <c r="B841">
        <v>86.300003000000004</v>
      </c>
      <c r="C841">
        <v>86.629997000000003</v>
      </c>
      <c r="D841">
        <v>85.900002000000001</v>
      </c>
      <c r="E841">
        <v>86.43</v>
      </c>
      <c r="F841">
        <v>71.991989000000004</v>
      </c>
      <c r="G841">
        <v>6122000</v>
      </c>
      <c r="I841">
        <f t="shared" si="13"/>
        <v>3.7397238234123714E-5</v>
      </c>
    </row>
    <row r="842" spans="1:9" x14ac:dyDescent="0.3">
      <c r="A842" s="5">
        <v>42859</v>
      </c>
      <c r="B842">
        <v>86.849997999999999</v>
      </c>
      <c r="C842">
        <v>87.239998</v>
      </c>
      <c r="D842">
        <v>86.300003000000004</v>
      </c>
      <c r="E842">
        <v>86.449996999999996</v>
      </c>
      <c r="F842">
        <v>72.008651999999998</v>
      </c>
      <c r="G842">
        <v>5986200</v>
      </c>
      <c r="I842">
        <f t="shared" si="13"/>
        <v>5.1789466045898177E-5</v>
      </c>
    </row>
    <row r="843" spans="1:9" x14ac:dyDescent="0.3">
      <c r="A843" s="5">
        <v>42860</v>
      </c>
      <c r="B843">
        <v>86.540001000000004</v>
      </c>
      <c r="C843">
        <v>86.610000999999997</v>
      </c>
      <c r="D843">
        <v>86.129997000000003</v>
      </c>
      <c r="E843">
        <v>86.5</v>
      </c>
      <c r="F843">
        <v>72.050292999999996</v>
      </c>
      <c r="G843">
        <v>4506200</v>
      </c>
      <c r="I843">
        <f t="shared" si="13"/>
        <v>2.1384936599835971E-5</v>
      </c>
    </row>
    <row r="844" spans="1:9" x14ac:dyDescent="0.3">
      <c r="A844" s="5">
        <v>42863</v>
      </c>
      <c r="B844">
        <v>86.330001999999993</v>
      </c>
      <c r="C844">
        <v>86.620002999999997</v>
      </c>
      <c r="D844">
        <v>86.239998</v>
      </c>
      <c r="E844">
        <v>86.550003000000004</v>
      </c>
      <c r="F844">
        <v>72.091942000000003</v>
      </c>
      <c r="G844">
        <v>4634600</v>
      </c>
      <c r="I844">
        <f t="shared" ref="I844:I907" si="14">LN(C844/B844)*(LN(C844/B844)-LN(E844/B844))+LN(D844/B844)*(LN(D844/B844)-LN(E844/B844))</f>
        <v>6.4541099810581957E-6</v>
      </c>
    </row>
    <row r="845" spans="1:9" x14ac:dyDescent="0.3">
      <c r="A845" s="5">
        <v>42864</v>
      </c>
      <c r="B845">
        <v>86.800003000000004</v>
      </c>
      <c r="C845">
        <v>86.82</v>
      </c>
      <c r="D845">
        <v>86.220000999999996</v>
      </c>
      <c r="E845">
        <v>86.400002000000001</v>
      </c>
      <c r="F845">
        <v>71.966994999999997</v>
      </c>
      <c r="G845">
        <v>9577600</v>
      </c>
      <c r="I845">
        <f t="shared" si="14"/>
        <v>1.5099360651265482E-5</v>
      </c>
    </row>
    <row r="846" spans="1:9" x14ac:dyDescent="0.3">
      <c r="A846" s="5">
        <v>42865</v>
      </c>
      <c r="B846">
        <v>86.480002999999996</v>
      </c>
      <c r="C846">
        <v>86.790001000000004</v>
      </c>
      <c r="D846">
        <v>86.389999000000003</v>
      </c>
      <c r="E846">
        <v>86.489998</v>
      </c>
      <c r="F846">
        <v>72.041954000000004</v>
      </c>
      <c r="G846">
        <v>6178500</v>
      </c>
      <c r="I846">
        <f t="shared" si="14"/>
        <v>1.359469276269758E-5</v>
      </c>
    </row>
    <row r="847" spans="1:9" x14ac:dyDescent="0.3">
      <c r="A847" s="5">
        <v>42866</v>
      </c>
      <c r="B847">
        <v>86.610000999999997</v>
      </c>
      <c r="C847">
        <v>86.629997000000003</v>
      </c>
      <c r="D847">
        <v>85.879997000000003</v>
      </c>
      <c r="E847">
        <v>86.169998000000007</v>
      </c>
      <c r="F847">
        <v>71.775413999999998</v>
      </c>
      <c r="G847">
        <v>6064700</v>
      </c>
      <c r="I847">
        <f t="shared" si="14"/>
        <v>2.9763475402089297E-5</v>
      </c>
    </row>
    <row r="848" spans="1:9" x14ac:dyDescent="0.3">
      <c r="A848" s="5">
        <v>42867</v>
      </c>
      <c r="B848">
        <v>86.239998</v>
      </c>
      <c r="C848">
        <v>86.32</v>
      </c>
      <c r="D848">
        <v>85.919998000000007</v>
      </c>
      <c r="E848">
        <v>86.190002000000007</v>
      </c>
      <c r="F848">
        <v>71.792084000000003</v>
      </c>
      <c r="G848">
        <v>5892400</v>
      </c>
      <c r="I848">
        <f t="shared" si="14"/>
        <v>1.306134245088455E-5</v>
      </c>
    </row>
    <row r="849" spans="1:9" x14ac:dyDescent="0.3">
      <c r="A849" s="5">
        <v>42870</v>
      </c>
      <c r="B849">
        <v>86.650002000000001</v>
      </c>
      <c r="C849">
        <v>86.709998999999996</v>
      </c>
      <c r="D849">
        <v>86.25</v>
      </c>
      <c r="E849">
        <v>86.330001999999993</v>
      </c>
      <c r="F849">
        <v>71.908683999999994</v>
      </c>
      <c r="G849">
        <v>5820700</v>
      </c>
      <c r="I849">
        <f t="shared" si="14"/>
        <v>7.3298226712989428E-6</v>
      </c>
    </row>
    <row r="850" spans="1:9" x14ac:dyDescent="0.3">
      <c r="A850" s="5">
        <v>42871</v>
      </c>
      <c r="B850">
        <v>86.879997000000003</v>
      </c>
      <c r="C850">
        <v>87</v>
      </c>
      <c r="D850">
        <v>86.190002000000007</v>
      </c>
      <c r="E850">
        <v>86.239998</v>
      </c>
      <c r="F850">
        <v>71.833702000000002</v>
      </c>
      <c r="G850">
        <v>6554500</v>
      </c>
      <c r="I850">
        <f t="shared" si="14"/>
        <v>1.6734678592638115E-5</v>
      </c>
    </row>
    <row r="851" spans="1:9" x14ac:dyDescent="0.3">
      <c r="A851" s="5">
        <v>42872</v>
      </c>
      <c r="B851">
        <v>86.239998</v>
      </c>
      <c r="C851">
        <v>86.629997000000003</v>
      </c>
      <c r="D851">
        <v>85.93</v>
      </c>
      <c r="E851">
        <v>86.260002</v>
      </c>
      <c r="F851">
        <v>71.850395000000006</v>
      </c>
      <c r="G851">
        <v>7805800</v>
      </c>
      <c r="I851">
        <f t="shared" si="14"/>
        <v>3.3115100222258312E-5</v>
      </c>
    </row>
    <row r="852" spans="1:9" x14ac:dyDescent="0.3">
      <c r="A852" s="5">
        <v>42873</v>
      </c>
      <c r="B852">
        <v>86.18</v>
      </c>
      <c r="C852">
        <v>86.220000999999996</v>
      </c>
      <c r="D852">
        <v>85.519997000000004</v>
      </c>
      <c r="E852">
        <v>85.870002999999997</v>
      </c>
      <c r="F852">
        <v>71.525542999999999</v>
      </c>
      <c r="G852">
        <v>6985600</v>
      </c>
      <c r="I852">
        <f t="shared" si="14"/>
        <v>3.3287481848348495E-5</v>
      </c>
    </row>
    <row r="853" spans="1:9" x14ac:dyDescent="0.3">
      <c r="A853" s="5">
        <v>42874</v>
      </c>
      <c r="B853">
        <v>86</v>
      </c>
      <c r="C853">
        <v>86.379997000000003</v>
      </c>
      <c r="D853">
        <v>85.669998000000007</v>
      </c>
      <c r="E853">
        <v>86.239998</v>
      </c>
      <c r="F853">
        <v>71.833702000000002</v>
      </c>
      <c r="G853">
        <v>7320700</v>
      </c>
      <c r="I853">
        <f t="shared" si="14"/>
        <v>3.2646524104831263E-5</v>
      </c>
    </row>
    <row r="854" spans="1:9" x14ac:dyDescent="0.3">
      <c r="A854" s="5">
        <v>42877</v>
      </c>
      <c r="B854">
        <v>86.25</v>
      </c>
      <c r="C854">
        <v>86.400002000000001</v>
      </c>
      <c r="D854">
        <v>86.029999000000004</v>
      </c>
      <c r="E854">
        <v>86.209998999999996</v>
      </c>
      <c r="F854">
        <v>71.808723000000001</v>
      </c>
      <c r="G854">
        <v>4260000</v>
      </c>
      <c r="I854">
        <f t="shared" si="14"/>
        <v>9.1635980682387134E-6</v>
      </c>
    </row>
    <row r="855" spans="1:9" x14ac:dyDescent="0.3">
      <c r="A855" s="5">
        <v>42878</v>
      </c>
      <c r="B855">
        <v>86.279999000000004</v>
      </c>
      <c r="C855">
        <v>86.540001000000004</v>
      </c>
      <c r="D855">
        <v>85.980002999999996</v>
      </c>
      <c r="E855">
        <v>86.080001999999993</v>
      </c>
      <c r="F855">
        <v>71.700432000000006</v>
      </c>
      <c r="G855">
        <v>4394200</v>
      </c>
      <c r="I855">
        <f t="shared" si="14"/>
        <v>2.0085129815135649E-5</v>
      </c>
    </row>
    <row r="856" spans="1:9" x14ac:dyDescent="0.3">
      <c r="A856" s="5">
        <v>42879</v>
      </c>
      <c r="B856">
        <v>86.449996999999996</v>
      </c>
      <c r="C856">
        <v>86.650002000000001</v>
      </c>
      <c r="D856">
        <v>86.209998999999996</v>
      </c>
      <c r="E856">
        <v>86.5</v>
      </c>
      <c r="F856">
        <v>72.050292999999996</v>
      </c>
      <c r="G856">
        <v>4878800</v>
      </c>
      <c r="I856">
        <f t="shared" si="14"/>
        <v>1.3339809205133645E-5</v>
      </c>
    </row>
    <row r="857" spans="1:9" x14ac:dyDescent="0.3">
      <c r="A857" s="5">
        <v>42880</v>
      </c>
      <c r="B857">
        <v>86.580001999999993</v>
      </c>
      <c r="C857">
        <v>86.980002999999996</v>
      </c>
      <c r="D857">
        <v>86.550003000000004</v>
      </c>
      <c r="E857">
        <v>86.860000999999997</v>
      </c>
      <c r="F857">
        <v>72.350166000000002</v>
      </c>
      <c r="G857">
        <v>4368000</v>
      </c>
      <c r="I857">
        <f t="shared" si="14"/>
        <v>7.6027430463785964E-6</v>
      </c>
    </row>
    <row r="858" spans="1:9" x14ac:dyDescent="0.3">
      <c r="A858" s="5">
        <v>42881</v>
      </c>
      <c r="B858">
        <v>86.93</v>
      </c>
      <c r="C858">
        <v>87.379997000000003</v>
      </c>
      <c r="D858">
        <v>86.82</v>
      </c>
      <c r="E858">
        <v>87.25</v>
      </c>
      <c r="F858">
        <v>72.675010999999998</v>
      </c>
      <c r="G858">
        <v>4337000</v>
      </c>
      <c r="I858">
        <f t="shared" si="14"/>
        <v>1.3942768325416693E-5</v>
      </c>
    </row>
    <row r="859" spans="1:9" x14ac:dyDescent="0.3">
      <c r="A859" s="5">
        <v>42885</v>
      </c>
      <c r="B859">
        <v>87.25</v>
      </c>
      <c r="C859">
        <v>87.610000999999997</v>
      </c>
      <c r="D859">
        <v>87.099997999999999</v>
      </c>
      <c r="E859">
        <v>87.400002000000001</v>
      </c>
      <c r="F859">
        <v>72.799942000000001</v>
      </c>
      <c r="G859">
        <v>4594500</v>
      </c>
      <c r="I859">
        <f t="shared" si="14"/>
        <v>1.5798158021572593E-5</v>
      </c>
    </row>
    <row r="860" spans="1:9" x14ac:dyDescent="0.3">
      <c r="A860" s="5">
        <v>42886</v>
      </c>
      <c r="B860">
        <v>87.669998000000007</v>
      </c>
      <c r="C860">
        <v>88.349997999999999</v>
      </c>
      <c r="D860">
        <v>87.449996999999996</v>
      </c>
      <c r="E860">
        <v>88.089995999999999</v>
      </c>
      <c r="F860">
        <v>73.374679999999998</v>
      </c>
      <c r="G860">
        <v>10146600</v>
      </c>
      <c r="I860">
        <f t="shared" si="14"/>
        <v>4.1092578435520177E-5</v>
      </c>
    </row>
    <row r="861" spans="1:9" x14ac:dyDescent="0.3">
      <c r="A861" s="5">
        <v>42887</v>
      </c>
      <c r="B861">
        <v>88.019997000000004</v>
      </c>
      <c r="C861">
        <v>88.139999000000003</v>
      </c>
      <c r="D861">
        <v>87.370002999999997</v>
      </c>
      <c r="E861">
        <v>88.129997000000003</v>
      </c>
      <c r="F861">
        <v>73.407973999999996</v>
      </c>
      <c r="G861">
        <v>6251300</v>
      </c>
      <c r="I861">
        <f t="shared" si="14"/>
        <v>6.4349770062744938E-5</v>
      </c>
    </row>
    <row r="862" spans="1:9" x14ac:dyDescent="0.3">
      <c r="A862" s="5">
        <v>42888</v>
      </c>
      <c r="B862">
        <v>88.400002000000001</v>
      </c>
      <c r="C862">
        <v>88.68</v>
      </c>
      <c r="D862">
        <v>88.010002</v>
      </c>
      <c r="E862">
        <v>88.589995999999999</v>
      </c>
      <c r="F862">
        <v>73.791129999999995</v>
      </c>
      <c r="G862">
        <v>6136400</v>
      </c>
      <c r="I862">
        <f t="shared" si="14"/>
        <v>3.2253902047334395E-5</v>
      </c>
    </row>
    <row r="863" spans="1:9" x14ac:dyDescent="0.3">
      <c r="A863" s="5">
        <v>42891</v>
      </c>
      <c r="B863">
        <v>88.300003000000004</v>
      </c>
      <c r="C863">
        <v>88.760002</v>
      </c>
      <c r="D863">
        <v>88</v>
      </c>
      <c r="E863">
        <v>88.739998</v>
      </c>
      <c r="F863">
        <v>73.9161</v>
      </c>
      <c r="G863">
        <v>4115300</v>
      </c>
      <c r="I863">
        <f t="shared" si="14"/>
        <v>2.9670310305352518E-5</v>
      </c>
    </row>
    <row r="864" spans="1:9" x14ac:dyDescent="0.3">
      <c r="A864" s="5">
        <v>42892</v>
      </c>
      <c r="B864">
        <v>88.760002</v>
      </c>
      <c r="C864">
        <v>88.970000999999996</v>
      </c>
      <c r="D864">
        <v>88.449996999999996</v>
      </c>
      <c r="E864">
        <v>88.800003000000004</v>
      </c>
      <c r="F864">
        <v>73.966080000000005</v>
      </c>
      <c r="G864">
        <v>6503000</v>
      </c>
      <c r="I864">
        <f t="shared" si="14"/>
        <v>1.8337161866113331E-5</v>
      </c>
    </row>
    <row r="865" spans="1:9" x14ac:dyDescent="0.3">
      <c r="A865" s="5">
        <v>42893</v>
      </c>
      <c r="B865">
        <v>88.68</v>
      </c>
      <c r="C865">
        <v>88.889999000000003</v>
      </c>
      <c r="D865">
        <v>88.400002000000001</v>
      </c>
      <c r="E865">
        <v>88.769997000000004</v>
      </c>
      <c r="F865">
        <v>73.941108999999997</v>
      </c>
      <c r="G865">
        <v>4781600</v>
      </c>
      <c r="I865">
        <f t="shared" si="14"/>
        <v>1.6403720317803704E-5</v>
      </c>
    </row>
    <row r="866" spans="1:9" x14ac:dyDescent="0.3">
      <c r="A866" s="5">
        <v>42894</v>
      </c>
      <c r="B866">
        <v>88.769997000000004</v>
      </c>
      <c r="C866">
        <v>88.800003000000004</v>
      </c>
      <c r="D866">
        <v>87.360000999999997</v>
      </c>
      <c r="E866">
        <v>87.849997999999999</v>
      </c>
      <c r="F866">
        <v>73.174781999999993</v>
      </c>
      <c r="G866">
        <v>7712100</v>
      </c>
      <c r="I866">
        <f t="shared" si="14"/>
        <v>9.3190015398003748E-5</v>
      </c>
    </row>
    <row r="867" spans="1:9" x14ac:dyDescent="0.3">
      <c r="A867" s="5">
        <v>42895</v>
      </c>
      <c r="B867">
        <v>87.849997999999999</v>
      </c>
      <c r="C867">
        <v>88.209998999999996</v>
      </c>
      <c r="D867">
        <v>87.550003000000004</v>
      </c>
      <c r="E867">
        <v>88.160004000000001</v>
      </c>
      <c r="F867">
        <v>73.432975999999996</v>
      </c>
      <c r="G867">
        <v>9696900</v>
      </c>
      <c r="I867">
        <f t="shared" si="14"/>
        <v>2.6069422186051053E-5</v>
      </c>
    </row>
    <row r="868" spans="1:9" x14ac:dyDescent="0.3">
      <c r="A868" s="5">
        <v>42898</v>
      </c>
      <c r="B868">
        <v>88.160004000000001</v>
      </c>
      <c r="C868">
        <v>88.660004000000001</v>
      </c>
      <c r="D868">
        <v>88.089995999999999</v>
      </c>
      <c r="E868">
        <v>88.239998</v>
      </c>
      <c r="F868">
        <v>73.499618999999996</v>
      </c>
      <c r="G868">
        <v>7867700</v>
      </c>
      <c r="I868">
        <f t="shared" si="14"/>
        <v>2.8206793593819773E-5</v>
      </c>
    </row>
    <row r="869" spans="1:9" x14ac:dyDescent="0.3">
      <c r="A869" s="5">
        <v>42899</v>
      </c>
      <c r="B869">
        <v>88.360000999999997</v>
      </c>
      <c r="C869">
        <v>88.400002000000001</v>
      </c>
      <c r="D869">
        <v>87.769997000000004</v>
      </c>
      <c r="E869">
        <v>88.059997999999993</v>
      </c>
      <c r="F869">
        <v>73.349677999999997</v>
      </c>
      <c r="G869">
        <v>6419300</v>
      </c>
      <c r="I869">
        <f t="shared" si="14"/>
        <v>2.3844048039491626E-5</v>
      </c>
    </row>
    <row r="870" spans="1:9" x14ac:dyDescent="0.3">
      <c r="A870" s="5">
        <v>42900</v>
      </c>
      <c r="B870">
        <v>88.489998</v>
      </c>
      <c r="C870">
        <v>88.75</v>
      </c>
      <c r="D870">
        <v>88.059997999999993</v>
      </c>
      <c r="E870">
        <v>88.440002000000007</v>
      </c>
      <c r="F870">
        <v>73.666199000000006</v>
      </c>
      <c r="G870">
        <v>6183900</v>
      </c>
      <c r="I870">
        <f t="shared" si="14"/>
        <v>3.1241042223759938E-5</v>
      </c>
    </row>
    <row r="871" spans="1:9" x14ac:dyDescent="0.3">
      <c r="A871" s="5">
        <v>42901</v>
      </c>
      <c r="B871">
        <v>88.230002999999996</v>
      </c>
      <c r="C871">
        <v>89.620002999999997</v>
      </c>
      <c r="D871">
        <v>88.230002999999996</v>
      </c>
      <c r="E871">
        <v>89.379997000000003</v>
      </c>
      <c r="F871">
        <v>74.449180999999996</v>
      </c>
      <c r="G871">
        <v>7047500</v>
      </c>
      <c r="I871">
        <f t="shared" si="14"/>
        <v>4.1917857656034325E-5</v>
      </c>
    </row>
    <row r="872" spans="1:9" x14ac:dyDescent="0.3">
      <c r="A872" s="5">
        <v>42902</v>
      </c>
      <c r="B872">
        <v>89.720000999999996</v>
      </c>
      <c r="C872">
        <v>89.769997000000004</v>
      </c>
      <c r="D872">
        <v>88.809997999999993</v>
      </c>
      <c r="E872">
        <v>89.660004000000001</v>
      </c>
      <c r="F872">
        <v>74.682411000000002</v>
      </c>
      <c r="G872">
        <v>13855000</v>
      </c>
      <c r="I872">
        <f t="shared" si="14"/>
        <v>9.7791098750369385E-5</v>
      </c>
    </row>
    <row r="873" spans="1:9" x14ac:dyDescent="0.3">
      <c r="A873" s="5">
        <v>42905</v>
      </c>
      <c r="B873">
        <v>89.599997999999999</v>
      </c>
      <c r="C873">
        <v>89.860000999999997</v>
      </c>
      <c r="D873">
        <v>89.199996999999996</v>
      </c>
      <c r="E873">
        <v>89.860000999999997</v>
      </c>
      <c r="F873">
        <v>74.848999000000006</v>
      </c>
      <c r="G873">
        <v>5246200</v>
      </c>
      <c r="I873">
        <f t="shared" si="14"/>
        <v>3.2984070474594193E-5</v>
      </c>
    </row>
    <row r="874" spans="1:9" x14ac:dyDescent="0.3">
      <c r="A874" s="5">
        <v>42906</v>
      </c>
      <c r="B874">
        <v>89.769997000000004</v>
      </c>
      <c r="C874">
        <v>90.209998999999996</v>
      </c>
      <c r="D874">
        <v>89.610000999999997</v>
      </c>
      <c r="E874">
        <v>89.629997000000003</v>
      </c>
      <c r="F874">
        <v>74.657432999999997</v>
      </c>
      <c r="G874">
        <v>5674200</v>
      </c>
      <c r="I874">
        <f t="shared" si="14"/>
        <v>3.1936151760364265E-5</v>
      </c>
    </row>
    <row r="875" spans="1:9" x14ac:dyDescent="0.3">
      <c r="A875" s="5">
        <v>42907</v>
      </c>
      <c r="B875">
        <v>89.620002999999997</v>
      </c>
      <c r="C875">
        <v>89.949996999999996</v>
      </c>
      <c r="D875">
        <v>89.290001000000004</v>
      </c>
      <c r="E875">
        <v>89.400002000000001</v>
      </c>
      <c r="F875">
        <v>74.465843000000007</v>
      </c>
      <c r="G875">
        <v>4164500</v>
      </c>
      <c r="I875">
        <f t="shared" si="14"/>
        <v>2.7083862659249313E-5</v>
      </c>
    </row>
    <row r="876" spans="1:9" x14ac:dyDescent="0.3">
      <c r="A876" s="5">
        <v>42908</v>
      </c>
      <c r="B876">
        <v>89.269997000000004</v>
      </c>
      <c r="C876">
        <v>89.410004000000001</v>
      </c>
      <c r="D876">
        <v>88.900002000000001</v>
      </c>
      <c r="E876">
        <v>89.029999000000004</v>
      </c>
      <c r="F876">
        <v>74.157639000000003</v>
      </c>
      <c r="G876">
        <v>4536700</v>
      </c>
      <c r="I876">
        <f t="shared" si="14"/>
        <v>1.2743544166248142E-5</v>
      </c>
    </row>
    <row r="877" spans="1:9" x14ac:dyDescent="0.3">
      <c r="A877" s="5">
        <v>42909</v>
      </c>
      <c r="B877">
        <v>89.029999000000004</v>
      </c>
      <c r="C877">
        <v>89.800003000000004</v>
      </c>
      <c r="D877">
        <v>88.900002000000001</v>
      </c>
      <c r="E877">
        <v>89.419998000000007</v>
      </c>
      <c r="F877">
        <v>74.482512999999997</v>
      </c>
      <c r="G877">
        <v>8782100</v>
      </c>
      <c r="I877">
        <f t="shared" si="14"/>
        <v>4.5041066171256305E-5</v>
      </c>
    </row>
    <row r="878" spans="1:9" x14ac:dyDescent="0.3">
      <c r="A878" s="5">
        <v>42912</v>
      </c>
      <c r="B878">
        <v>89.629997000000003</v>
      </c>
      <c r="C878">
        <v>89.68</v>
      </c>
      <c r="D878">
        <v>89.269997000000004</v>
      </c>
      <c r="E878">
        <v>89.360000999999997</v>
      </c>
      <c r="F878">
        <v>74.432518000000002</v>
      </c>
      <c r="G878">
        <v>4373300</v>
      </c>
      <c r="I878">
        <f t="shared" si="14"/>
        <v>6.0493051533359496E-6</v>
      </c>
    </row>
    <row r="879" spans="1:9" x14ac:dyDescent="0.3">
      <c r="A879" s="5">
        <v>42913</v>
      </c>
      <c r="B879">
        <v>89.360000999999997</v>
      </c>
      <c r="C879">
        <v>89.360000999999997</v>
      </c>
      <c r="D879">
        <v>88.610000999999997</v>
      </c>
      <c r="E879">
        <v>88.610000999999997</v>
      </c>
      <c r="F879">
        <v>73.807816000000003</v>
      </c>
      <c r="G879">
        <v>5180400</v>
      </c>
      <c r="I879">
        <f t="shared" si="14"/>
        <v>0</v>
      </c>
    </row>
    <row r="880" spans="1:9" x14ac:dyDescent="0.3">
      <c r="A880" s="5">
        <v>42914</v>
      </c>
      <c r="B880">
        <v>89.080001999999993</v>
      </c>
      <c r="C880">
        <v>89.209998999999996</v>
      </c>
      <c r="D880">
        <v>88.260002</v>
      </c>
      <c r="E880">
        <v>88.370002999999997</v>
      </c>
      <c r="F880">
        <v>73.607902999999993</v>
      </c>
      <c r="G880">
        <v>4875000</v>
      </c>
      <c r="I880">
        <f t="shared" si="14"/>
        <v>2.5314660681421703E-5</v>
      </c>
    </row>
    <row r="881" spans="1:9" x14ac:dyDescent="0.3">
      <c r="A881" s="5">
        <v>42915</v>
      </c>
      <c r="B881">
        <v>88.019997000000004</v>
      </c>
      <c r="C881">
        <v>88.220000999999996</v>
      </c>
      <c r="D881">
        <v>86.93</v>
      </c>
      <c r="E881">
        <v>86.989998</v>
      </c>
      <c r="F881">
        <v>72.458420000000004</v>
      </c>
      <c r="G881">
        <v>8123500</v>
      </c>
      <c r="I881">
        <f t="shared" si="14"/>
        <v>4.0464901760484146E-5</v>
      </c>
    </row>
    <row r="882" spans="1:9" x14ac:dyDescent="0.3">
      <c r="A882" s="5">
        <v>42916</v>
      </c>
      <c r="B882">
        <v>87.050003000000004</v>
      </c>
      <c r="C882">
        <v>87.470000999999996</v>
      </c>
      <c r="D882">
        <v>87</v>
      </c>
      <c r="E882">
        <v>87.150002000000001</v>
      </c>
      <c r="F882">
        <v>72.591712999999999</v>
      </c>
      <c r="G882">
        <v>6070300</v>
      </c>
      <c r="I882">
        <f t="shared" si="14"/>
        <v>1.8630605711252181E-5</v>
      </c>
    </row>
    <row r="883" spans="1:9" x14ac:dyDescent="0.3">
      <c r="A883" s="5">
        <v>42919</v>
      </c>
      <c r="B883">
        <v>87.400002000000001</v>
      </c>
      <c r="C883">
        <v>88</v>
      </c>
      <c r="D883">
        <v>87.18</v>
      </c>
      <c r="E883">
        <v>87.739998</v>
      </c>
      <c r="F883">
        <v>73.083152999999996</v>
      </c>
      <c r="G883">
        <v>3607400</v>
      </c>
      <c r="I883">
        <f t="shared" si="14"/>
        <v>3.6381295749944055E-5</v>
      </c>
    </row>
    <row r="884" spans="1:9" x14ac:dyDescent="0.3">
      <c r="A884" s="5">
        <v>42921</v>
      </c>
      <c r="B884">
        <v>87.860000999999997</v>
      </c>
      <c r="C884">
        <v>88</v>
      </c>
      <c r="D884">
        <v>87.489998</v>
      </c>
      <c r="E884">
        <v>87.669998000000007</v>
      </c>
      <c r="F884">
        <v>73.024833999999998</v>
      </c>
      <c r="G884">
        <v>4974300</v>
      </c>
      <c r="I884">
        <f t="shared" si="14"/>
        <v>1.465544549577028E-5</v>
      </c>
    </row>
    <row r="885" spans="1:9" x14ac:dyDescent="0.3">
      <c r="A885" s="5">
        <v>42922</v>
      </c>
      <c r="B885">
        <v>87.650002000000001</v>
      </c>
      <c r="C885">
        <v>87.949996999999996</v>
      </c>
      <c r="D885">
        <v>87.360000999999997</v>
      </c>
      <c r="E885">
        <v>87.370002999999997</v>
      </c>
      <c r="F885">
        <v>72.774956000000003</v>
      </c>
      <c r="G885">
        <v>6038900</v>
      </c>
      <c r="I885">
        <f t="shared" si="14"/>
        <v>2.2986448397980103E-5</v>
      </c>
    </row>
    <row r="886" spans="1:9" x14ac:dyDescent="0.3">
      <c r="A886" s="5">
        <v>42923</v>
      </c>
      <c r="B886">
        <v>87.690002000000007</v>
      </c>
      <c r="C886">
        <v>87.82</v>
      </c>
      <c r="D886">
        <v>87.279999000000004</v>
      </c>
      <c r="E886">
        <v>87.650002000000001</v>
      </c>
      <c r="F886">
        <v>73.008178999999998</v>
      </c>
      <c r="G886">
        <v>5142200</v>
      </c>
      <c r="I886">
        <f t="shared" si="14"/>
        <v>2.2695933459085082E-5</v>
      </c>
    </row>
    <row r="887" spans="1:9" x14ac:dyDescent="0.3">
      <c r="A887" s="5">
        <v>42926</v>
      </c>
      <c r="B887">
        <v>87.629997000000003</v>
      </c>
      <c r="C887">
        <v>87.870002999999997</v>
      </c>
      <c r="D887">
        <v>86.889999000000003</v>
      </c>
      <c r="E887">
        <v>87.089995999999999</v>
      </c>
      <c r="F887">
        <v>72.541732999999994</v>
      </c>
      <c r="G887">
        <v>5356400</v>
      </c>
      <c r="I887">
        <f t="shared" si="14"/>
        <v>4.388473446409525E-5</v>
      </c>
    </row>
    <row r="888" spans="1:9" x14ac:dyDescent="0.3">
      <c r="A888" s="5">
        <v>42927</v>
      </c>
      <c r="B888">
        <v>87.230002999999996</v>
      </c>
      <c r="C888">
        <v>87.449996999999996</v>
      </c>
      <c r="D888">
        <v>86.309997999999993</v>
      </c>
      <c r="E888">
        <v>86.769997000000004</v>
      </c>
      <c r="F888">
        <v>72.275176999999999</v>
      </c>
      <c r="G888">
        <v>5838600</v>
      </c>
      <c r="I888">
        <f t="shared" si="14"/>
        <v>7.6021915092183381E-5</v>
      </c>
    </row>
    <row r="889" spans="1:9" x14ac:dyDescent="0.3">
      <c r="A889" s="5">
        <v>42928</v>
      </c>
      <c r="B889">
        <v>87.239998</v>
      </c>
      <c r="C889">
        <v>87.470000999999996</v>
      </c>
      <c r="D889">
        <v>86.830001999999993</v>
      </c>
      <c r="E889">
        <v>86.959998999999996</v>
      </c>
      <c r="F889">
        <v>72.433441000000002</v>
      </c>
      <c r="G889">
        <v>4374200</v>
      </c>
      <c r="I889">
        <f t="shared" si="14"/>
        <v>2.2444047710454406E-5</v>
      </c>
    </row>
    <row r="890" spans="1:9" x14ac:dyDescent="0.3">
      <c r="A890" s="5">
        <v>42929</v>
      </c>
      <c r="B890">
        <v>86.769997000000004</v>
      </c>
      <c r="C890">
        <v>87.050003000000004</v>
      </c>
      <c r="D890">
        <v>86.5</v>
      </c>
      <c r="E890">
        <v>86.699996999999996</v>
      </c>
      <c r="F890">
        <v>72.216873000000007</v>
      </c>
      <c r="G890">
        <v>5448900</v>
      </c>
      <c r="I890">
        <f t="shared" si="14"/>
        <v>2.0177470230202517E-5</v>
      </c>
    </row>
    <row r="891" spans="1:9" x14ac:dyDescent="0.3">
      <c r="A891" s="5">
        <v>42930</v>
      </c>
      <c r="B891">
        <v>86.959998999999996</v>
      </c>
      <c r="C891">
        <v>87.290001000000004</v>
      </c>
      <c r="D891">
        <v>86.730002999999996</v>
      </c>
      <c r="E891">
        <v>87.099997999999999</v>
      </c>
      <c r="F891">
        <v>72.550040999999993</v>
      </c>
      <c r="G891">
        <v>4577700</v>
      </c>
      <c r="I891">
        <f t="shared" si="14"/>
        <v>1.9527584602670978E-5</v>
      </c>
    </row>
    <row r="892" spans="1:9" x14ac:dyDescent="0.3">
      <c r="A892" s="5">
        <v>42933</v>
      </c>
      <c r="B892">
        <v>87.07</v>
      </c>
      <c r="C892">
        <v>87.910004000000001</v>
      </c>
      <c r="D892">
        <v>86.739998</v>
      </c>
      <c r="E892">
        <v>87.550003000000004</v>
      </c>
      <c r="F892">
        <v>72.924896000000004</v>
      </c>
      <c r="G892">
        <v>5227800</v>
      </c>
      <c r="I892">
        <f t="shared" si="14"/>
        <v>7.4694358540117314E-5</v>
      </c>
    </row>
    <row r="893" spans="1:9" x14ac:dyDescent="0.3">
      <c r="A893" s="5">
        <v>42934</v>
      </c>
      <c r="B893">
        <v>87.610000999999997</v>
      </c>
      <c r="C893">
        <v>88.760002</v>
      </c>
      <c r="D893">
        <v>87.459998999999996</v>
      </c>
      <c r="E893">
        <v>88.639999000000003</v>
      </c>
      <c r="F893">
        <v>73.832802000000001</v>
      </c>
      <c r="G893">
        <v>7492300</v>
      </c>
      <c r="I893">
        <f t="shared" si="14"/>
        <v>4.0608663460195435E-5</v>
      </c>
    </row>
    <row r="894" spans="1:9" x14ac:dyDescent="0.3">
      <c r="A894" s="5">
        <v>42935</v>
      </c>
      <c r="B894">
        <v>87.870002999999997</v>
      </c>
      <c r="C894">
        <v>88.410004000000001</v>
      </c>
      <c r="D894">
        <v>87.599997999999999</v>
      </c>
      <c r="E894">
        <v>88.349997999999999</v>
      </c>
      <c r="F894">
        <v>74.168593999999999</v>
      </c>
      <c r="G894">
        <v>6008500</v>
      </c>
      <c r="I894">
        <f t="shared" si="14"/>
        <v>3.0396093677927654E-5</v>
      </c>
    </row>
    <row r="895" spans="1:9" x14ac:dyDescent="0.3">
      <c r="A895" s="5">
        <v>42936</v>
      </c>
      <c r="B895">
        <v>88.32</v>
      </c>
      <c r="C895">
        <v>89.309997999999993</v>
      </c>
      <c r="D895">
        <v>88.309997999999993</v>
      </c>
      <c r="E895">
        <v>88.599997999999999</v>
      </c>
      <c r="F895">
        <v>74.378471000000005</v>
      </c>
      <c r="G895">
        <v>7285000</v>
      </c>
      <c r="I895">
        <f t="shared" si="14"/>
        <v>8.9341140753279201E-5</v>
      </c>
    </row>
    <row r="896" spans="1:9" x14ac:dyDescent="0.3">
      <c r="A896" s="5">
        <v>42937</v>
      </c>
      <c r="B896">
        <v>88.160004000000001</v>
      </c>
      <c r="C896">
        <v>88.68</v>
      </c>
      <c r="D896">
        <v>87.809997999999993</v>
      </c>
      <c r="E896">
        <v>88.610000999999997</v>
      </c>
      <c r="F896">
        <v>74.386864000000003</v>
      </c>
      <c r="G896">
        <v>5714800</v>
      </c>
      <c r="I896">
        <f t="shared" si="14"/>
        <v>4.0722102991709231E-5</v>
      </c>
    </row>
    <row r="897" spans="1:9" x14ac:dyDescent="0.3">
      <c r="A897" s="5">
        <v>42940</v>
      </c>
      <c r="B897">
        <v>88.550003000000004</v>
      </c>
      <c r="C897">
        <v>88.599997999999999</v>
      </c>
      <c r="D897">
        <v>87.970000999999996</v>
      </c>
      <c r="E897">
        <v>88.18</v>
      </c>
      <c r="F897">
        <v>74.025879000000003</v>
      </c>
      <c r="G897">
        <v>6202000</v>
      </c>
      <c r="I897">
        <f t="shared" si="14"/>
        <v>1.8350671150991908E-5</v>
      </c>
    </row>
    <row r="898" spans="1:9" x14ac:dyDescent="0.3">
      <c r="A898" s="5">
        <v>42941</v>
      </c>
      <c r="B898">
        <v>88.669998000000007</v>
      </c>
      <c r="C898">
        <v>89.199996999999996</v>
      </c>
      <c r="D898">
        <v>88.540001000000004</v>
      </c>
      <c r="E898">
        <v>89.139999000000003</v>
      </c>
      <c r="F898">
        <v>74.831787000000006</v>
      </c>
      <c r="G898">
        <v>6766700</v>
      </c>
      <c r="I898">
        <f t="shared" si="14"/>
        <v>1.3918522438485541E-5</v>
      </c>
    </row>
    <row r="899" spans="1:9" x14ac:dyDescent="0.3">
      <c r="A899" s="5">
        <v>42942</v>
      </c>
      <c r="B899">
        <v>89</v>
      </c>
      <c r="C899">
        <v>89.419998000000007</v>
      </c>
      <c r="D899">
        <v>88.870002999999997</v>
      </c>
      <c r="E899">
        <v>89.300003000000004</v>
      </c>
      <c r="F899">
        <v>74.966103000000004</v>
      </c>
      <c r="G899">
        <v>6987000</v>
      </c>
      <c r="I899">
        <f t="shared" si="14"/>
        <v>1.3377461662953435E-5</v>
      </c>
    </row>
    <row r="900" spans="1:9" x14ac:dyDescent="0.3">
      <c r="A900" s="5">
        <v>42943</v>
      </c>
      <c r="B900">
        <v>90.290001000000004</v>
      </c>
      <c r="C900">
        <v>90.75</v>
      </c>
      <c r="D900">
        <v>89</v>
      </c>
      <c r="E900">
        <v>90.68</v>
      </c>
      <c r="F900">
        <v>76.124595999999997</v>
      </c>
      <c r="G900">
        <v>11089200</v>
      </c>
      <c r="I900">
        <f t="shared" si="14"/>
        <v>2.7302749367658546E-4</v>
      </c>
    </row>
    <row r="901" spans="1:9" x14ac:dyDescent="0.3">
      <c r="A901" s="5">
        <v>42944</v>
      </c>
      <c r="B901">
        <v>90.559997999999993</v>
      </c>
      <c r="C901">
        <v>91</v>
      </c>
      <c r="D901">
        <v>89.959998999999996</v>
      </c>
      <c r="E901">
        <v>90.209998999999996</v>
      </c>
      <c r="F901">
        <v>75.730057000000002</v>
      </c>
      <c r="G901">
        <v>6137500</v>
      </c>
      <c r="I901">
        <f t="shared" si="14"/>
        <v>6.0709169948453894E-5</v>
      </c>
    </row>
    <row r="902" spans="1:9" x14ac:dyDescent="0.3">
      <c r="A902" s="5">
        <v>42947</v>
      </c>
      <c r="B902">
        <v>90.209998999999996</v>
      </c>
      <c r="C902">
        <v>91.07</v>
      </c>
      <c r="D902">
        <v>90.209998999999996</v>
      </c>
      <c r="E902">
        <v>90.82</v>
      </c>
      <c r="F902">
        <v>76.242119000000002</v>
      </c>
      <c r="G902">
        <v>7835700</v>
      </c>
      <c r="I902">
        <f t="shared" si="14"/>
        <v>2.6082173212472443E-5</v>
      </c>
    </row>
    <row r="903" spans="1:9" x14ac:dyDescent="0.3">
      <c r="A903" s="5">
        <v>42948</v>
      </c>
      <c r="B903">
        <v>91.029999000000004</v>
      </c>
      <c r="C903">
        <v>91.730002999999996</v>
      </c>
      <c r="D903">
        <v>90.720000999999996</v>
      </c>
      <c r="E903">
        <v>91.099997999999999</v>
      </c>
      <c r="F903">
        <v>76.477187999999998</v>
      </c>
      <c r="G903">
        <v>8662100</v>
      </c>
      <c r="I903">
        <f t="shared" si="14"/>
        <v>6.7052247313128236E-5</v>
      </c>
    </row>
    <row r="904" spans="1:9" x14ac:dyDescent="0.3">
      <c r="A904" s="5">
        <v>42949</v>
      </c>
      <c r="B904">
        <v>90.970000999999996</v>
      </c>
      <c r="C904">
        <v>91.300003000000004</v>
      </c>
      <c r="D904">
        <v>90.529999000000004</v>
      </c>
      <c r="E904">
        <v>91.040001000000004</v>
      </c>
      <c r="F904">
        <v>76.426826000000005</v>
      </c>
      <c r="G904">
        <v>7167700</v>
      </c>
      <c r="I904">
        <f t="shared" si="14"/>
        <v>3.756412253366857E-5</v>
      </c>
    </row>
    <row r="905" spans="1:9" x14ac:dyDescent="0.3">
      <c r="A905" s="5">
        <v>42950</v>
      </c>
      <c r="B905">
        <v>90.860000999999997</v>
      </c>
      <c r="C905">
        <v>91.75</v>
      </c>
      <c r="D905">
        <v>90.82</v>
      </c>
      <c r="E905">
        <v>90.860000999999997</v>
      </c>
      <c r="F905">
        <v>76.275695999999996</v>
      </c>
      <c r="G905">
        <v>6413200</v>
      </c>
      <c r="I905">
        <f t="shared" si="14"/>
        <v>9.5209914143016481E-5</v>
      </c>
    </row>
    <row r="906" spans="1:9" x14ac:dyDescent="0.3">
      <c r="A906" s="5">
        <v>42951</v>
      </c>
      <c r="B906">
        <v>90.690002000000007</v>
      </c>
      <c r="C906">
        <v>91.080001999999993</v>
      </c>
      <c r="D906">
        <v>90.529999000000004</v>
      </c>
      <c r="E906">
        <v>90.669998000000007</v>
      </c>
      <c r="F906">
        <v>76.116202999999999</v>
      </c>
      <c r="G906">
        <v>5824400</v>
      </c>
      <c r="I906">
        <f t="shared" si="14"/>
        <v>2.2089196590985351E-5</v>
      </c>
    </row>
    <row r="907" spans="1:9" x14ac:dyDescent="0.3">
      <c r="A907" s="5">
        <v>42954</v>
      </c>
      <c r="B907">
        <v>90.669998000000007</v>
      </c>
      <c r="C907">
        <v>91.559997999999993</v>
      </c>
      <c r="D907">
        <v>90.519997000000004</v>
      </c>
      <c r="E907">
        <v>91.440002000000007</v>
      </c>
      <c r="F907">
        <v>76.762603999999996</v>
      </c>
      <c r="G907">
        <v>5011300</v>
      </c>
      <c r="I907">
        <f t="shared" si="14"/>
        <v>2.9553187689620024E-5</v>
      </c>
    </row>
    <row r="908" spans="1:9" x14ac:dyDescent="0.3">
      <c r="A908" s="5">
        <v>42955</v>
      </c>
      <c r="B908">
        <v>91.400002000000001</v>
      </c>
      <c r="C908">
        <v>91.940002000000007</v>
      </c>
      <c r="D908">
        <v>91.230002999999996</v>
      </c>
      <c r="E908">
        <v>91.580001999999993</v>
      </c>
      <c r="F908">
        <v>76.880156999999997</v>
      </c>
      <c r="G908">
        <v>5623400</v>
      </c>
      <c r="I908">
        <f t="shared" ref="I908:I971" si="15">LN(C908/B908)*(LN(C908/B908)-LN(E908/B908))+LN(D908/B908)*(LN(D908/B908)-LN(E908/B908))</f>
        <v>3.0239488429324898E-5</v>
      </c>
    </row>
    <row r="909" spans="1:9" x14ac:dyDescent="0.3">
      <c r="A909" s="5">
        <v>42956</v>
      </c>
      <c r="B909">
        <v>91.519997000000004</v>
      </c>
      <c r="C909">
        <v>91.940002000000007</v>
      </c>
      <c r="D909">
        <v>91.519997000000004</v>
      </c>
      <c r="E909">
        <v>91.919998000000007</v>
      </c>
      <c r="F909">
        <v>77.165558000000004</v>
      </c>
      <c r="G909">
        <v>5572800</v>
      </c>
      <c r="I909">
        <f t="shared" si="15"/>
        <v>9.9633047778864444E-7</v>
      </c>
    </row>
    <row r="910" spans="1:9" x14ac:dyDescent="0.3">
      <c r="A910" s="5">
        <v>42957</v>
      </c>
      <c r="B910">
        <v>91.860000999999997</v>
      </c>
      <c r="C910">
        <v>92</v>
      </c>
      <c r="D910">
        <v>91.690002000000007</v>
      </c>
      <c r="E910">
        <v>91.739998</v>
      </c>
      <c r="F910">
        <v>77.014458000000005</v>
      </c>
      <c r="G910">
        <v>6338200</v>
      </c>
      <c r="I910">
        <f t="shared" si="15"/>
        <v>5.319695266027474E-6</v>
      </c>
    </row>
    <row r="911" spans="1:9" x14ac:dyDescent="0.3">
      <c r="A911" s="5">
        <v>42958</v>
      </c>
      <c r="B911">
        <v>91.940002000000007</v>
      </c>
      <c r="C911">
        <v>92.080001999999993</v>
      </c>
      <c r="D911">
        <v>91.290001000000004</v>
      </c>
      <c r="E911">
        <v>91.339995999999999</v>
      </c>
      <c r="F911">
        <v>76.678657999999999</v>
      </c>
      <c r="G911">
        <v>7094200</v>
      </c>
      <c r="I911">
        <f t="shared" si="15"/>
        <v>1.6162101791554127E-5</v>
      </c>
    </row>
    <row r="912" spans="1:9" x14ac:dyDescent="0.3">
      <c r="A912" s="5">
        <v>42961</v>
      </c>
      <c r="B912">
        <v>91.540001000000004</v>
      </c>
      <c r="C912">
        <v>91.949996999999996</v>
      </c>
      <c r="D912">
        <v>91.25</v>
      </c>
      <c r="E912">
        <v>91.650002000000001</v>
      </c>
      <c r="F912">
        <v>76.938911000000004</v>
      </c>
      <c r="G912">
        <v>5398400</v>
      </c>
      <c r="I912">
        <f t="shared" si="15"/>
        <v>2.8482875826356398E-5</v>
      </c>
    </row>
    <row r="913" spans="1:9" x14ac:dyDescent="0.3">
      <c r="A913" s="5">
        <v>42962</v>
      </c>
      <c r="B913">
        <v>91.910004000000001</v>
      </c>
      <c r="C913">
        <v>92.360000999999997</v>
      </c>
      <c r="D913">
        <v>91.879997000000003</v>
      </c>
      <c r="E913">
        <v>92.199996999999996</v>
      </c>
      <c r="F913">
        <v>77.400627</v>
      </c>
      <c r="G913">
        <v>5293400</v>
      </c>
      <c r="I913">
        <f t="shared" si="15"/>
        <v>9.6038367571935171E-6</v>
      </c>
    </row>
    <row r="914" spans="1:9" x14ac:dyDescent="0.3">
      <c r="A914" s="5">
        <v>42963</v>
      </c>
      <c r="B914">
        <v>92.290001000000004</v>
      </c>
      <c r="C914">
        <v>92.949996999999996</v>
      </c>
      <c r="D914">
        <v>92.190002000000007</v>
      </c>
      <c r="E914">
        <v>92.440002000000007</v>
      </c>
      <c r="F914">
        <v>77.602112000000005</v>
      </c>
      <c r="G914">
        <v>7965500</v>
      </c>
      <c r="I914">
        <f t="shared" si="15"/>
        <v>4.2141608897584428E-5</v>
      </c>
    </row>
    <row r="915" spans="1:9" x14ac:dyDescent="0.3">
      <c r="A915" s="5">
        <v>42964</v>
      </c>
      <c r="B915">
        <v>92.400002000000001</v>
      </c>
      <c r="C915">
        <v>92.669998000000007</v>
      </c>
      <c r="D915">
        <v>92.07</v>
      </c>
      <c r="E915">
        <v>92.07</v>
      </c>
      <c r="F915">
        <v>77.291488999999999</v>
      </c>
      <c r="G915">
        <v>5711400</v>
      </c>
      <c r="I915">
        <f t="shared" si="15"/>
        <v>1.8952739777597668E-5</v>
      </c>
    </row>
    <row r="916" spans="1:9" x14ac:dyDescent="0.3">
      <c r="A916" s="5">
        <v>42965</v>
      </c>
      <c r="B916">
        <v>91.980002999999996</v>
      </c>
      <c r="C916">
        <v>92.779999000000004</v>
      </c>
      <c r="D916">
        <v>91.849997999999999</v>
      </c>
      <c r="E916">
        <v>92.470000999999996</v>
      </c>
      <c r="F916">
        <v>77.627280999999996</v>
      </c>
      <c r="G916">
        <v>6815000</v>
      </c>
      <c r="I916">
        <f t="shared" si="15"/>
        <v>3.8498412781443652E-5</v>
      </c>
    </row>
    <row r="917" spans="1:9" x14ac:dyDescent="0.3">
      <c r="A917" s="5">
        <v>42968</v>
      </c>
      <c r="B917">
        <v>92.379997000000003</v>
      </c>
      <c r="C917">
        <v>92.959998999999996</v>
      </c>
      <c r="D917">
        <v>92.360000999999997</v>
      </c>
      <c r="E917">
        <v>92.860000999999997</v>
      </c>
      <c r="F917">
        <v>77.954696999999996</v>
      </c>
      <c r="G917">
        <v>4334300</v>
      </c>
      <c r="I917">
        <f t="shared" si="15"/>
        <v>7.9050481283968127E-6</v>
      </c>
    </row>
    <row r="918" spans="1:9" x14ac:dyDescent="0.3">
      <c r="A918" s="5">
        <v>42969</v>
      </c>
      <c r="B918">
        <v>92.910004000000001</v>
      </c>
      <c r="C918">
        <v>92.959998999999996</v>
      </c>
      <c r="D918">
        <v>92.589995999999999</v>
      </c>
      <c r="E918">
        <v>92.790001000000004</v>
      </c>
      <c r="F918">
        <v>77.895911999999996</v>
      </c>
      <c r="G918">
        <v>4731500</v>
      </c>
      <c r="I918">
        <f t="shared" si="15"/>
        <v>8.4295159487783743E-6</v>
      </c>
    </row>
    <row r="919" spans="1:9" x14ac:dyDescent="0.3">
      <c r="A919" s="5">
        <v>42970</v>
      </c>
      <c r="B919">
        <v>92.5</v>
      </c>
      <c r="C919">
        <v>92.660004000000001</v>
      </c>
      <c r="D919">
        <v>92.279999000000004</v>
      </c>
      <c r="E919">
        <v>92.440002000000007</v>
      </c>
      <c r="F919">
        <v>77.602112000000005</v>
      </c>
      <c r="G919">
        <v>3631900</v>
      </c>
      <c r="I919">
        <f t="shared" si="15"/>
        <v>8.2335113466363143E-6</v>
      </c>
    </row>
    <row r="920" spans="1:9" x14ac:dyDescent="0.3">
      <c r="A920" s="5">
        <v>42971</v>
      </c>
      <c r="B920">
        <v>92.440002000000007</v>
      </c>
      <c r="C920">
        <v>92.57</v>
      </c>
      <c r="D920">
        <v>92.040001000000004</v>
      </c>
      <c r="E920">
        <v>92.269997000000004</v>
      </c>
      <c r="F920">
        <v>77.459389000000002</v>
      </c>
      <c r="G920">
        <v>5173700</v>
      </c>
      <c r="I920">
        <f t="shared" si="15"/>
        <v>1.5384661221534829E-5</v>
      </c>
    </row>
    <row r="921" spans="1:9" x14ac:dyDescent="0.3">
      <c r="A921" s="5">
        <v>42972</v>
      </c>
      <c r="B921">
        <v>92.650002000000001</v>
      </c>
      <c r="C921">
        <v>92.860000999999997</v>
      </c>
      <c r="D921">
        <v>92.410004000000001</v>
      </c>
      <c r="E921">
        <v>92.510002</v>
      </c>
      <c r="F921">
        <v>77.660858000000005</v>
      </c>
      <c r="G921">
        <v>4933000</v>
      </c>
      <c r="I921">
        <f t="shared" si="15"/>
        <v>1.1354638191920924E-5</v>
      </c>
    </row>
    <row r="922" spans="1:9" x14ac:dyDescent="0.3">
      <c r="A922" s="5">
        <v>42975</v>
      </c>
      <c r="B922">
        <v>92.519997000000004</v>
      </c>
      <c r="C922">
        <v>92.709998999999996</v>
      </c>
      <c r="D922">
        <v>91.980002999999996</v>
      </c>
      <c r="E922">
        <v>92.470000999999996</v>
      </c>
      <c r="F922">
        <v>77.627280999999996</v>
      </c>
      <c r="G922">
        <v>5386500</v>
      </c>
      <c r="I922">
        <f t="shared" si="15"/>
        <v>3.6418383533568331E-5</v>
      </c>
    </row>
    <row r="923" spans="1:9" x14ac:dyDescent="0.3">
      <c r="A923" s="5">
        <v>42976</v>
      </c>
      <c r="B923">
        <v>92.480002999999996</v>
      </c>
      <c r="C923">
        <v>92.690002000000007</v>
      </c>
      <c r="D923">
        <v>92.239998</v>
      </c>
      <c r="E923">
        <v>92.32</v>
      </c>
      <c r="F923">
        <v>77.501350000000002</v>
      </c>
      <c r="G923">
        <v>3676300</v>
      </c>
      <c r="I923">
        <f t="shared" si="15"/>
        <v>1.1325112712262923E-5</v>
      </c>
    </row>
    <row r="924" spans="1:9" x14ac:dyDescent="0.3">
      <c r="A924" s="5">
        <v>42977</v>
      </c>
      <c r="B924">
        <v>92.080001999999993</v>
      </c>
      <c r="C924">
        <v>92.080001999999993</v>
      </c>
      <c r="D924">
        <v>91.660004000000001</v>
      </c>
      <c r="E924">
        <v>91.870002999999997</v>
      </c>
      <c r="F924">
        <v>77.123588999999996</v>
      </c>
      <c r="G924">
        <v>4709600</v>
      </c>
      <c r="I924">
        <f t="shared" si="15"/>
        <v>1.046199670355674E-5</v>
      </c>
    </row>
    <row r="925" spans="1:9" x14ac:dyDescent="0.3">
      <c r="A925" s="5">
        <v>42978</v>
      </c>
      <c r="B925">
        <v>91.889999000000003</v>
      </c>
      <c r="C925">
        <v>92.389999000000003</v>
      </c>
      <c r="D925">
        <v>91.839995999999999</v>
      </c>
      <c r="E925">
        <v>92.269997000000004</v>
      </c>
      <c r="F925">
        <v>77.459389000000002</v>
      </c>
      <c r="G925">
        <v>5864400</v>
      </c>
      <c r="I925">
        <f t="shared" si="15"/>
        <v>9.5954604022053962E-6</v>
      </c>
    </row>
    <row r="926" spans="1:9" x14ac:dyDescent="0.3">
      <c r="A926" s="5">
        <v>42979</v>
      </c>
      <c r="B926">
        <v>92.419998000000007</v>
      </c>
      <c r="C926">
        <v>92.660004000000001</v>
      </c>
      <c r="D926">
        <v>92.260002</v>
      </c>
      <c r="E926">
        <v>92.529999000000004</v>
      </c>
      <c r="F926">
        <v>77.677643000000003</v>
      </c>
      <c r="G926">
        <v>4960700</v>
      </c>
      <c r="I926">
        <f t="shared" si="15"/>
        <v>8.7046341202681543E-6</v>
      </c>
    </row>
    <row r="927" spans="1:9" x14ac:dyDescent="0.3">
      <c r="A927" s="5">
        <v>42983</v>
      </c>
      <c r="B927">
        <v>92.18</v>
      </c>
      <c r="C927">
        <v>92.739998</v>
      </c>
      <c r="D927">
        <v>92.040001000000004</v>
      </c>
      <c r="E927">
        <v>92.720000999999996</v>
      </c>
      <c r="F927">
        <v>77.837151000000006</v>
      </c>
      <c r="G927">
        <v>6532100</v>
      </c>
      <c r="I927">
        <f t="shared" si="15"/>
        <v>1.2494072403088087E-5</v>
      </c>
    </row>
    <row r="928" spans="1:9" x14ac:dyDescent="0.3">
      <c r="A928" s="5">
        <v>42984</v>
      </c>
      <c r="B928">
        <v>92.790001000000004</v>
      </c>
      <c r="C928">
        <v>92.910004000000001</v>
      </c>
      <c r="D928">
        <v>92.360000999999997</v>
      </c>
      <c r="E928">
        <v>92.720000999999996</v>
      </c>
      <c r="F928">
        <v>77.837151000000006</v>
      </c>
      <c r="G928">
        <v>6747200</v>
      </c>
      <c r="I928">
        <f t="shared" si="15"/>
        <v>2.0715395233143025E-5</v>
      </c>
    </row>
    <row r="929" spans="1:9" x14ac:dyDescent="0.3">
      <c r="A929" s="5">
        <v>42985</v>
      </c>
      <c r="B929">
        <v>92.739998</v>
      </c>
      <c r="C929">
        <v>93.360000999999997</v>
      </c>
      <c r="D929">
        <v>92.330001999999993</v>
      </c>
      <c r="E929">
        <v>92.970000999999996</v>
      </c>
      <c r="F929">
        <v>78.047027999999997</v>
      </c>
      <c r="G929">
        <v>7735400</v>
      </c>
      <c r="I929">
        <f t="shared" si="15"/>
        <v>5.8498992639995464E-5</v>
      </c>
    </row>
    <row r="930" spans="1:9" x14ac:dyDescent="0.3">
      <c r="A930" s="5">
        <v>42986</v>
      </c>
      <c r="B930">
        <v>92.760002</v>
      </c>
      <c r="C930">
        <v>93.150002000000001</v>
      </c>
      <c r="D930">
        <v>92.510002</v>
      </c>
      <c r="E930">
        <v>92.839995999999999</v>
      </c>
      <c r="F930">
        <v>77.937881000000004</v>
      </c>
      <c r="G930">
        <v>6070100</v>
      </c>
      <c r="I930">
        <f t="shared" si="15"/>
        <v>2.3596000810947794E-5</v>
      </c>
    </row>
    <row r="931" spans="1:9" x14ac:dyDescent="0.3">
      <c r="A931" s="5">
        <v>42989</v>
      </c>
      <c r="B931">
        <v>93.089995999999999</v>
      </c>
      <c r="C931">
        <v>94.190002000000007</v>
      </c>
      <c r="D931">
        <v>92.900002000000001</v>
      </c>
      <c r="E931">
        <v>93.989998</v>
      </c>
      <c r="F931">
        <v>78.903296999999995</v>
      </c>
      <c r="G931">
        <v>10177300</v>
      </c>
      <c r="I931">
        <f t="shared" si="15"/>
        <v>4.8802545174435237E-5</v>
      </c>
    </row>
    <row r="932" spans="1:9" x14ac:dyDescent="0.3">
      <c r="A932" s="5">
        <v>42990</v>
      </c>
      <c r="B932">
        <v>93.720000999999996</v>
      </c>
      <c r="C932">
        <v>93.980002999999996</v>
      </c>
      <c r="D932">
        <v>93.209998999999996</v>
      </c>
      <c r="E932">
        <v>93.510002</v>
      </c>
      <c r="F932">
        <v>78.500343000000001</v>
      </c>
      <c r="G932">
        <v>5804000</v>
      </c>
      <c r="I932">
        <f t="shared" si="15"/>
        <v>3.1424070004887455E-5</v>
      </c>
    </row>
    <row r="933" spans="1:9" x14ac:dyDescent="0.3">
      <c r="A933" s="5">
        <v>42991</v>
      </c>
      <c r="B933">
        <v>93.5</v>
      </c>
      <c r="C933">
        <v>93.769997000000004</v>
      </c>
      <c r="D933">
        <v>93.449996999999996</v>
      </c>
      <c r="E933">
        <v>93.550003000000004</v>
      </c>
      <c r="F933">
        <v>78.533912999999998</v>
      </c>
      <c r="G933">
        <v>5369300</v>
      </c>
      <c r="I933">
        <f t="shared" si="15"/>
        <v>7.345107533710954E-6</v>
      </c>
    </row>
    <row r="934" spans="1:9" x14ac:dyDescent="0.3">
      <c r="A934" s="5">
        <v>42992</v>
      </c>
      <c r="B934">
        <v>93.230002999999996</v>
      </c>
      <c r="C934">
        <v>93.650002000000001</v>
      </c>
      <c r="D934">
        <v>93.18</v>
      </c>
      <c r="E934">
        <v>93.550003000000004</v>
      </c>
      <c r="F934">
        <v>78.533912999999998</v>
      </c>
      <c r="G934">
        <v>5492300</v>
      </c>
      <c r="I934">
        <f t="shared" si="15"/>
        <v>6.9282277978175714E-6</v>
      </c>
    </row>
    <row r="935" spans="1:9" x14ac:dyDescent="0.3">
      <c r="A935" s="5">
        <v>42993</v>
      </c>
      <c r="B935">
        <v>93.82</v>
      </c>
      <c r="C935">
        <v>93.82</v>
      </c>
      <c r="D935">
        <v>92.82</v>
      </c>
      <c r="E935">
        <v>93.269997000000004</v>
      </c>
      <c r="F935">
        <v>78.298866000000004</v>
      </c>
      <c r="G935">
        <v>12428800</v>
      </c>
      <c r="I935">
        <f t="shared" si="15"/>
        <v>5.1825900569546087E-5</v>
      </c>
    </row>
    <row r="936" spans="1:9" x14ac:dyDescent="0.3">
      <c r="A936" s="5">
        <v>42996</v>
      </c>
      <c r="B936">
        <v>93.169998000000007</v>
      </c>
      <c r="C936">
        <v>93.5</v>
      </c>
      <c r="D936">
        <v>92.860000999999997</v>
      </c>
      <c r="E936">
        <v>93.150002000000001</v>
      </c>
      <c r="F936">
        <v>78.198134999999994</v>
      </c>
      <c r="G936">
        <v>6177700</v>
      </c>
      <c r="I936">
        <f t="shared" si="15"/>
        <v>2.3651893164150649E-5</v>
      </c>
    </row>
    <row r="937" spans="1:9" x14ac:dyDescent="0.3">
      <c r="A937" s="5">
        <v>42997</v>
      </c>
      <c r="B937">
        <v>93.339995999999999</v>
      </c>
      <c r="C937">
        <v>94.449996999999996</v>
      </c>
      <c r="D937">
        <v>93.339995999999999</v>
      </c>
      <c r="E937">
        <v>94.169998000000007</v>
      </c>
      <c r="F937">
        <v>79.054419999999993</v>
      </c>
      <c r="G937">
        <v>6587200</v>
      </c>
      <c r="I937">
        <f t="shared" si="15"/>
        <v>3.5098216117944634E-5</v>
      </c>
    </row>
    <row r="938" spans="1:9" x14ac:dyDescent="0.3">
      <c r="A938" s="5">
        <v>42998</v>
      </c>
      <c r="B938">
        <v>94.169998000000007</v>
      </c>
      <c r="C938">
        <v>94.669998000000007</v>
      </c>
      <c r="D938">
        <v>93.830001999999993</v>
      </c>
      <c r="E938">
        <v>94.400002000000001</v>
      </c>
      <c r="F938">
        <v>79.247482000000005</v>
      </c>
      <c r="G938">
        <v>5941500</v>
      </c>
      <c r="I938">
        <f t="shared" si="15"/>
        <v>3.7030220549156692E-5</v>
      </c>
    </row>
    <row r="939" spans="1:9" x14ac:dyDescent="0.3">
      <c r="A939" s="5">
        <v>42999</v>
      </c>
      <c r="B939">
        <v>94.150002000000001</v>
      </c>
      <c r="C939">
        <v>94.5</v>
      </c>
      <c r="D939">
        <v>92.449996999999996</v>
      </c>
      <c r="E939">
        <v>92.639999000000003</v>
      </c>
      <c r="F939">
        <v>77.769988999999995</v>
      </c>
      <c r="G939">
        <v>9376700</v>
      </c>
      <c r="I939">
        <f t="shared" si="15"/>
        <v>1.1117140855846684E-4</v>
      </c>
    </row>
    <row r="940" spans="1:9" x14ac:dyDescent="0.3">
      <c r="A940" s="5">
        <v>43000</v>
      </c>
      <c r="B940">
        <v>92.550003000000004</v>
      </c>
      <c r="C940">
        <v>93</v>
      </c>
      <c r="D940">
        <v>92.080001999999993</v>
      </c>
      <c r="E940">
        <v>92.239998</v>
      </c>
      <c r="F940">
        <v>77.434203999999994</v>
      </c>
      <c r="G940">
        <v>6837700</v>
      </c>
      <c r="I940">
        <f t="shared" si="15"/>
        <v>4.8639627240503304E-5</v>
      </c>
    </row>
    <row r="941" spans="1:9" x14ac:dyDescent="0.3">
      <c r="A941" s="5">
        <v>43003</v>
      </c>
      <c r="B941">
        <v>92.43</v>
      </c>
      <c r="C941">
        <v>93.089995999999999</v>
      </c>
      <c r="D941">
        <v>92.330001999999993</v>
      </c>
      <c r="E941">
        <v>92.720000999999996</v>
      </c>
      <c r="F941">
        <v>77.837151000000006</v>
      </c>
      <c r="G941">
        <v>6436200</v>
      </c>
      <c r="I941">
        <f t="shared" si="15"/>
        <v>3.2898742314015678E-5</v>
      </c>
    </row>
    <row r="942" spans="1:9" x14ac:dyDescent="0.3">
      <c r="A942" s="5">
        <v>43004</v>
      </c>
      <c r="B942">
        <v>92.82</v>
      </c>
      <c r="C942">
        <v>92.849997999999999</v>
      </c>
      <c r="D942">
        <v>92.199996999999996</v>
      </c>
      <c r="E942">
        <v>92.650002000000001</v>
      </c>
      <c r="F942">
        <v>77.778373999999999</v>
      </c>
      <c r="G942">
        <v>4885200</v>
      </c>
      <c r="I942">
        <f t="shared" si="15"/>
        <v>3.3328151055981414E-5</v>
      </c>
    </row>
    <row r="943" spans="1:9" x14ac:dyDescent="0.3">
      <c r="A943" s="5">
        <v>43005</v>
      </c>
      <c r="B943">
        <v>92.519997000000004</v>
      </c>
      <c r="C943">
        <v>92.519997000000004</v>
      </c>
      <c r="D943">
        <v>90.339995999999999</v>
      </c>
      <c r="E943">
        <v>90.870002999999997</v>
      </c>
      <c r="F943">
        <v>76.284103000000002</v>
      </c>
      <c r="G943">
        <v>9631200</v>
      </c>
      <c r="I943">
        <f t="shared" si="15"/>
        <v>1.3948234735847303E-4</v>
      </c>
    </row>
    <row r="944" spans="1:9" x14ac:dyDescent="0.3">
      <c r="A944" s="5">
        <v>43006</v>
      </c>
      <c r="B944">
        <v>90.860000999999997</v>
      </c>
      <c r="C944">
        <v>91.120002999999997</v>
      </c>
      <c r="D944">
        <v>90.629997000000003</v>
      </c>
      <c r="E944">
        <v>90.889999000000003</v>
      </c>
      <c r="F944">
        <v>76.300880000000006</v>
      </c>
      <c r="G944">
        <v>4999800</v>
      </c>
      <c r="I944">
        <f t="shared" si="15"/>
        <v>1.4482919745643661E-5</v>
      </c>
    </row>
    <row r="945" spans="1:9" x14ac:dyDescent="0.3">
      <c r="A945" s="5">
        <v>43007</v>
      </c>
      <c r="B945">
        <v>90.970000999999996</v>
      </c>
      <c r="C945">
        <v>91.43</v>
      </c>
      <c r="D945">
        <v>90.699996999999996</v>
      </c>
      <c r="E945">
        <v>90.980002999999996</v>
      </c>
      <c r="F945">
        <v>76.376450000000006</v>
      </c>
      <c r="G945">
        <v>6634500</v>
      </c>
      <c r="I945">
        <f t="shared" si="15"/>
        <v>3.4048354375809049E-5</v>
      </c>
    </row>
    <row r="946" spans="1:9" x14ac:dyDescent="0.3">
      <c r="A946" s="5">
        <v>43010</v>
      </c>
      <c r="B946">
        <v>91.260002</v>
      </c>
      <c r="C946">
        <v>92.400002000000001</v>
      </c>
      <c r="D946">
        <v>91.239998</v>
      </c>
      <c r="E946">
        <v>91.769997000000004</v>
      </c>
      <c r="F946">
        <v>77.039619000000002</v>
      </c>
      <c r="G946">
        <v>7302400</v>
      </c>
      <c r="I946">
        <f t="shared" si="15"/>
        <v>8.6203948642202201E-5</v>
      </c>
    </row>
    <row r="947" spans="1:9" x14ac:dyDescent="0.3">
      <c r="A947" s="5">
        <v>43011</v>
      </c>
      <c r="B947">
        <v>91.959998999999996</v>
      </c>
      <c r="C947">
        <v>92.339995999999999</v>
      </c>
      <c r="D947">
        <v>91.559997999999993</v>
      </c>
      <c r="E947">
        <v>92.120002999999997</v>
      </c>
      <c r="F947">
        <v>77.333449999999999</v>
      </c>
      <c r="G947">
        <v>5909900</v>
      </c>
      <c r="I947">
        <f t="shared" si="15"/>
        <v>3.6416989567369113E-5</v>
      </c>
    </row>
    <row r="948" spans="1:9" x14ac:dyDescent="0.3">
      <c r="A948" s="5">
        <v>43012</v>
      </c>
      <c r="B948">
        <v>92.120002999999997</v>
      </c>
      <c r="C948">
        <v>92.800003000000004</v>
      </c>
      <c r="D948">
        <v>92.019997000000004</v>
      </c>
      <c r="E948">
        <v>92.419998000000007</v>
      </c>
      <c r="F948">
        <v>77.585312000000002</v>
      </c>
      <c r="G948">
        <v>6140700</v>
      </c>
      <c r="I948">
        <f t="shared" si="15"/>
        <v>3.4889240762872344E-5</v>
      </c>
    </row>
    <row r="949" spans="1:9" x14ac:dyDescent="0.3">
      <c r="A949" s="5">
        <v>43013</v>
      </c>
      <c r="B949">
        <v>92.489998</v>
      </c>
      <c r="C949">
        <v>92.650002000000001</v>
      </c>
      <c r="D949">
        <v>91.940002000000007</v>
      </c>
      <c r="E949">
        <v>92.029999000000004</v>
      </c>
      <c r="F949">
        <v>77.257903999999996</v>
      </c>
      <c r="G949">
        <v>6912800</v>
      </c>
      <c r="I949">
        <f t="shared" si="15"/>
        <v>1.7440959108442198E-5</v>
      </c>
    </row>
    <row r="950" spans="1:9" x14ac:dyDescent="0.3">
      <c r="A950" s="5">
        <v>43014</v>
      </c>
      <c r="B950">
        <v>92</v>
      </c>
      <c r="C950">
        <v>92.349997999999999</v>
      </c>
      <c r="D950">
        <v>91.879997000000003</v>
      </c>
      <c r="E950">
        <v>92.330001999999993</v>
      </c>
      <c r="F950">
        <v>77.509765999999999</v>
      </c>
      <c r="G950">
        <v>5241900</v>
      </c>
      <c r="I950">
        <f t="shared" si="15"/>
        <v>7.1993462284105334E-6</v>
      </c>
    </row>
    <row r="951" spans="1:9" x14ac:dyDescent="0.3">
      <c r="A951" s="5">
        <v>43017</v>
      </c>
      <c r="B951">
        <v>92.400002000000001</v>
      </c>
      <c r="C951">
        <v>92.620002999999997</v>
      </c>
      <c r="D951">
        <v>91.93</v>
      </c>
      <c r="E951">
        <v>92.120002999999997</v>
      </c>
      <c r="F951">
        <v>77.333449999999999</v>
      </c>
      <c r="G951">
        <v>5149000</v>
      </c>
      <c r="I951">
        <f t="shared" si="15"/>
        <v>2.3401951394556542E-5</v>
      </c>
    </row>
    <row r="952" spans="1:9" x14ac:dyDescent="0.3">
      <c r="A952" s="5">
        <v>43018</v>
      </c>
      <c r="B952">
        <v>92.370002999999997</v>
      </c>
      <c r="C952">
        <v>93.040001000000004</v>
      </c>
      <c r="D952">
        <v>89.860000999999997</v>
      </c>
      <c r="E952">
        <v>91.620002999999997</v>
      </c>
      <c r="F952">
        <v>76.913719</v>
      </c>
      <c r="G952">
        <v>17125600</v>
      </c>
      <c r="I952">
        <f t="shared" si="15"/>
        <v>6.4552115836987107E-4</v>
      </c>
    </row>
    <row r="953" spans="1:9" x14ac:dyDescent="0.3">
      <c r="A953" s="5">
        <v>43019</v>
      </c>
      <c r="B953">
        <v>91.089995999999999</v>
      </c>
      <c r="C953">
        <v>91.730002999999996</v>
      </c>
      <c r="D953">
        <v>91.07</v>
      </c>
      <c r="E953">
        <v>91.459998999999996</v>
      </c>
      <c r="F953">
        <v>76.779404</v>
      </c>
      <c r="G953">
        <v>7115400</v>
      </c>
      <c r="I953">
        <f t="shared" si="15"/>
        <v>2.1577303640039307E-5</v>
      </c>
    </row>
    <row r="954" spans="1:9" x14ac:dyDescent="0.3">
      <c r="A954" s="5">
        <v>43020</v>
      </c>
      <c r="B954">
        <v>91.410004000000001</v>
      </c>
      <c r="C954">
        <v>92.309997999999993</v>
      </c>
      <c r="D954">
        <v>91.389999000000003</v>
      </c>
      <c r="E954">
        <v>92.150002000000001</v>
      </c>
      <c r="F954">
        <v>77.358626999999998</v>
      </c>
      <c r="G954">
        <v>5984900</v>
      </c>
      <c r="I954">
        <f t="shared" si="15"/>
        <v>1.88089028332897E-5</v>
      </c>
    </row>
    <row r="955" spans="1:9" x14ac:dyDescent="0.3">
      <c r="A955" s="5">
        <v>43021</v>
      </c>
      <c r="B955">
        <v>92.699996999999996</v>
      </c>
      <c r="C955">
        <v>93.510002</v>
      </c>
      <c r="D955">
        <v>92.589995999999999</v>
      </c>
      <c r="E955">
        <v>93.040001000000004</v>
      </c>
      <c r="F955">
        <v>78.105782000000005</v>
      </c>
      <c r="G955">
        <v>6956700</v>
      </c>
      <c r="I955">
        <f t="shared" si="15"/>
        <v>4.9594830329374051E-5</v>
      </c>
    </row>
    <row r="956" spans="1:9" x14ac:dyDescent="0.3">
      <c r="A956" s="5">
        <v>43024</v>
      </c>
      <c r="B956">
        <v>92.970000999999996</v>
      </c>
      <c r="C956">
        <v>93.370002999999997</v>
      </c>
      <c r="D956">
        <v>92.709998999999996</v>
      </c>
      <c r="E956">
        <v>93.139999000000003</v>
      </c>
      <c r="F956">
        <v>78.189734999999999</v>
      </c>
      <c r="G956">
        <v>4159100</v>
      </c>
      <c r="I956">
        <f t="shared" si="15"/>
        <v>2.3548093664279592E-5</v>
      </c>
    </row>
    <row r="957" spans="1:9" x14ac:dyDescent="0.3">
      <c r="A957" s="5">
        <v>43025</v>
      </c>
      <c r="B957">
        <v>93.040001000000004</v>
      </c>
      <c r="C957">
        <v>93.089995999999999</v>
      </c>
      <c r="D957">
        <v>92.400002000000001</v>
      </c>
      <c r="E957">
        <v>92.800003000000004</v>
      </c>
      <c r="F957">
        <v>77.904297</v>
      </c>
      <c r="G957">
        <v>5316100</v>
      </c>
      <c r="I957">
        <f t="shared" si="15"/>
        <v>3.1492723598852531E-5</v>
      </c>
    </row>
    <row r="958" spans="1:9" x14ac:dyDescent="0.3">
      <c r="A958" s="5">
        <v>43026</v>
      </c>
      <c r="B958">
        <v>92.779999000000004</v>
      </c>
      <c r="C958">
        <v>92.949996999999996</v>
      </c>
      <c r="D958">
        <v>92.010002</v>
      </c>
      <c r="E958">
        <v>92.769997000000004</v>
      </c>
      <c r="F958">
        <v>77.879135000000005</v>
      </c>
      <c r="G958">
        <v>7399700</v>
      </c>
      <c r="I958">
        <f t="shared" si="15"/>
        <v>7.2102189053180861E-5</v>
      </c>
    </row>
    <row r="959" spans="1:9" x14ac:dyDescent="0.3">
      <c r="A959" s="5">
        <v>43027</v>
      </c>
      <c r="B959">
        <v>91.699996999999996</v>
      </c>
      <c r="C959">
        <v>91.989998</v>
      </c>
      <c r="D959">
        <v>91.139999000000003</v>
      </c>
      <c r="E959">
        <v>91.589995999999999</v>
      </c>
      <c r="F959">
        <v>77.464698999999996</v>
      </c>
      <c r="G959">
        <v>8585000</v>
      </c>
      <c r="I959">
        <f t="shared" si="15"/>
        <v>4.3929927790468759E-5</v>
      </c>
    </row>
    <row r="960" spans="1:9" x14ac:dyDescent="0.3">
      <c r="A960" s="5">
        <v>43028</v>
      </c>
      <c r="B960">
        <v>89.720000999999996</v>
      </c>
      <c r="C960">
        <v>89.959998999999996</v>
      </c>
      <c r="D960">
        <v>87.589995999999999</v>
      </c>
      <c r="E960">
        <v>88.25</v>
      </c>
      <c r="F960">
        <v>74.639809</v>
      </c>
      <c r="G960">
        <v>19997800</v>
      </c>
      <c r="I960">
        <f t="shared" si="15"/>
        <v>2.3163575773987315E-4</v>
      </c>
    </row>
    <row r="961" spans="1:9" x14ac:dyDescent="0.3">
      <c r="A961" s="5">
        <v>43031</v>
      </c>
      <c r="B961">
        <v>88.629997000000003</v>
      </c>
      <c r="C961">
        <v>88.860000999999997</v>
      </c>
      <c r="D961">
        <v>86.870002999999997</v>
      </c>
      <c r="E961">
        <v>87.300003000000004</v>
      </c>
      <c r="F961">
        <v>73.836342000000002</v>
      </c>
      <c r="G961">
        <v>13358200</v>
      </c>
      <c r="I961">
        <f t="shared" si="15"/>
        <v>1.4494254695145766E-4</v>
      </c>
    </row>
    <row r="962" spans="1:9" x14ac:dyDescent="0.3">
      <c r="A962" s="5">
        <v>43032</v>
      </c>
      <c r="B962">
        <v>87.370002999999997</v>
      </c>
      <c r="C962">
        <v>87.419998000000007</v>
      </c>
      <c r="D962">
        <v>86.779999000000004</v>
      </c>
      <c r="E962">
        <v>86.980002999999996</v>
      </c>
      <c r="F962">
        <v>73.565658999999997</v>
      </c>
      <c r="G962">
        <v>11519000</v>
      </c>
      <c r="I962">
        <f t="shared" si="15"/>
        <v>1.8484980637789641E-5</v>
      </c>
    </row>
    <row r="963" spans="1:9" x14ac:dyDescent="0.3">
      <c r="A963" s="5">
        <v>43033</v>
      </c>
      <c r="B963">
        <v>86.900002000000001</v>
      </c>
      <c r="C963">
        <v>87.110000999999997</v>
      </c>
      <c r="D963">
        <v>86.279999000000004</v>
      </c>
      <c r="E963">
        <v>86.860000999999997</v>
      </c>
      <c r="F963">
        <v>73.464179999999999</v>
      </c>
      <c r="G963">
        <v>9024300</v>
      </c>
      <c r="I963">
        <f t="shared" si="15"/>
        <v>5.4909376663164077E-5</v>
      </c>
    </row>
    <row r="964" spans="1:9" x14ac:dyDescent="0.3">
      <c r="A964" s="5">
        <v>43034</v>
      </c>
      <c r="B964">
        <v>87.190002000000007</v>
      </c>
      <c r="C964">
        <v>87.769997000000004</v>
      </c>
      <c r="D964">
        <v>87.099997999999999</v>
      </c>
      <c r="E964">
        <v>87.5</v>
      </c>
      <c r="F964">
        <v>74.005454999999998</v>
      </c>
      <c r="G964">
        <v>6233800</v>
      </c>
      <c r="I964">
        <f t="shared" si="15"/>
        <v>2.5158980313225031E-5</v>
      </c>
    </row>
    <row r="965" spans="1:9" x14ac:dyDescent="0.3">
      <c r="A965" s="5">
        <v>43035</v>
      </c>
      <c r="B965">
        <v>87.529999000000004</v>
      </c>
      <c r="C965">
        <v>87.529999000000004</v>
      </c>
      <c r="D965">
        <v>86.449996999999996</v>
      </c>
      <c r="E965">
        <v>87.040001000000004</v>
      </c>
      <c r="F965">
        <v>73.616401999999994</v>
      </c>
      <c r="G965">
        <v>7433800</v>
      </c>
      <c r="I965">
        <f t="shared" si="15"/>
        <v>8.4444817479421049E-5</v>
      </c>
    </row>
    <row r="966" spans="1:9" x14ac:dyDescent="0.3">
      <c r="A966" s="5">
        <v>43038</v>
      </c>
      <c r="B966">
        <v>86.910004000000001</v>
      </c>
      <c r="C966">
        <v>87.080001999999993</v>
      </c>
      <c r="D966">
        <v>86.160004000000001</v>
      </c>
      <c r="E966">
        <v>86.269997000000004</v>
      </c>
      <c r="F966">
        <v>72.965171999999995</v>
      </c>
      <c r="G966">
        <v>5387100</v>
      </c>
      <c r="I966">
        <f t="shared" si="15"/>
        <v>2.9319365248909864E-5</v>
      </c>
    </row>
    <row r="967" spans="1:9" x14ac:dyDescent="0.3">
      <c r="A967" s="5">
        <v>43039</v>
      </c>
      <c r="B967">
        <v>86.489998</v>
      </c>
      <c r="C967">
        <v>86.5</v>
      </c>
      <c r="D967">
        <v>85.720000999999996</v>
      </c>
      <c r="E967">
        <v>86.339995999999999</v>
      </c>
      <c r="F967">
        <v>73.024353000000005</v>
      </c>
      <c r="G967">
        <v>7119000</v>
      </c>
      <c r="I967">
        <f t="shared" si="15"/>
        <v>6.4661247026147025E-5</v>
      </c>
    </row>
    <row r="968" spans="1:9" x14ac:dyDescent="0.3">
      <c r="A968" s="5">
        <v>43040</v>
      </c>
      <c r="B968">
        <v>86.330001999999993</v>
      </c>
      <c r="C968">
        <v>87.139999000000003</v>
      </c>
      <c r="D968">
        <v>86.110000999999997</v>
      </c>
      <c r="E968">
        <v>86.889999000000003</v>
      </c>
      <c r="F968">
        <v>73.489554999999996</v>
      </c>
      <c r="G968">
        <v>4884100</v>
      </c>
      <c r="I968">
        <f t="shared" si="15"/>
        <v>4.9840063875356533E-5</v>
      </c>
    </row>
    <row r="969" spans="1:9" x14ac:dyDescent="0.3">
      <c r="A969" s="5">
        <v>43041</v>
      </c>
      <c r="B969">
        <v>86.779999000000004</v>
      </c>
      <c r="C969">
        <v>87.040001000000004</v>
      </c>
      <c r="D969">
        <v>86.230002999999996</v>
      </c>
      <c r="E969">
        <v>86.510002</v>
      </c>
      <c r="F969">
        <v>73.168137000000002</v>
      </c>
      <c r="G969">
        <v>5021200</v>
      </c>
      <c r="I969">
        <f t="shared" si="15"/>
        <v>3.8883818948209431E-5</v>
      </c>
    </row>
    <row r="970" spans="1:9" x14ac:dyDescent="0.3">
      <c r="A970" s="5">
        <v>43042</v>
      </c>
      <c r="B970">
        <v>86.779999000000004</v>
      </c>
      <c r="C970">
        <v>87.160004000000001</v>
      </c>
      <c r="D970">
        <v>86.459998999999996</v>
      </c>
      <c r="E970">
        <v>86.580001999999993</v>
      </c>
      <c r="F970">
        <v>73.227340999999996</v>
      </c>
      <c r="G970">
        <v>5106500</v>
      </c>
      <c r="I970">
        <f t="shared" si="15"/>
        <v>3.429703331319373E-5</v>
      </c>
    </row>
    <row r="971" spans="1:9" x14ac:dyDescent="0.3">
      <c r="A971" s="5">
        <v>43045</v>
      </c>
      <c r="B971">
        <v>86.550003000000004</v>
      </c>
      <c r="C971">
        <v>86.639999000000003</v>
      </c>
      <c r="D971">
        <v>86.029999000000004</v>
      </c>
      <c r="E971">
        <v>86.050003000000004</v>
      </c>
      <c r="F971">
        <v>72.779076000000003</v>
      </c>
      <c r="G971">
        <v>5186700</v>
      </c>
      <c r="I971">
        <f t="shared" si="15"/>
        <v>8.5024834424267456E-6</v>
      </c>
    </row>
    <row r="972" spans="1:9" x14ac:dyDescent="0.3">
      <c r="A972" s="5">
        <v>43046</v>
      </c>
      <c r="B972">
        <v>86.040001000000004</v>
      </c>
      <c r="C972">
        <v>87</v>
      </c>
      <c r="D972">
        <v>85.419998000000007</v>
      </c>
      <c r="E972">
        <v>86.980002999999996</v>
      </c>
      <c r="F972">
        <v>73.565658999999997</v>
      </c>
      <c r="G972">
        <v>6875100</v>
      </c>
      <c r="I972">
        <f t="shared" ref="I972:I1035" si="16">LN(C972/B972)*(LN(C972/B972)-LN(E972/B972))+LN(D972/B972)*(LN(D972/B972)-LN(E972/B972))</f>
        <v>1.3343674296291137E-4</v>
      </c>
    </row>
    <row r="973" spans="1:9" x14ac:dyDescent="0.3">
      <c r="A973" s="5">
        <v>43047</v>
      </c>
      <c r="B973">
        <v>86.989998</v>
      </c>
      <c r="C973">
        <v>87.599997999999999</v>
      </c>
      <c r="D973">
        <v>86.800003000000004</v>
      </c>
      <c r="E973">
        <v>87.580001999999993</v>
      </c>
      <c r="F973">
        <v>74.073150999999996</v>
      </c>
      <c r="G973">
        <v>6910000</v>
      </c>
      <c r="I973">
        <f t="shared" si="16"/>
        <v>2.1155661090751281E-5</v>
      </c>
    </row>
    <row r="974" spans="1:9" x14ac:dyDescent="0.3">
      <c r="A974" s="5">
        <v>43048</v>
      </c>
      <c r="B974">
        <v>87.349997999999999</v>
      </c>
      <c r="C974">
        <v>88.169998000000007</v>
      </c>
      <c r="D974">
        <v>87.300003000000004</v>
      </c>
      <c r="E974">
        <v>87.779999000000004</v>
      </c>
      <c r="F974">
        <v>74.242278999999996</v>
      </c>
      <c r="G974">
        <v>5280000</v>
      </c>
      <c r="I974">
        <f t="shared" si="16"/>
        <v>4.4560662801743571E-5</v>
      </c>
    </row>
    <row r="975" spans="1:9" x14ac:dyDescent="0.3">
      <c r="A975" s="5">
        <v>43049</v>
      </c>
      <c r="B975">
        <v>87.989998</v>
      </c>
      <c r="C975">
        <v>88.389999000000003</v>
      </c>
      <c r="D975">
        <v>87.779999000000004</v>
      </c>
      <c r="E975">
        <v>88.160004000000001</v>
      </c>
      <c r="F975">
        <v>74.563666999999995</v>
      </c>
      <c r="G975">
        <v>7227300</v>
      </c>
      <c r="I975">
        <f t="shared" si="16"/>
        <v>2.2139302179346981E-5</v>
      </c>
    </row>
    <row r="976" spans="1:9" x14ac:dyDescent="0.3">
      <c r="A976" s="5">
        <v>43052</v>
      </c>
      <c r="B976">
        <v>88.669998000000007</v>
      </c>
      <c r="C976">
        <v>89.410004000000001</v>
      </c>
      <c r="D976">
        <v>88.629997000000003</v>
      </c>
      <c r="E976">
        <v>89</v>
      </c>
      <c r="F976">
        <v>75.274131999999994</v>
      </c>
      <c r="G976">
        <v>6873500</v>
      </c>
      <c r="I976">
        <f t="shared" si="16"/>
        <v>4.0078821456610888E-5</v>
      </c>
    </row>
    <row r="977" spans="1:9" x14ac:dyDescent="0.3">
      <c r="A977" s="5">
        <v>43053</v>
      </c>
      <c r="B977">
        <v>88.739998</v>
      </c>
      <c r="C977">
        <v>89.050003000000004</v>
      </c>
      <c r="D977">
        <v>88.470000999999996</v>
      </c>
      <c r="E977">
        <v>88.870002999999997</v>
      </c>
      <c r="F977">
        <v>75.164192</v>
      </c>
      <c r="G977">
        <v>5035500</v>
      </c>
      <c r="I977">
        <f t="shared" si="16"/>
        <v>2.0802524896365456E-5</v>
      </c>
    </row>
    <row r="978" spans="1:9" x14ac:dyDescent="0.3">
      <c r="A978" s="5">
        <v>43054</v>
      </c>
      <c r="B978">
        <v>88.730002999999996</v>
      </c>
      <c r="C978">
        <v>88.940002000000007</v>
      </c>
      <c r="D978">
        <v>88</v>
      </c>
      <c r="E978">
        <v>88.230002999999996</v>
      </c>
      <c r="F978">
        <v>74.622894000000002</v>
      </c>
      <c r="G978">
        <v>6688100</v>
      </c>
      <c r="I978">
        <f t="shared" si="16"/>
        <v>4.0510751540405222E-5</v>
      </c>
    </row>
    <row r="979" spans="1:9" x14ac:dyDescent="0.3">
      <c r="A979" s="5">
        <v>43055</v>
      </c>
      <c r="B979">
        <v>89.839995999999999</v>
      </c>
      <c r="C979">
        <v>89.900002000000001</v>
      </c>
      <c r="D979">
        <v>88.769997000000004</v>
      </c>
      <c r="E979">
        <v>89.25</v>
      </c>
      <c r="F979">
        <v>75.485588000000007</v>
      </c>
      <c r="G979">
        <v>7205100</v>
      </c>
      <c r="I979">
        <f t="shared" si="16"/>
        <v>6.9458046158938771E-5</v>
      </c>
    </row>
    <row r="980" spans="1:9" x14ac:dyDescent="0.3">
      <c r="A980" s="5">
        <v>43056</v>
      </c>
      <c r="B980">
        <v>88.949996999999996</v>
      </c>
      <c r="C980">
        <v>89.089995999999999</v>
      </c>
      <c r="D980">
        <v>88.080001999999993</v>
      </c>
      <c r="E980">
        <v>88.43</v>
      </c>
      <c r="F980">
        <v>74.792038000000005</v>
      </c>
      <c r="G980">
        <v>5941800</v>
      </c>
      <c r="I980">
        <f t="shared" si="16"/>
        <v>5.0672965051781515E-5</v>
      </c>
    </row>
    <row r="981" spans="1:9" x14ac:dyDescent="0.3">
      <c r="A981" s="5">
        <v>43059</v>
      </c>
      <c r="B981">
        <v>88.43</v>
      </c>
      <c r="C981">
        <v>88.559997999999993</v>
      </c>
      <c r="D981">
        <v>87.709998999999996</v>
      </c>
      <c r="E981">
        <v>88.269997000000004</v>
      </c>
      <c r="F981">
        <v>74.656707999999995</v>
      </c>
      <c r="G981">
        <v>4926200</v>
      </c>
      <c r="I981">
        <f t="shared" si="16"/>
        <v>5.6849277550816318E-5</v>
      </c>
    </row>
    <row r="982" spans="1:9" x14ac:dyDescent="0.3">
      <c r="A982" s="5">
        <v>43060</v>
      </c>
      <c r="B982">
        <v>88.18</v>
      </c>
      <c r="C982">
        <v>89.209998999999996</v>
      </c>
      <c r="D982">
        <v>88.019997000000004</v>
      </c>
      <c r="E982">
        <v>88.720000999999996</v>
      </c>
      <c r="F982">
        <v>75.037315000000007</v>
      </c>
      <c r="G982">
        <v>6196400</v>
      </c>
      <c r="I982">
        <f t="shared" si="16"/>
        <v>7.8347858075000689E-5</v>
      </c>
    </row>
    <row r="983" spans="1:9" x14ac:dyDescent="0.3">
      <c r="A983" s="5">
        <v>43061</v>
      </c>
      <c r="B983">
        <v>88.5</v>
      </c>
      <c r="C983">
        <v>88.910004000000001</v>
      </c>
      <c r="D983">
        <v>88.059997999999993</v>
      </c>
      <c r="E983">
        <v>88.330001999999993</v>
      </c>
      <c r="F983">
        <v>74.707481000000001</v>
      </c>
      <c r="G983">
        <v>6006900</v>
      </c>
      <c r="I983">
        <f t="shared" si="16"/>
        <v>4.5509800750109592E-5</v>
      </c>
    </row>
    <row r="984" spans="1:9" x14ac:dyDescent="0.3">
      <c r="A984" s="5">
        <v>43063</v>
      </c>
      <c r="B984">
        <v>88.589995999999999</v>
      </c>
      <c r="C984">
        <v>88.959998999999996</v>
      </c>
      <c r="D984">
        <v>88.419998000000007</v>
      </c>
      <c r="E984">
        <v>88.449996999999996</v>
      </c>
      <c r="F984">
        <v>74.808944999999994</v>
      </c>
      <c r="G984">
        <v>2196700</v>
      </c>
      <c r="I984">
        <f t="shared" si="16"/>
        <v>2.4614511501149574E-5</v>
      </c>
    </row>
    <row r="985" spans="1:9" x14ac:dyDescent="0.3">
      <c r="A985" s="5">
        <v>43066</v>
      </c>
      <c r="B985">
        <v>88.330001999999993</v>
      </c>
      <c r="C985">
        <v>89.099997999999999</v>
      </c>
      <c r="D985">
        <v>88.150002000000001</v>
      </c>
      <c r="E985">
        <v>88.959998999999996</v>
      </c>
      <c r="F985">
        <v>75.240302999999997</v>
      </c>
      <c r="G985">
        <v>6199700</v>
      </c>
      <c r="I985">
        <f t="shared" si="16"/>
        <v>3.2307094994332239E-5</v>
      </c>
    </row>
    <row r="986" spans="1:9" x14ac:dyDescent="0.3">
      <c r="A986" s="5">
        <v>43067</v>
      </c>
      <c r="B986">
        <v>89.480002999999996</v>
      </c>
      <c r="C986">
        <v>89.519997000000004</v>
      </c>
      <c r="D986">
        <v>88.910004000000001</v>
      </c>
      <c r="E986">
        <v>89.400002000000001</v>
      </c>
      <c r="F986">
        <v>75.612449999999995</v>
      </c>
      <c r="G986">
        <v>4841300</v>
      </c>
      <c r="I986">
        <f t="shared" si="16"/>
        <v>3.5721829190490419E-5</v>
      </c>
    </row>
    <row r="987" spans="1:9" x14ac:dyDescent="0.3">
      <c r="A987" s="5">
        <v>43068</v>
      </c>
      <c r="B987">
        <v>89.400002000000001</v>
      </c>
      <c r="C987">
        <v>89.809997999999993</v>
      </c>
      <c r="D987">
        <v>89.029999000000004</v>
      </c>
      <c r="E987">
        <v>89.379997000000003</v>
      </c>
      <c r="F987">
        <v>75.595534999999998</v>
      </c>
      <c r="G987">
        <v>5158900</v>
      </c>
      <c r="I987">
        <f t="shared" si="16"/>
        <v>3.8232267263421513E-5</v>
      </c>
    </row>
    <row r="988" spans="1:9" x14ac:dyDescent="0.3">
      <c r="A988" s="5">
        <v>43069</v>
      </c>
      <c r="B988">
        <v>89.349997999999999</v>
      </c>
      <c r="C988">
        <v>90.370002999999997</v>
      </c>
      <c r="D988">
        <v>89.209998999999996</v>
      </c>
      <c r="E988">
        <v>89.989998</v>
      </c>
      <c r="F988">
        <v>76.111450000000005</v>
      </c>
      <c r="G988">
        <v>9789900</v>
      </c>
      <c r="I988">
        <f t="shared" si="16"/>
        <v>6.1483038316303019E-5</v>
      </c>
    </row>
    <row r="989" spans="1:9" x14ac:dyDescent="0.3">
      <c r="A989" s="5">
        <v>43070</v>
      </c>
      <c r="B989">
        <v>90.18</v>
      </c>
      <c r="C989">
        <v>90.529999000000004</v>
      </c>
      <c r="D989">
        <v>89.120002999999997</v>
      </c>
      <c r="E989">
        <v>90.360000999999997</v>
      </c>
      <c r="F989">
        <v>76.424392999999995</v>
      </c>
      <c r="G989">
        <v>7953200</v>
      </c>
      <c r="I989">
        <f t="shared" si="16"/>
        <v>1.7066159726190382E-4</v>
      </c>
    </row>
    <row r="990" spans="1:9" x14ac:dyDescent="0.3">
      <c r="A990" s="5">
        <v>43073</v>
      </c>
      <c r="B990">
        <v>91.760002</v>
      </c>
      <c r="C990">
        <v>91.910004000000001</v>
      </c>
      <c r="D990">
        <v>89.830001999999993</v>
      </c>
      <c r="E990">
        <v>91.410004000000001</v>
      </c>
      <c r="F990">
        <v>77.312454000000002</v>
      </c>
      <c r="G990">
        <v>9003700</v>
      </c>
      <c r="I990">
        <f t="shared" si="16"/>
        <v>3.7955346289727225E-4</v>
      </c>
    </row>
    <row r="991" spans="1:9" x14ac:dyDescent="0.3">
      <c r="A991" s="5">
        <v>43074</v>
      </c>
      <c r="B991">
        <v>91.519997000000004</v>
      </c>
      <c r="C991">
        <v>91.839995999999999</v>
      </c>
      <c r="D991">
        <v>91.07</v>
      </c>
      <c r="E991">
        <v>91.400002000000001</v>
      </c>
      <c r="F991">
        <v>77.303993000000006</v>
      </c>
      <c r="G991">
        <v>8683000</v>
      </c>
      <c r="I991">
        <f t="shared" si="16"/>
        <v>3.4590904739717829E-5</v>
      </c>
    </row>
    <row r="992" spans="1:9" x14ac:dyDescent="0.3">
      <c r="A992" s="5">
        <v>43075</v>
      </c>
      <c r="B992">
        <v>91.389999000000003</v>
      </c>
      <c r="C992">
        <v>91.779999000000004</v>
      </c>
      <c r="D992">
        <v>91.07</v>
      </c>
      <c r="E992">
        <v>91.25</v>
      </c>
      <c r="F992">
        <v>77.177132</v>
      </c>
      <c r="G992">
        <v>6737400</v>
      </c>
      <c r="I992">
        <f t="shared" si="16"/>
        <v>3.1587763265557658E-5</v>
      </c>
    </row>
    <row r="993" spans="1:9" x14ac:dyDescent="0.3">
      <c r="A993" s="5">
        <v>43076</v>
      </c>
      <c r="B993">
        <v>91.050003000000004</v>
      </c>
      <c r="C993">
        <v>91.07</v>
      </c>
      <c r="D993">
        <v>89.889999000000003</v>
      </c>
      <c r="E993">
        <v>90.099997999999999</v>
      </c>
      <c r="F993">
        <v>76.204475000000002</v>
      </c>
      <c r="G993">
        <v>7273600</v>
      </c>
      <c r="I993">
        <f t="shared" si="16"/>
        <v>3.2271451841086522E-5</v>
      </c>
    </row>
    <row r="994" spans="1:9" x14ac:dyDescent="0.3">
      <c r="A994" s="5">
        <v>43077</v>
      </c>
      <c r="B994">
        <v>90.019997000000004</v>
      </c>
      <c r="C994">
        <v>90.370002999999997</v>
      </c>
      <c r="D994">
        <v>89.580001999999993</v>
      </c>
      <c r="E994">
        <v>90.370002999999997</v>
      </c>
      <c r="F994">
        <v>76.432854000000006</v>
      </c>
      <c r="G994">
        <v>5883400</v>
      </c>
      <c r="I994">
        <f t="shared" si="16"/>
        <v>4.3021033533296067E-5</v>
      </c>
    </row>
    <row r="995" spans="1:9" x14ac:dyDescent="0.3">
      <c r="A995" s="5">
        <v>43080</v>
      </c>
      <c r="B995">
        <v>90.230002999999996</v>
      </c>
      <c r="C995">
        <v>90.330001999999993</v>
      </c>
      <c r="D995">
        <v>89.75</v>
      </c>
      <c r="E995">
        <v>90.230002999999996</v>
      </c>
      <c r="F995">
        <v>76.314437999999996</v>
      </c>
      <c r="G995">
        <v>4856000</v>
      </c>
      <c r="I995">
        <f t="shared" si="16"/>
        <v>2.9678153574840226E-5</v>
      </c>
    </row>
    <row r="996" spans="1:9" x14ac:dyDescent="0.3">
      <c r="A996" s="5">
        <v>43081</v>
      </c>
      <c r="B996">
        <v>90.449996999999996</v>
      </c>
      <c r="C996">
        <v>90.510002</v>
      </c>
      <c r="D996">
        <v>89.82</v>
      </c>
      <c r="E996">
        <v>89.849997999999999</v>
      </c>
      <c r="F996">
        <v>75.993042000000003</v>
      </c>
      <c r="G996">
        <v>6558900</v>
      </c>
      <c r="I996">
        <f t="shared" si="16"/>
        <v>7.1876630266235579E-6</v>
      </c>
    </row>
    <row r="997" spans="1:9" x14ac:dyDescent="0.3">
      <c r="A997" s="5">
        <v>43082</v>
      </c>
      <c r="B997">
        <v>90.019997000000004</v>
      </c>
      <c r="C997">
        <v>91.410004000000001</v>
      </c>
      <c r="D997">
        <v>89.970000999999996</v>
      </c>
      <c r="E997">
        <v>90.879997000000003</v>
      </c>
      <c r="F997">
        <v>76.864188999999996</v>
      </c>
      <c r="G997">
        <v>7141000</v>
      </c>
      <c r="I997">
        <f t="shared" si="16"/>
        <v>9.4694595318598656E-5</v>
      </c>
    </row>
    <row r="998" spans="1:9" x14ac:dyDescent="0.3">
      <c r="A998" s="5">
        <v>43083</v>
      </c>
      <c r="B998">
        <v>90.940002000000007</v>
      </c>
      <c r="C998">
        <v>91.43</v>
      </c>
      <c r="D998">
        <v>90.900002000000001</v>
      </c>
      <c r="E998">
        <v>91</v>
      </c>
      <c r="F998">
        <v>76.965682999999999</v>
      </c>
      <c r="G998">
        <v>5853500</v>
      </c>
      <c r="I998">
        <f t="shared" si="16"/>
        <v>2.5816033288540064E-5</v>
      </c>
    </row>
    <row r="999" spans="1:9" x14ac:dyDescent="0.3">
      <c r="A999" s="5">
        <v>43084</v>
      </c>
      <c r="B999">
        <v>91.57</v>
      </c>
      <c r="C999">
        <v>92.269997000000004</v>
      </c>
      <c r="D999">
        <v>91.480002999999996</v>
      </c>
      <c r="E999">
        <v>91.889999000000003</v>
      </c>
      <c r="F999">
        <v>77.718429999999998</v>
      </c>
      <c r="G999">
        <v>15924000</v>
      </c>
      <c r="I999">
        <f t="shared" si="16"/>
        <v>3.5824283318586752E-5</v>
      </c>
    </row>
    <row r="1000" spans="1:9" x14ac:dyDescent="0.3">
      <c r="A1000" s="5">
        <v>43087</v>
      </c>
      <c r="B1000">
        <v>91.980002999999996</v>
      </c>
      <c r="C1000">
        <v>93.139999000000003</v>
      </c>
      <c r="D1000">
        <v>91.809997999999993</v>
      </c>
      <c r="E1000">
        <v>91.879997000000003</v>
      </c>
      <c r="F1000">
        <v>77.709969000000001</v>
      </c>
      <c r="G1000">
        <v>7405700</v>
      </c>
      <c r="I1000">
        <f t="shared" si="16"/>
        <v>1.7210782843547244E-4</v>
      </c>
    </row>
    <row r="1001" spans="1:9" x14ac:dyDescent="0.3">
      <c r="A1001" s="5">
        <v>43088</v>
      </c>
      <c r="B1001">
        <v>92</v>
      </c>
      <c r="C1001">
        <v>92.129997000000003</v>
      </c>
      <c r="D1001">
        <v>91.580001999999993</v>
      </c>
      <c r="E1001">
        <v>91.68</v>
      </c>
      <c r="F1001">
        <v>77.540809999999993</v>
      </c>
      <c r="G1001">
        <v>5644400</v>
      </c>
      <c r="I1001">
        <f t="shared" si="16"/>
        <v>1.1907208818480824E-5</v>
      </c>
    </row>
    <row r="1002" spans="1:9" x14ac:dyDescent="0.3">
      <c r="A1002" s="5">
        <v>43089</v>
      </c>
      <c r="B1002">
        <v>91.800003000000004</v>
      </c>
      <c r="C1002">
        <v>91.970000999999996</v>
      </c>
      <c r="D1002">
        <v>91.349997999999999</v>
      </c>
      <c r="E1002">
        <v>91.529999000000004</v>
      </c>
      <c r="F1002">
        <v>77.413939999999997</v>
      </c>
      <c r="G1002">
        <v>6938500</v>
      </c>
      <c r="I1002">
        <f t="shared" si="16"/>
        <v>1.8545977274882234E-5</v>
      </c>
    </row>
    <row r="1003" spans="1:9" x14ac:dyDescent="0.3">
      <c r="A1003" s="5">
        <v>43090</v>
      </c>
      <c r="B1003">
        <v>91.660004000000001</v>
      </c>
      <c r="C1003">
        <v>92.080001999999993</v>
      </c>
      <c r="D1003">
        <v>91.529999000000004</v>
      </c>
      <c r="E1003">
        <v>91.669998000000007</v>
      </c>
      <c r="F1003">
        <v>77.532341000000002</v>
      </c>
      <c r="G1003">
        <v>4860400</v>
      </c>
      <c r="I1003">
        <f t="shared" si="16"/>
        <v>2.2570961082975223E-5</v>
      </c>
    </row>
    <row r="1004" spans="1:9" x14ac:dyDescent="0.3">
      <c r="A1004" s="5">
        <v>43091</v>
      </c>
      <c r="B1004">
        <v>91.879997000000003</v>
      </c>
      <c r="C1004">
        <v>92.43</v>
      </c>
      <c r="D1004">
        <v>91.720000999999996</v>
      </c>
      <c r="E1004">
        <v>92.129997000000003</v>
      </c>
      <c r="F1004">
        <v>77.921424999999999</v>
      </c>
      <c r="G1004">
        <v>4919400</v>
      </c>
      <c r="I1004">
        <f t="shared" si="16"/>
        <v>2.7176304819439037E-5</v>
      </c>
    </row>
    <row r="1005" spans="1:9" x14ac:dyDescent="0.3">
      <c r="A1005" s="5">
        <v>43095</v>
      </c>
      <c r="B1005">
        <v>92.349997999999999</v>
      </c>
      <c r="C1005">
        <v>92.769997000000004</v>
      </c>
      <c r="D1005">
        <v>92.150002000000001</v>
      </c>
      <c r="E1005">
        <v>92.480002999999996</v>
      </c>
      <c r="F1005">
        <v>78.217461</v>
      </c>
      <c r="G1005">
        <v>3431900</v>
      </c>
      <c r="I1005">
        <f t="shared" si="16"/>
        <v>2.1956434291079598E-5</v>
      </c>
    </row>
    <row r="1006" spans="1:9" x14ac:dyDescent="0.3">
      <c r="A1006" s="5">
        <v>43096</v>
      </c>
      <c r="B1006">
        <v>92.489998</v>
      </c>
      <c r="C1006">
        <v>92.75</v>
      </c>
      <c r="D1006">
        <v>91.93</v>
      </c>
      <c r="E1006">
        <v>92.099997999999999</v>
      </c>
      <c r="F1006">
        <v>77.896041999999994</v>
      </c>
      <c r="G1006">
        <v>4276700</v>
      </c>
      <c r="I1006">
        <f t="shared" si="16"/>
        <v>3.0962425459752227E-5</v>
      </c>
    </row>
    <row r="1007" spans="1:9" x14ac:dyDescent="0.3">
      <c r="A1007" s="5">
        <v>43097</v>
      </c>
      <c r="B1007">
        <v>92.300003000000004</v>
      </c>
      <c r="C1007">
        <v>92.540001000000004</v>
      </c>
      <c r="D1007">
        <v>91.910004000000001</v>
      </c>
      <c r="E1007">
        <v>92.07</v>
      </c>
      <c r="F1007">
        <v>77.870673999999994</v>
      </c>
      <c r="G1007">
        <v>3005400</v>
      </c>
      <c r="I1007">
        <f t="shared" si="16"/>
        <v>2.0587191645644278E-5</v>
      </c>
    </row>
    <row r="1008" spans="1:9" x14ac:dyDescent="0.3">
      <c r="A1008" s="5">
        <v>43098</v>
      </c>
      <c r="B1008">
        <v>92.239998</v>
      </c>
      <c r="C1008">
        <v>92.459998999999996</v>
      </c>
      <c r="D1008">
        <v>91.879997000000003</v>
      </c>
      <c r="E1008">
        <v>91.879997000000003</v>
      </c>
      <c r="F1008">
        <v>77.709969000000001</v>
      </c>
      <c r="G1008">
        <v>4346700</v>
      </c>
      <c r="I1008">
        <f t="shared" si="16"/>
        <v>1.4990955457194878E-5</v>
      </c>
    </row>
    <row r="1009" spans="1:9" x14ac:dyDescent="0.3">
      <c r="A1009" s="5">
        <v>43102</v>
      </c>
      <c r="B1009">
        <v>91.919998000000007</v>
      </c>
      <c r="C1009">
        <v>91.93</v>
      </c>
      <c r="D1009">
        <v>90.550003000000004</v>
      </c>
      <c r="E1009">
        <v>90.650002000000001</v>
      </c>
      <c r="F1009">
        <v>76.669669999999996</v>
      </c>
      <c r="G1009">
        <v>7558900</v>
      </c>
      <c r="I1009">
        <f t="shared" si="16"/>
        <v>1.809984228318444E-5</v>
      </c>
    </row>
    <row r="1010" spans="1:9" x14ac:dyDescent="0.3">
      <c r="A1010" s="5">
        <v>43103</v>
      </c>
      <c r="B1010">
        <v>90.730002999999996</v>
      </c>
      <c r="C1010">
        <v>91.089995999999999</v>
      </c>
      <c r="D1010">
        <v>90.519997000000004</v>
      </c>
      <c r="E1010">
        <v>90.540001000000004</v>
      </c>
      <c r="F1010">
        <v>76.576660000000004</v>
      </c>
      <c r="G1010">
        <v>5863600</v>
      </c>
      <c r="I1010">
        <f t="shared" si="16"/>
        <v>2.4494048308773183E-5</v>
      </c>
    </row>
    <row r="1011" spans="1:9" x14ac:dyDescent="0.3">
      <c r="A1011" s="5">
        <v>43104</v>
      </c>
      <c r="B1011">
        <v>90.830001999999993</v>
      </c>
      <c r="C1011">
        <v>91.769997000000004</v>
      </c>
      <c r="D1011">
        <v>90.610000999999997</v>
      </c>
      <c r="E1011">
        <v>91.18</v>
      </c>
      <c r="F1011">
        <v>77.117935000000003</v>
      </c>
      <c r="G1011">
        <v>6322500</v>
      </c>
      <c r="I1011">
        <f t="shared" si="16"/>
        <v>8.1613510753720411E-5</v>
      </c>
    </row>
    <row r="1012" spans="1:9" x14ac:dyDescent="0.3">
      <c r="A1012" s="5">
        <v>43105</v>
      </c>
      <c r="B1012">
        <v>91.269997000000004</v>
      </c>
      <c r="C1012">
        <v>91.300003000000004</v>
      </c>
      <c r="D1012">
        <v>90.57</v>
      </c>
      <c r="E1012">
        <v>91.239998</v>
      </c>
      <c r="F1012">
        <v>77.168655000000001</v>
      </c>
      <c r="G1012">
        <v>5949700</v>
      </c>
      <c r="I1012">
        <f t="shared" si="16"/>
        <v>5.6960977233145313E-5</v>
      </c>
    </row>
    <row r="1013" spans="1:9" x14ac:dyDescent="0.3">
      <c r="A1013" s="5">
        <v>43108</v>
      </c>
      <c r="B1013">
        <v>90.93</v>
      </c>
      <c r="C1013">
        <v>91.769997000000004</v>
      </c>
      <c r="D1013">
        <v>90.93</v>
      </c>
      <c r="E1013">
        <v>91.720000999999996</v>
      </c>
      <c r="F1013">
        <v>77.574646000000001</v>
      </c>
      <c r="G1013">
        <v>4860700</v>
      </c>
      <c r="I1013">
        <f t="shared" si="16"/>
        <v>5.0110082814815762E-6</v>
      </c>
    </row>
    <row r="1014" spans="1:9" x14ac:dyDescent="0.3">
      <c r="A1014" s="5">
        <v>43109</v>
      </c>
      <c r="B1014">
        <v>91.470000999999996</v>
      </c>
      <c r="C1014">
        <v>91.650002000000001</v>
      </c>
      <c r="D1014">
        <v>91.010002</v>
      </c>
      <c r="E1014">
        <v>91.050003000000004</v>
      </c>
      <c r="F1014">
        <v>77.007987999999997</v>
      </c>
      <c r="G1014">
        <v>6630100</v>
      </c>
      <c r="I1014">
        <f t="shared" si="16"/>
        <v>1.5128007074718974E-5</v>
      </c>
    </row>
    <row r="1015" spans="1:9" x14ac:dyDescent="0.3">
      <c r="A1015" s="5">
        <v>43110</v>
      </c>
      <c r="B1015">
        <v>90.910004000000001</v>
      </c>
      <c r="C1015">
        <v>90.910004000000001</v>
      </c>
      <c r="D1015">
        <v>90.010002</v>
      </c>
      <c r="E1015">
        <v>90.470000999999996</v>
      </c>
      <c r="F1015">
        <v>76.517441000000005</v>
      </c>
      <c r="G1015">
        <v>6564700</v>
      </c>
      <c r="I1015">
        <f t="shared" si="16"/>
        <v>5.0716490485381531E-5</v>
      </c>
    </row>
    <row r="1016" spans="1:9" x14ac:dyDescent="0.3">
      <c r="A1016" s="5">
        <v>43111</v>
      </c>
      <c r="B1016">
        <v>90.400002000000001</v>
      </c>
      <c r="C1016">
        <v>90.519997000000004</v>
      </c>
      <c r="D1016">
        <v>89.919998000000007</v>
      </c>
      <c r="E1016">
        <v>90.150002000000001</v>
      </c>
      <c r="F1016">
        <v>76.246764999999996</v>
      </c>
      <c r="G1016">
        <v>5469700</v>
      </c>
      <c r="I1016">
        <f t="shared" si="16"/>
        <v>1.903363447835422E-5</v>
      </c>
    </row>
    <row r="1017" spans="1:9" x14ac:dyDescent="0.3">
      <c r="A1017" s="5">
        <v>43112</v>
      </c>
      <c r="B1017">
        <v>90.050003000000004</v>
      </c>
      <c r="C1017">
        <v>90.339995999999999</v>
      </c>
      <c r="D1017">
        <v>89.349997999999999</v>
      </c>
      <c r="E1017">
        <v>89.610000999999997</v>
      </c>
      <c r="F1017">
        <v>75.790062000000006</v>
      </c>
      <c r="G1017">
        <v>8111000</v>
      </c>
      <c r="I1017">
        <f t="shared" si="16"/>
        <v>4.876175226478027E-5</v>
      </c>
    </row>
    <row r="1018" spans="1:9" x14ac:dyDescent="0.3">
      <c r="A1018" s="5">
        <v>43116</v>
      </c>
      <c r="B1018">
        <v>90.139999000000003</v>
      </c>
      <c r="C1018">
        <v>90.769997000000004</v>
      </c>
      <c r="D1018">
        <v>89.639999000000003</v>
      </c>
      <c r="E1018">
        <v>90.220000999999996</v>
      </c>
      <c r="F1018">
        <v>76.305992000000003</v>
      </c>
      <c r="G1018">
        <v>9465300</v>
      </c>
      <c r="I1018">
        <f t="shared" si="16"/>
        <v>7.8204171293572302E-5</v>
      </c>
    </row>
    <row r="1019" spans="1:9" x14ac:dyDescent="0.3">
      <c r="A1019" s="5">
        <v>43117</v>
      </c>
      <c r="B1019">
        <v>90.559997999999993</v>
      </c>
      <c r="C1019">
        <v>91.730002999999996</v>
      </c>
      <c r="D1019">
        <v>90.43</v>
      </c>
      <c r="E1019">
        <v>91.199996999999996</v>
      </c>
      <c r="F1019">
        <v>77.134865000000005</v>
      </c>
      <c r="G1019">
        <v>8345500</v>
      </c>
      <c r="I1019">
        <f t="shared" si="16"/>
        <v>8.6565402551658601E-5</v>
      </c>
    </row>
    <row r="1020" spans="1:9" x14ac:dyDescent="0.3">
      <c r="A1020" s="5">
        <v>43118</v>
      </c>
      <c r="B1020">
        <v>90.239998</v>
      </c>
      <c r="C1020">
        <v>90.650002000000001</v>
      </c>
      <c r="D1020">
        <v>89.669998000000007</v>
      </c>
      <c r="E1020">
        <v>90.18</v>
      </c>
      <c r="F1020">
        <v>76.853615000000005</v>
      </c>
      <c r="G1020">
        <v>7699800</v>
      </c>
      <c r="I1020">
        <f t="shared" si="16"/>
        <v>5.9501986786615038E-5</v>
      </c>
    </row>
    <row r="1021" spans="1:9" x14ac:dyDescent="0.3">
      <c r="A1021" s="5">
        <v>43119</v>
      </c>
      <c r="B1021">
        <v>90.279999000000004</v>
      </c>
      <c r="C1021">
        <v>91.260002</v>
      </c>
      <c r="D1021">
        <v>90.239998</v>
      </c>
      <c r="E1021">
        <v>91.07</v>
      </c>
      <c r="F1021">
        <v>77.612091000000007</v>
      </c>
      <c r="G1021">
        <v>9364000</v>
      </c>
      <c r="I1021">
        <f t="shared" si="16"/>
        <v>2.6559484057041741E-5</v>
      </c>
    </row>
    <row r="1022" spans="1:9" x14ac:dyDescent="0.3">
      <c r="A1022" s="5">
        <v>43122</v>
      </c>
      <c r="B1022">
        <v>90.879997000000003</v>
      </c>
      <c r="C1022">
        <v>91.919998000000007</v>
      </c>
      <c r="D1022">
        <v>90.769997000000004</v>
      </c>
      <c r="E1022">
        <v>91.889999000000003</v>
      </c>
      <c r="F1022">
        <v>78.310905000000005</v>
      </c>
      <c r="G1022">
        <v>8658000</v>
      </c>
      <c r="I1022">
        <f t="shared" si="16"/>
        <v>1.8566605376048713E-5</v>
      </c>
    </row>
    <row r="1023" spans="1:9" x14ac:dyDescent="0.3">
      <c r="A1023" s="5">
        <v>43123</v>
      </c>
      <c r="B1023">
        <v>89.82</v>
      </c>
      <c r="C1023">
        <v>90.209998999999996</v>
      </c>
      <c r="D1023">
        <v>88.599997999999999</v>
      </c>
      <c r="E1023">
        <v>89.050003000000004</v>
      </c>
      <c r="F1023">
        <v>75.890602000000001</v>
      </c>
      <c r="G1023">
        <v>18756300</v>
      </c>
      <c r="I1023">
        <f t="shared" si="16"/>
        <v>1.2535821825393131E-4</v>
      </c>
    </row>
    <row r="1024" spans="1:9" x14ac:dyDescent="0.3">
      <c r="A1024" s="5">
        <v>43124</v>
      </c>
      <c r="B1024">
        <v>89.059997999999993</v>
      </c>
      <c r="C1024">
        <v>89.160004000000001</v>
      </c>
      <c r="D1024">
        <v>87.699996999999996</v>
      </c>
      <c r="E1024">
        <v>88.309997999999993</v>
      </c>
      <c r="F1024">
        <v>75.259940999999998</v>
      </c>
      <c r="G1024">
        <v>15141900</v>
      </c>
      <c r="I1024">
        <f t="shared" si="16"/>
        <v>1.1741475372064672E-4</v>
      </c>
    </row>
    <row r="1025" spans="1:9" x14ac:dyDescent="0.3">
      <c r="A1025" s="5">
        <v>43125</v>
      </c>
      <c r="B1025">
        <v>88.68</v>
      </c>
      <c r="C1025">
        <v>89.050003000000004</v>
      </c>
      <c r="D1025">
        <v>88.010002</v>
      </c>
      <c r="E1025">
        <v>88.339995999999999</v>
      </c>
      <c r="F1025">
        <v>75.285506999999996</v>
      </c>
      <c r="G1025">
        <v>11264400</v>
      </c>
      <c r="I1025">
        <f t="shared" si="16"/>
        <v>6.1713195931141181E-5</v>
      </c>
    </row>
    <row r="1026" spans="1:9" x14ac:dyDescent="0.3">
      <c r="A1026" s="5">
        <v>43126</v>
      </c>
      <c r="B1026">
        <v>88.169998000000007</v>
      </c>
      <c r="C1026">
        <v>88.169998000000007</v>
      </c>
      <c r="D1026">
        <v>87.230002999999996</v>
      </c>
      <c r="E1026">
        <v>87.730002999999996</v>
      </c>
      <c r="F1026">
        <v>74.765663000000004</v>
      </c>
      <c r="G1026">
        <v>11503100</v>
      </c>
      <c r="I1026">
        <f t="shared" si="16"/>
        <v>6.1262187872361505E-5</v>
      </c>
    </row>
    <row r="1027" spans="1:9" x14ac:dyDescent="0.3">
      <c r="A1027" s="5">
        <v>43129</v>
      </c>
      <c r="B1027">
        <v>87.690002000000007</v>
      </c>
      <c r="C1027">
        <v>87.739998</v>
      </c>
      <c r="D1027">
        <v>86.690002000000007</v>
      </c>
      <c r="E1027">
        <v>86.860000999999997</v>
      </c>
      <c r="F1027">
        <v>74.024231</v>
      </c>
      <c r="G1027">
        <v>11685800</v>
      </c>
      <c r="I1027">
        <f t="shared" si="16"/>
        <v>2.821487660398032E-5</v>
      </c>
    </row>
    <row r="1028" spans="1:9" x14ac:dyDescent="0.3">
      <c r="A1028" s="5">
        <v>43130</v>
      </c>
      <c r="B1028">
        <v>86.82</v>
      </c>
      <c r="C1028">
        <v>87.440002000000007</v>
      </c>
      <c r="D1028">
        <v>86.629997000000003</v>
      </c>
      <c r="E1028">
        <v>86.949996999999996</v>
      </c>
      <c r="F1028">
        <v>74.100937000000002</v>
      </c>
      <c r="G1028">
        <v>9662900</v>
      </c>
      <c r="I1028">
        <f t="shared" si="16"/>
        <v>4.8066574360243824E-5</v>
      </c>
    </row>
    <row r="1029" spans="1:9" x14ac:dyDescent="0.3">
      <c r="A1029" s="5">
        <v>43131</v>
      </c>
      <c r="B1029">
        <v>86.809997999999993</v>
      </c>
      <c r="C1029">
        <v>87.410004000000001</v>
      </c>
      <c r="D1029">
        <v>86.080001999999993</v>
      </c>
      <c r="E1029">
        <v>86.339995999999999</v>
      </c>
      <c r="F1029">
        <v>73.581062000000003</v>
      </c>
      <c r="G1029">
        <v>11798100</v>
      </c>
      <c r="I1029">
        <f t="shared" si="16"/>
        <v>1.1030499847255814E-4</v>
      </c>
    </row>
    <row r="1030" spans="1:9" x14ac:dyDescent="0.3">
      <c r="A1030" s="5">
        <v>43132</v>
      </c>
      <c r="B1030">
        <v>86.150002000000001</v>
      </c>
      <c r="C1030">
        <v>86.5</v>
      </c>
      <c r="D1030">
        <v>85.559997999999993</v>
      </c>
      <c r="E1030">
        <v>85.849997999999999</v>
      </c>
      <c r="F1030">
        <v>73.163482999999999</v>
      </c>
      <c r="G1030">
        <v>8606300</v>
      </c>
      <c r="I1030">
        <f t="shared" si="16"/>
        <v>5.3835172496374839E-5</v>
      </c>
    </row>
    <row r="1031" spans="1:9" x14ac:dyDescent="0.3">
      <c r="A1031" s="5">
        <v>43133</v>
      </c>
      <c r="B1031">
        <v>85.559997999999993</v>
      </c>
      <c r="C1031">
        <v>85.610000999999997</v>
      </c>
      <c r="D1031">
        <v>84.209998999999996</v>
      </c>
      <c r="E1031">
        <v>84.25</v>
      </c>
      <c r="F1031">
        <v>71.799910999999994</v>
      </c>
      <c r="G1031">
        <v>12846300</v>
      </c>
      <c r="I1031">
        <f t="shared" si="16"/>
        <v>1.6908839413136556E-5</v>
      </c>
    </row>
    <row r="1032" spans="1:9" x14ac:dyDescent="0.3">
      <c r="A1032" s="5">
        <v>43136</v>
      </c>
      <c r="B1032">
        <v>83.989998</v>
      </c>
      <c r="C1032">
        <v>84.370002999999997</v>
      </c>
      <c r="D1032">
        <v>80.099997999999999</v>
      </c>
      <c r="E1032">
        <v>81.059997999999993</v>
      </c>
      <c r="F1032">
        <v>69.081322</v>
      </c>
      <c r="G1032">
        <v>17462200</v>
      </c>
      <c r="I1032">
        <f t="shared" si="16"/>
        <v>7.4564230864111085E-4</v>
      </c>
    </row>
    <row r="1033" spans="1:9" x14ac:dyDescent="0.3">
      <c r="A1033" s="5">
        <v>43137</v>
      </c>
      <c r="B1033">
        <v>80.529999000000004</v>
      </c>
      <c r="C1033">
        <v>82.449996999999996</v>
      </c>
      <c r="D1033">
        <v>80.120002999999997</v>
      </c>
      <c r="E1033">
        <v>82.379997000000003</v>
      </c>
      <c r="F1033">
        <v>70.206260999999998</v>
      </c>
      <c r="G1033">
        <v>19955500</v>
      </c>
      <c r="I1033">
        <f t="shared" si="16"/>
        <v>1.6199758776091518E-4</v>
      </c>
    </row>
    <row r="1034" spans="1:9" x14ac:dyDescent="0.3">
      <c r="A1034" s="5">
        <v>43138</v>
      </c>
      <c r="B1034">
        <v>82.300003000000004</v>
      </c>
      <c r="C1034">
        <v>83.389999000000003</v>
      </c>
      <c r="D1034">
        <v>81.819999999999993</v>
      </c>
      <c r="E1034">
        <v>81.839995999999999</v>
      </c>
      <c r="F1034">
        <v>69.746071000000001</v>
      </c>
      <c r="G1034">
        <v>11851800</v>
      </c>
      <c r="I1034">
        <f t="shared" si="16"/>
        <v>2.4828966523461474E-4</v>
      </c>
    </row>
    <row r="1035" spans="1:9" x14ac:dyDescent="0.3">
      <c r="A1035" s="5">
        <v>43139</v>
      </c>
      <c r="B1035">
        <v>82.029999000000004</v>
      </c>
      <c r="C1035">
        <v>82.220000999999996</v>
      </c>
      <c r="D1035">
        <v>80.150002000000001</v>
      </c>
      <c r="E1035">
        <v>80.220000999999996</v>
      </c>
      <c r="F1035">
        <v>68.365440000000007</v>
      </c>
      <c r="G1035">
        <v>14596100</v>
      </c>
      <c r="I1035">
        <f t="shared" si="16"/>
        <v>7.7213257907430066E-5</v>
      </c>
    </row>
    <row r="1036" spans="1:9" x14ac:dyDescent="0.3">
      <c r="A1036" s="5">
        <v>43140</v>
      </c>
      <c r="B1036">
        <v>80.980002999999996</v>
      </c>
      <c r="C1036">
        <v>81.029999000000004</v>
      </c>
      <c r="D1036">
        <v>78.589995999999999</v>
      </c>
      <c r="E1036">
        <v>79.919998000000007</v>
      </c>
      <c r="F1036">
        <v>68.109772000000007</v>
      </c>
      <c r="G1036">
        <v>18838800</v>
      </c>
      <c r="I1036">
        <f t="shared" ref="I1036:I1099" si="17">LN(C1036/B1036)*(LN(C1036/B1036)-LN(E1036/B1036))+LN(D1036/B1036)*(LN(D1036/B1036)-LN(E1036/B1036))</f>
        <v>5.1125643522465674E-4</v>
      </c>
    </row>
    <row r="1037" spans="1:9" x14ac:dyDescent="0.3">
      <c r="A1037" s="5">
        <v>43143</v>
      </c>
      <c r="B1037">
        <v>80.610000999999997</v>
      </c>
      <c r="C1037">
        <v>81.669998000000007</v>
      </c>
      <c r="D1037">
        <v>80.580001999999993</v>
      </c>
      <c r="E1037">
        <v>81.330001999999993</v>
      </c>
      <c r="F1037">
        <v>69.311417000000006</v>
      </c>
      <c r="G1037">
        <v>10769000</v>
      </c>
      <c r="I1037">
        <f t="shared" si="17"/>
        <v>5.7947929087741047E-5</v>
      </c>
    </row>
    <row r="1038" spans="1:9" x14ac:dyDescent="0.3">
      <c r="A1038" s="5">
        <v>43144</v>
      </c>
      <c r="B1038">
        <v>81.150002000000001</v>
      </c>
      <c r="C1038">
        <v>81.830001999999993</v>
      </c>
      <c r="D1038">
        <v>80.910004000000001</v>
      </c>
      <c r="E1038">
        <v>81.5</v>
      </c>
      <c r="F1038">
        <v>69.456283999999997</v>
      </c>
      <c r="G1038">
        <v>9278700</v>
      </c>
      <c r="I1038">
        <f t="shared" si="17"/>
        <v>5.5239462750561805E-5</v>
      </c>
    </row>
    <row r="1039" spans="1:9" x14ac:dyDescent="0.3">
      <c r="A1039" s="5">
        <v>43145</v>
      </c>
      <c r="B1039">
        <v>81.059997999999993</v>
      </c>
      <c r="C1039">
        <v>81.260002</v>
      </c>
      <c r="D1039">
        <v>80.269997000000004</v>
      </c>
      <c r="E1039">
        <v>80.680000000000007</v>
      </c>
      <c r="F1039">
        <v>68.757484000000005</v>
      </c>
      <c r="G1039">
        <v>9412000</v>
      </c>
      <c r="I1039">
        <f t="shared" si="17"/>
        <v>6.7549245786366615E-5</v>
      </c>
    </row>
    <row r="1040" spans="1:9" x14ac:dyDescent="0.3">
      <c r="A1040" s="5">
        <v>43146</v>
      </c>
      <c r="B1040">
        <v>80.970000999999996</v>
      </c>
      <c r="C1040">
        <v>82.410004000000001</v>
      </c>
      <c r="D1040">
        <v>80.5</v>
      </c>
      <c r="E1040">
        <v>82.410004000000001</v>
      </c>
      <c r="F1040">
        <v>70.231812000000005</v>
      </c>
      <c r="G1040">
        <v>8910700</v>
      </c>
      <c r="I1040">
        <f t="shared" si="17"/>
        <v>1.3651317725281269E-4</v>
      </c>
    </row>
    <row r="1041" spans="1:9" x14ac:dyDescent="0.3">
      <c r="A1041" s="5">
        <v>43147</v>
      </c>
      <c r="B1041">
        <v>82.209998999999996</v>
      </c>
      <c r="C1041">
        <v>83.25</v>
      </c>
      <c r="D1041">
        <v>82.129997000000003</v>
      </c>
      <c r="E1041">
        <v>82.599997999999999</v>
      </c>
      <c r="F1041">
        <v>70.393744999999996</v>
      </c>
      <c r="G1041">
        <v>10371700</v>
      </c>
      <c r="I1041">
        <f t="shared" si="17"/>
        <v>1.0409472014036838E-4</v>
      </c>
    </row>
    <row r="1042" spans="1:9" x14ac:dyDescent="0.3">
      <c r="A1042" s="5">
        <v>43151</v>
      </c>
      <c r="B1042">
        <v>82.190002000000007</v>
      </c>
      <c r="C1042">
        <v>82.220000999999996</v>
      </c>
      <c r="D1042">
        <v>81.069999999999993</v>
      </c>
      <c r="E1042">
        <v>81.339995999999999</v>
      </c>
      <c r="F1042">
        <v>69.319939000000005</v>
      </c>
      <c r="G1042">
        <v>7087700</v>
      </c>
      <c r="I1042">
        <f t="shared" si="17"/>
        <v>4.9546435603634696E-5</v>
      </c>
    </row>
    <row r="1043" spans="1:9" x14ac:dyDescent="0.3">
      <c r="A1043" s="5">
        <v>43152</v>
      </c>
      <c r="B1043">
        <v>81.309997999999993</v>
      </c>
      <c r="C1043">
        <v>81.809997999999993</v>
      </c>
      <c r="D1043">
        <v>80.190002000000007</v>
      </c>
      <c r="E1043">
        <v>80.239998</v>
      </c>
      <c r="F1043">
        <v>68.382507000000004</v>
      </c>
      <c r="G1043">
        <v>9134500</v>
      </c>
      <c r="I1043">
        <f t="shared" si="17"/>
        <v>1.2743723392065733E-4</v>
      </c>
    </row>
    <row r="1044" spans="1:9" x14ac:dyDescent="0.3">
      <c r="A1044" s="5">
        <v>43153</v>
      </c>
      <c r="B1044">
        <v>80.470000999999996</v>
      </c>
      <c r="C1044">
        <v>81.279999000000004</v>
      </c>
      <c r="D1044">
        <v>80.169998000000007</v>
      </c>
      <c r="E1044">
        <v>80.839995999999999</v>
      </c>
      <c r="F1044">
        <v>68.893828999999997</v>
      </c>
      <c r="G1044">
        <v>10277700</v>
      </c>
      <c r="I1044">
        <f t="shared" si="17"/>
        <v>8.5450838843768824E-5</v>
      </c>
    </row>
    <row r="1045" spans="1:9" x14ac:dyDescent="0.3">
      <c r="A1045" s="5">
        <v>43154</v>
      </c>
      <c r="B1045">
        <v>81.010002</v>
      </c>
      <c r="C1045">
        <v>81.120002999999997</v>
      </c>
      <c r="D1045">
        <v>80.480002999999996</v>
      </c>
      <c r="E1045">
        <v>81.050003000000004</v>
      </c>
      <c r="F1045">
        <v>69.072806999999997</v>
      </c>
      <c r="G1045">
        <v>10321800</v>
      </c>
      <c r="I1045">
        <f t="shared" si="17"/>
        <v>4.7496332654625689E-5</v>
      </c>
    </row>
    <row r="1046" spans="1:9" x14ac:dyDescent="0.3">
      <c r="A1046" s="5">
        <v>43157</v>
      </c>
      <c r="B1046">
        <v>81.449996999999996</v>
      </c>
      <c r="C1046">
        <v>81.690002000000007</v>
      </c>
      <c r="D1046">
        <v>81.050003000000004</v>
      </c>
      <c r="E1046">
        <v>81.629997000000003</v>
      </c>
      <c r="F1046">
        <v>69.567093</v>
      </c>
      <c r="G1046">
        <v>9422200</v>
      </c>
      <c r="I1046">
        <f t="shared" si="17"/>
        <v>3.726570284417662E-5</v>
      </c>
    </row>
    <row r="1047" spans="1:9" x14ac:dyDescent="0.3">
      <c r="A1047" s="5">
        <v>43158</v>
      </c>
      <c r="B1047">
        <v>81.889999000000003</v>
      </c>
      <c r="C1047">
        <v>82</v>
      </c>
      <c r="D1047">
        <v>80.510002</v>
      </c>
      <c r="E1047">
        <v>80.540001000000004</v>
      </c>
      <c r="F1047">
        <v>68.638167999999993</v>
      </c>
      <c r="G1047">
        <v>8919600</v>
      </c>
      <c r="I1047">
        <f t="shared" si="17"/>
        <v>3.0447692483521834E-5</v>
      </c>
    </row>
    <row r="1048" spans="1:9" x14ac:dyDescent="0.3">
      <c r="A1048" s="5">
        <v>43159</v>
      </c>
      <c r="B1048">
        <v>80.680000000000007</v>
      </c>
      <c r="C1048">
        <v>80.790001000000004</v>
      </c>
      <c r="D1048">
        <v>78.5</v>
      </c>
      <c r="E1048">
        <v>78.519997000000004</v>
      </c>
      <c r="F1048">
        <v>66.916672000000005</v>
      </c>
      <c r="G1048">
        <v>16862000</v>
      </c>
      <c r="I1048">
        <f t="shared" si="17"/>
        <v>4.5807873843742772E-5</v>
      </c>
    </row>
    <row r="1049" spans="1:9" x14ac:dyDescent="0.3">
      <c r="A1049" s="5">
        <v>43160</v>
      </c>
      <c r="B1049">
        <v>78.400002000000001</v>
      </c>
      <c r="C1049">
        <v>79.279999000000004</v>
      </c>
      <c r="D1049">
        <v>77.900002000000001</v>
      </c>
      <c r="E1049">
        <v>78.699996999999996</v>
      </c>
      <c r="F1049">
        <v>67.070068000000006</v>
      </c>
      <c r="G1049">
        <v>13504200</v>
      </c>
      <c r="I1049">
        <f t="shared" si="17"/>
        <v>1.4732832553719817E-4</v>
      </c>
    </row>
    <row r="1050" spans="1:9" x14ac:dyDescent="0.3">
      <c r="A1050" s="5">
        <v>43161</v>
      </c>
      <c r="B1050">
        <v>78.480002999999996</v>
      </c>
      <c r="C1050">
        <v>79.660004000000001</v>
      </c>
      <c r="D1050">
        <v>78.419998000000007</v>
      </c>
      <c r="E1050">
        <v>79.5</v>
      </c>
      <c r="F1050">
        <v>67.751862000000003</v>
      </c>
      <c r="G1050">
        <v>9317700</v>
      </c>
      <c r="I1050">
        <f t="shared" si="17"/>
        <v>4.0467931245763253E-5</v>
      </c>
    </row>
    <row r="1051" spans="1:9" x14ac:dyDescent="0.3">
      <c r="A1051" s="5">
        <v>43164</v>
      </c>
      <c r="B1051">
        <v>79.279999000000004</v>
      </c>
      <c r="C1051">
        <v>80.389999000000003</v>
      </c>
      <c r="D1051">
        <v>79.150002000000001</v>
      </c>
      <c r="E1051">
        <v>80.290001000000004</v>
      </c>
      <c r="F1051">
        <v>68.425117</v>
      </c>
      <c r="G1051">
        <v>8177000</v>
      </c>
      <c r="I1051">
        <f t="shared" si="17"/>
        <v>4.0773682200359731E-5</v>
      </c>
    </row>
    <row r="1052" spans="1:9" x14ac:dyDescent="0.3">
      <c r="A1052" s="5">
        <v>43165</v>
      </c>
      <c r="B1052">
        <v>80.410004000000001</v>
      </c>
      <c r="C1052">
        <v>80.419998000000007</v>
      </c>
      <c r="D1052">
        <v>79.370002999999997</v>
      </c>
      <c r="E1052">
        <v>80.019997000000004</v>
      </c>
      <c r="F1052">
        <v>68.195014999999998</v>
      </c>
      <c r="G1052">
        <v>9085300</v>
      </c>
      <c r="I1052">
        <f t="shared" si="17"/>
        <v>1.0679613294951737E-4</v>
      </c>
    </row>
    <row r="1053" spans="1:9" x14ac:dyDescent="0.3">
      <c r="A1053" s="5">
        <v>43166</v>
      </c>
      <c r="B1053">
        <v>79.529999000000004</v>
      </c>
      <c r="C1053">
        <v>79.639999000000003</v>
      </c>
      <c r="D1053">
        <v>78.900002000000001</v>
      </c>
      <c r="E1053">
        <v>79.160004000000001</v>
      </c>
      <c r="F1053">
        <v>67.462097</v>
      </c>
      <c r="G1053">
        <v>9089500</v>
      </c>
      <c r="I1053">
        <f t="shared" si="17"/>
        <v>3.4520487859666024E-5</v>
      </c>
    </row>
    <row r="1054" spans="1:9" x14ac:dyDescent="0.3">
      <c r="A1054" s="5">
        <v>43167</v>
      </c>
      <c r="B1054">
        <v>79.169998000000007</v>
      </c>
      <c r="C1054">
        <v>79.989998</v>
      </c>
      <c r="D1054">
        <v>79.019997000000004</v>
      </c>
      <c r="E1054">
        <v>79.970000999999996</v>
      </c>
      <c r="F1054">
        <v>68.152405000000002</v>
      </c>
      <c r="G1054">
        <v>7951700</v>
      </c>
      <c r="I1054">
        <f t="shared" si="17"/>
        <v>2.5240278626838861E-5</v>
      </c>
    </row>
    <row r="1055" spans="1:9" x14ac:dyDescent="0.3">
      <c r="A1055" s="5">
        <v>43168</v>
      </c>
      <c r="B1055">
        <v>80.180000000000007</v>
      </c>
      <c r="C1055">
        <v>80.75</v>
      </c>
      <c r="D1055">
        <v>79.900002000000001</v>
      </c>
      <c r="E1055">
        <v>80.290001000000004</v>
      </c>
      <c r="F1055">
        <v>68.425117</v>
      </c>
      <c r="G1055">
        <v>7662200</v>
      </c>
      <c r="I1055">
        <f t="shared" si="17"/>
        <v>5.750276877829762E-5</v>
      </c>
    </row>
    <row r="1056" spans="1:9" x14ac:dyDescent="0.3">
      <c r="A1056" s="5">
        <v>43171</v>
      </c>
      <c r="B1056">
        <v>80.230002999999996</v>
      </c>
      <c r="C1056">
        <v>80.620002999999997</v>
      </c>
      <c r="D1056">
        <v>79.760002</v>
      </c>
      <c r="E1056">
        <v>79.860000999999997</v>
      </c>
      <c r="F1056">
        <v>68.058661999999998</v>
      </c>
      <c r="G1056">
        <v>7182000</v>
      </c>
      <c r="I1056">
        <f t="shared" si="17"/>
        <v>5.3292183316344137E-5</v>
      </c>
    </row>
    <row r="1057" spans="1:9" x14ac:dyDescent="0.3">
      <c r="A1057" s="5">
        <v>43172</v>
      </c>
      <c r="B1057">
        <v>80</v>
      </c>
      <c r="C1057">
        <v>80.190002000000007</v>
      </c>
      <c r="D1057">
        <v>79.360000999999997</v>
      </c>
      <c r="E1057">
        <v>79.720000999999996</v>
      </c>
      <c r="F1057">
        <v>67.939346</v>
      </c>
      <c r="G1057">
        <v>9620200</v>
      </c>
      <c r="I1057">
        <f t="shared" si="17"/>
        <v>5.0298453361436417E-5</v>
      </c>
    </row>
    <row r="1058" spans="1:9" x14ac:dyDescent="0.3">
      <c r="A1058" s="5">
        <v>43173</v>
      </c>
      <c r="B1058">
        <v>79.690002000000007</v>
      </c>
      <c r="C1058">
        <v>79.839995999999999</v>
      </c>
      <c r="D1058">
        <v>78.860000999999997</v>
      </c>
      <c r="E1058">
        <v>79</v>
      </c>
      <c r="F1058">
        <v>67.325744999999998</v>
      </c>
      <c r="G1058">
        <v>8898100</v>
      </c>
      <c r="I1058">
        <f t="shared" si="17"/>
        <v>3.845974688211962E-5</v>
      </c>
    </row>
    <row r="1059" spans="1:9" x14ac:dyDescent="0.3">
      <c r="A1059" s="5">
        <v>43174</v>
      </c>
      <c r="B1059">
        <v>79.089995999999999</v>
      </c>
      <c r="C1059">
        <v>79.139999000000003</v>
      </c>
      <c r="D1059">
        <v>78.540001000000004</v>
      </c>
      <c r="E1059">
        <v>78.669998000000007</v>
      </c>
      <c r="F1059">
        <v>67.044501999999994</v>
      </c>
      <c r="G1059">
        <v>6996900</v>
      </c>
      <c r="I1059">
        <f t="shared" si="17"/>
        <v>1.5305493906602876E-5</v>
      </c>
    </row>
    <row r="1060" spans="1:9" x14ac:dyDescent="0.3">
      <c r="A1060" s="5">
        <v>43175</v>
      </c>
      <c r="B1060">
        <v>78.930000000000007</v>
      </c>
      <c r="C1060">
        <v>79.389999000000003</v>
      </c>
      <c r="D1060">
        <v>78.839995999999999</v>
      </c>
      <c r="E1060">
        <v>78.970000999999996</v>
      </c>
      <c r="F1060">
        <v>67.300179</v>
      </c>
      <c r="G1060">
        <v>17715400</v>
      </c>
      <c r="I1060">
        <f t="shared" si="17"/>
        <v>3.2703570840425983E-5</v>
      </c>
    </row>
    <row r="1061" spans="1:9" x14ac:dyDescent="0.3">
      <c r="A1061" s="5">
        <v>43178</v>
      </c>
      <c r="B1061">
        <v>78.970000999999996</v>
      </c>
      <c r="C1061">
        <v>79.569999999999993</v>
      </c>
      <c r="D1061">
        <v>78.269997000000004</v>
      </c>
      <c r="E1061">
        <v>78.660004000000001</v>
      </c>
      <c r="F1061">
        <v>67.035965000000004</v>
      </c>
      <c r="G1061">
        <v>8368200</v>
      </c>
      <c r="I1061">
        <f t="shared" si="17"/>
        <v>1.3131764848430601E-4</v>
      </c>
    </row>
    <row r="1062" spans="1:9" x14ac:dyDescent="0.3">
      <c r="A1062" s="5">
        <v>43179</v>
      </c>
      <c r="B1062">
        <v>78.739998</v>
      </c>
      <c r="C1062">
        <v>79.099997999999999</v>
      </c>
      <c r="D1062">
        <v>77.959998999999996</v>
      </c>
      <c r="E1062">
        <v>78.309997999999993</v>
      </c>
      <c r="F1062">
        <v>66.737701000000001</v>
      </c>
      <c r="G1062">
        <v>8465500</v>
      </c>
      <c r="I1062">
        <f t="shared" si="17"/>
        <v>9.0381679930457993E-5</v>
      </c>
    </row>
    <row r="1063" spans="1:9" x14ac:dyDescent="0.3">
      <c r="A1063" s="5">
        <v>43180</v>
      </c>
      <c r="B1063">
        <v>78.050003000000004</v>
      </c>
      <c r="C1063">
        <v>78.239998</v>
      </c>
      <c r="D1063">
        <v>76.879997000000003</v>
      </c>
      <c r="E1063">
        <v>77.040001000000004</v>
      </c>
      <c r="F1063">
        <v>65.655379999999994</v>
      </c>
      <c r="G1063">
        <v>9822800</v>
      </c>
      <c r="I1063">
        <f t="shared" si="17"/>
        <v>6.8980895653009692E-5</v>
      </c>
    </row>
    <row r="1064" spans="1:9" x14ac:dyDescent="0.3">
      <c r="A1064" s="5">
        <v>43181</v>
      </c>
      <c r="B1064">
        <v>76.830001999999993</v>
      </c>
      <c r="C1064">
        <v>77.519997000000004</v>
      </c>
      <c r="D1064">
        <v>76.370002999999997</v>
      </c>
      <c r="E1064">
        <v>76.410004000000001</v>
      </c>
      <c r="F1064">
        <v>65.118476999999999</v>
      </c>
      <c r="G1064">
        <v>10481600</v>
      </c>
      <c r="I1064">
        <f t="shared" si="17"/>
        <v>1.3209023693853538E-4</v>
      </c>
    </row>
    <row r="1065" spans="1:9" x14ac:dyDescent="0.3">
      <c r="A1065" s="5">
        <v>43182</v>
      </c>
      <c r="B1065">
        <v>76.790001000000004</v>
      </c>
      <c r="C1065">
        <v>77.180000000000007</v>
      </c>
      <c r="D1065">
        <v>75.809997999999993</v>
      </c>
      <c r="E1065">
        <v>75.910004000000001</v>
      </c>
      <c r="F1065">
        <v>64.692368000000002</v>
      </c>
      <c r="G1065">
        <v>11728300</v>
      </c>
      <c r="I1065">
        <f t="shared" si="17"/>
        <v>1.0098564935834625E-4</v>
      </c>
    </row>
    <row r="1066" spans="1:9" x14ac:dyDescent="0.3">
      <c r="A1066" s="5">
        <v>43185</v>
      </c>
      <c r="B1066">
        <v>76.569999999999993</v>
      </c>
      <c r="C1066">
        <v>76.870002999999997</v>
      </c>
      <c r="D1066">
        <v>76.019997000000004</v>
      </c>
      <c r="E1066">
        <v>76.410004000000001</v>
      </c>
      <c r="F1066">
        <v>65.118476999999999</v>
      </c>
      <c r="G1066">
        <v>12937000</v>
      </c>
      <c r="I1066">
        <f t="shared" si="17"/>
        <v>6.035997001260966E-5</v>
      </c>
    </row>
    <row r="1067" spans="1:9" x14ac:dyDescent="0.3">
      <c r="A1067" s="5">
        <v>43186</v>
      </c>
      <c r="B1067">
        <v>76.529999000000004</v>
      </c>
      <c r="C1067">
        <v>78.440002000000007</v>
      </c>
      <c r="D1067">
        <v>76.300003000000004</v>
      </c>
      <c r="E1067">
        <v>77.790001000000004</v>
      </c>
      <c r="F1067">
        <v>66.294539999999998</v>
      </c>
      <c r="G1067">
        <v>11288200</v>
      </c>
      <c r="I1067">
        <f t="shared" si="17"/>
        <v>2.6333577848174284E-4</v>
      </c>
    </row>
    <row r="1068" spans="1:9" x14ac:dyDescent="0.3">
      <c r="A1068" s="5">
        <v>43187</v>
      </c>
      <c r="B1068">
        <v>77.949996999999996</v>
      </c>
      <c r="C1068">
        <v>79.139999000000003</v>
      </c>
      <c r="D1068">
        <v>77.949996999999996</v>
      </c>
      <c r="E1068">
        <v>78.839995999999999</v>
      </c>
      <c r="F1068">
        <v>67.189384000000004</v>
      </c>
      <c r="G1068">
        <v>12857800</v>
      </c>
      <c r="I1068">
        <f t="shared" si="17"/>
        <v>5.7542865569727512E-5</v>
      </c>
    </row>
    <row r="1069" spans="1:9" x14ac:dyDescent="0.3">
      <c r="A1069" s="5">
        <v>43188</v>
      </c>
      <c r="B1069">
        <v>79.430000000000007</v>
      </c>
      <c r="C1069">
        <v>80.489998</v>
      </c>
      <c r="D1069">
        <v>79.180000000000007</v>
      </c>
      <c r="E1069">
        <v>79.279999000000004</v>
      </c>
      <c r="F1069">
        <v>67.564362000000003</v>
      </c>
      <c r="G1069">
        <v>10036400</v>
      </c>
      <c r="I1069">
        <f t="shared" si="17"/>
        <v>2.0478013029506139E-4</v>
      </c>
    </row>
    <row r="1070" spans="1:9" x14ac:dyDescent="0.3">
      <c r="A1070" s="5">
        <v>43192</v>
      </c>
      <c r="B1070">
        <v>79.260002</v>
      </c>
      <c r="C1070">
        <v>79.370002999999997</v>
      </c>
      <c r="D1070">
        <v>77.059997999999993</v>
      </c>
      <c r="E1070">
        <v>77.400002000000001</v>
      </c>
      <c r="F1070">
        <v>65.962188999999995</v>
      </c>
      <c r="G1070">
        <v>12017200</v>
      </c>
      <c r="I1070">
        <f t="shared" si="17"/>
        <v>1.5878471734977136E-4</v>
      </c>
    </row>
    <row r="1071" spans="1:9" x14ac:dyDescent="0.3">
      <c r="A1071" s="5">
        <v>43193</v>
      </c>
      <c r="B1071">
        <v>77.559997999999993</v>
      </c>
      <c r="C1071">
        <v>78.800003000000004</v>
      </c>
      <c r="D1071">
        <v>77.180000000000007</v>
      </c>
      <c r="E1071">
        <v>78.459998999999996</v>
      </c>
      <c r="F1071">
        <v>66.865532000000002</v>
      </c>
      <c r="G1071">
        <v>11933100</v>
      </c>
      <c r="I1071">
        <f t="shared" si="17"/>
        <v>1.4937196912944702E-4</v>
      </c>
    </row>
    <row r="1072" spans="1:9" x14ac:dyDescent="0.3">
      <c r="A1072" s="5">
        <v>43194</v>
      </c>
      <c r="B1072">
        <v>77.819999999999993</v>
      </c>
      <c r="C1072">
        <v>79.519997000000004</v>
      </c>
      <c r="D1072">
        <v>77.589995999999999</v>
      </c>
      <c r="E1072">
        <v>79.050003000000004</v>
      </c>
      <c r="F1072">
        <v>67.368347</v>
      </c>
      <c r="G1072">
        <v>9030800</v>
      </c>
      <c r="I1072">
        <f t="shared" si="17"/>
        <v>1.8328274136566935E-4</v>
      </c>
    </row>
    <row r="1073" spans="1:9" x14ac:dyDescent="0.3">
      <c r="A1073" s="5">
        <v>43195</v>
      </c>
      <c r="B1073">
        <v>79.089995999999999</v>
      </c>
      <c r="C1073">
        <v>79.319999999999993</v>
      </c>
      <c r="D1073">
        <v>78.510002</v>
      </c>
      <c r="E1073">
        <v>78.800003000000004</v>
      </c>
      <c r="F1073">
        <v>67.155288999999996</v>
      </c>
      <c r="G1073">
        <v>7864700</v>
      </c>
      <c r="I1073">
        <f t="shared" si="17"/>
        <v>4.6237485061971165E-5</v>
      </c>
    </row>
    <row r="1074" spans="1:9" x14ac:dyDescent="0.3">
      <c r="A1074" s="5">
        <v>43196</v>
      </c>
      <c r="B1074">
        <v>78.370002999999997</v>
      </c>
      <c r="C1074">
        <v>79.360000999999997</v>
      </c>
      <c r="D1074">
        <v>77.900002000000001</v>
      </c>
      <c r="E1074">
        <v>78.430000000000007</v>
      </c>
      <c r="F1074">
        <v>66.839973000000001</v>
      </c>
      <c r="G1074">
        <v>8300800</v>
      </c>
      <c r="I1074">
        <f t="shared" si="17"/>
        <v>1.8876379973232636E-4</v>
      </c>
    </row>
    <row r="1075" spans="1:9" x14ac:dyDescent="0.3">
      <c r="A1075" s="5">
        <v>43199</v>
      </c>
      <c r="B1075">
        <v>78.800003000000004</v>
      </c>
      <c r="C1075">
        <v>78.849997999999999</v>
      </c>
      <c r="D1075">
        <v>77.569999999999993</v>
      </c>
      <c r="E1075">
        <v>78.160004000000001</v>
      </c>
      <c r="F1075">
        <v>66.609879000000006</v>
      </c>
      <c r="G1075">
        <v>9031200</v>
      </c>
      <c r="I1075">
        <f t="shared" si="17"/>
        <v>1.2478287378694852E-4</v>
      </c>
    </row>
    <row r="1076" spans="1:9" x14ac:dyDescent="0.3">
      <c r="A1076" s="5">
        <v>43200</v>
      </c>
      <c r="B1076">
        <v>78.709998999999996</v>
      </c>
      <c r="C1076">
        <v>78.839995999999999</v>
      </c>
      <c r="D1076">
        <v>77.940002000000007</v>
      </c>
      <c r="E1076">
        <v>78.370002999999997</v>
      </c>
      <c r="F1076">
        <v>66.788841000000005</v>
      </c>
      <c r="G1076">
        <v>6779000</v>
      </c>
      <c r="I1076">
        <f t="shared" si="17"/>
        <v>6.3955675298301863E-5</v>
      </c>
    </row>
    <row r="1077" spans="1:9" x14ac:dyDescent="0.3">
      <c r="A1077" s="5">
        <v>43201</v>
      </c>
      <c r="B1077">
        <v>78.190002000000007</v>
      </c>
      <c r="C1077">
        <v>78.690002000000007</v>
      </c>
      <c r="D1077">
        <v>78.040001000000004</v>
      </c>
      <c r="E1077">
        <v>78.269997000000004</v>
      </c>
      <c r="F1077">
        <v>66.703613000000004</v>
      </c>
      <c r="G1077">
        <v>7143500</v>
      </c>
      <c r="I1077">
        <f t="shared" si="17"/>
        <v>3.9764801196203438E-5</v>
      </c>
    </row>
    <row r="1078" spans="1:9" x14ac:dyDescent="0.3">
      <c r="A1078" s="5">
        <v>43202</v>
      </c>
      <c r="B1078">
        <v>78.639999000000003</v>
      </c>
      <c r="C1078">
        <v>78.699996999999996</v>
      </c>
      <c r="D1078">
        <v>77.790001000000004</v>
      </c>
      <c r="E1078">
        <v>77.790001000000004</v>
      </c>
      <c r="F1078">
        <v>66.294539999999998</v>
      </c>
      <c r="G1078">
        <v>8282300</v>
      </c>
      <c r="I1078">
        <f t="shared" si="17"/>
        <v>8.8698330359181844E-6</v>
      </c>
    </row>
    <row r="1079" spans="1:9" x14ac:dyDescent="0.3">
      <c r="A1079" s="5">
        <v>43203</v>
      </c>
      <c r="B1079">
        <v>78.059997999999993</v>
      </c>
      <c r="C1079">
        <v>78.440002000000007</v>
      </c>
      <c r="D1079">
        <v>77.720000999999996</v>
      </c>
      <c r="E1079">
        <v>78.370002999999997</v>
      </c>
      <c r="F1079">
        <v>66.788841000000005</v>
      </c>
      <c r="G1079">
        <v>6198500</v>
      </c>
      <c r="I1079">
        <f t="shared" si="17"/>
        <v>4.0690805620594417E-5</v>
      </c>
    </row>
    <row r="1080" spans="1:9" x14ac:dyDescent="0.3">
      <c r="A1080" s="5">
        <v>43206</v>
      </c>
      <c r="B1080">
        <v>78.559997999999993</v>
      </c>
      <c r="C1080">
        <v>78.860000999999997</v>
      </c>
      <c r="D1080">
        <v>78.040001000000004</v>
      </c>
      <c r="E1080">
        <v>78.610000999999997</v>
      </c>
      <c r="F1080">
        <v>66.993369999999999</v>
      </c>
      <c r="G1080">
        <v>5962200</v>
      </c>
      <c r="I1080">
        <f t="shared" si="17"/>
        <v>6.0432350342582039E-5</v>
      </c>
    </row>
    <row r="1081" spans="1:9" x14ac:dyDescent="0.3">
      <c r="A1081" s="5">
        <v>43207</v>
      </c>
      <c r="B1081">
        <v>78.930000000000007</v>
      </c>
      <c r="C1081">
        <v>78.940002000000007</v>
      </c>
      <c r="D1081">
        <v>78.099997999999999</v>
      </c>
      <c r="E1081">
        <v>78.430000000000007</v>
      </c>
      <c r="F1081">
        <v>66.839973000000001</v>
      </c>
      <c r="G1081">
        <v>6492400</v>
      </c>
      <c r="I1081">
        <f t="shared" si="17"/>
        <v>4.5395147946295793E-5</v>
      </c>
    </row>
    <row r="1082" spans="1:9" x14ac:dyDescent="0.3">
      <c r="A1082" s="5">
        <v>43208</v>
      </c>
      <c r="B1082">
        <v>78.580001999999993</v>
      </c>
      <c r="C1082">
        <v>78.680000000000007</v>
      </c>
      <c r="D1082">
        <v>78.019997000000004</v>
      </c>
      <c r="E1082">
        <v>78.199996999999996</v>
      </c>
      <c r="F1082">
        <v>66.643951000000001</v>
      </c>
      <c r="G1082">
        <v>7349400</v>
      </c>
      <c r="I1082">
        <f t="shared" si="17"/>
        <v>2.4263901903932974E-5</v>
      </c>
    </row>
    <row r="1083" spans="1:9" x14ac:dyDescent="0.3">
      <c r="A1083" s="5">
        <v>43209</v>
      </c>
      <c r="B1083">
        <v>75.389999000000003</v>
      </c>
      <c r="C1083">
        <v>75.720000999999996</v>
      </c>
      <c r="D1083">
        <v>74.199996999999996</v>
      </c>
      <c r="E1083">
        <v>74.949996999999996</v>
      </c>
      <c r="F1083">
        <v>64.465286000000006</v>
      </c>
      <c r="G1083">
        <v>16955600</v>
      </c>
      <c r="I1083">
        <f t="shared" si="17"/>
        <v>2.0465632891356067E-4</v>
      </c>
    </row>
    <row r="1084" spans="1:9" x14ac:dyDescent="0.3">
      <c r="A1084" s="5">
        <v>43210</v>
      </c>
      <c r="B1084">
        <v>74.040001000000004</v>
      </c>
      <c r="C1084">
        <v>74.919998000000007</v>
      </c>
      <c r="D1084">
        <v>73.739998</v>
      </c>
      <c r="E1084">
        <v>73.800003000000004</v>
      </c>
      <c r="F1084">
        <v>63.476170000000003</v>
      </c>
      <c r="G1084">
        <v>14085000</v>
      </c>
      <c r="I1084">
        <f t="shared" si="17"/>
        <v>1.8126626661331456E-4</v>
      </c>
    </row>
    <row r="1085" spans="1:9" x14ac:dyDescent="0.3">
      <c r="A1085" s="5">
        <v>43213</v>
      </c>
      <c r="B1085">
        <v>73.589995999999999</v>
      </c>
      <c r="C1085">
        <v>73.980002999999996</v>
      </c>
      <c r="D1085">
        <v>72.760002</v>
      </c>
      <c r="E1085">
        <v>73</v>
      </c>
      <c r="F1085">
        <v>62.788082000000003</v>
      </c>
      <c r="G1085">
        <v>13653400</v>
      </c>
      <c r="I1085">
        <f t="shared" si="17"/>
        <v>1.0783953660944642E-4</v>
      </c>
    </row>
    <row r="1086" spans="1:9" x14ac:dyDescent="0.3">
      <c r="A1086" s="5">
        <v>43214</v>
      </c>
      <c r="B1086">
        <v>73.059997999999993</v>
      </c>
      <c r="C1086">
        <v>73.330001999999993</v>
      </c>
      <c r="D1086">
        <v>72.150002000000001</v>
      </c>
      <c r="E1086">
        <v>72.5</v>
      </c>
      <c r="F1086">
        <v>62.358013</v>
      </c>
      <c r="G1086">
        <v>16551700</v>
      </c>
      <c r="I1086">
        <f t="shared" si="17"/>
        <v>1.0264460255317878E-4</v>
      </c>
    </row>
    <row r="1087" spans="1:9" x14ac:dyDescent="0.3">
      <c r="A1087" s="5">
        <v>43215</v>
      </c>
      <c r="B1087">
        <v>72.410004000000001</v>
      </c>
      <c r="C1087">
        <v>72.75</v>
      </c>
      <c r="D1087">
        <v>71.949996999999996</v>
      </c>
      <c r="E1087">
        <v>72.300003000000004</v>
      </c>
      <c r="F1087">
        <v>62.186005000000002</v>
      </c>
      <c r="G1087">
        <v>14208800</v>
      </c>
      <c r="I1087">
        <f t="shared" si="17"/>
        <v>5.9992831680217199E-5</v>
      </c>
    </row>
    <row r="1088" spans="1:9" x14ac:dyDescent="0.3">
      <c r="A1088" s="5">
        <v>43216</v>
      </c>
      <c r="B1088">
        <v>72.569999999999993</v>
      </c>
      <c r="C1088">
        <v>73.010002</v>
      </c>
      <c r="D1088">
        <v>72.370002999999997</v>
      </c>
      <c r="E1088">
        <v>72.75</v>
      </c>
      <c r="F1088">
        <v>62.573067000000002</v>
      </c>
      <c r="G1088">
        <v>11204300</v>
      </c>
      <c r="I1088">
        <f t="shared" si="17"/>
        <v>3.6017889513519168E-5</v>
      </c>
    </row>
    <row r="1089" spans="1:9" x14ac:dyDescent="0.3">
      <c r="A1089" s="5">
        <v>43217</v>
      </c>
      <c r="B1089">
        <v>72.529999000000004</v>
      </c>
      <c r="C1089">
        <v>73.080001999999993</v>
      </c>
      <c r="D1089">
        <v>72.209998999999996</v>
      </c>
      <c r="E1089">
        <v>72.809997999999993</v>
      </c>
      <c r="F1089">
        <v>62.624659999999999</v>
      </c>
      <c r="G1089">
        <v>8144800</v>
      </c>
      <c r="I1089">
        <f t="shared" si="17"/>
        <v>6.455154820487944E-5</v>
      </c>
    </row>
    <row r="1090" spans="1:9" x14ac:dyDescent="0.3">
      <c r="A1090" s="5">
        <v>43220</v>
      </c>
      <c r="B1090">
        <v>72.910004000000001</v>
      </c>
      <c r="C1090">
        <v>72.919998000000007</v>
      </c>
      <c r="D1090">
        <v>72.160004000000001</v>
      </c>
      <c r="E1090">
        <v>72.339995999999999</v>
      </c>
      <c r="F1090">
        <v>62.220393999999999</v>
      </c>
      <c r="G1090">
        <v>13076500</v>
      </c>
      <c r="I1090">
        <f t="shared" si="17"/>
        <v>2.6853798033312289E-5</v>
      </c>
    </row>
    <row r="1091" spans="1:9" x14ac:dyDescent="0.3">
      <c r="A1091" s="5">
        <v>43221</v>
      </c>
      <c r="B1091">
        <v>72.050003000000004</v>
      </c>
      <c r="C1091">
        <v>72.330001999999993</v>
      </c>
      <c r="D1091">
        <v>71.660004000000001</v>
      </c>
      <c r="E1091">
        <v>71.959998999999996</v>
      </c>
      <c r="F1091">
        <v>61.893562000000003</v>
      </c>
      <c r="G1091">
        <v>8103800</v>
      </c>
      <c r="I1091">
        <f t="shared" si="17"/>
        <v>4.2566543378199097E-5</v>
      </c>
    </row>
    <row r="1092" spans="1:9" x14ac:dyDescent="0.3">
      <c r="A1092" s="5">
        <v>43222</v>
      </c>
      <c r="B1092">
        <v>71.940002000000007</v>
      </c>
      <c r="C1092">
        <v>72.010002</v>
      </c>
      <c r="D1092">
        <v>70.730002999999996</v>
      </c>
      <c r="E1092">
        <v>70.940002000000007</v>
      </c>
      <c r="F1092">
        <v>61.016277000000002</v>
      </c>
      <c r="G1092">
        <v>10830900</v>
      </c>
      <c r="I1092">
        <f t="shared" si="17"/>
        <v>6.4847525856681995E-5</v>
      </c>
    </row>
    <row r="1093" spans="1:9" x14ac:dyDescent="0.3">
      <c r="A1093" s="5">
        <v>43223</v>
      </c>
      <c r="B1093">
        <v>70.809997999999993</v>
      </c>
      <c r="C1093">
        <v>71.720000999999996</v>
      </c>
      <c r="D1093">
        <v>70.739998</v>
      </c>
      <c r="E1093">
        <v>71.360000999999997</v>
      </c>
      <c r="F1093">
        <v>61.377499</v>
      </c>
      <c r="G1093">
        <v>9386500</v>
      </c>
      <c r="I1093">
        <f t="shared" si="17"/>
        <v>7.2888749627474052E-5</v>
      </c>
    </row>
    <row r="1094" spans="1:9" x14ac:dyDescent="0.3">
      <c r="A1094" s="5">
        <v>43224</v>
      </c>
      <c r="B1094">
        <v>71.379997000000003</v>
      </c>
      <c r="C1094">
        <v>72.620002999999997</v>
      </c>
      <c r="D1094">
        <v>71.339995999999999</v>
      </c>
      <c r="E1094">
        <v>72.430000000000007</v>
      </c>
      <c r="F1094">
        <v>62.297817000000002</v>
      </c>
      <c r="G1094">
        <v>8107400</v>
      </c>
      <c r="I1094">
        <f t="shared" si="17"/>
        <v>5.3620519643893526E-5</v>
      </c>
    </row>
    <row r="1095" spans="1:9" x14ac:dyDescent="0.3">
      <c r="A1095" s="5">
        <v>43227</v>
      </c>
      <c r="B1095">
        <v>72.669998000000007</v>
      </c>
      <c r="C1095">
        <v>73.220000999999996</v>
      </c>
      <c r="D1095">
        <v>71.889999000000003</v>
      </c>
      <c r="E1095">
        <v>71.980002999999996</v>
      </c>
      <c r="F1095">
        <v>61.910763000000003</v>
      </c>
      <c r="G1095">
        <v>6633600</v>
      </c>
      <c r="I1095">
        <f t="shared" si="17"/>
        <v>1.42287474232264E-4</v>
      </c>
    </row>
    <row r="1096" spans="1:9" x14ac:dyDescent="0.3">
      <c r="A1096" s="5">
        <v>43228</v>
      </c>
      <c r="B1096">
        <v>72.050003000000004</v>
      </c>
      <c r="C1096">
        <v>72.120002999999997</v>
      </c>
      <c r="D1096">
        <v>71.110000999999997</v>
      </c>
      <c r="E1096">
        <v>71.440002000000007</v>
      </c>
      <c r="F1096">
        <v>61.446323</v>
      </c>
      <c r="G1096">
        <v>8084100</v>
      </c>
      <c r="I1096">
        <f t="shared" si="17"/>
        <v>7.0002057373809518E-5</v>
      </c>
    </row>
    <row r="1097" spans="1:9" x14ac:dyDescent="0.3">
      <c r="A1097" s="5">
        <v>43229</v>
      </c>
      <c r="B1097">
        <v>71.769997000000004</v>
      </c>
      <c r="C1097">
        <v>72.550003000000004</v>
      </c>
      <c r="D1097">
        <v>71.739998</v>
      </c>
      <c r="E1097">
        <v>72.370002999999997</v>
      </c>
      <c r="F1097">
        <v>62.246208000000003</v>
      </c>
      <c r="G1097">
        <v>7528400</v>
      </c>
      <c r="I1097">
        <f t="shared" si="17"/>
        <v>3.0507629461304147E-5</v>
      </c>
    </row>
    <row r="1098" spans="1:9" x14ac:dyDescent="0.3">
      <c r="A1098" s="5">
        <v>43230</v>
      </c>
      <c r="B1098">
        <v>72.940002000000007</v>
      </c>
      <c r="C1098">
        <v>73.339995999999999</v>
      </c>
      <c r="D1098">
        <v>72.690002000000007</v>
      </c>
      <c r="E1098">
        <v>73.150002000000001</v>
      </c>
      <c r="F1098">
        <v>62.917095000000003</v>
      </c>
      <c r="G1098">
        <v>7618500</v>
      </c>
      <c r="I1098">
        <f t="shared" si="17"/>
        <v>3.5844748204978304E-5</v>
      </c>
    </row>
    <row r="1099" spans="1:9" x14ac:dyDescent="0.3">
      <c r="A1099" s="5">
        <v>43231</v>
      </c>
      <c r="B1099">
        <v>73.629997000000003</v>
      </c>
      <c r="C1099">
        <v>74.099997999999999</v>
      </c>
      <c r="D1099">
        <v>73.050003000000004</v>
      </c>
      <c r="E1099">
        <v>73.370002999999997</v>
      </c>
      <c r="F1099">
        <v>63.106318999999999</v>
      </c>
      <c r="G1099">
        <v>7586200</v>
      </c>
      <c r="I1099">
        <f t="shared" si="17"/>
        <v>9.756302961468828E-5</v>
      </c>
    </row>
    <row r="1100" spans="1:9" x14ac:dyDescent="0.3">
      <c r="A1100" s="5">
        <v>43234</v>
      </c>
      <c r="B1100">
        <v>73.779999000000004</v>
      </c>
      <c r="C1100">
        <v>73.779999000000004</v>
      </c>
      <c r="D1100">
        <v>73.089995999999999</v>
      </c>
      <c r="E1100">
        <v>73.279999000000004</v>
      </c>
      <c r="F1100">
        <v>63.028914999999998</v>
      </c>
      <c r="G1100">
        <v>8646900</v>
      </c>
      <c r="I1100">
        <f t="shared" ref="I1100:I1163" si="18">LN(C1100/B1100)*(LN(C1100/B1100)-LN(E1100/B1100))+LN(D1100/B1100)*(LN(D1100/B1100)-LN(E1100/B1100))</f>
        <v>2.4394376903659159E-5</v>
      </c>
    </row>
    <row r="1101" spans="1:9" x14ac:dyDescent="0.3">
      <c r="A1101" s="5">
        <v>43235</v>
      </c>
      <c r="B1101">
        <v>73.309997999999993</v>
      </c>
      <c r="C1101">
        <v>73.410004000000001</v>
      </c>
      <c r="D1101">
        <v>72.599997999999999</v>
      </c>
      <c r="E1101">
        <v>72.949996999999996</v>
      </c>
      <c r="F1101">
        <v>62.745060000000002</v>
      </c>
      <c r="G1101">
        <v>11502800</v>
      </c>
      <c r="I1101">
        <f t="shared" si="18"/>
        <v>5.5374190793143873E-5</v>
      </c>
    </row>
    <row r="1102" spans="1:9" x14ac:dyDescent="0.3">
      <c r="A1102" s="5">
        <v>43236</v>
      </c>
      <c r="B1102">
        <v>72.980002999999996</v>
      </c>
      <c r="C1102">
        <v>73.930000000000007</v>
      </c>
      <c r="D1102">
        <v>72.959998999999996</v>
      </c>
      <c r="E1102">
        <v>73.529999000000004</v>
      </c>
      <c r="F1102">
        <v>63.243931000000003</v>
      </c>
      <c r="G1102">
        <v>8325000</v>
      </c>
      <c r="I1102">
        <f t="shared" si="18"/>
        <v>7.2299090712749128E-5</v>
      </c>
    </row>
    <row r="1103" spans="1:9" x14ac:dyDescent="0.3">
      <c r="A1103" s="5">
        <v>43237</v>
      </c>
      <c r="B1103">
        <v>73.519997000000004</v>
      </c>
      <c r="C1103">
        <v>74</v>
      </c>
      <c r="D1103">
        <v>73.400002000000001</v>
      </c>
      <c r="E1103">
        <v>73.959998999999996</v>
      </c>
      <c r="F1103">
        <v>63.613804000000002</v>
      </c>
      <c r="G1103">
        <v>8053600</v>
      </c>
      <c r="I1103">
        <f t="shared" si="18"/>
        <v>1.5933798766195925E-5</v>
      </c>
    </row>
    <row r="1104" spans="1:9" x14ac:dyDescent="0.3">
      <c r="A1104" s="5">
        <v>43238</v>
      </c>
      <c r="B1104">
        <v>73.980002999999996</v>
      </c>
      <c r="C1104">
        <v>74.069999999999993</v>
      </c>
      <c r="D1104">
        <v>73.110000999999997</v>
      </c>
      <c r="E1104">
        <v>73.449996999999996</v>
      </c>
      <c r="F1104">
        <v>63.175128999999998</v>
      </c>
      <c r="G1104">
        <v>7042700</v>
      </c>
      <c r="I1104">
        <f t="shared" si="18"/>
        <v>6.510535558401527E-5</v>
      </c>
    </row>
    <row r="1105" spans="1:9" x14ac:dyDescent="0.3">
      <c r="A1105" s="5">
        <v>43241</v>
      </c>
      <c r="B1105">
        <v>73.75</v>
      </c>
      <c r="C1105">
        <v>74.25</v>
      </c>
      <c r="D1105">
        <v>73.419998000000007</v>
      </c>
      <c r="E1105">
        <v>74.059997999999993</v>
      </c>
      <c r="F1105">
        <v>63.699795000000002</v>
      </c>
      <c r="G1105">
        <v>6428400</v>
      </c>
      <c r="I1105">
        <f t="shared" si="18"/>
        <v>5.62355404171149E-5</v>
      </c>
    </row>
    <row r="1106" spans="1:9" x14ac:dyDescent="0.3">
      <c r="A1106" s="5">
        <v>43242</v>
      </c>
      <c r="B1106">
        <v>74.459998999999996</v>
      </c>
      <c r="C1106">
        <v>74.940002000000007</v>
      </c>
      <c r="D1106">
        <v>73.830001999999993</v>
      </c>
      <c r="E1106">
        <v>74.029999000000004</v>
      </c>
      <c r="F1106">
        <v>63.673996000000002</v>
      </c>
      <c r="G1106">
        <v>7744200</v>
      </c>
      <c r="I1106">
        <f t="shared" si="18"/>
        <v>1.0149219118141061E-4</v>
      </c>
    </row>
    <row r="1107" spans="1:9" x14ac:dyDescent="0.3">
      <c r="A1107" s="5">
        <v>43243</v>
      </c>
      <c r="B1107">
        <v>74.019997000000004</v>
      </c>
      <c r="C1107">
        <v>74.300003000000004</v>
      </c>
      <c r="D1107">
        <v>73.720000999999996</v>
      </c>
      <c r="E1107">
        <v>74.180000000000007</v>
      </c>
      <c r="F1107">
        <v>63.803027999999998</v>
      </c>
      <c r="G1107">
        <v>6592500</v>
      </c>
      <c r="I1107">
        <f t="shared" si="18"/>
        <v>3.1365146302601194E-5</v>
      </c>
    </row>
    <row r="1108" spans="1:9" x14ac:dyDescent="0.3">
      <c r="A1108" s="5">
        <v>43244</v>
      </c>
      <c r="B1108">
        <v>74.080001999999993</v>
      </c>
      <c r="C1108">
        <v>74.349997999999999</v>
      </c>
      <c r="D1108">
        <v>73.589995999999999</v>
      </c>
      <c r="E1108">
        <v>73.769997000000004</v>
      </c>
      <c r="F1108">
        <v>63.450363000000003</v>
      </c>
      <c r="G1108">
        <v>6508900</v>
      </c>
      <c r="I1108">
        <f t="shared" si="18"/>
        <v>4.4704480779179757E-5</v>
      </c>
    </row>
    <row r="1109" spans="1:9" x14ac:dyDescent="0.3">
      <c r="A1109" s="5">
        <v>43245</v>
      </c>
      <c r="B1109">
        <v>73.900002000000001</v>
      </c>
      <c r="C1109">
        <v>74.620002999999997</v>
      </c>
      <c r="D1109">
        <v>73.75</v>
      </c>
      <c r="E1109">
        <v>74.309997999999993</v>
      </c>
      <c r="F1109">
        <v>63.914822000000001</v>
      </c>
      <c r="G1109">
        <v>7546500</v>
      </c>
      <c r="I1109">
        <f t="shared" si="18"/>
        <v>5.5734439639373652E-5</v>
      </c>
    </row>
    <row r="1110" spans="1:9" x14ac:dyDescent="0.3">
      <c r="A1110" s="5">
        <v>43249</v>
      </c>
      <c r="B1110">
        <v>74.059997999999993</v>
      </c>
      <c r="C1110">
        <v>74.699996999999996</v>
      </c>
      <c r="D1110">
        <v>73.769997000000004</v>
      </c>
      <c r="E1110">
        <v>74.050003000000004</v>
      </c>
      <c r="F1110">
        <v>63.691203999999999</v>
      </c>
      <c r="G1110">
        <v>8905600</v>
      </c>
      <c r="I1110">
        <f t="shared" si="18"/>
        <v>9.0062684944083933E-5</v>
      </c>
    </row>
    <row r="1111" spans="1:9" x14ac:dyDescent="0.3">
      <c r="A1111" s="5">
        <v>43250</v>
      </c>
      <c r="B1111">
        <v>74.330001999999993</v>
      </c>
      <c r="C1111">
        <v>75.019997000000004</v>
      </c>
      <c r="D1111">
        <v>74.050003000000004</v>
      </c>
      <c r="E1111">
        <v>74.889999000000003</v>
      </c>
      <c r="F1111">
        <v>64.413680999999997</v>
      </c>
      <c r="G1111">
        <v>8128600</v>
      </c>
      <c r="I1111">
        <f t="shared" si="18"/>
        <v>5.8596266569753209E-5</v>
      </c>
    </row>
    <row r="1112" spans="1:9" x14ac:dyDescent="0.3">
      <c r="A1112" s="5">
        <v>43251</v>
      </c>
      <c r="B1112">
        <v>74.669998000000007</v>
      </c>
      <c r="C1112">
        <v>74.690002000000007</v>
      </c>
      <c r="D1112">
        <v>72.800003000000004</v>
      </c>
      <c r="E1112">
        <v>73.169998000000007</v>
      </c>
      <c r="F1112">
        <v>62.934291999999999</v>
      </c>
      <c r="G1112">
        <v>15526000</v>
      </c>
      <c r="I1112">
        <f t="shared" si="18"/>
        <v>1.3408148177589016E-4</v>
      </c>
    </row>
    <row r="1113" spans="1:9" x14ac:dyDescent="0.3">
      <c r="A1113" s="5">
        <v>43252</v>
      </c>
      <c r="B1113">
        <v>73.330001999999993</v>
      </c>
      <c r="C1113">
        <v>73.739998</v>
      </c>
      <c r="D1113">
        <v>72.860000999999997</v>
      </c>
      <c r="E1113">
        <v>73.449996999999996</v>
      </c>
      <c r="F1113">
        <v>63.175128999999998</v>
      </c>
      <c r="G1113">
        <v>7209300</v>
      </c>
      <c r="I1113">
        <f t="shared" si="18"/>
        <v>7.3828929859900963E-5</v>
      </c>
    </row>
    <row r="1114" spans="1:9" x14ac:dyDescent="0.3">
      <c r="A1114" s="5">
        <v>43255</v>
      </c>
      <c r="B1114">
        <v>73.540001000000004</v>
      </c>
      <c r="C1114">
        <v>74.620002999999997</v>
      </c>
      <c r="D1114">
        <v>73.449996999999996</v>
      </c>
      <c r="E1114">
        <v>74.180000000000007</v>
      </c>
      <c r="F1114">
        <v>63.803027999999998</v>
      </c>
      <c r="G1114">
        <v>8743800</v>
      </c>
      <c r="I1114">
        <f t="shared" si="18"/>
        <v>9.8332643979794478E-5</v>
      </c>
    </row>
    <row r="1115" spans="1:9" x14ac:dyDescent="0.3">
      <c r="A1115" s="5">
        <v>43256</v>
      </c>
      <c r="B1115">
        <v>74.279999000000004</v>
      </c>
      <c r="C1115">
        <v>74.379997000000003</v>
      </c>
      <c r="D1115">
        <v>73.599997999999999</v>
      </c>
      <c r="E1115">
        <v>73.970000999999996</v>
      </c>
      <c r="F1115">
        <v>63.622387000000003</v>
      </c>
      <c r="G1115">
        <v>6910100</v>
      </c>
      <c r="I1115">
        <f t="shared" si="18"/>
        <v>5.3554272809227773E-5</v>
      </c>
    </row>
    <row r="1116" spans="1:9" x14ac:dyDescent="0.3">
      <c r="A1116" s="5">
        <v>43257</v>
      </c>
      <c r="B1116">
        <v>74.069999999999993</v>
      </c>
      <c r="C1116">
        <v>74.419998000000007</v>
      </c>
      <c r="D1116">
        <v>73.720000999999996</v>
      </c>
      <c r="E1116">
        <v>74.349997999999999</v>
      </c>
      <c r="F1116">
        <v>63.949238000000001</v>
      </c>
      <c r="G1116">
        <v>7002900</v>
      </c>
      <c r="I1116">
        <f t="shared" si="18"/>
        <v>4.4740990391623247E-5</v>
      </c>
    </row>
    <row r="1117" spans="1:9" x14ac:dyDescent="0.3">
      <c r="A1117" s="5">
        <v>43258</v>
      </c>
      <c r="B1117">
        <v>74.180000000000007</v>
      </c>
      <c r="C1117">
        <v>76.389999000000003</v>
      </c>
      <c r="D1117">
        <v>74.099997999999999</v>
      </c>
      <c r="E1117">
        <v>75.760002</v>
      </c>
      <c r="F1117">
        <v>65.16198</v>
      </c>
      <c r="G1117">
        <v>13476100</v>
      </c>
      <c r="I1117">
        <f t="shared" si="18"/>
        <v>2.6702284415611828E-4</v>
      </c>
    </row>
    <row r="1118" spans="1:9" x14ac:dyDescent="0.3">
      <c r="A1118" s="5">
        <v>43259</v>
      </c>
      <c r="B1118">
        <v>75.849997999999999</v>
      </c>
      <c r="C1118">
        <v>77.209998999999996</v>
      </c>
      <c r="D1118">
        <v>75.739998</v>
      </c>
      <c r="E1118">
        <v>77.180000000000007</v>
      </c>
      <c r="F1118">
        <v>66.383339000000007</v>
      </c>
      <c r="G1118">
        <v>13625300</v>
      </c>
      <c r="I1118">
        <f t="shared" si="18"/>
        <v>3.423957170758135E-5</v>
      </c>
    </row>
    <row r="1119" spans="1:9" x14ac:dyDescent="0.3">
      <c r="A1119" s="5">
        <v>43262</v>
      </c>
      <c r="B1119">
        <v>76.970000999999996</v>
      </c>
      <c r="C1119">
        <v>77.690002000000007</v>
      </c>
      <c r="D1119">
        <v>76.879997000000003</v>
      </c>
      <c r="E1119">
        <v>77.529999000000004</v>
      </c>
      <c r="F1119">
        <v>66.684371999999996</v>
      </c>
      <c r="G1119">
        <v>9049400</v>
      </c>
      <c r="I1119">
        <f t="shared" si="18"/>
        <v>2.9046152538292831E-5</v>
      </c>
    </row>
    <row r="1120" spans="1:9" x14ac:dyDescent="0.3">
      <c r="A1120" s="5">
        <v>43263</v>
      </c>
      <c r="B1120">
        <v>77.819999999999993</v>
      </c>
      <c r="C1120">
        <v>77.889999000000003</v>
      </c>
      <c r="D1120">
        <v>77.110000999999997</v>
      </c>
      <c r="E1120">
        <v>77.239998</v>
      </c>
      <c r="F1120">
        <v>66.434944000000002</v>
      </c>
      <c r="G1120">
        <v>8786000</v>
      </c>
      <c r="I1120">
        <f t="shared" si="18"/>
        <v>2.2973276352921851E-5</v>
      </c>
    </row>
    <row r="1121" spans="1:9" x14ac:dyDescent="0.3">
      <c r="A1121" s="5">
        <v>43264</v>
      </c>
      <c r="B1121">
        <v>77.400002000000001</v>
      </c>
      <c r="C1121">
        <v>77.400002000000001</v>
      </c>
      <c r="D1121">
        <v>76.199996999999996</v>
      </c>
      <c r="E1121">
        <v>76.470000999999996</v>
      </c>
      <c r="F1121">
        <v>65.772644</v>
      </c>
      <c r="G1121">
        <v>8022400</v>
      </c>
      <c r="I1121">
        <f t="shared" si="18"/>
        <v>5.5268492773798004E-5</v>
      </c>
    </row>
    <row r="1122" spans="1:9" x14ac:dyDescent="0.3">
      <c r="A1122" s="5">
        <v>43265</v>
      </c>
      <c r="B1122">
        <v>76.559997999999993</v>
      </c>
      <c r="C1122">
        <v>76.559997999999993</v>
      </c>
      <c r="D1122">
        <v>75.699996999999996</v>
      </c>
      <c r="E1122">
        <v>75.989998</v>
      </c>
      <c r="F1122">
        <v>65.359802000000002</v>
      </c>
      <c r="G1122">
        <v>8895200</v>
      </c>
      <c r="I1122">
        <f t="shared" si="18"/>
        <v>4.3193743242353735E-5</v>
      </c>
    </row>
    <row r="1123" spans="1:9" x14ac:dyDescent="0.3">
      <c r="A1123" s="5">
        <v>43266</v>
      </c>
      <c r="B1123">
        <v>76.160004000000001</v>
      </c>
      <c r="C1123">
        <v>77.510002</v>
      </c>
      <c r="D1123">
        <v>75.919998000000007</v>
      </c>
      <c r="E1123">
        <v>77.379997000000003</v>
      </c>
      <c r="F1123">
        <v>66.555367000000004</v>
      </c>
      <c r="G1123">
        <v>14943500</v>
      </c>
      <c r="I1123">
        <f t="shared" si="18"/>
        <v>8.9617307024031394E-5</v>
      </c>
    </row>
    <row r="1124" spans="1:9" x14ac:dyDescent="0.3">
      <c r="A1124" s="5">
        <v>43269</v>
      </c>
      <c r="B1124">
        <v>76.860000999999997</v>
      </c>
      <c r="C1124">
        <v>77.099997999999999</v>
      </c>
      <c r="D1124">
        <v>75.389999000000003</v>
      </c>
      <c r="E1124">
        <v>75.839995999999999</v>
      </c>
      <c r="F1124">
        <v>65.230782000000005</v>
      </c>
      <c r="G1124">
        <v>7384900</v>
      </c>
      <c r="I1124">
        <f t="shared" si="18"/>
        <v>1.662940586216664E-4</v>
      </c>
    </row>
    <row r="1125" spans="1:9" x14ac:dyDescent="0.3">
      <c r="A1125" s="5">
        <v>43270</v>
      </c>
      <c r="B1125">
        <v>75.589995999999999</v>
      </c>
      <c r="C1125">
        <v>76.680000000000007</v>
      </c>
      <c r="D1125">
        <v>75.569999999999993</v>
      </c>
      <c r="E1125">
        <v>76.330001999999993</v>
      </c>
      <c r="F1125">
        <v>65.652266999999995</v>
      </c>
      <c r="G1125">
        <v>8514000</v>
      </c>
      <c r="I1125">
        <f t="shared" si="18"/>
        <v>6.8145387778441768E-5</v>
      </c>
    </row>
    <row r="1126" spans="1:9" x14ac:dyDescent="0.3">
      <c r="A1126" s="5">
        <v>43271</v>
      </c>
      <c r="B1126">
        <v>76.349997999999999</v>
      </c>
      <c r="C1126">
        <v>76.349997999999999</v>
      </c>
      <c r="D1126">
        <v>75.540001000000004</v>
      </c>
      <c r="E1126">
        <v>75.849997999999999</v>
      </c>
      <c r="F1126">
        <v>65.239402999999996</v>
      </c>
      <c r="G1126">
        <v>6603500</v>
      </c>
      <c r="I1126">
        <f t="shared" si="18"/>
        <v>4.3679660209305621E-5</v>
      </c>
    </row>
    <row r="1127" spans="1:9" x14ac:dyDescent="0.3">
      <c r="A1127" s="5">
        <v>43272</v>
      </c>
      <c r="B1127">
        <v>75.529999000000004</v>
      </c>
      <c r="C1127">
        <v>77.050003000000004</v>
      </c>
      <c r="D1127">
        <v>75.529999000000004</v>
      </c>
      <c r="E1127">
        <v>76.440002000000007</v>
      </c>
      <c r="F1127">
        <v>65.746880000000004</v>
      </c>
      <c r="G1127">
        <v>8691200</v>
      </c>
      <c r="I1127">
        <f t="shared" si="18"/>
        <v>1.5837047030772822E-4</v>
      </c>
    </row>
    <row r="1128" spans="1:9" x14ac:dyDescent="0.3">
      <c r="A1128" s="5">
        <v>43273</v>
      </c>
      <c r="B1128">
        <v>76.790001000000004</v>
      </c>
      <c r="C1128">
        <v>77.629997000000003</v>
      </c>
      <c r="D1128">
        <v>76.769997000000004</v>
      </c>
      <c r="E1128">
        <v>77.430000000000007</v>
      </c>
      <c r="F1128">
        <v>66.598381000000003</v>
      </c>
      <c r="G1128">
        <v>11446400</v>
      </c>
      <c r="I1128">
        <f t="shared" si="18"/>
        <v>3.0295094969885462E-5</v>
      </c>
    </row>
    <row r="1129" spans="1:9" x14ac:dyDescent="0.3">
      <c r="A1129" s="5">
        <v>43276</v>
      </c>
      <c r="B1129">
        <v>77.279999000000004</v>
      </c>
      <c r="C1129">
        <v>77.940002000000007</v>
      </c>
      <c r="D1129">
        <v>77.180000000000007</v>
      </c>
      <c r="E1129">
        <v>77.790001000000004</v>
      </c>
      <c r="F1129">
        <v>66.908019999999993</v>
      </c>
      <c r="G1129">
        <v>11300500</v>
      </c>
      <c r="I1129">
        <f t="shared" si="18"/>
        <v>2.6576135607552498E-5</v>
      </c>
    </row>
    <row r="1130" spans="1:9" x14ac:dyDescent="0.3">
      <c r="A1130" s="5">
        <v>43277</v>
      </c>
      <c r="B1130">
        <v>77.790001000000004</v>
      </c>
      <c r="C1130">
        <v>78.309997999999993</v>
      </c>
      <c r="D1130">
        <v>77.360000999999997</v>
      </c>
      <c r="E1130">
        <v>78</v>
      </c>
      <c r="F1130">
        <v>67.088638000000003</v>
      </c>
      <c r="G1130">
        <v>9558500</v>
      </c>
      <c r="I1130">
        <f t="shared" si="18"/>
        <v>7.2094923858270651E-5</v>
      </c>
    </row>
    <row r="1131" spans="1:9" x14ac:dyDescent="0.3">
      <c r="A1131" s="5">
        <v>43278</v>
      </c>
      <c r="B1131">
        <v>78.110000999999997</v>
      </c>
      <c r="C1131">
        <v>78.709998999999996</v>
      </c>
      <c r="D1131">
        <v>77.559997999999993</v>
      </c>
      <c r="E1131">
        <v>77.690002000000007</v>
      </c>
      <c r="F1131">
        <v>66.822013999999996</v>
      </c>
      <c r="G1131">
        <v>7873300</v>
      </c>
      <c r="I1131">
        <f t="shared" si="18"/>
        <v>1.1164550655491397E-4</v>
      </c>
    </row>
    <row r="1132" spans="1:9" x14ac:dyDescent="0.3">
      <c r="A1132" s="5">
        <v>43279</v>
      </c>
      <c r="B1132">
        <v>77.860000999999997</v>
      </c>
      <c r="C1132">
        <v>78.319999999999993</v>
      </c>
      <c r="D1132">
        <v>77.660004000000001</v>
      </c>
      <c r="E1132">
        <v>78.050003000000004</v>
      </c>
      <c r="F1132">
        <v>67.131653</v>
      </c>
      <c r="G1132">
        <v>5714400</v>
      </c>
      <c r="I1132">
        <f t="shared" si="18"/>
        <v>3.3226073837600906E-5</v>
      </c>
    </row>
    <row r="1133" spans="1:9" x14ac:dyDescent="0.3">
      <c r="A1133" s="5">
        <v>43280</v>
      </c>
      <c r="B1133">
        <v>77.930000000000007</v>
      </c>
      <c r="C1133">
        <v>78.540001000000004</v>
      </c>
      <c r="D1133">
        <v>77.290001000000004</v>
      </c>
      <c r="E1133">
        <v>78.059997999999993</v>
      </c>
      <c r="F1133">
        <v>67.140236000000002</v>
      </c>
      <c r="G1133">
        <v>7679900</v>
      </c>
      <c r="I1133">
        <f t="shared" si="18"/>
        <v>1.2954627701177332E-4</v>
      </c>
    </row>
    <row r="1134" spans="1:9" x14ac:dyDescent="0.3">
      <c r="A1134" s="5">
        <v>43283</v>
      </c>
      <c r="B1134">
        <v>77.5</v>
      </c>
      <c r="C1134">
        <v>78.309997999999993</v>
      </c>
      <c r="D1134">
        <v>77.419998000000007</v>
      </c>
      <c r="E1134">
        <v>78.129997000000003</v>
      </c>
      <c r="F1134">
        <v>67.200432000000006</v>
      </c>
      <c r="G1134">
        <v>6092800</v>
      </c>
      <c r="I1134">
        <f t="shared" si="18"/>
        <v>3.3355070311796758E-5</v>
      </c>
    </row>
    <row r="1135" spans="1:9" x14ac:dyDescent="0.3">
      <c r="A1135" s="5">
        <v>43284</v>
      </c>
      <c r="B1135">
        <v>78.540001000000004</v>
      </c>
      <c r="C1135">
        <v>78.760002</v>
      </c>
      <c r="D1135">
        <v>77.779999000000004</v>
      </c>
      <c r="E1135">
        <v>77.900002000000001</v>
      </c>
      <c r="F1135">
        <v>67.002632000000006</v>
      </c>
      <c r="G1135">
        <v>5897200</v>
      </c>
      <c r="I1135">
        <f t="shared" si="18"/>
        <v>4.5702225758480409E-5</v>
      </c>
    </row>
    <row r="1136" spans="1:9" x14ac:dyDescent="0.3">
      <c r="A1136" s="5">
        <v>43286</v>
      </c>
      <c r="B1136">
        <v>78.139999000000003</v>
      </c>
      <c r="C1136">
        <v>79.25</v>
      </c>
      <c r="D1136">
        <v>78.120002999999997</v>
      </c>
      <c r="E1136">
        <v>79.209998999999996</v>
      </c>
      <c r="F1136">
        <v>68.129372000000004</v>
      </c>
      <c r="G1136">
        <v>7956100</v>
      </c>
      <c r="I1136">
        <f t="shared" si="18"/>
        <v>1.0667688884907771E-5</v>
      </c>
    </row>
    <row r="1137" spans="1:9" x14ac:dyDescent="0.3">
      <c r="A1137" s="5">
        <v>43287</v>
      </c>
      <c r="B1137">
        <v>79.379997000000003</v>
      </c>
      <c r="C1137">
        <v>79.620002999999997</v>
      </c>
      <c r="D1137">
        <v>78.900002000000001</v>
      </c>
      <c r="E1137">
        <v>79.309997999999993</v>
      </c>
      <c r="F1137">
        <v>68.215384999999998</v>
      </c>
      <c r="G1137">
        <v>7244000</v>
      </c>
      <c r="I1137">
        <f t="shared" si="18"/>
        <v>4.3212755163240316E-5</v>
      </c>
    </row>
    <row r="1138" spans="1:9" x14ac:dyDescent="0.3">
      <c r="A1138" s="5">
        <v>43290</v>
      </c>
      <c r="B1138">
        <v>78.459998999999996</v>
      </c>
      <c r="C1138">
        <v>78.830001999999993</v>
      </c>
      <c r="D1138">
        <v>77.779999000000004</v>
      </c>
      <c r="E1138">
        <v>77.860000999999997</v>
      </c>
      <c r="F1138">
        <v>66.968224000000006</v>
      </c>
      <c r="G1138">
        <v>9095900</v>
      </c>
      <c r="I1138">
        <f t="shared" si="18"/>
        <v>6.7199410969312961E-5</v>
      </c>
    </row>
    <row r="1139" spans="1:9" x14ac:dyDescent="0.3">
      <c r="A1139" s="5">
        <v>43291</v>
      </c>
      <c r="B1139">
        <v>78.069999999999993</v>
      </c>
      <c r="C1139">
        <v>79.940002000000007</v>
      </c>
      <c r="D1139">
        <v>77.989998</v>
      </c>
      <c r="E1139">
        <v>79.819999999999993</v>
      </c>
      <c r="F1139">
        <v>68.654037000000002</v>
      </c>
      <c r="G1139">
        <v>12773500</v>
      </c>
      <c r="I1139">
        <f t="shared" si="18"/>
        <v>5.9339383247255663E-5</v>
      </c>
    </row>
    <row r="1140" spans="1:9" x14ac:dyDescent="0.3">
      <c r="A1140" s="5">
        <v>43292</v>
      </c>
      <c r="B1140">
        <v>79.629997000000003</v>
      </c>
      <c r="C1140">
        <v>79.839995999999999</v>
      </c>
      <c r="D1140">
        <v>79.029999000000004</v>
      </c>
      <c r="E1140">
        <v>79.160004000000001</v>
      </c>
      <c r="F1140">
        <v>68.086380000000005</v>
      </c>
      <c r="G1140">
        <v>7851600</v>
      </c>
      <c r="I1140">
        <f t="shared" si="18"/>
        <v>3.4958788965138812E-5</v>
      </c>
    </row>
    <row r="1141" spans="1:9" x14ac:dyDescent="0.3">
      <c r="A1141" s="5">
        <v>43293</v>
      </c>
      <c r="B1141">
        <v>79.339995999999999</v>
      </c>
      <c r="C1141">
        <v>79.519997000000004</v>
      </c>
      <c r="D1141">
        <v>78.569999999999993</v>
      </c>
      <c r="E1141">
        <v>78.889999000000003</v>
      </c>
      <c r="F1141">
        <v>67.854156000000003</v>
      </c>
      <c r="G1141">
        <v>8556800</v>
      </c>
      <c r="I1141">
        <f t="shared" si="18"/>
        <v>5.766404168040649E-5</v>
      </c>
    </row>
    <row r="1142" spans="1:9" x14ac:dyDescent="0.3">
      <c r="A1142" s="5">
        <v>43294</v>
      </c>
      <c r="B1142">
        <v>79.080001999999993</v>
      </c>
      <c r="C1142">
        <v>79.470000999999996</v>
      </c>
      <c r="D1142">
        <v>78.900002000000001</v>
      </c>
      <c r="E1142">
        <v>79.309997999999993</v>
      </c>
      <c r="F1142">
        <v>68.215384999999998</v>
      </c>
      <c r="G1142">
        <v>6021300</v>
      </c>
      <c r="I1142">
        <f t="shared" si="18"/>
        <v>2.1725694422049715E-5</v>
      </c>
    </row>
    <row r="1143" spans="1:9" x14ac:dyDescent="0.3">
      <c r="A1143" s="5">
        <v>43297</v>
      </c>
      <c r="B1143">
        <v>79.209998999999996</v>
      </c>
      <c r="C1143">
        <v>79.629997000000003</v>
      </c>
      <c r="D1143">
        <v>78.830001999999993</v>
      </c>
      <c r="E1143">
        <v>79.529999000000004</v>
      </c>
      <c r="F1143">
        <v>68.404594000000003</v>
      </c>
      <c r="G1143">
        <v>6931200</v>
      </c>
      <c r="I1143">
        <f t="shared" si="18"/>
        <v>4.9158726657807954E-5</v>
      </c>
    </row>
    <row r="1144" spans="1:9" x14ac:dyDescent="0.3">
      <c r="A1144" s="5">
        <v>43298</v>
      </c>
      <c r="B1144">
        <v>79.660004000000001</v>
      </c>
      <c r="C1144">
        <v>80.5</v>
      </c>
      <c r="D1144">
        <v>79.550003000000004</v>
      </c>
      <c r="E1144">
        <v>80.029999000000004</v>
      </c>
      <c r="F1144">
        <v>68.834663000000006</v>
      </c>
      <c r="G1144">
        <v>8983400</v>
      </c>
      <c r="I1144">
        <f t="shared" si="18"/>
        <v>6.9735777839383977E-5</v>
      </c>
    </row>
    <row r="1145" spans="1:9" x14ac:dyDescent="0.3">
      <c r="A1145" s="5">
        <v>43299</v>
      </c>
      <c r="B1145">
        <v>79.720000999999996</v>
      </c>
      <c r="C1145">
        <v>80.209998999999996</v>
      </c>
      <c r="D1145">
        <v>79.330001999999993</v>
      </c>
      <c r="E1145">
        <v>79.720000999999996</v>
      </c>
      <c r="F1145">
        <v>68.568031000000005</v>
      </c>
      <c r="G1145">
        <v>9105100</v>
      </c>
      <c r="I1145">
        <f t="shared" si="18"/>
        <v>6.1598748686216107E-5</v>
      </c>
    </row>
    <row r="1146" spans="1:9" x14ac:dyDescent="0.3">
      <c r="A1146" s="5">
        <v>43300</v>
      </c>
      <c r="B1146">
        <v>78.419998000000007</v>
      </c>
      <c r="C1146">
        <v>79.190002000000007</v>
      </c>
      <c r="D1146">
        <v>77.889999000000003</v>
      </c>
      <c r="E1146">
        <v>78.730002999999996</v>
      </c>
      <c r="F1146">
        <v>68.331085000000002</v>
      </c>
      <c r="G1146">
        <v>8010600</v>
      </c>
      <c r="I1146">
        <f t="shared" si="18"/>
        <v>1.2966626973287776E-4</v>
      </c>
    </row>
    <row r="1147" spans="1:9" x14ac:dyDescent="0.3">
      <c r="A1147" s="5">
        <v>43301</v>
      </c>
      <c r="B1147">
        <v>78.319999999999993</v>
      </c>
      <c r="C1147">
        <v>79.059997999999993</v>
      </c>
      <c r="D1147">
        <v>78.319999999999993</v>
      </c>
      <c r="E1147">
        <v>78.680000000000007</v>
      </c>
      <c r="F1147">
        <v>68.287673999999996</v>
      </c>
      <c r="G1147">
        <v>8234700</v>
      </c>
      <c r="I1147">
        <f t="shared" si="18"/>
        <v>4.5309004725343451E-5</v>
      </c>
    </row>
    <row r="1148" spans="1:9" x14ac:dyDescent="0.3">
      <c r="A1148" s="5">
        <v>43304</v>
      </c>
      <c r="B1148">
        <v>78.489998</v>
      </c>
      <c r="C1148">
        <v>78.940002000000007</v>
      </c>
      <c r="D1148">
        <v>78.239998</v>
      </c>
      <c r="E1148">
        <v>78.510002</v>
      </c>
      <c r="F1148">
        <v>68.140159999999995</v>
      </c>
      <c r="G1148">
        <v>5881600</v>
      </c>
      <c r="I1148">
        <f t="shared" si="18"/>
        <v>4.2216384990553797E-5</v>
      </c>
    </row>
    <row r="1149" spans="1:9" x14ac:dyDescent="0.3">
      <c r="A1149" s="5">
        <v>43305</v>
      </c>
      <c r="B1149">
        <v>77.540001000000004</v>
      </c>
      <c r="C1149">
        <v>79.010002</v>
      </c>
      <c r="D1149">
        <v>77.540001000000004</v>
      </c>
      <c r="E1149">
        <v>78.989998</v>
      </c>
      <c r="F1149">
        <v>68.556740000000005</v>
      </c>
      <c r="G1149">
        <v>8297100</v>
      </c>
      <c r="I1149">
        <f t="shared" si="18"/>
        <v>4.7555096481720018E-6</v>
      </c>
    </row>
    <row r="1150" spans="1:9" x14ac:dyDescent="0.3">
      <c r="A1150" s="5">
        <v>43306</v>
      </c>
      <c r="B1150">
        <v>78.720000999999996</v>
      </c>
      <c r="C1150">
        <v>79.599997999999999</v>
      </c>
      <c r="D1150">
        <v>78.720000999999996</v>
      </c>
      <c r="E1150">
        <v>79.470000999999996</v>
      </c>
      <c r="F1150">
        <v>68.973365999999999</v>
      </c>
      <c r="G1150">
        <v>6208400</v>
      </c>
      <c r="I1150">
        <f t="shared" si="18"/>
        <v>1.817000410474518E-5</v>
      </c>
    </row>
    <row r="1151" spans="1:9" x14ac:dyDescent="0.3">
      <c r="A1151" s="5">
        <v>43307</v>
      </c>
      <c r="B1151">
        <v>79.559997999999993</v>
      </c>
      <c r="C1151">
        <v>80.769997000000004</v>
      </c>
      <c r="D1151">
        <v>79.470000999999996</v>
      </c>
      <c r="E1151">
        <v>80.089995999999999</v>
      </c>
      <c r="F1151">
        <v>69.511436000000003</v>
      </c>
      <c r="G1151">
        <v>9771100</v>
      </c>
      <c r="I1151">
        <f t="shared" si="18"/>
        <v>1.3641104644778856E-4</v>
      </c>
    </row>
    <row r="1152" spans="1:9" x14ac:dyDescent="0.3">
      <c r="A1152" s="5">
        <v>43308</v>
      </c>
      <c r="B1152">
        <v>79.669998000000007</v>
      </c>
      <c r="C1152">
        <v>80.830001999999993</v>
      </c>
      <c r="D1152">
        <v>79.459998999999996</v>
      </c>
      <c r="E1152">
        <v>80.580001999999993</v>
      </c>
      <c r="F1152">
        <v>69.936729</v>
      </c>
      <c r="G1152">
        <v>7492900</v>
      </c>
      <c r="I1152">
        <f t="shared" si="18"/>
        <v>8.1719946537386619E-5</v>
      </c>
    </row>
    <row r="1153" spans="1:9" x14ac:dyDescent="0.3">
      <c r="A1153" s="5">
        <v>43311</v>
      </c>
      <c r="B1153">
        <v>80.069999999999993</v>
      </c>
      <c r="C1153">
        <v>80.5</v>
      </c>
      <c r="D1153">
        <v>79.839995999999999</v>
      </c>
      <c r="E1153">
        <v>80.199996999999996</v>
      </c>
      <c r="F1153">
        <v>69.606910999999997</v>
      </c>
      <c r="G1153">
        <v>7090700</v>
      </c>
      <c r="I1153">
        <f t="shared" si="18"/>
        <v>3.2939320563059466E-5</v>
      </c>
    </row>
    <row r="1154" spans="1:9" x14ac:dyDescent="0.3">
      <c r="A1154" s="5">
        <v>43312</v>
      </c>
      <c r="B1154">
        <v>80.389999000000003</v>
      </c>
      <c r="C1154">
        <v>80.980002999999996</v>
      </c>
      <c r="D1154">
        <v>79.430000000000007</v>
      </c>
      <c r="E1154">
        <v>80.879997000000003</v>
      </c>
      <c r="F1154">
        <v>70.197113000000002</v>
      </c>
      <c r="G1154">
        <v>9878200</v>
      </c>
      <c r="I1154">
        <f t="shared" si="18"/>
        <v>2.263678603213424E-4</v>
      </c>
    </row>
    <row r="1155" spans="1:9" x14ac:dyDescent="0.3">
      <c r="A1155" s="5">
        <v>43313</v>
      </c>
      <c r="B1155">
        <v>80.419998000000007</v>
      </c>
      <c r="C1155">
        <v>80.819999999999993</v>
      </c>
      <c r="D1155">
        <v>80.110000999999997</v>
      </c>
      <c r="E1155">
        <v>80.650002000000001</v>
      </c>
      <c r="F1155">
        <v>69.997474999999994</v>
      </c>
      <c r="G1155">
        <v>7556700</v>
      </c>
      <c r="I1155">
        <f t="shared" si="18"/>
        <v>3.639383288543872E-5</v>
      </c>
    </row>
    <row r="1156" spans="1:9" x14ac:dyDescent="0.3">
      <c r="A1156" s="5">
        <v>43314</v>
      </c>
      <c r="B1156">
        <v>80.800003000000004</v>
      </c>
      <c r="C1156">
        <v>82.220000999999996</v>
      </c>
      <c r="D1156">
        <v>80.589995999999999</v>
      </c>
      <c r="E1156">
        <v>82</v>
      </c>
      <c r="F1156">
        <v>71.169167000000002</v>
      </c>
      <c r="G1156">
        <v>9261700</v>
      </c>
      <c r="I1156">
        <f t="shared" si="18"/>
        <v>9.1817774474468354E-5</v>
      </c>
    </row>
    <row r="1157" spans="1:9" x14ac:dyDescent="0.3">
      <c r="A1157" s="5">
        <v>43315</v>
      </c>
      <c r="B1157">
        <v>82.139999000000003</v>
      </c>
      <c r="C1157">
        <v>83.099997999999999</v>
      </c>
      <c r="D1157">
        <v>81.919998000000007</v>
      </c>
      <c r="E1157">
        <v>82.330001999999993</v>
      </c>
      <c r="F1157">
        <v>71.455582000000007</v>
      </c>
      <c r="G1157">
        <v>7102800</v>
      </c>
      <c r="I1157">
        <f t="shared" si="18"/>
        <v>1.215573000204896E-4</v>
      </c>
    </row>
    <row r="1158" spans="1:9" x14ac:dyDescent="0.3">
      <c r="A1158" s="5">
        <v>43318</v>
      </c>
      <c r="B1158">
        <v>82.199996999999996</v>
      </c>
      <c r="C1158">
        <v>82.93</v>
      </c>
      <c r="D1158">
        <v>82.150002000000001</v>
      </c>
      <c r="E1158">
        <v>82.519997000000004</v>
      </c>
      <c r="F1158">
        <v>71.620491000000001</v>
      </c>
      <c r="G1158">
        <v>5669200</v>
      </c>
      <c r="I1158">
        <f t="shared" si="18"/>
        <v>4.6555040085036016E-5</v>
      </c>
    </row>
    <row r="1159" spans="1:9" x14ac:dyDescent="0.3">
      <c r="A1159" s="5">
        <v>43319</v>
      </c>
      <c r="B1159">
        <v>82.410004000000001</v>
      </c>
      <c r="C1159">
        <v>82.68</v>
      </c>
      <c r="D1159">
        <v>81.730002999999996</v>
      </c>
      <c r="E1159">
        <v>82.639999000000003</v>
      </c>
      <c r="F1159">
        <v>71.724639999999994</v>
      </c>
      <c r="G1159">
        <v>6418000</v>
      </c>
      <c r="I1159">
        <f t="shared" si="18"/>
        <v>9.3327127555932663E-5</v>
      </c>
    </row>
    <row r="1160" spans="1:9" x14ac:dyDescent="0.3">
      <c r="A1160" s="5">
        <v>43320</v>
      </c>
      <c r="B1160">
        <v>82.099997999999999</v>
      </c>
      <c r="C1160">
        <v>82.800003000000004</v>
      </c>
      <c r="D1160">
        <v>82.099997999999999</v>
      </c>
      <c r="E1160">
        <v>82.349997999999999</v>
      </c>
      <c r="F1160">
        <v>71.472945999999993</v>
      </c>
      <c r="G1160">
        <v>4891300</v>
      </c>
      <c r="I1160">
        <f t="shared" si="18"/>
        <v>4.6268233355693247E-5</v>
      </c>
    </row>
    <row r="1161" spans="1:9" x14ac:dyDescent="0.3">
      <c r="A1161" s="5">
        <v>43321</v>
      </c>
      <c r="B1161">
        <v>82.440002000000007</v>
      </c>
      <c r="C1161">
        <v>82.440002000000007</v>
      </c>
      <c r="D1161">
        <v>81.300003000000004</v>
      </c>
      <c r="E1161">
        <v>81.400002000000001</v>
      </c>
      <c r="F1161">
        <v>70.648407000000006</v>
      </c>
      <c r="G1161">
        <v>5167400</v>
      </c>
      <c r="I1161">
        <f t="shared" si="18"/>
        <v>1.7116888637229455E-5</v>
      </c>
    </row>
    <row r="1162" spans="1:9" x14ac:dyDescent="0.3">
      <c r="A1162" s="5">
        <v>43322</v>
      </c>
      <c r="B1162">
        <v>81.300003000000004</v>
      </c>
      <c r="C1162">
        <v>81.760002</v>
      </c>
      <c r="D1162">
        <v>81</v>
      </c>
      <c r="E1162">
        <v>81.430000000000007</v>
      </c>
      <c r="F1162">
        <v>70.674453999999997</v>
      </c>
      <c r="G1162">
        <v>5566000</v>
      </c>
      <c r="I1162">
        <f t="shared" si="18"/>
        <v>4.2392476513089671E-5</v>
      </c>
    </row>
    <row r="1163" spans="1:9" x14ac:dyDescent="0.3">
      <c r="A1163" s="5">
        <v>43325</v>
      </c>
      <c r="B1163">
        <v>81.699996999999996</v>
      </c>
      <c r="C1163">
        <v>82.080001999999993</v>
      </c>
      <c r="D1163">
        <v>81.150002000000001</v>
      </c>
      <c r="E1163">
        <v>81.519997000000004</v>
      </c>
      <c r="F1163">
        <v>70.752562999999995</v>
      </c>
      <c r="G1163">
        <v>5068100</v>
      </c>
      <c r="I1163">
        <f t="shared" si="18"/>
        <v>6.2495819157156038E-5</v>
      </c>
    </row>
    <row r="1164" spans="1:9" x14ac:dyDescent="0.3">
      <c r="A1164" s="5">
        <v>43326</v>
      </c>
      <c r="B1164">
        <v>81.389999000000003</v>
      </c>
      <c r="C1164">
        <v>81.720000999999996</v>
      </c>
      <c r="D1164">
        <v>81.230002999999996</v>
      </c>
      <c r="E1164">
        <v>81.309997999999993</v>
      </c>
      <c r="F1164">
        <v>70.570282000000006</v>
      </c>
      <c r="G1164">
        <v>6226900</v>
      </c>
      <c r="I1164">
        <f t="shared" ref="I1164:I1227" si="19">LN(C1164/B1164)*(LN(C1164/B1164)-LN(E1164/B1164))+LN(D1164/B1164)*(LN(D1164/B1164)-LN(E1164/B1164))</f>
        <v>2.2289322454487024E-5</v>
      </c>
    </row>
    <row r="1165" spans="1:9" x14ac:dyDescent="0.3">
      <c r="A1165" s="5">
        <v>43327</v>
      </c>
      <c r="B1165">
        <v>81.300003000000004</v>
      </c>
      <c r="C1165">
        <v>82.370002999999997</v>
      </c>
      <c r="D1165">
        <v>80.809997999999993</v>
      </c>
      <c r="E1165">
        <v>82.300003000000004</v>
      </c>
      <c r="F1165">
        <v>71.429558</v>
      </c>
      <c r="G1165">
        <v>8753500</v>
      </c>
      <c r="I1165">
        <f t="shared" si="19"/>
        <v>1.2156780866509476E-4</v>
      </c>
    </row>
    <row r="1166" spans="1:9" x14ac:dyDescent="0.3">
      <c r="A1166" s="5">
        <v>43328</v>
      </c>
      <c r="B1166">
        <v>82.459998999999996</v>
      </c>
      <c r="C1166">
        <v>84</v>
      </c>
      <c r="D1166">
        <v>82.309997999999993</v>
      </c>
      <c r="E1166">
        <v>83.690002000000007</v>
      </c>
      <c r="F1166">
        <v>72.635947999999999</v>
      </c>
      <c r="G1166">
        <v>12368000</v>
      </c>
      <c r="I1166">
        <f t="shared" si="19"/>
        <v>9.8685744309021285E-5</v>
      </c>
    </row>
    <row r="1167" spans="1:9" x14ac:dyDescent="0.3">
      <c r="A1167" s="5">
        <v>43329</v>
      </c>
      <c r="B1167">
        <v>83.730002999999996</v>
      </c>
      <c r="C1167">
        <v>84.199996999999996</v>
      </c>
      <c r="D1167">
        <v>83.599997999999999</v>
      </c>
      <c r="E1167">
        <v>83.690002000000007</v>
      </c>
      <c r="F1167">
        <v>72.635947999999999</v>
      </c>
      <c r="G1167">
        <v>8409300</v>
      </c>
      <c r="I1167">
        <f t="shared" si="19"/>
        <v>3.5678949223590747E-5</v>
      </c>
    </row>
    <row r="1168" spans="1:9" x14ac:dyDescent="0.3">
      <c r="A1168" s="5">
        <v>43332</v>
      </c>
      <c r="B1168">
        <v>83.889999000000003</v>
      </c>
      <c r="C1168">
        <v>83.949996999999996</v>
      </c>
      <c r="D1168">
        <v>83.309997999999993</v>
      </c>
      <c r="E1168">
        <v>83.639999000000003</v>
      </c>
      <c r="F1168">
        <v>72.592536999999993</v>
      </c>
      <c r="G1168">
        <v>6795800</v>
      </c>
      <c r="I1168">
        <f t="shared" si="19"/>
        <v>3.0072255813062081E-5</v>
      </c>
    </row>
    <row r="1169" spans="1:9" x14ac:dyDescent="0.3">
      <c r="A1169" s="5">
        <v>43333</v>
      </c>
      <c r="B1169">
        <v>83.57</v>
      </c>
      <c r="C1169">
        <v>84</v>
      </c>
      <c r="D1169">
        <v>83.089995999999999</v>
      </c>
      <c r="E1169">
        <v>83.900002000000001</v>
      </c>
      <c r="F1169">
        <v>72.818213999999998</v>
      </c>
      <c r="G1169">
        <v>8534500</v>
      </c>
      <c r="I1169">
        <f t="shared" si="19"/>
        <v>6.1995777858159793E-5</v>
      </c>
    </row>
    <row r="1170" spans="1:9" x14ac:dyDescent="0.3">
      <c r="A1170" s="5">
        <v>43334</v>
      </c>
      <c r="B1170">
        <v>83.809997999999993</v>
      </c>
      <c r="C1170">
        <v>83.849997999999999</v>
      </c>
      <c r="D1170">
        <v>83.059997999999993</v>
      </c>
      <c r="E1170">
        <v>83.389999000000003</v>
      </c>
      <c r="F1170">
        <v>72.375579999999999</v>
      </c>
      <c r="G1170">
        <v>5132600</v>
      </c>
      <c r="I1170">
        <f t="shared" si="19"/>
        <v>3.8268177631689482E-5</v>
      </c>
    </row>
    <row r="1171" spans="1:9" x14ac:dyDescent="0.3">
      <c r="A1171" s="5">
        <v>43335</v>
      </c>
      <c r="B1171">
        <v>83.010002</v>
      </c>
      <c r="C1171">
        <v>83.599997999999999</v>
      </c>
      <c r="D1171">
        <v>82.839995999999999</v>
      </c>
      <c r="E1171">
        <v>83.239998</v>
      </c>
      <c r="F1171">
        <v>72.245377000000005</v>
      </c>
      <c r="G1171">
        <v>4323200</v>
      </c>
      <c r="I1171">
        <f t="shared" si="19"/>
        <v>4.0439582484683043E-5</v>
      </c>
    </row>
    <row r="1172" spans="1:9" x14ac:dyDescent="0.3">
      <c r="A1172" s="5">
        <v>43336</v>
      </c>
      <c r="B1172">
        <v>83.220000999999996</v>
      </c>
      <c r="C1172">
        <v>83.550003000000004</v>
      </c>
      <c r="D1172">
        <v>83.029999000000004</v>
      </c>
      <c r="E1172">
        <v>83.360000999999997</v>
      </c>
      <c r="F1172">
        <v>72.349547999999999</v>
      </c>
      <c r="G1172">
        <v>5356000</v>
      </c>
      <c r="I1172">
        <f t="shared" si="19"/>
        <v>1.8076860755091058E-5</v>
      </c>
    </row>
    <row r="1173" spans="1:9" x14ac:dyDescent="0.3">
      <c r="A1173" s="5">
        <v>43339</v>
      </c>
      <c r="B1173">
        <v>83.5</v>
      </c>
      <c r="C1173">
        <v>83.82</v>
      </c>
      <c r="D1173">
        <v>83.019997000000004</v>
      </c>
      <c r="E1173">
        <v>83.440002000000007</v>
      </c>
      <c r="F1173">
        <v>72.418976000000001</v>
      </c>
      <c r="G1173">
        <v>3941500</v>
      </c>
      <c r="I1173">
        <f t="shared" si="19"/>
        <v>4.6472827879138424E-5</v>
      </c>
    </row>
    <row r="1174" spans="1:9" x14ac:dyDescent="0.3">
      <c r="A1174" s="5">
        <v>43340</v>
      </c>
      <c r="B1174">
        <v>83.720000999999996</v>
      </c>
      <c r="C1174">
        <v>83.860000999999997</v>
      </c>
      <c r="D1174">
        <v>83.32</v>
      </c>
      <c r="E1174">
        <v>83.480002999999996</v>
      </c>
      <c r="F1174">
        <v>72.453697000000005</v>
      </c>
      <c r="G1174">
        <v>5405200</v>
      </c>
      <c r="I1174">
        <f t="shared" si="19"/>
        <v>1.6776632383946437E-5</v>
      </c>
    </row>
    <row r="1175" spans="1:9" x14ac:dyDescent="0.3">
      <c r="A1175" s="5">
        <v>43341</v>
      </c>
      <c r="B1175">
        <v>83.510002</v>
      </c>
      <c r="C1175">
        <v>83.760002</v>
      </c>
      <c r="D1175">
        <v>83.290001000000004</v>
      </c>
      <c r="E1175">
        <v>83.489998</v>
      </c>
      <c r="F1175">
        <v>72.462372000000002</v>
      </c>
      <c r="G1175">
        <v>4520400</v>
      </c>
      <c r="I1175">
        <f t="shared" si="19"/>
        <v>1.5977893394511974E-5</v>
      </c>
    </row>
    <row r="1176" spans="1:9" x14ac:dyDescent="0.3">
      <c r="A1176" s="5">
        <v>43342</v>
      </c>
      <c r="B1176">
        <v>83.389999000000003</v>
      </c>
      <c r="C1176">
        <v>83.739998</v>
      </c>
      <c r="D1176">
        <v>83.190002000000007</v>
      </c>
      <c r="E1176">
        <v>83.410004000000001</v>
      </c>
      <c r="F1176">
        <v>72.392937000000003</v>
      </c>
      <c r="G1176">
        <v>4549700</v>
      </c>
      <c r="I1176">
        <f t="shared" si="19"/>
        <v>2.2879431201272096E-5</v>
      </c>
    </row>
    <row r="1177" spans="1:9" x14ac:dyDescent="0.3">
      <c r="A1177" s="5">
        <v>43343</v>
      </c>
      <c r="B1177">
        <v>83.349997999999999</v>
      </c>
      <c r="C1177">
        <v>83.529999000000004</v>
      </c>
      <c r="D1177">
        <v>82.389999000000003</v>
      </c>
      <c r="E1177">
        <v>82.949996999999996</v>
      </c>
      <c r="F1177">
        <v>71.993690000000001</v>
      </c>
      <c r="G1177">
        <v>6674900</v>
      </c>
      <c r="I1177">
        <f t="shared" si="19"/>
        <v>9.3504104795502115E-5</v>
      </c>
    </row>
    <row r="1178" spans="1:9" x14ac:dyDescent="0.3">
      <c r="A1178" s="5">
        <v>43347</v>
      </c>
      <c r="B1178">
        <v>82.480002999999996</v>
      </c>
      <c r="C1178">
        <v>82.959998999999996</v>
      </c>
      <c r="D1178">
        <v>82.07</v>
      </c>
      <c r="E1178">
        <v>82.699996999999996</v>
      </c>
      <c r="F1178">
        <v>71.776718000000002</v>
      </c>
      <c r="G1178">
        <v>5800700</v>
      </c>
      <c r="I1178">
        <f t="shared" si="19"/>
        <v>5.6322197331650851E-5</v>
      </c>
    </row>
    <row r="1179" spans="1:9" x14ac:dyDescent="0.3">
      <c r="A1179" s="5">
        <v>43348</v>
      </c>
      <c r="B1179">
        <v>82.110000999999997</v>
      </c>
      <c r="C1179">
        <v>83.470000999999996</v>
      </c>
      <c r="D1179">
        <v>82.110000999999997</v>
      </c>
      <c r="E1179">
        <v>83.290001000000004</v>
      </c>
      <c r="F1179">
        <v>72.288794999999993</v>
      </c>
      <c r="G1179">
        <v>7651900</v>
      </c>
      <c r="I1179">
        <f t="shared" si="19"/>
        <v>3.546349751431813E-5</v>
      </c>
    </row>
    <row r="1180" spans="1:9" x14ac:dyDescent="0.3">
      <c r="A1180" s="5">
        <v>43349</v>
      </c>
      <c r="B1180">
        <v>82.910004000000001</v>
      </c>
      <c r="C1180">
        <v>83.309997999999993</v>
      </c>
      <c r="D1180">
        <v>82.489998</v>
      </c>
      <c r="E1180">
        <v>82.650002000000001</v>
      </c>
      <c r="F1180">
        <v>71.733315000000005</v>
      </c>
      <c r="G1180">
        <v>7541100</v>
      </c>
      <c r="I1180">
        <f t="shared" si="19"/>
        <v>4.8121396510513146E-5</v>
      </c>
    </row>
    <row r="1181" spans="1:9" x14ac:dyDescent="0.3">
      <c r="A1181" s="5">
        <v>43350</v>
      </c>
      <c r="B1181">
        <v>82.099997999999999</v>
      </c>
      <c r="C1181">
        <v>82.199996999999996</v>
      </c>
      <c r="D1181">
        <v>81.25</v>
      </c>
      <c r="E1181">
        <v>81.910004000000001</v>
      </c>
      <c r="F1181">
        <v>71.091048999999998</v>
      </c>
      <c r="G1181">
        <v>11110900</v>
      </c>
      <c r="I1181">
        <f t="shared" si="19"/>
        <v>8.8499257274950361E-5</v>
      </c>
    </row>
    <row r="1182" spans="1:9" x14ac:dyDescent="0.3">
      <c r="A1182" s="5">
        <v>43353</v>
      </c>
      <c r="B1182">
        <v>82.580001999999993</v>
      </c>
      <c r="C1182">
        <v>83.099997999999999</v>
      </c>
      <c r="D1182">
        <v>82.339995999999999</v>
      </c>
      <c r="E1182">
        <v>82.379997000000003</v>
      </c>
      <c r="F1182">
        <v>71.498977999999994</v>
      </c>
      <c r="G1182">
        <v>6783000</v>
      </c>
      <c r="I1182">
        <f t="shared" si="19"/>
        <v>5.6037393635671062E-5</v>
      </c>
    </row>
    <row r="1183" spans="1:9" x14ac:dyDescent="0.3">
      <c r="A1183" s="5">
        <v>43354</v>
      </c>
      <c r="B1183">
        <v>82.129997000000003</v>
      </c>
      <c r="C1183">
        <v>82.419998000000007</v>
      </c>
      <c r="D1183">
        <v>81.629997000000003</v>
      </c>
      <c r="E1183">
        <v>82.010002</v>
      </c>
      <c r="F1183">
        <v>71.177856000000006</v>
      </c>
      <c r="G1183">
        <v>5210300</v>
      </c>
      <c r="I1183">
        <f t="shared" si="19"/>
        <v>4.5938849641410111E-5</v>
      </c>
    </row>
    <row r="1184" spans="1:9" x14ac:dyDescent="0.3">
      <c r="A1184" s="5">
        <v>43355</v>
      </c>
      <c r="B1184">
        <v>81.900002000000001</v>
      </c>
      <c r="C1184">
        <v>83.18</v>
      </c>
      <c r="D1184">
        <v>81.699996999999996</v>
      </c>
      <c r="E1184">
        <v>83.110000999999997</v>
      </c>
      <c r="F1184">
        <v>72.132544999999993</v>
      </c>
      <c r="G1184">
        <v>5925200</v>
      </c>
      <c r="I1184">
        <f t="shared" si="19"/>
        <v>5.4893417723979435E-5</v>
      </c>
    </row>
    <row r="1185" spans="1:9" x14ac:dyDescent="0.3">
      <c r="A1185" s="5">
        <v>43356</v>
      </c>
      <c r="B1185">
        <v>83.269997000000004</v>
      </c>
      <c r="C1185">
        <v>83.489998</v>
      </c>
      <c r="D1185">
        <v>82.650002000000001</v>
      </c>
      <c r="E1185">
        <v>83.449996999999996</v>
      </c>
      <c r="F1185">
        <v>72.42765</v>
      </c>
      <c r="G1185">
        <v>5328400</v>
      </c>
      <c r="I1185">
        <f t="shared" si="19"/>
        <v>7.3254503514258093E-5</v>
      </c>
    </row>
    <row r="1186" spans="1:9" x14ac:dyDescent="0.3">
      <c r="A1186" s="5">
        <v>43357</v>
      </c>
      <c r="B1186">
        <v>83.470000999999996</v>
      </c>
      <c r="C1186">
        <v>83.669998000000007</v>
      </c>
      <c r="D1186">
        <v>82.970000999999996</v>
      </c>
      <c r="E1186">
        <v>83.610000999999997</v>
      </c>
      <c r="F1186">
        <v>72.566520999999995</v>
      </c>
      <c r="G1186">
        <v>5004100</v>
      </c>
      <c r="I1186">
        <f t="shared" si="19"/>
        <v>4.7883803707833503E-5</v>
      </c>
    </row>
    <row r="1187" spans="1:9" x14ac:dyDescent="0.3">
      <c r="A1187" s="5">
        <v>43360</v>
      </c>
      <c r="B1187">
        <v>83.5</v>
      </c>
      <c r="C1187">
        <v>84.269997000000004</v>
      </c>
      <c r="D1187">
        <v>83.339995999999999</v>
      </c>
      <c r="E1187">
        <v>84.25</v>
      </c>
      <c r="F1187">
        <v>73.121978999999996</v>
      </c>
      <c r="G1187">
        <v>7098800</v>
      </c>
      <c r="I1187">
        <f t="shared" si="19"/>
        <v>2.3008516082727559E-5</v>
      </c>
    </row>
    <row r="1188" spans="1:9" x14ac:dyDescent="0.3">
      <c r="A1188" s="5">
        <v>43361</v>
      </c>
      <c r="B1188">
        <v>84.290001000000004</v>
      </c>
      <c r="C1188">
        <v>84.290001000000004</v>
      </c>
      <c r="D1188">
        <v>83.580001999999993</v>
      </c>
      <c r="E1188">
        <v>84</v>
      </c>
      <c r="F1188">
        <v>72.905013999999994</v>
      </c>
      <c r="G1188">
        <v>6022800</v>
      </c>
      <c r="I1188">
        <f t="shared" si="19"/>
        <v>4.2400713050722397E-5</v>
      </c>
    </row>
    <row r="1189" spans="1:9" x14ac:dyDescent="0.3">
      <c r="A1189" s="5">
        <v>43362</v>
      </c>
      <c r="B1189">
        <v>83.919998000000007</v>
      </c>
      <c r="C1189">
        <v>84.290001000000004</v>
      </c>
      <c r="D1189">
        <v>83.769997000000004</v>
      </c>
      <c r="E1189">
        <v>84</v>
      </c>
      <c r="F1189">
        <v>72.905013999999994</v>
      </c>
      <c r="G1189">
        <v>6157600</v>
      </c>
      <c r="I1189">
        <f t="shared" si="19"/>
        <v>2.0067285214377723E-5</v>
      </c>
    </row>
    <row r="1190" spans="1:9" x14ac:dyDescent="0.3">
      <c r="A1190" s="5">
        <v>43363</v>
      </c>
      <c r="B1190">
        <v>84.290001000000004</v>
      </c>
      <c r="C1190">
        <v>85.639999000000003</v>
      </c>
      <c r="D1190">
        <v>84.230002999999996</v>
      </c>
      <c r="E1190">
        <v>85.360000999999997</v>
      </c>
      <c r="F1190">
        <v>74.085364999999996</v>
      </c>
      <c r="G1190">
        <v>10053000</v>
      </c>
      <c r="I1190">
        <f t="shared" si="19"/>
        <v>6.1523692748021098E-5</v>
      </c>
    </row>
    <row r="1191" spans="1:9" x14ac:dyDescent="0.3">
      <c r="A1191" s="5">
        <v>43364</v>
      </c>
      <c r="B1191">
        <v>85.809997999999993</v>
      </c>
      <c r="C1191">
        <v>86.279999000000004</v>
      </c>
      <c r="D1191">
        <v>85.519997000000004</v>
      </c>
      <c r="E1191">
        <v>85.82</v>
      </c>
      <c r="F1191">
        <v>74.484634</v>
      </c>
      <c r="G1191">
        <v>17402500</v>
      </c>
      <c r="I1191">
        <f t="shared" si="19"/>
        <v>4.1054682183982464E-5</v>
      </c>
    </row>
    <row r="1192" spans="1:9" x14ac:dyDescent="0.3">
      <c r="A1192" s="5">
        <v>43367</v>
      </c>
      <c r="B1192">
        <v>85.629997000000003</v>
      </c>
      <c r="C1192">
        <v>85.709998999999996</v>
      </c>
      <c r="D1192">
        <v>84.230002999999996</v>
      </c>
      <c r="E1192">
        <v>84.269997000000004</v>
      </c>
      <c r="F1192">
        <v>73.139336</v>
      </c>
      <c r="G1192">
        <v>6389400</v>
      </c>
      <c r="I1192">
        <f t="shared" si="19"/>
        <v>2.3647876574056789E-5</v>
      </c>
    </row>
    <row r="1193" spans="1:9" x14ac:dyDescent="0.3">
      <c r="A1193" s="5">
        <v>43368</v>
      </c>
      <c r="B1193">
        <v>84.279999000000004</v>
      </c>
      <c r="C1193">
        <v>84.410004000000001</v>
      </c>
      <c r="D1193">
        <v>83.080001999999993</v>
      </c>
      <c r="E1193">
        <v>83.120002999999997</v>
      </c>
      <c r="F1193">
        <v>72.141227999999998</v>
      </c>
      <c r="G1193">
        <v>5657200</v>
      </c>
      <c r="I1193">
        <f t="shared" si="19"/>
        <v>3.0640566428498789E-5</v>
      </c>
    </row>
    <row r="1194" spans="1:9" x14ac:dyDescent="0.3">
      <c r="A1194" s="5">
        <v>43369</v>
      </c>
      <c r="B1194">
        <v>83.25</v>
      </c>
      <c r="C1194">
        <v>83.989998</v>
      </c>
      <c r="D1194">
        <v>83.029999000000004</v>
      </c>
      <c r="E1194">
        <v>83.260002</v>
      </c>
      <c r="F1194">
        <v>72.262741000000005</v>
      </c>
      <c r="G1194">
        <v>6581000</v>
      </c>
      <c r="I1194">
        <f t="shared" si="19"/>
        <v>8.4572130753455293E-5</v>
      </c>
    </row>
    <row r="1195" spans="1:9" x14ac:dyDescent="0.3">
      <c r="A1195" s="5">
        <v>43370</v>
      </c>
      <c r="B1195">
        <v>83.040001000000004</v>
      </c>
      <c r="C1195">
        <v>83.629997000000003</v>
      </c>
      <c r="D1195">
        <v>82.809997999999993</v>
      </c>
      <c r="E1195">
        <v>82.860000999999997</v>
      </c>
      <c r="F1195">
        <v>71.915588</v>
      </c>
      <c r="G1195">
        <v>6277600</v>
      </c>
      <c r="I1195">
        <f t="shared" si="19"/>
        <v>6.7161555342633387E-5</v>
      </c>
    </row>
    <row r="1196" spans="1:9" x14ac:dyDescent="0.3">
      <c r="A1196" s="5">
        <v>43371</v>
      </c>
      <c r="B1196">
        <v>83.029999000000004</v>
      </c>
      <c r="C1196">
        <v>83.290001000000004</v>
      </c>
      <c r="D1196">
        <v>82.790001000000004</v>
      </c>
      <c r="E1196">
        <v>83.230002999999996</v>
      </c>
      <c r="F1196">
        <v>72.236725000000007</v>
      </c>
      <c r="G1196">
        <v>5125800</v>
      </c>
      <c r="I1196">
        <f t="shared" si="19"/>
        <v>1.7596573217269978E-5</v>
      </c>
    </row>
    <row r="1197" spans="1:9" x14ac:dyDescent="0.3">
      <c r="A1197" s="5">
        <v>43374</v>
      </c>
      <c r="B1197">
        <v>83.309997999999993</v>
      </c>
      <c r="C1197">
        <v>83.720000999999996</v>
      </c>
      <c r="D1197">
        <v>83.169998000000007</v>
      </c>
      <c r="E1197">
        <v>83.669998000000007</v>
      </c>
      <c r="F1197">
        <v>72.618613999999994</v>
      </c>
      <c r="G1197">
        <v>4899900</v>
      </c>
      <c r="I1197">
        <f t="shared" si="19"/>
        <v>1.3013904762343624E-5</v>
      </c>
    </row>
    <row r="1198" spans="1:9" x14ac:dyDescent="0.3">
      <c r="A1198" s="5">
        <v>43375</v>
      </c>
      <c r="B1198">
        <v>83.480002999999996</v>
      </c>
      <c r="C1198">
        <v>84.440002000000007</v>
      </c>
      <c r="D1198">
        <v>83.370002999999997</v>
      </c>
      <c r="E1198">
        <v>84.360000999999997</v>
      </c>
      <c r="F1198">
        <v>73.217453000000006</v>
      </c>
      <c r="G1198">
        <v>7390900</v>
      </c>
      <c r="I1198">
        <f t="shared" si="19"/>
        <v>2.6403387323410996E-5</v>
      </c>
    </row>
    <row r="1199" spans="1:9" x14ac:dyDescent="0.3">
      <c r="A1199" s="5">
        <v>43376</v>
      </c>
      <c r="B1199">
        <v>84.440002000000007</v>
      </c>
      <c r="C1199">
        <v>84.519997000000004</v>
      </c>
      <c r="D1199">
        <v>82.849997999999999</v>
      </c>
      <c r="E1199">
        <v>83.029999000000004</v>
      </c>
      <c r="F1199">
        <v>72.063118000000003</v>
      </c>
      <c r="G1199">
        <v>7958700</v>
      </c>
      <c r="I1199">
        <f t="shared" si="19"/>
        <v>5.8097472467531776E-5</v>
      </c>
    </row>
    <row r="1200" spans="1:9" x14ac:dyDescent="0.3">
      <c r="A1200" s="5">
        <v>43377</v>
      </c>
      <c r="B1200">
        <v>82.5</v>
      </c>
      <c r="C1200">
        <v>82.5</v>
      </c>
      <c r="D1200">
        <v>81.099997999999999</v>
      </c>
      <c r="E1200">
        <v>81.919998000000007</v>
      </c>
      <c r="F1200">
        <v>71.099754000000004</v>
      </c>
      <c r="G1200">
        <v>7029900</v>
      </c>
      <c r="I1200">
        <f t="shared" si="19"/>
        <v>1.7218392041763039E-4</v>
      </c>
    </row>
    <row r="1201" spans="1:9" x14ac:dyDescent="0.3">
      <c r="A1201" s="5">
        <v>43378</v>
      </c>
      <c r="B1201">
        <v>81.980002999999996</v>
      </c>
      <c r="C1201">
        <v>82.449996999999996</v>
      </c>
      <c r="D1201">
        <v>81.980002999999996</v>
      </c>
      <c r="E1201">
        <v>82.150002000000001</v>
      </c>
      <c r="F1201">
        <v>71.299362000000002</v>
      </c>
      <c r="G1201">
        <v>5454600</v>
      </c>
      <c r="I1201">
        <f t="shared" si="19"/>
        <v>2.0838051164709303E-5</v>
      </c>
    </row>
    <row r="1202" spans="1:9" x14ac:dyDescent="0.3">
      <c r="A1202" s="5">
        <v>43381</v>
      </c>
      <c r="B1202">
        <v>81.980002999999996</v>
      </c>
      <c r="C1202">
        <v>82.739998</v>
      </c>
      <c r="D1202">
        <v>81.75</v>
      </c>
      <c r="E1202">
        <v>82.400002000000001</v>
      </c>
      <c r="F1202">
        <v>71.516318999999996</v>
      </c>
      <c r="G1202">
        <v>7192300</v>
      </c>
      <c r="I1202">
        <f t="shared" si="19"/>
        <v>6.0247619018565865E-5</v>
      </c>
    </row>
    <row r="1203" spans="1:9" x14ac:dyDescent="0.3">
      <c r="A1203" s="5">
        <v>43382</v>
      </c>
      <c r="B1203">
        <v>82.389999000000003</v>
      </c>
      <c r="C1203">
        <v>82.720000999999996</v>
      </c>
      <c r="D1203">
        <v>82.059997999999993</v>
      </c>
      <c r="E1203">
        <v>82.199996999999996</v>
      </c>
      <c r="F1203">
        <v>71.342742999999999</v>
      </c>
      <c r="G1203">
        <v>6268100</v>
      </c>
      <c r="I1203">
        <f t="shared" si="19"/>
        <v>3.2049256046057408E-5</v>
      </c>
    </row>
    <row r="1204" spans="1:9" x14ac:dyDescent="0.3">
      <c r="A1204" s="5">
        <v>43383</v>
      </c>
      <c r="B1204">
        <v>81.809997999999993</v>
      </c>
      <c r="C1204">
        <v>82.68</v>
      </c>
      <c r="D1204">
        <v>81.440002000000007</v>
      </c>
      <c r="E1204">
        <v>81.440002000000007</v>
      </c>
      <c r="F1204">
        <v>70.683143999999999</v>
      </c>
      <c r="G1204">
        <v>9295800</v>
      </c>
      <c r="I1204">
        <f t="shared" si="19"/>
        <v>1.5984995999246903E-4</v>
      </c>
    </row>
    <row r="1205" spans="1:9" x14ac:dyDescent="0.3">
      <c r="A1205" s="5">
        <v>43384</v>
      </c>
      <c r="B1205">
        <v>81.639999000000003</v>
      </c>
      <c r="C1205">
        <v>81.970000999999996</v>
      </c>
      <c r="D1205">
        <v>78.669998000000007</v>
      </c>
      <c r="E1205">
        <v>78.870002999999997</v>
      </c>
      <c r="F1205">
        <v>68.452583000000004</v>
      </c>
      <c r="G1205">
        <v>12560300</v>
      </c>
      <c r="I1205">
        <f t="shared" si="19"/>
        <v>2.4961347960529508E-4</v>
      </c>
    </row>
    <row r="1206" spans="1:9" x14ac:dyDescent="0.3">
      <c r="A1206" s="5">
        <v>43385</v>
      </c>
      <c r="B1206">
        <v>79.370002999999997</v>
      </c>
      <c r="C1206">
        <v>79.379997000000003</v>
      </c>
      <c r="D1206">
        <v>78.489998</v>
      </c>
      <c r="E1206">
        <v>79.059997999999993</v>
      </c>
      <c r="F1206">
        <v>68.617508000000001</v>
      </c>
      <c r="G1206">
        <v>9878700</v>
      </c>
      <c r="I1206">
        <f t="shared" si="19"/>
        <v>8.1183018289691456E-5</v>
      </c>
    </row>
    <row r="1207" spans="1:9" x14ac:dyDescent="0.3">
      <c r="A1207" s="5">
        <v>43388</v>
      </c>
      <c r="B1207">
        <v>79.010002</v>
      </c>
      <c r="C1207">
        <v>80.540001000000004</v>
      </c>
      <c r="D1207">
        <v>78.919998000000007</v>
      </c>
      <c r="E1207">
        <v>80.129997000000003</v>
      </c>
      <c r="F1207">
        <v>69.546172999999996</v>
      </c>
      <c r="G1207">
        <v>9691500</v>
      </c>
      <c r="I1207">
        <f t="shared" si="19"/>
        <v>1.1522900243529722E-4</v>
      </c>
    </row>
    <row r="1208" spans="1:9" x14ac:dyDescent="0.3">
      <c r="A1208" s="5">
        <v>43389</v>
      </c>
      <c r="B1208">
        <v>79.910004000000001</v>
      </c>
      <c r="C1208">
        <v>81.089995999999999</v>
      </c>
      <c r="D1208">
        <v>79.900002000000001</v>
      </c>
      <c r="E1208">
        <v>81.010002</v>
      </c>
      <c r="F1208">
        <v>70.309937000000005</v>
      </c>
      <c r="G1208">
        <v>9462600</v>
      </c>
      <c r="I1208">
        <f t="shared" si="19"/>
        <v>1.6194552893051154E-5</v>
      </c>
    </row>
    <row r="1209" spans="1:9" x14ac:dyDescent="0.3">
      <c r="A1209" s="5">
        <v>43390</v>
      </c>
      <c r="B1209">
        <v>80.760002</v>
      </c>
      <c r="C1209">
        <v>82.18</v>
      </c>
      <c r="D1209">
        <v>80.379997000000003</v>
      </c>
      <c r="E1209">
        <v>81.860000999999997</v>
      </c>
      <c r="F1209">
        <v>71.047661000000005</v>
      </c>
      <c r="G1209">
        <v>10375300</v>
      </c>
      <c r="I1209">
        <f t="shared" si="19"/>
        <v>1.54055918220147E-4</v>
      </c>
    </row>
    <row r="1210" spans="1:9" x14ac:dyDescent="0.3">
      <c r="A1210" s="5">
        <v>43391</v>
      </c>
      <c r="B1210">
        <v>80.709998999999996</v>
      </c>
      <c r="C1210">
        <v>81.339995999999999</v>
      </c>
      <c r="D1210">
        <v>80</v>
      </c>
      <c r="E1210">
        <v>80.239998</v>
      </c>
      <c r="F1210">
        <v>70.257019</v>
      </c>
      <c r="G1210">
        <v>9869500</v>
      </c>
      <c r="I1210">
        <f t="shared" si="19"/>
        <v>1.3233510626095961E-4</v>
      </c>
    </row>
    <row r="1211" spans="1:9" x14ac:dyDescent="0.3">
      <c r="A1211" s="5">
        <v>43392</v>
      </c>
      <c r="B1211">
        <v>84.860000999999997</v>
      </c>
      <c r="C1211">
        <v>87.760002</v>
      </c>
      <c r="D1211">
        <v>84.860000999999997</v>
      </c>
      <c r="E1211">
        <v>87.300003000000004</v>
      </c>
      <c r="F1211">
        <v>76.438643999999996</v>
      </c>
      <c r="G1211">
        <v>30276400</v>
      </c>
      <c r="I1211">
        <f t="shared" si="19"/>
        <v>1.7659517471150946E-4</v>
      </c>
    </row>
    <row r="1212" spans="1:9" x14ac:dyDescent="0.3">
      <c r="A1212" s="5">
        <v>43395</v>
      </c>
      <c r="B1212">
        <v>86.730002999999996</v>
      </c>
      <c r="C1212">
        <v>87.239998</v>
      </c>
      <c r="D1212">
        <v>85.230002999999996</v>
      </c>
      <c r="E1212">
        <v>86.599997999999999</v>
      </c>
      <c r="F1212">
        <v>75.825744999999998</v>
      </c>
      <c r="G1212">
        <v>14124100</v>
      </c>
      <c r="I1212">
        <f t="shared" si="19"/>
        <v>3.2137470318104776E-4</v>
      </c>
    </row>
    <row r="1213" spans="1:9" x14ac:dyDescent="0.3">
      <c r="A1213" s="5">
        <v>43396</v>
      </c>
      <c r="B1213">
        <v>86.010002</v>
      </c>
      <c r="C1213">
        <v>87.300003000000004</v>
      </c>
      <c r="D1213">
        <v>86.010002</v>
      </c>
      <c r="E1213">
        <v>87.160004000000001</v>
      </c>
      <c r="F1213">
        <v>76.316070999999994</v>
      </c>
      <c r="G1213">
        <v>16269500</v>
      </c>
      <c r="I1213">
        <f t="shared" si="19"/>
        <v>2.389260841344426E-5</v>
      </c>
    </row>
    <row r="1214" spans="1:9" x14ac:dyDescent="0.3">
      <c r="A1214" s="5">
        <v>43397</v>
      </c>
      <c r="B1214">
        <v>87.279999000000004</v>
      </c>
      <c r="C1214">
        <v>90.699996999999996</v>
      </c>
      <c r="D1214">
        <v>87.220000999999996</v>
      </c>
      <c r="E1214">
        <v>89.459998999999996</v>
      </c>
      <c r="F1214">
        <v>78.329918000000006</v>
      </c>
      <c r="G1214">
        <v>26703500</v>
      </c>
      <c r="I1214">
        <f t="shared" si="19"/>
        <v>5.4653731856822111E-4</v>
      </c>
    </row>
    <row r="1215" spans="1:9" x14ac:dyDescent="0.3">
      <c r="A1215" s="5">
        <v>43398</v>
      </c>
      <c r="B1215">
        <v>88.110000999999997</v>
      </c>
      <c r="C1215">
        <v>89.330001999999993</v>
      </c>
      <c r="D1215">
        <v>87.309997999999993</v>
      </c>
      <c r="E1215">
        <v>89</v>
      </c>
      <c r="F1215">
        <v>77.927154999999999</v>
      </c>
      <c r="G1215">
        <v>14647000</v>
      </c>
      <c r="I1215">
        <f t="shared" si="19"/>
        <v>2.2575765237507937E-4</v>
      </c>
    </row>
    <row r="1216" spans="1:9" x14ac:dyDescent="0.3">
      <c r="A1216" s="5">
        <v>43399</v>
      </c>
      <c r="B1216">
        <v>88.690002000000007</v>
      </c>
      <c r="C1216">
        <v>89.169998000000007</v>
      </c>
      <c r="D1216">
        <v>87.389999000000003</v>
      </c>
      <c r="E1216">
        <v>87.860000999999997</v>
      </c>
      <c r="F1216">
        <v>76.928970000000007</v>
      </c>
      <c r="G1216">
        <v>14335900</v>
      </c>
      <c r="I1216">
        <f t="shared" si="19"/>
        <v>1.5908611711021493E-4</v>
      </c>
    </row>
    <row r="1217" spans="1:9" x14ac:dyDescent="0.3">
      <c r="A1217" s="5">
        <v>43402</v>
      </c>
      <c r="B1217">
        <v>88.290001000000004</v>
      </c>
      <c r="C1217">
        <v>89.419998000000007</v>
      </c>
      <c r="D1217">
        <v>87.440002000000007</v>
      </c>
      <c r="E1217">
        <v>88.239998</v>
      </c>
      <c r="F1217">
        <v>77.261680999999996</v>
      </c>
      <c r="G1217">
        <v>12878900</v>
      </c>
      <c r="I1217">
        <f t="shared" si="19"/>
        <v>2.5704481194285637E-4</v>
      </c>
    </row>
    <row r="1218" spans="1:9" x14ac:dyDescent="0.3">
      <c r="A1218" s="5">
        <v>43403</v>
      </c>
      <c r="B1218">
        <v>88.849997999999999</v>
      </c>
      <c r="C1218">
        <v>89.43</v>
      </c>
      <c r="D1218">
        <v>88.209998999999996</v>
      </c>
      <c r="E1218">
        <v>89.190002000000007</v>
      </c>
      <c r="F1218">
        <v>78.093520999999996</v>
      </c>
      <c r="G1218">
        <v>13844000</v>
      </c>
      <c r="I1218">
        <f t="shared" si="19"/>
        <v>9.7357826160485465E-5</v>
      </c>
    </row>
    <row r="1219" spans="1:9" x14ac:dyDescent="0.3">
      <c r="A1219" s="5">
        <v>43404</v>
      </c>
      <c r="B1219">
        <v>88.769997000000004</v>
      </c>
      <c r="C1219">
        <v>89.32</v>
      </c>
      <c r="D1219">
        <v>87.269997000000004</v>
      </c>
      <c r="E1219">
        <v>88.68</v>
      </c>
      <c r="F1219">
        <v>77.646950000000004</v>
      </c>
      <c r="G1219">
        <v>13362400</v>
      </c>
      <c r="I1219">
        <f t="shared" si="19"/>
        <v>3.1756020978685389E-4</v>
      </c>
    </row>
    <row r="1220" spans="1:9" x14ac:dyDescent="0.3">
      <c r="A1220" s="5">
        <v>43405</v>
      </c>
      <c r="B1220">
        <v>88.809997999999993</v>
      </c>
      <c r="C1220">
        <v>89.830001999999993</v>
      </c>
      <c r="D1220">
        <v>88.18</v>
      </c>
      <c r="E1220">
        <v>89.589995999999999</v>
      </c>
      <c r="F1220">
        <v>78.443725999999998</v>
      </c>
      <c r="G1220">
        <v>9732400</v>
      </c>
      <c r="I1220">
        <f t="shared" si="19"/>
        <v>1.4348496414466521E-4</v>
      </c>
    </row>
    <row r="1221" spans="1:9" x14ac:dyDescent="0.3">
      <c r="A1221" s="5">
        <v>43406</v>
      </c>
      <c r="B1221">
        <v>89.879997000000003</v>
      </c>
      <c r="C1221">
        <v>89.949996999999996</v>
      </c>
      <c r="D1221">
        <v>88.980002999999996</v>
      </c>
      <c r="E1221">
        <v>89.809997999999993</v>
      </c>
      <c r="F1221">
        <v>78.636375000000001</v>
      </c>
      <c r="G1221">
        <v>11336000</v>
      </c>
      <c r="I1221">
        <f t="shared" si="19"/>
        <v>9.4651033251764188E-5</v>
      </c>
    </row>
    <row r="1222" spans="1:9" x14ac:dyDescent="0.3">
      <c r="A1222" s="5">
        <v>43409</v>
      </c>
      <c r="B1222">
        <v>89.889999000000003</v>
      </c>
      <c r="C1222">
        <v>91.440002000000007</v>
      </c>
      <c r="D1222">
        <v>89.82</v>
      </c>
      <c r="E1222">
        <v>91.199996999999996</v>
      </c>
      <c r="F1222">
        <v>79.853431999999998</v>
      </c>
      <c r="G1222">
        <v>12270100</v>
      </c>
      <c r="I1222">
        <f t="shared" si="19"/>
        <v>5.6810140303114761E-5</v>
      </c>
    </row>
    <row r="1223" spans="1:9" x14ac:dyDescent="0.3">
      <c r="A1223" s="5">
        <v>43410</v>
      </c>
      <c r="B1223">
        <v>90.860000999999997</v>
      </c>
      <c r="C1223">
        <v>91.529999000000004</v>
      </c>
      <c r="D1223">
        <v>90.43</v>
      </c>
      <c r="E1223">
        <v>91.510002</v>
      </c>
      <c r="F1223">
        <v>80.124870000000001</v>
      </c>
      <c r="G1223">
        <v>8857800</v>
      </c>
      <c r="I1223">
        <f t="shared" si="19"/>
        <v>5.7924671790209402E-5</v>
      </c>
    </row>
    <row r="1224" spans="1:9" x14ac:dyDescent="0.3">
      <c r="A1224" s="5">
        <v>43411</v>
      </c>
      <c r="B1224">
        <v>91.589995999999999</v>
      </c>
      <c r="C1224">
        <v>91.620002999999997</v>
      </c>
      <c r="D1224">
        <v>90.620002999999997</v>
      </c>
      <c r="E1224">
        <v>91.290001000000004</v>
      </c>
      <c r="F1224">
        <v>79.932227999999995</v>
      </c>
      <c r="G1224">
        <v>9019800</v>
      </c>
      <c r="I1224">
        <f t="shared" si="19"/>
        <v>7.9611474908838011E-5</v>
      </c>
    </row>
    <row r="1225" spans="1:9" x14ac:dyDescent="0.3">
      <c r="A1225" s="5">
        <v>43412</v>
      </c>
      <c r="B1225">
        <v>90.949996999999996</v>
      </c>
      <c r="C1225">
        <v>91.529999000000004</v>
      </c>
      <c r="D1225">
        <v>90.669998000000007</v>
      </c>
      <c r="E1225">
        <v>91.360000999999997</v>
      </c>
      <c r="F1225">
        <v>79.993522999999996</v>
      </c>
      <c r="G1225">
        <v>6614400</v>
      </c>
      <c r="I1225">
        <f t="shared" si="19"/>
        <v>3.5193236081737154E-5</v>
      </c>
    </row>
    <row r="1226" spans="1:9" x14ac:dyDescent="0.3">
      <c r="A1226" s="5">
        <v>43413</v>
      </c>
      <c r="B1226">
        <v>91.349997999999999</v>
      </c>
      <c r="C1226">
        <v>92.669998000000007</v>
      </c>
      <c r="D1226">
        <v>91.169998000000007</v>
      </c>
      <c r="E1226">
        <v>92.410004000000001</v>
      </c>
      <c r="F1226">
        <v>80.912895000000006</v>
      </c>
      <c r="G1226">
        <v>10713500</v>
      </c>
      <c r="I1226">
        <f t="shared" si="19"/>
        <v>6.6952704070468734E-5</v>
      </c>
    </row>
    <row r="1227" spans="1:9" x14ac:dyDescent="0.3">
      <c r="A1227" s="5">
        <v>43416</v>
      </c>
      <c r="B1227">
        <v>92.209998999999996</v>
      </c>
      <c r="C1227">
        <v>93.449996999999996</v>
      </c>
      <c r="D1227">
        <v>91.75</v>
      </c>
      <c r="E1227">
        <v>92.699996999999996</v>
      </c>
      <c r="F1227">
        <v>81.166809000000001</v>
      </c>
      <c r="G1227">
        <v>12522100</v>
      </c>
      <c r="I1227">
        <f t="shared" si="19"/>
        <v>1.5915496843462289E-4</v>
      </c>
    </row>
    <row r="1228" spans="1:9" x14ac:dyDescent="0.3">
      <c r="A1228" s="5">
        <v>43417</v>
      </c>
      <c r="B1228">
        <v>91.970000999999996</v>
      </c>
      <c r="C1228">
        <v>93.57</v>
      </c>
      <c r="D1228">
        <v>91.589995999999999</v>
      </c>
      <c r="E1228">
        <v>93.470000999999996</v>
      </c>
      <c r="F1228">
        <v>81.841025999999999</v>
      </c>
      <c r="G1228">
        <v>13438700</v>
      </c>
      <c r="I1228">
        <f t="shared" ref="I1228:I1291" si="20">LN(C1228/B1228)*(LN(C1228/B1228)-LN(E1228/B1228))+LN(D1228/B1228)*(LN(D1228/B1228)-LN(E1228/B1228))</f>
        <v>1.0256884695365119E-4</v>
      </c>
    </row>
    <row r="1229" spans="1:9" x14ac:dyDescent="0.3">
      <c r="A1229" s="5">
        <v>43418</v>
      </c>
      <c r="B1229">
        <v>93.419998000000007</v>
      </c>
      <c r="C1229">
        <v>93.900002000000001</v>
      </c>
      <c r="D1229">
        <v>92.989998</v>
      </c>
      <c r="E1229">
        <v>93.489998</v>
      </c>
      <c r="F1229">
        <v>81.858520999999996</v>
      </c>
      <c r="G1229">
        <v>11623000</v>
      </c>
      <c r="I1229">
        <f t="shared" si="20"/>
        <v>4.7166580144546811E-5</v>
      </c>
    </row>
    <row r="1230" spans="1:9" x14ac:dyDescent="0.3">
      <c r="A1230" s="5">
        <v>43419</v>
      </c>
      <c r="B1230">
        <v>93.330001999999993</v>
      </c>
      <c r="C1230">
        <v>93.900002000000001</v>
      </c>
      <c r="D1230">
        <v>92.720000999999996</v>
      </c>
      <c r="E1230">
        <v>93.830001999999993</v>
      </c>
      <c r="F1230">
        <v>82.156218999999993</v>
      </c>
      <c r="G1230">
        <v>12506000</v>
      </c>
      <c r="I1230">
        <f t="shared" si="20"/>
        <v>8.2576840545629088E-5</v>
      </c>
    </row>
    <row r="1231" spans="1:9" x14ac:dyDescent="0.3">
      <c r="A1231" s="5">
        <v>43420</v>
      </c>
      <c r="B1231">
        <v>93.82</v>
      </c>
      <c r="C1231">
        <v>94.809997999999993</v>
      </c>
      <c r="D1231">
        <v>93.669998000000007</v>
      </c>
      <c r="E1231">
        <v>93.82</v>
      </c>
      <c r="F1231">
        <v>82.147452999999999</v>
      </c>
      <c r="G1231">
        <v>13013500</v>
      </c>
      <c r="I1231">
        <f t="shared" si="20"/>
        <v>1.1274346628416113E-4</v>
      </c>
    </row>
    <row r="1232" spans="1:9" x14ac:dyDescent="0.3">
      <c r="A1232" s="5">
        <v>43423</v>
      </c>
      <c r="B1232">
        <v>93.720000999999996</v>
      </c>
      <c r="C1232">
        <v>94.190002000000007</v>
      </c>
      <c r="D1232">
        <v>92.910004000000001</v>
      </c>
      <c r="E1232">
        <v>93.290001000000004</v>
      </c>
      <c r="F1232">
        <v>81.683387999999994</v>
      </c>
      <c r="G1232">
        <v>9458300</v>
      </c>
      <c r="I1232">
        <f t="shared" si="20"/>
        <v>8.34582945895097E-5</v>
      </c>
    </row>
    <row r="1233" spans="1:9" x14ac:dyDescent="0.3">
      <c r="A1233" s="5">
        <v>43424</v>
      </c>
      <c r="B1233">
        <v>93.239998</v>
      </c>
      <c r="C1233">
        <v>93.790001000000004</v>
      </c>
      <c r="D1233">
        <v>91.860000999999997</v>
      </c>
      <c r="E1233">
        <v>92.099997999999999</v>
      </c>
      <c r="F1233">
        <v>80.641441</v>
      </c>
      <c r="G1233">
        <v>12074000</v>
      </c>
      <c r="I1233">
        <f t="shared" si="20"/>
        <v>1.458510214051411E-4</v>
      </c>
    </row>
    <row r="1234" spans="1:9" x14ac:dyDescent="0.3">
      <c r="A1234" s="5">
        <v>43425</v>
      </c>
      <c r="B1234">
        <v>91.660004000000001</v>
      </c>
      <c r="C1234">
        <v>92.370002999999997</v>
      </c>
      <c r="D1234">
        <v>91.239998</v>
      </c>
      <c r="E1234">
        <v>91.410004000000001</v>
      </c>
      <c r="F1234">
        <v>80.037307999999996</v>
      </c>
      <c r="G1234">
        <v>8911800</v>
      </c>
      <c r="I1234">
        <f t="shared" si="20"/>
        <v>8.9163115317084793E-5</v>
      </c>
    </row>
    <row r="1235" spans="1:9" x14ac:dyDescent="0.3">
      <c r="A1235" s="5">
        <v>43427</v>
      </c>
      <c r="B1235">
        <v>91.25</v>
      </c>
      <c r="C1235">
        <v>91.989998</v>
      </c>
      <c r="D1235">
        <v>90.629997000000003</v>
      </c>
      <c r="E1235">
        <v>91.540001000000004</v>
      </c>
      <c r="F1235">
        <v>80.151131000000007</v>
      </c>
      <c r="G1235">
        <v>4399600</v>
      </c>
      <c r="I1235">
        <f t="shared" si="20"/>
        <v>1.0772203265984158E-4</v>
      </c>
    </row>
    <row r="1236" spans="1:9" x14ac:dyDescent="0.3">
      <c r="A1236" s="5">
        <v>43430</v>
      </c>
      <c r="B1236">
        <v>91.150002000000001</v>
      </c>
      <c r="C1236">
        <v>92.400002000000001</v>
      </c>
      <c r="D1236">
        <v>91.150002000000001</v>
      </c>
      <c r="E1236">
        <v>91.940002000000007</v>
      </c>
      <c r="F1236">
        <v>80.501357999999996</v>
      </c>
      <c r="G1236">
        <v>8171400</v>
      </c>
      <c r="I1236">
        <f t="shared" si="20"/>
        <v>6.7976916490910047E-5</v>
      </c>
    </row>
    <row r="1237" spans="1:9" x14ac:dyDescent="0.3">
      <c r="A1237" s="5">
        <v>43431</v>
      </c>
      <c r="B1237">
        <v>91.93</v>
      </c>
      <c r="C1237">
        <v>92.860000999999997</v>
      </c>
      <c r="D1237">
        <v>91.849997999999999</v>
      </c>
      <c r="E1237">
        <v>92.720000999999996</v>
      </c>
      <c r="F1237">
        <v>81.184319000000002</v>
      </c>
      <c r="G1237">
        <v>9023400</v>
      </c>
      <c r="I1237">
        <f t="shared" si="20"/>
        <v>2.3394550309639576E-5</v>
      </c>
    </row>
    <row r="1238" spans="1:9" x14ac:dyDescent="0.3">
      <c r="A1238" s="5">
        <v>43432</v>
      </c>
      <c r="B1238">
        <v>92.629997000000003</v>
      </c>
      <c r="C1238">
        <v>93.220000999999996</v>
      </c>
      <c r="D1238">
        <v>92.209998999999996</v>
      </c>
      <c r="E1238">
        <v>93.010002</v>
      </c>
      <c r="F1238">
        <v>81.438248000000002</v>
      </c>
      <c r="G1238">
        <v>8093700</v>
      </c>
      <c r="I1238">
        <f t="shared" si="20"/>
        <v>5.3576414831291771E-5</v>
      </c>
    </row>
    <row r="1239" spans="1:9" x14ac:dyDescent="0.3">
      <c r="A1239" s="5">
        <v>43433</v>
      </c>
      <c r="B1239">
        <v>92.860000999999997</v>
      </c>
      <c r="C1239">
        <v>93.300003000000004</v>
      </c>
      <c r="D1239">
        <v>92.660004000000001</v>
      </c>
      <c r="E1239">
        <v>92.82</v>
      </c>
      <c r="F1239">
        <v>81.271872999999999</v>
      </c>
      <c r="G1239">
        <v>6126900</v>
      </c>
      <c r="I1239">
        <f t="shared" si="20"/>
        <v>2.8102326978099961E-5</v>
      </c>
    </row>
    <row r="1240" spans="1:9" x14ac:dyDescent="0.3">
      <c r="A1240" s="5">
        <v>43434</v>
      </c>
      <c r="B1240">
        <v>93.18</v>
      </c>
      <c r="C1240">
        <v>94.650002000000001</v>
      </c>
      <c r="D1240">
        <v>92.75</v>
      </c>
      <c r="E1240">
        <v>94.510002</v>
      </c>
      <c r="F1240">
        <v>82.751625000000004</v>
      </c>
      <c r="G1240">
        <v>16291800</v>
      </c>
      <c r="I1240">
        <f t="shared" si="20"/>
        <v>1.101179277121472E-4</v>
      </c>
    </row>
    <row r="1241" spans="1:9" x14ac:dyDescent="0.3">
      <c r="A1241" s="5">
        <v>43437</v>
      </c>
      <c r="B1241">
        <v>94.669998000000007</v>
      </c>
      <c r="C1241">
        <v>94.669998000000007</v>
      </c>
      <c r="D1241">
        <v>92.260002</v>
      </c>
      <c r="E1241">
        <v>93.32</v>
      </c>
      <c r="F1241">
        <v>81.709671</v>
      </c>
      <c r="G1241">
        <v>13934700</v>
      </c>
      <c r="I1241">
        <f t="shared" si="20"/>
        <v>2.9457776644847215E-4</v>
      </c>
    </row>
    <row r="1242" spans="1:9" x14ac:dyDescent="0.3">
      <c r="A1242" s="5">
        <v>43438</v>
      </c>
      <c r="B1242">
        <v>93.489998</v>
      </c>
      <c r="C1242">
        <v>94.860000999999997</v>
      </c>
      <c r="D1242">
        <v>93.169998000000007</v>
      </c>
      <c r="E1242">
        <v>93.309997999999993</v>
      </c>
      <c r="F1242">
        <v>81.700896999999998</v>
      </c>
      <c r="G1242">
        <v>11123600</v>
      </c>
      <c r="I1242">
        <f t="shared" si="20"/>
        <v>2.448192159962554E-4</v>
      </c>
    </row>
    <row r="1243" spans="1:9" x14ac:dyDescent="0.3">
      <c r="A1243" s="5">
        <v>43440</v>
      </c>
      <c r="B1243">
        <v>92.699996999999996</v>
      </c>
      <c r="C1243">
        <v>93.629997000000003</v>
      </c>
      <c r="D1243">
        <v>91.080001999999993</v>
      </c>
      <c r="E1243">
        <v>93.550003000000004</v>
      </c>
      <c r="F1243">
        <v>81.911057</v>
      </c>
      <c r="G1243">
        <v>14199200</v>
      </c>
      <c r="I1243">
        <f t="shared" si="20"/>
        <v>4.8027734768461334E-4</v>
      </c>
    </row>
    <row r="1244" spans="1:9" x14ac:dyDescent="0.3">
      <c r="A1244" s="5">
        <v>43441</v>
      </c>
      <c r="B1244">
        <v>93.589995999999999</v>
      </c>
      <c r="C1244">
        <v>93.779999000000004</v>
      </c>
      <c r="D1244">
        <v>92.139999000000003</v>
      </c>
      <c r="E1244">
        <v>92.449996999999996</v>
      </c>
      <c r="F1244">
        <v>80.947913999999997</v>
      </c>
      <c r="G1244">
        <v>7996800</v>
      </c>
      <c r="I1244">
        <f t="shared" si="20"/>
        <v>8.1413917406201965E-5</v>
      </c>
    </row>
    <row r="1245" spans="1:9" x14ac:dyDescent="0.3">
      <c r="A1245" s="5">
        <v>43444</v>
      </c>
      <c r="B1245">
        <v>93.25</v>
      </c>
      <c r="C1245">
        <v>93.400002000000001</v>
      </c>
      <c r="D1245">
        <v>91.370002999999997</v>
      </c>
      <c r="E1245">
        <v>93.029999000000004</v>
      </c>
      <c r="F1245">
        <v>81.455749999999995</v>
      </c>
      <c r="G1245">
        <v>9307600</v>
      </c>
      <c r="I1245">
        <f t="shared" si="20"/>
        <v>3.7308027138833859E-4</v>
      </c>
    </row>
    <row r="1246" spans="1:9" x14ac:dyDescent="0.3">
      <c r="A1246" s="5">
        <v>43445</v>
      </c>
      <c r="B1246">
        <v>93.720000999999996</v>
      </c>
      <c r="C1246">
        <v>94.519997000000004</v>
      </c>
      <c r="D1246">
        <v>93.400002000000001</v>
      </c>
      <c r="E1246">
        <v>93.910004000000001</v>
      </c>
      <c r="F1246">
        <v>82.226273000000006</v>
      </c>
      <c r="G1246">
        <v>8743800</v>
      </c>
      <c r="I1246">
        <f t="shared" si="20"/>
        <v>7.3657134441006751E-5</v>
      </c>
    </row>
    <row r="1247" spans="1:9" x14ac:dyDescent="0.3">
      <c r="A1247" s="5">
        <v>43446</v>
      </c>
      <c r="B1247">
        <v>94.209998999999996</v>
      </c>
      <c r="C1247">
        <v>94.550003000000004</v>
      </c>
      <c r="D1247">
        <v>93.099997999999999</v>
      </c>
      <c r="E1247">
        <v>94.029999000000004</v>
      </c>
      <c r="F1247">
        <v>82.331337000000005</v>
      </c>
      <c r="G1247">
        <v>9644000</v>
      </c>
      <c r="I1247">
        <f t="shared" si="20"/>
        <v>1.3767464989041065E-4</v>
      </c>
    </row>
    <row r="1248" spans="1:9" x14ac:dyDescent="0.3">
      <c r="A1248" s="5">
        <v>43447</v>
      </c>
      <c r="B1248">
        <v>94.870002999999997</v>
      </c>
      <c r="C1248">
        <v>96.790001000000004</v>
      </c>
      <c r="D1248">
        <v>94.800003000000004</v>
      </c>
      <c r="E1248">
        <v>96.489998</v>
      </c>
      <c r="F1248">
        <v>84.485291000000004</v>
      </c>
      <c r="G1248">
        <v>18541300</v>
      </c>
      <c r="I1248">
        <f t="shared" si="20"/>
        <v>7.5241508757067243E-5</v>
      </c>
    </row>
    <row r="1249" spans="1:9" x14ac:dyDescent="0.3">
      <c r="A1249" s="5">
        <v>43448</v>
      </c>
      <c r="B1249">
        <v>96.449996999999996</v>
      </c>
      <c r="C1249">
        <v>96.900002000000001</v>
      </c>
      <c r="D1249">
        <v>96.019997000000004</v>
      </c>
      <c r="E1249">
        <v>96.639999000000003</v>
      </c>
      <c r="F1249">
        <v>84.616600000000005</v>
      </c>
      <c r="G1249">
        <v>12657300</v>
      </c>
      <c r="I1249">
        <f t="shared" si="20"/>
        <v>4.1265369076370796E-5</v>
      </c>
    </row>
    <row r="1250" spans="1:9" x14ac:dyDescent="0.3">
      <c r="A1250" s="5">
        <v>43451</v>
      </c>
      <c r="B1250">
        <v>96</v>
      </c>
      <c r="C1250">
        <v>96.5</v>
      </c>
      <c r="D1250">
        <v>92.400002000000001</v>
      </c>
      <c r="E1250">
        <v>92.769997000000004</v>
      </c>
      <c r="F1250">
        <v>81.228088</v>
      </c>
      <c r="G1250">
        <v>12427600</v>
      </c>
      <c r="I1250">
        <f t="shared" si="20"/>
        <v>3.5752081855872477E-4</v>
      </c>
    </row>
    <row r="1251" spans="1:9" x14ac:dyDescent="0.3">
      <c r="A1251" s="5">
        <v>43452</v>
      </c>
      <c r="B1251">
        <v>93.129997000000003</v>
      </c>
      <c r="C1251">
        <v>93.309997999999993</v>
      </c>
      <c r="D1251">
        <v>91.860000999999997</v>
      </c>
      <c r="E1251">
        <v>92.489998</v>
      </c>
      <c r="F1251">
        <v>80.982910000000004</v>
      </c>
      <c r="G1251">
        <v>12250600</v>
      </c>
      <c r="I1251">
        <f t="shared" si="20"/>
        <v>1.1089029211408602E-4</v>
      </c>
    </row>
    <row r="1252" spans="1:9" x14ac:dyDescent="0.3">
      <c r="A1252" s="5">
        <v>43453</v>
      </c>
      <c r="B1252">
        <v>92.550003000000004</v>
      </c>
      <c r="C1252">
        <v>93.349997999999999</v>
      </c>
      <c r="D1252">
        <v>91.290001000000004</v>
      </c>
      <c r="E1252">
        <v>91.760002</v>
      </c>
      <c r="F1252">
        <v>80.343757999999994</v>
      </c>
      <c r="G1252">
        <v>10825600</v>
      </c>
      <c r="I1252">
        <f t="shared" si="20"/>
        <v>2.1825163189125051E-4</v>
      </c>
    </row>
    <row r="1253" spans="1:9" x14ac:dyDescent="0.3">
      <c r="A1253" s="5">
        <v>43454</v>
      </c>
      <c r="B1253">
        <v>91.510002</v>
      </c>
      <c r="C1253">
        <v>92.230002999999996</v>
      </c>
      <c r="D1253">
        <v>90.129997000000003</v>
      </c>
      <c r="E1253">
        <v>90.980002999999996</v>
      </c>
      <c r="F1253">
        <v>79.660804999999996</v>
      </c>
      <c r="G1253">
        <v>14439200</v>
      </c>
      <c r="I1253">
        <f t="shared" si="20"/>
        <v>2.4957775396310209E-4</v>
      </c>
    </row>
    <row r="1254" spans="1:9" x14ac:dyDescent="0.3">
      <c r="A1254" s="5">
        <v>43455</v>
      </c>
      <c r="B1254">
        <v>90.610000999999997</v>
      </c>
      <c r="C1254">
        <v>93.169998000000007</v>
      </c>
      <c r="D1254">
        <v>90.360000999999997</v>
      </c>
      <c r="E1254">
        <v>90.970000999999996</v>
      </c>
      <c r="F1254">
        <v>79.652039000000002</v>
      </c>
      <c r="G1254">
        <v>24030000</v>
      </c>
      <c r="I1254">
        <f t="shared" si="20"/>
        <v>6.8435850247236443E-4</v>
      </c>
    </row>
    <row r="1255" spans="1:9" x14ac:dyDescent="0.3">
      <c r="A1255" s="5">
        <v>43458</v>
      </c>
      <c r="B1255">
        <v>90.449996999999996</v>
      </c>
      <c r="C1255">
        <v>90.660004000000001</v>
      </c>
      <c r="D1255">
        <v>86.879997000000003</v>
      </c>
      <c r="E1255">
        <v>87.360000999999997</v>
      </c>
      <c r="F1255">
        <v>76.49118</v>
      </c>
      <c r="G1255">
        <v>7396300</v>
      </c>
      <c r="I1255">
        <f t="shared" si="20"/>
        <v>3.0786192142344691E-4</v>
      </c>
    </row>
    <row r="1256" spans="1:9" x14ac:dyDescent="0.3">
      <c r="A1256" s="5">
        <v>43460</v>
      </c>
      <c r="B1256">
        <v>87.419998000000007</v>
      </c>
      <c r="C1256">
        <v>90.089995999999999</v>
      </c>
      <c r="D1256">
        <v>86.739998</v>
      </c>
      <c r="E1256">
        <v>90.089995999999999</v>
      </c>
      <c r="F1256">
        <v>78.881523000000001</v>
      </c>
      <c r="G1256">
        <v>8630900</v>
      </c>
      <c r="I1256">
        <f t="shared" si="20"/>
        <v>2.9591248227243613E-4</v>
      </c>
    </row>
    <row r="1257" spans="1:9" x14ac:dyDescent="0.3">
      <c r="A1257" s="5">
        <v>43461</v>
      </c>
      <c r="B1257">
        <v>89.610000999999997</v>
      </c>
      <c r="C1257">
        <v>92.050003000000004</v>
      </c>
      <c r="D1257">
        <v>88.199996999999996</v>
      </c>
      <c r="E1257">
        <v>92.019997000000004</v>
      </c>
      <c r="F1257">
        <v>80.571410999999998</v>
      </c>
      <c r="G1257">
        <v>11360100</v>
      </c>
      <c r="I1257">
        <f t="shared" si="20"/>
        <v>6.8120675075441627E-4</v>
      </c>
    </row>
    <row r="1258" spans="1:9" x14ac:dyDescent="0.3">
      <c r="A1258" s="5">
        <v>43462</v>
      </c>
      <c r="B1258">
        <v>92.559997999999993</v>
      </c>
      <c r="C1258">
        <v>93.279999000000004</v>
      </c>
      <c r="D1258">
        <v>90.839995999999999</v>
      </c>
      <c r="E1258">
        <v>91.18</v>
      </c>
      <c r="F1258">
        <v>79.835921999999997</v>
      </c>
      <c r="G1258">
        <v>9611800</v>
      </c>
      <c r="I1258">
        <f t="shared" si="20"/>
        <v>2.4651359233313406E-4</v>
      </c>
    </row>
    <row r="1259" spans="1:9" x14ac:dyDescent="0.3">
      <c r="A1259" s="5">
        <v>43465</v>
      </c>
      <c r="B1259">
        <v>91.629997000000003</v>
      </c>
      <c r="C1259">
        <v>92.18</v>
      </c>
      <c r="D1259">
        <v>91.150002000000001</v>
      </c>
      <c r="E1259">
        <v>91.919998000000007</v>
      </c>
      <c r="F1259">
        <v>80.483849000000006</v>
      </c>
      <c r="G1259">
        <v>7239500</v>
      </c>
      <c r="I1259">
        <f t="shared" si="20"/>
        <v>6.1085393534307506E-5</v>
      </c>
    </row>
    <row r="1260" spans="1:9" x14ac:dyDescent="0.3">
      <c r="A1260" s="5">
        <v>43467</v>
      </c>
      <c r="B1260">
        <v>91.029999000000004</v>
      </c>
      <c r="C1260">
        <v>91.389999000000003</v>
      </c>
      <c r="D1260">
        <v>89.93</v>
      </c>
      <c r="E1260">
        <v>91.279999000000004</v>
      </c>
      <c r="F1260">
        <v>79.923477000000005</v>
      </c>
      <c r="G1260">
        <v>9843900</v>
      </c>
      <c r="I1260">
        <f t="shared" si="20"/>
        <v>1.8590187320124748E-4</v>
      </c>
    </row>
    <row r="1261" spans="1:9" x14ac:dyDescent="0.3">
      <c r="A1261" s="5">
        <v>43468</v>
      </c>
      <c r="B1261">
        <v>90.940002000000007</v>
      </c>
      <c r="C1261">
        <v>92.5</v>
      </c>
      <c r="D1261">
        <v>90.379997000000003</v>
      </c>
      <c r="E1261">
        <v>90.639999000000003</v>
      </c>
      <c r="F1261">
        <v>79.363106000000002</v>
      </c>
      <c r="G1261">
        <v>9820200</v>
      </c>
      <c r="I1261">
        <f t="shared" si="20"/>
        <v>3.6324212265990459E-4</v>
      </c>
    </row>
    <row r="1262" spans="1:9" x14ac:dyDescent="0.3">
      <c r="A1262" s="5">
        <v>43469</v>
      </c>
      <c r="B1262">
        <v>90.839995999999999</v>
      </c>
      <c r="C1262">
        <v>92.489998</v>
      </c>
      <c r="D1262">
        <v>90.370002999999997</v>
      </c>
      <c r="E1262">
        <v>92.489998</v>
      </c>
      <c r="F1262">
        <v>80.982910000000004</v>
      </c>
      <c r="G1262">
        <v>10565700</v>
      </c>
      <c r="I1262">
        <f t="shared" si="20"/>
        <v>1.2028342190321098E-4</v>
      </c>
    </row>
    <row r="1263" spans="1:9" x14ac:dyDescent="0.3">
      <c r="A1263" s="5">
        <v>43472</v>
      </c>
      <c r="B1263">
        <v>91.910004000000001</v>
      </c>
      <c r="C1263">
        <v>92.5</v>
      </c>
      <c r="D1263">
        <v>91.400002000000001</v>
      </c>
      <c r="E1263">
        <v>92.120002999999997</v>
      </c>
      <c r="F1263">
        <v>80.658974000000001</v>
      </c>
      <c r="G1263">
        <v>9012500</v>
      </c>
      <c r="I1263">
        <f t="shared" si="20"/>
        <v>7.0002255574210366E-5</v>
      </c>
    </row>
    <row r="1264" spans="1:9" x14ac:dyDescent="0.3">
      <c r="A1264" s="5">
        <v>43473</v>
      </c>
      <c r="B1264">
        <v>92.699996999999996</v>
      </c>
      <c r="C1264">
        <v>93.089995999999999</v>
      </c>
      <c r="D1264">
        <v>91.82</v>
      </c>
      <c r="E1264">
        <v>92.459998999999996</v>
      </c>
      <c r="F1264">
        <v>80.956672999999995</v>
      </c>
      <c r="G1264">
        <v>9551300</v>
      </c>
      <c r="I1264">
        <f t="shared" si="20"/>
        <v>9.4761680929423086E-5</v>
      </c>
    </row>
    <row r="1265" spans="1:9" x14ac:dyDescent="0.3">
      <c r="A1265" s="5">
        <v>43474</v>
      </c>
      <c r="B1265">
        <v>92.690002000000007</v>
      </c>
      <c r="C1265">
        <v>92.959998999999996</v>
      </c>
      <c r="D1265">
        <v>90.809997999999993</v>
      </c>
      <c r="E1265">
        <v>90.949996999999996</v>
      </c>
      <c r="F1265">
        <v>79.634551999999999</v>
      </c>
      <c r="G1265">
        <v>15015600</v>
      </c>
      <c r="I1265">
        <f t="shared" si="20"/>
        <v>9.5148154272919476E-5</v>
      </c>
    </row>
    <row r="1266" spans="1:9" x14ac:dyDescent="0.3">
      <c r="A1266" s="5">
        <v>43475</v>
      </c>
      <c r="B1266">
        <v>90.889999000000003</v>
      </c>
      <c r="C1266">
        <v>91.540001000000004</v>
      </c>
      <c r="D1266">
        <v>90.610000999999997</v>
      </c>
      <c r="E1266">
        <v>91.169998000000007</v>
      </c>
      <c r="F1266">
        <v>79.827163999999996</v>
      </c>
      <c r="G1266">
        <v>11102300</v>
      </c>
      <c r="I1266">
        <f t="shared" si="20"/>
        <v>4.7871715325807935E-5</v>
      </c>
    </row>
    <row r="1267" spans="1:9" x14ac:dyDescent="0.3">
      <c r="A1267" s="5">
        <v>43476</v>
      </c>
      <c r="B1267">
        <v>91.669998000000007</v>
      </c>
      <c r="C1267">
        <v>91.980002999999996</v>
      </c>
      <c r="D1267">
        <v>91.110000999999997</v>
      </c>
      <c r="E1267">
        <v>91.769997000000004</v>
      </c>
      <c r="F1267">
        <v>80.352524000000003</v>
      </c>
      <c r="G1267">
        <v>7166600</v>
      </c>
      <c r="I1267">
        <f t="shared" si="20"/>
        <v>5.1944699543349641E-5</v>
      </c>
    </row>
    <row r="1268" spans="1:9" x14ac:dyDescent="0.3">
      <c r="A1268" s="5">
        <v>43479</v>
      </c>
      <c r="B1268">
        <v>91.5</v>
      </c>
      <c r="C1268">
        <v>91.910004000000001</v>
      </c>
      <c r="D1268">
        <v>90.849997999999999</v>
      </c>
      <c r="E1268">
        <v>91.150002000000001</v>
      </c>
      <c r="F1268">
        <v>79.809662000000003</v>
      </c>
      <c r="G1268">
        <v>7952000</v>
      </c>
      <c r="I1268">
        <f t="shared" si="20"/>
        <v>6.0626743983615639E-5</v>
      </c>
    </row>
    <row r="1269" spans="1:9" x14ac:dyDescent="0.3">
      <c r="A1269" s="5">
        <v>43480</v>
      </c>
      <c r="B1269">
        <v>91.150002000000001</v>
      </c>
      <c r="C1269">
        <v>92.610000999999997</v>
      </c>
      <c r="D1269">
        <v>91.139999000000003</v>
      </c>
      <c r="E1269">
        <v>92.010002</v>
      </c>
      <c r="F1269">
        <v>80.562659999999994</v>
      </c>
      <c r="G1269">
        <v>7834500</v>
      </c>
      <c r="I1269">
        <f t="shared" si="20"/>
        <v>1.0432926889414367E-4</v>
      </c>
    </row>
    <row r="1270" spans="1:9" x14ac:dyDescent="0.3">
      <c r="A1270" s="5">
        <v>43481</v>
      </c>
      <c r="B1270">
        <v>91.739998</v>
      </c>
      <c r="C1270">
        <v>92.150002000000001</v>
      </c>
      <c r="D1270">
        <v>90.989998</v>
      </c>
      <c r="E1270">
        <v>91.370002999999997</v>
      </c>
      <c r="F1270">
        <v>80.002289000000005</v>
      </c>
      <c r="G1270">
        <v>7964500</v>
      </c>
      <c r="I1270">
        <f t="shared" si="20"/>
        <v>7.2117313668321176E-5</v>
      </c>
    </row>
    <row r="1271" spans="1:9" x14ac:dyDescent="0.3">
      <c r="A1271" s="5">
        <v>43482</v>
      </c>
      <c r="B1271">
        <v>90.709998999999996</v>
      </c>
      <c r="C1271">
        <v>91.559997999999993</v>
      </c>
      <c r="D1271">
        <v>90.349997999999999</v>
      </c>
      <c r="E1271">
        <v>90.639999000000003</v>
      </c>
      <c r="F1271">
        <v>79.990798999999996</v>
      </c>
      <c r="G1271">
        <v>8044500</v>
      </c>
      <c r="I1271">
        <f t="shared" si="20"/>
        <v>1.0693437323733163E-4</v>
      </c>
    </row>
    <row r="1272" spans="1:9" x14ac:dyDescent="0.3">
      <c r="A1272" s="5">
        <v>43483</v>
      </c>
      <c r="B1272">
        <v>91.370002999999997</v>
      </c>
      <c r="C1272">
        <v>91.839995999999999</v>
      </c>
      <c r="D1272">
        <v>91.040001000000004</v>
      </c>
      <c r="E1272">
        <v>91.419998000000007</v>
      </c>
      <c r="F1272">
        <v>80.679152999999999</v>
      </c>
      <c r="G1272">
        <v>9100300</v>
      </c>
      <c r="I1272">
        <f t="shared" si="20"/>
        <v>3.858806494309828E-5</v>
      </c>
    </row>
    <row r="1273" spans="1:9" x14ac:dyDescent="0.3">
      <c r="A1273" s="5">
        <v>43487</v>
      </c>
      <c r="B1273">
        <v>91.389999000000003</v>
      </c>
      <c r="C1273">
        <v>91.75</v>
      </c>
      <c r="D1273">
        <v>89.080001999999993</v>
      </c>
      <c r="E1273">
        <v>90.440002000000007</v>
      </c>
      <c r="F1273">
        <v>79.814316000000005</v>
      </c>
      <c r="G1273">
        <v>13518500</v>
      </c>
      <c r="I1273">
        <f t="shared" si="20"/>
        <v>4.4444143570898138E-4</v>
      </c>
    </row>
    <row r="1274" spans="1:9" x14ac:dyDescent="0.3">
      <c r="A1274" s="5">
        <v>43488</v>
      </c>
      <c r="B1274">
        <v>94.18</v>
      </c>
      <c r="C1274">
        <v>96.410004000000001</v>
      </c>
      <c r="D1274">
        <v>93.629997000000003</v>
      </c>
      <c r="E1274">
        <v>94.839995999999999</v>
      </c>
      <c r="F1274">
        <v>83.697372000000001</v>
      </c>
      <c r="G1274">
        <v>22869000</v>
      </c>
      <c r="I1274">
        <f t="shared" si="20"/>
        <v>4.5944042030385301E-4</v>
      </c>
    </row>
    <row r="1275" spans="1:9" x14ac:dyDescent="0.3">
      <c r="A1275" s="5">
        <v>43489</v>
      </c>
      <c r="B1275">
        <v>94.290001000000004</v>
      </c>
      <c r="C1275">
        <v>94.559997999999993</v>
      </c>
      <c r="D1275">
        <v>93.190002000000007</v>
      </c>
      <c r="E1275">
        <v>94.300003000000004</v>
      </c>
      <c r="F1275">
        <v>83.220802000000006</v>
      </c>
      <c r="G1275">
        <v>12146400</v>
      </c>
      <c r="I1275">
        <f t="shared" si="20"/>
        <v>1.4682087705954582E-4</v>
      </c>
    </row>
    <row r="1276" spans="1:9" x14ac:dyDescent="0.3">
      <c r="A1276" s="5">
        <v>43490</v>
      </c>
      <c r="B1276">
        <v>94.419998000000007</v>
      </c>
      <c r="C1276">
        <v>94.889999000000003</v>
      </c>
      <c r="D1276">
        <v>93.059997999999993</v>
      </c>
      <c r="E1276">
        <v>93.599997999999999</v>
      </c>
      <c r="F1276">
        <v>82.603049999999996</v>
      </c>
      <c r="G1276">
        <v>10618000</v>
      </c>
      <c r="I1276">
        <f t="shared" si="20"/>
        <v>1.5191154834823378E-4</v>
      </c>
    </row>
    <row r="1277" spans="1:9" x14ac:dyDescent="0.3">
      <c r="A1277" s="5">
        <v>43493</v>
      </c>
      <c r="B1277">
        <v>93.32</v>
      </c>
      <c r="C1277">
        <v>93.970000999999996</v>
      </c>
      <c r="D1277">
        <v>92.970000999999996</v>
      </c>
      <c r="E1277">
        <v>93.519997000000004</v>
      </c>
      <c r="F1277">
        <v>82.532432999999997</v>
      </c>
      <c r="G1277">
        <v>9765600</v>
      </c>
      <c r="I1277">
        <f t="shared" si="20"/>
        <v>5.5483375723052142E-5</v>
      </c>
    </row>
    <row r="1278" spans="1:9" x14ac:dyDescent="0.3">
      <c r="A1278" s="5">
        <v>43494</v>
      </c>
      <c r="B1278">
        <v>93.790001000000004</v>
      </c>
      <c r="C1278">
        <v>94.120002999999997</v>
      </c>
      <c r="D1278">
        <v>93.099997999999999</v>
      </c>
      <c r="E1278">
        <v>93.540001000000004</v>
      </c>
      <c r="F1278">
        <v>82.550087000000005</v>
      </c>
      <c r="G1278">
        <v>9769800</v>
      </c>
      <c r="I1278">
        <f t="shared" si="20"/>
        <v>5.6527299723096469E-5</v>
      </c>
    </row>
    <row r="1279" spans="1:9" x14ac:dyDescent="0.3">
      <c r="A1279" s="5">
        <v>43495</v>
      </c>
      <c r="B1279">
        <v>93.610000999999997</v>
      </c>
      <c r="C1279">
        <v>94.660004000000001</v>
      </c>
      <c r="D1279">
        <v>93.57</v>
      </c>
      <c r="E1279">
        <v>94.519997000000004</v>
      </c>
      <c r="F1279">
        <v>83.414955000000006</v>
      </c>
      <c r="G1279">
        <v>7750200</v>
      </c>
      <c r="I1279">
        <f t="shared" si="20"/>
        <v>2.0827547319304359E-5</v>
      </c>
    </row>
    <row r="1280" spans="1:9" x14ac:dyDescent="0.3">
      <c r="A1280" s="5">
        <v>43496</v>
      </c>
      <c r="B1280">
        <v>94.43</v>
      </c>
      <c r="C1280">
        <v>96.809997999999993</v>
      </c>
      <c r="D1280">
        <v>94.080001999999993</v>
      </c>
      <c r="E1280">
        <v>96.470000999999996</v>
      </c>
      <c r="F1280">
        <v>85.135857000000001</v>
      </c>
      <c r="G1280">
        <v>16044400</v>
      </c>
      <c r="I1280">
        <f t="shared" si="20"/>
        <v>1.8072709180444699E-4</v>
      </c>
    </row>
    <row r="1281" spans="1:9" x14ac:dyDescent="0.3">
      <c r="A1281" s="5">
        <v>43497</v>
      </c>
      <c r="B1281">
        <v>96.349997999999999</v>
      </c>
      <c r="C1281">
        <v>97.610000999999997</v>
      </c>
      <c r="D1281">
        <v>95.989998</v>
      </c>
      <c r="E1281">
        <v>97.470000999999996</v>
      </c>
      <c r="F1281">
        <v>86.018355999999997</v>
      </c>
      <c r="G1281">
        <v>12720800</v>
      </c>
      <c r="I1281">
        <f t="shared" si="20"/>
        <v>7.592444904817374E-5</v>
      </c>
    </row>
    <row r="1282" spans="1:9" x14ac:dyDescent="0.3">
      <c r="A1282" s="5">
        <v>43500</v>
      </c>
      <c r="B1282">
        <v>97.209998999999996</v>
      </c>
      <c r="C1282">
        <v>98.220000999999996</v>
      </c>
      <c r="D1282">
        <v>96.720000999999996</v>
      </c>
      <c r="E1282">
        <v>98.029999000000004</v>
      </c>
      <c r="F1282">
        <v>86.512573000000003</v>
      </c>
      <c r="G1282">
        <v>11887500</v>
      </c>
      <c r="I1282">
        <f t="shared" si="20"/>
        <v>8.7998948076779457E-5</v>
      </c>
    </row>
    <row r="1283" spans="1:9" x14ac:dyDescent="0.3">
      <c r="A1283" s="5">
        <v>43501</v>
      </c>
      <c r="B1283">
        <v>97.989998</v>
      </c>
      <c r="C1283">
        <v>98.019997000000004</v>
      </c>
      <c r="D1283">
        <v>97.209998999999996</v>
      </c>
      <c r="E1283">
        <v>97.440002000000007</v>
      </c>
      <c r="F1283">
        <v>85.991874999999993</v>
      </c>
      <c r="G1283">
        <v>9772300</v>
      </c>
      <c r="I1283">
        <f t="shared" si="20"/>
        <v>2.0703276181721805E-5</v>
      </c>
    </row>
    <row r="1284" spans="1:9" x14ac:dyDescent="0.3">
      <c r="A1284" s="5">
        <v>43502</v>
      </c>
      <c r="B1284">
        <v>97.25</v>
      </c>
      <c r="C1284">
        <v>98.32</v>
      </c>
      <c r="D1284">
        <v>97.120002999999997</v>
      </c>
      <c r="E1284">
        <v>97.919998000000007</v>
      </c>
      <c r="F1284">
        <v>86.415497000000002</v>
      </c>
      <c r="G1284">
        <v>8693900</v>
      </c>
      <c r="I1284">
        <f t="shared" si="20"/>
        <v>5.558197832607622E-5</v>
      </c>
    </row>
    <row r="1285" spans="1:9" x14ac:dyDescent="0.3">
      <c r="A1285" s="5">
        <v>43503</v>
      </c>
      <c r="B1285">
        <v>97.519997000000004</v>
      </c>
      <c r="C1285">
        <v>97.599997999999999</v>
      </c>
      <c r="D1285">
        <v>96.339995999999999</v>
      </c>
      <c r="E1285">
        <v>97.139999000000003</v>
      </c>
      <c r="F1285">
        <v>85.727126999999996</v>
      </c>
      <c r="G1285">
        <v>8732500</v>
      </c>
      <c r="I1285">
        <f t="shared" si="20"/>
        <v>1.0454802421789738E-4</v>
      </c>
    </row>
    <row r="1286" spans="1:9" x14ac:dyDescent="0.3">
      <c r="A1286" s="5">
        <v>43504</v>
      </c>
      <c r="B1286">
        <v>97.010002</v>
      </c>
      <c r="C1286">
        <v>97.720000999999996</v>
      </c>
      <c r="D1286">
        <v>96.699996999999996</v>
      </c>
      <c r="E1286">
        <v>97.709998999999996</v>
      </c>
      <c r="F1286">
        <v>86.230148</v>
      </c>
      <c r="G1286">
        <v>7483200</v>
      </c>
      <c r="I1286">
        <f t="shared" si="20"/>
        <v>3.4003533454968607E-5</v>
      </c>
    </row>
    <row r="1287" spans="1:9" x14ac:dyDescent="0.3">
      <c r="A1287" s="5">
        <v>43507</v>
      </c>
      <c r="B1287">
        <v>97.489998</v>
      </c>
      <c r="C1287">
        <v>98.389999000000003</v>
      </c>
      <c r="D1287">
        <v>97.43</v>
      </c>
      <c r="E1287">
        <v>98.269997000000004</v>
      </c>
      <c r="F1287">
        <v>86.724365000000006</v>
      </c>
      <c r="G1287">
        <v>8494100</v>
      </c>
      <c r="I1287">
        <f t="shared" si="20"/>
        <v>1.6499537845875204E-5</v>
      </c>
    </row>
    <row r="1288" spans="1:9" x14ac:dyDescent="0.3">
      <c r="A1288" s="5">
        <v>43508</v>
      </c>
      <c r="B1288">
        <v>98.379997000000003</v>
      </c>
      <c r="C1288">
        <v>99.339995999999999</v>
      </c>
      <c r="D1288">
        <v>97.980002999999996</v>
      </c>
      <c r="E1288">
        <v>99.260002</v>
      </c>
      <c r="F1288">
        <v>87.598038000000003</v>
      </c>
      <c r="G1288">
        <v>11238800</v>
      </c>
      <c r="I1288">
        <f t="shared" si="20"/>
        <v>6.0701613752633935E-5</v>
      </c>
    </row>
    <row r="1289" spans="1:9" x14ac:dyDescent="0.3">
      <c r="A1289" s="5">
        <v>43509</v>
      </c>
      <c r="B1289">
        <v>99.290001000000004</v>
      </c>
      <c r="C1289">
        <v>99.699996999999996</v>
      </c>
      <c r="D1289">
        <v>99.010002</v>
      </c>
      <c r="E1289">
        <v>99.239998</v>
      </c>
      <c r="F1289">
        <v>87.580391000000006</v>
      </c>
      <c r="G1289">
        <v>11587200</v>
      </c>
      <c r="I1289">
        <f t="shared" si="20"/>
        <v>2.5608975199536829E-5</v>
      </c>
    </row>
    <row r="1290" spans="1:9" x14ac:dyDescent="0.3">
      <c r="A1290" s="5">
        <v>43510</v>
      </c>
      <c r="B1290">
        <v>98.699996999999996</v>
      </c>
      <c r="C1290">
        <v>98.82</v>
      </c>
      <c r="D1290">
        <v>97.839995999999999</v>
      </c>
      <c r="E1290">
        <v>98.459998999999996</v>
      </c>
      <c r="F1290">
        <v>86.892043999999999</v>
      </c>
      <c r="G1290">
        <v>7930100</v>
      </c>
      <c r="I1290">
        <f t="shared" si="20"/>
        <v>5.971693163369875E-5</v>
      </c>
    </row>
    <row r="1291" spans="1:9" x14ac:dyDescent="0.3">
      <c r="A1291" s="5">
        <v>43511</v>
      </c>
      <c r="B1291">
        <v>98.949996999999996</v>
      </c>
      <c r="C1291">
        <v>99.199996999999996</v>
      </c>
      <c r="D1291">
        <v>98.25</v>
      </c>
      <c r="E1291">
        <v>98.480002999999996</v>
      </c>
      <c r="F1291">
        <v>86.909667999999996</v>
      </c>
      <c r="G1291">
        <v>12069100</v>
      </c>
      <c r="I1291">
        <f t="shared" si="20"/>
        <v>3.4981448976032997E-5</v>
      </c>
    </row>
    <row r="1292" spans="1:9" x14ac:dyDescent="0.3">
      <c r="A1292" s="5">
        <v>43515</v>
      </c>
      <c r="B1292">
        <v>98.559997999999993</v>
      </c>
      <c r="C1292">
        <v>100</v>
      </c>
      <c r="D1292">
        <v>98.470000999999996</v>
      </c>
      <c r="E1292">
        <v>99.989998</v>
      </c>
      <c r="F1292">
        <v>88.242287000000005</v>
      </c>
      <c r="G1292">
        <v>10098200</v>
      </c>
      <c r="I1292">
        <f t="shared" ref="I1292:I1355" si="21">LN(C1292/B1292)*(LN(C1292/B1292)-LN(E1292/B1292))+LN(D1292/B1292)*(LN(D1292/B1292)-LN(E1292/B1292))</f>
        <v>1.5444577701160235E-5</v>
      </c>
    </row>
    <row r="1293" spans="1:9" x14ac:dyDescent="0.3">
      <c r="A1293" s="5">
        <v>43516</v>
      </c>
      <c r="B1293">
        <v>99.779999000000004</v>
      </c>
      <c r="C1293">
        <v>100.220001</v>
      </c>
      <c r="D1293">
        <v>98.940002000000007</v>
      </c>
      <c r="E1293">
        <v>99.279999000000004</v>
      </c>
      <c r="F1293">
        <v>87.615684999999999</v>
      </c>
      <c r="G1293">
        <v>8947400</v>
      </c>
      <c r="I1293">
        <f t="shared" si="21"/>
        <v>7.0466230856182003E-5</v>
      </c>
    </row>
    <row r="1294" spans="1:9" x14ac:dyDescent="0.3">
      <c r="A1294" s="5">
        <v>43517</v>
      </c>
      <c r="B1294">
        <v>99.099997999999999</v>
      </c>
      <c r="C1294">
        <v>99.860000999999997</v>
      </c>
      <c r="D1294">
        <v>98.589995999999999</v>
      </c>
      <c r="E1294">
        <v>99.779999000000004</v>
      </c>
      <c r="F1294">
        <v>88.056952999999993</v>
      </c>
      <c r="G1294">
        <v>7444800</v>
      </c>
      <c r="I1294">
        <f t="shared" si="21"/>
        <v>6.8027967128530585E-5</v>
      </c>
    </row>
    <row r="1295" spans="1:9" x14ac:dyDescent="0.3">
      <c r="A1295" s="5">
        <v>43518</v>
      </c>
      <c r="B1295">
        <v>99.690002000000007</v>
      </c>
      <c r="C1295">
        <v>100.400002</v>
      </c>
      <c r="D1295">
        <v>99.400002000000001</v>
      </c>
      <c r="E1295">
        <v>100.25</v>
      </c>
      <c r="F1295">
        <v>88.471740999999994</v>
      </c>
      <c r="G1295">
        <v>7925400</v>
      </c>
      <c r="I1295">
        <f t="shared" si="21"/>
        <v>3.5417101568640695E-5</v>
      </c>
    </row>
    <row r="1296" spans="1:9" x14ac:dyDescent="0.3">
      <c r="A1296" s="5">
        <v>43521</v>
      </c>
      <c r="B1296">
        <v>100.360001</v>
      </c>
      <c r="C1296">
        <v>100.449997</v>
      </c>
      <c r="D1296">
        <v>99.330001999999993</v>
      </c>
      <c r="E1296">
        <v>99.57</v>
      </c>
      <c r="F1296">
        <v>87.871634999999998</v>
      </c>
      <c r="G1296">
        <v>7436100</v>
      </c>
      <c r="I1296">
        <f t="shared" si="21"/>
        <v>3.2782239073687434E-5</v>
      </c>
    </row>
    <row r="1297" spans="1:9" x14ac:dyDescent="0.3">
      <c r="A1297" s="5">
        <v>43522</v>
      </c>
      <c r="B1297">
        <v>99.839995999999999</v>
      </c>
      <c r="C1297">
        <v>100.18</v>
      </c>
      <c r="D1297">
        <v>99.629997000000003</v>
      </c>
      <c r="E1297">
        <v>99.830001999999993</v>
      </c>
      <c r="F1297">
        <v>88.101082000000005</v>
      </c>
      <c r="G1297">
        <v>7115300</v>
      </c>
      <c r="I1297">
        <f t="shared" si="21"/>
        <v>1.6120960007391244E-5</v>
      </c>
    </row>
    <row r="1298" spans="1:9" x14ac:dyDescent="0.3">
      <c r="A1298" s="5">
        <v>43523</v>
      </c>
      <c r="B1298">
        <v>99.339995999999999</v>
      </c>
      <c r="C1298">
        <v>99.629997000000003</v>
      </c>
      <c r="D1298">
        <v>98.82</v>
      </c>
      <c r="E1298">
        <v>98.910004000000001</v>
      </c>
      <c r="F1298">
        <v>87.289169000000001</v>
      </c>
      <c r="G1298">
        <v>6013600</v>
      </c>
      <c r="I1298">
        <f t="shared" si="21"/>
        <v>2.592027340161854E-5</v>
      </c>
    </row>
    <row r="1299" spans="1:9" x14ac:dyDescent="0.3">
      <c r="A1299" s="5">
        <v>43524</v>
      </c>
      <c r="B1299">
        <v>98.910004000000001</v>
      </c>
      <c r="C1299">
        <v>99.199996999999996</v>
      </c>
      <c r="D1299">
        <v>98.080001999999993</v>
      </c>
      <c r="E1299">
        <v>98.550003000000004</v>
      </c>
      <c r="F1299">
        <v>86.971474000000001</v>
      </c>
      <c r="G1299">
        <v>10575400</v>
      </c>
      <c r="I1299">
        <f t="shared" si="21"/>
        <v>5.9531161234788185E-5</v>
      </c>
    </row>
    <row r="1300" spans="1:9" x14ac:dyDescent="0.3">
      <c r="A1300" s="5">
        <v>43525</v>
      </c>
      <c r="B1300">
        <v>98.610000999999997</v>
      </c>
      <c r="C1300">
        <v>98.779999000000004</v>
      </c>
      <c r="D1300">
        <v>97.830001999999993</v>
      </c>
      <c r="E1300">
        <v>98.440002000000007</v>
      </c>
      <c r="F1300">
        <v>86.874397000000002</v>
      </c>
      <c r="G1300">
        <v>7733200</v>
      </c>
      <c r="I1300">
        <f t="shared" si="21"/>
        <v>5.5302106884083737E-5</v>
      </c>
    </row>
    <row r="1301" spans="1:9" x14ac:dyDescent="0.3">
      <c r="A1301" s="5">
        <v>43528</v>
      </c>
      <c r="B1301">
        <v>98.57</v>
      </c>
      <c r="C1301">
        <v>98.879997000000003</v>
      </c>
      <c r="D1301">
        <v>97.879997000000003</v>
      </c>
      <c r="E1301">
        <v>98.870002999999997</v>
      </c>
      <c r="F1301">
        <v>87.253867999999997</v>
      </c>
      <c r="G1301">
        <v>6895300</v>
      </c>
      <c r="I1301">
        <f t="shared" si="21"/>
        <v>7.1012184639513182E-5</v>
      </c>
    </row>
    <row r="1302" spans="1:9" x14ac:dyDescent="0.3">
      <c r="A1302" s="5">
        <v>43529</v>
      </c>
      <c r="B1302">
        <v>98.910004000000001</v>
      </c>
      <c r="C1302">
        <v>99.68</v>
      </c>
      <c r="D1302">
        <v>98.910004000000001</v>
      </c>
      <c r="E1302">
        <v>99.089995999999999</v>
      </c>
      <c r="F1302">
        <v>87.448020999999997</v>
      </c>
      <c r="G1302">
        <v>6274600</v>
      </c>
      <c r="I1302">
        <f t="shared" si="21"/>
        <v>4.6036113773669405E-5</v>
      </c>
    </row>
    <row r="1303" spans="1:9" x14ac:dyDescent="0.3">
      <c r="A1303" s="5">
        <v>43530</v>
      </c>
      <c r="B1303">
        <v>98.860000999999997</v>
      </c>
      <c r="C1303">
        <v>99.099997999999999</v>
      </c>
      <c r="D1303">
        <v>98.400002000000001</v>
      </c>
      <c r="E1303">
        <v>98.93</v>
      </c>
      <c r="F1303">
        <v>87.306824000000006</v>
      </c>
      <c r="G1303">
        <v>4622300</v>
      </c>
      <c r="I1303">
        <f t="shared" si="21"/>
        <v>2.9216013422628175E-5</v>
      </c>
    </row>
    <row r="1304" spans="1:9" x14ac:dyDescent="0.3">
      <c r="A1304" s="5">
        <v>43531</v>
      </c>
      <c r="B1304">
        <v>98.970000999999996</v>
      </c>
      <c r="C1304">
        <v>99.599997999999999</v>
      </c>
      <c r="D1304">
        <v>98.25</v>
      </c>
      <c r="E1304">
        <v>98.550003000000004</v>
      </c>
      <c r="F1304">
        <v>86.971474000000001</v>
      </c>
      <c r="G1304">
        <v>8408600</v>
      </c>
      <c r="I1304">
        <f t="shared" si="21"/>
        <v>8.9509652821007619E-5</v>
      </c>
    </row>
    <row r="1305" spans="1:9" x14ac:dyDescent="0.3">
      <c r="A1305" s="5">
        <v>43532</v>
      </c>
      <c r="B1305">
        <v>98.82</v>
      </c>
      <c r="C1305">
        <v>99.18</v>
      </c>
      <c r="D1305">
        <v>97.75</v>
      </c>
      <c r="E1305">
        <v>98.410004000000001</v>
      </c>
      <c r="F1305">
        <v>86.847908000000004</v>
      </c>
      <c r="G1305">
        <v>5144500</v>
      </c>
      <c r="I1305">
        <f t="shared" si="21"/>
        <v>1.016018206976438E-4</v>
      </c>
    </row>
    <row r="1306" spans="1:9" x14ac:dyDescent="0.3">
      <c r="A1306" s="5">
        <v>43535</v>
      </c>
      <c r="B1306">
        <v>98.790001000000004</v>
      </c>
      <c r="C1306">
        <v>99.68</v>
      </c>
      <c r="D1306">
        <v>98.510002</v>
      </c>
      <c r="E1306">
        <v>99.580001999999993</v>
      </c>
      <c r="F1306">
        <v>87.880447000000004</v>
      </c>
      <c r="G1306">
        <v>7544400</v>
      </c>
      <c r="I1306">
        <f t="shared" si="21"/>
        <v>3.966482088555928E-5</v>
      </c>
    </row>
    <row r="1307" spans="1:9" x14ac:dyDescent="0.3">
      <c r="A1307" s="5">
        <v>43536</v>
      </c>
      <c r="B1307">
        <v>99.779999000000004</v>
      </c>
      <c r="C1307">
        <v>100.519997</v>
      </c>
      <c r="D1307">
        <v>99.730002999999996</v>
      </c>
      <c r="E1307">
        <v>100.050003</v>
      </c>
      <c r="F1307">
        <v>88.295219000000003</v>
      </c>
      <c r="G1307">
        <v>7597500</v>
      </c>
      <c r="I1307">
        <f t="shared" si="21"/>
        <v>3.6234469612726905E-5</v>
      </c>
    </row>
    <row r="1308" spans="1:9" x14ac:dyDescent="0.3">
      <c r="A1308" s="5">
        <v>43537</v>
      </c>
      <c r="B1308">
        <v>99.989998</v>
      </c>
      <c r="C1308">
        <v>101.589996</v>
      </c>
      <c r="D1308">
        <v>99.959998999999996</v>
      </c>
      <c r="E1308">
        <v>101.18</v>
      </c>
      <c r="F1308">
        <v>89.292473000000001</v>
      </c>
      <c r="G1308">
        <v>9883300</v>
      </c>
      <c r="I1308">
        <f t="shared" si="21"/>
        <v>6.7837522696177053E-5</v>
      </c>
    </row>
    <row r="1309" spans="1:9" x14ac:dyDescent="0.3">
      <c r="A1309" s="5">
        <v>43538</v>
      </c>
      <c r="B1309">
        <v>100.94000200000001</v>
      </c>
      <c r="C1309">
        <v>101.779999</v>
      </c>
      <c r="D1309">
        <v>100.720001</v>
      </c>
      <c r="E1309">
        <v>101.32</v>
      </c>
      <c r="F1309">
        <v>89.416022999999996</v>
      </c>
      <c r="G1309">
        <v>8590200</v>
      </c>
      <c r="I1309">
        <f t="shared" si="21"/>
        <v>5.0498983986160337E-5</v>
      </c>
    </row>
    <row r="1310" spans="1:9" x14ac:dyDescent="0.3">
      <c r="A1310" s="5">
        <v>43539</v>
      </c>
      <c r="B1310">
        <v>101.760002</v>
      </c>
      <c r="C1310">
        <v>102.889999</v>
      </c>
      <c r="D1310">
        <v>101.730003</v>
      </c>
      <c r="E1310">
        <v>102.44000200000001</v>
      </c>
      <c r="F1310">
        <v>90.404433999999995</v>
      </c>
      <c r="G1310">
        <v>30802700</v>
      </c>
      <c r="I1310">
        <f t="shared" si="21"/>
        <v>5.0455383792345483E-5</v>
      </c>
    </row>
    <row r="1311" spans="1:9" x14ac:dyDescent="0.3">
      <c r="A1311" s="5">
        <v>43542</v>
      </c>
      <c r="B1311">
        <v>102.05999799999999</v>
      </c>
      <c r="C1311">
        <v>102.290001</v>
      </c>
      <c r="D1311">
        <v>101.199997</v>
      </c>
      <c r="E1311">
        <v>101.510002</v>
      </c>
      <c r="F1311">
        <v>89.583716999999993</v>
      </c>
      <c r="G1311">
        <v>8442800</v>
      </c>
      <c r="I1311">
        <f t="shared" si="21"/>
        <v>4.3113358553863648E-5</v>
      </c>
    </row>
    <row r="1312" spans="1:9" x14ac:dyDescent="0.3">
      <c r="A1312" s="5">
        <v>43543</v>
      </c>
      <c r="B1312">
        <v>101.910004</v>
      </c>
      <c r="C1312">
        <v>102.139999</v>
      </c>
      <c r="D1312">
        <v>101.290001</v>
      </c>
      <c r="E1312">
        <v>101.900002</v>
      </c>
      <c r="F1312">
        <v>89.927886999999998</v>
      </c>
      <c r="G1312">
        <v>7334100</v>
      </c>
      <c r="I1312">
        <f t="shared" si="21"/>
        <v>4.1943595851242263E-5</v>
      </c>
    </row>
    <row r="1313" spans="1:9" x14ac:dyDescent="0.3">
      <c r="A1313" s="5">
        <v>43544</v>
      </c>
      <c r="B1313">
        <v>101.730003</v>
      </c>
      <c r="C1313">
        <v>102.30999799999999</v>
      </c>
      <c r="D1313">
        <v>101.050003</v>
      </c>
      <c r="E1313">
        <v>101.720001</v>
      </c>
      <c r="F1313">
        <v>89.769019999999998</v>
      </c>
      <c r="G1313">
        <v>7513800</v>
      </c>
      <c r="I1313">
        <f t="shared" si="21"/>
        <v>7.7201379518438277E-5</v>
      </c>
    </row>
    <row r="1314" spans="1:9" x14ac:dyDescent="0.3">
      <c r="A1314" s="5">
        <v>43545</v>
      </c>
      <c r="B1314">
        <v>101.279999</v>
      </c>
      <c r="C1314">
        <v>102.910004</v>
      </c>
      <c r="D1314">
        <v>101.279999</v>
      </c>
      <c r="E1314">
        <v>102.489998</v>
      </c>
      <c r="F1314">
        <v>90.448554999999999</v>
      </c>
      <c r="G1314">
        <v>8221000</v>
      </c>
      <c r="I1314">
        <f t="shared" si="21"/>
        <v>6.5294910985519783E-5</v>
      </c>
    </row>
    <row r="1315" spans="1:9" x14ac:dyDescent="0.3">
      <c r="A1315" s="5">
        <v>43546</v>
      </c>
      <c r="B1315">
        <v>102.480003</v>
      </c>
      <c r="C1315">
        <v>103.150002</v>
      </c>
      <c r="D1315">
        <v>99.010002</v>
      </c>
      <c r="E1315">
        <v>101.660004</v>
      </c>
      <c r="F1315">
        <v>89.716057000000006</v>
      </c>
      <c r="G1315">
        <v>11035900</v>
      </c>
      <c r="I1315">
        <f t="shared" si="21"/>
        <v>1.004664379276316E-3</v>
      </c>
    </row>
    <row r="1316" spans="1:9" x14ac:dyDescent="0.3">
      <c r="A1316" s="5">
        <v>43549</v>
      </c>
      <c r="B1316">
        <v>101.660004</v>
      </c>
      <c r="C1316">
        <v>102.339996</v>
      </c>
      <c r="D1316">
        <v>101.260002</v>
      </c>
      <c r="E1316">
        <v>101.959999</v>
      </c>
      <c r="F1316">
        <v>89.980850000000004</v>
      </c>
      <c r="G1316">
        <v>6955500</v>
      </c>
      <c r="I1316">
        <f t="shared" si="21"/>
        <v>5.1959734743441322E-5</v>
      </c>
    </row>
    <row r="1317" spans="1:9" x14ac:dyDescent="0.3">
      <c r="A1317" s="5">
        <v>43550</v>
      </c>
      <c r="B1317">
        <v>102.44000200000001</v>
      </c>
      <c r="C1317">
        <v>103.480003</v>
      </c>
      <c r="D1317">
        <v>102.400002</v>
      </c>
      <c r="E1317">
        <v>103.019997</v>
      </c>
      <c r="F1317">
        <v>90.916297999999998</v>
      </c>
      <c r="G1317">
        <v>6909400</v>
      </c>
      <c r="I1317">
        <f t="shared" si="21"/>
        <v>4.736066674418894E-5</v>
      </c>
    </row>
    <row r="1318" spans="1:9" x14ac:dyDescent="0.3">
      <c r="A1318" s="5">
        <v>43551</v>
      </c>
      <c r="B1318">
        <v>102.760002</v>
      </c>
      <c r="C1318">
        <v>103.019997</v>
      </c>
      <c r="D1318">
        <v>102.040001</v>
      </c>
      <c r="E1318">
        <v>102.900002</v>
      </c>
      <c r="F1318">
        <v>90.810410000000005</v>
      </c>
      <c r="G1318">
        <v>6037100</v>
      </c>
      <c r="I1318">
        <f t="shared" si="21"/>
        <v>6.1956922062387761E-5</v>
      </c>
    </row>
    <row r="1319" spans="1:9" x14ac:dyDescent="0.3">
      <c r="A1319" s="5">
        <v>43552</v>
      </c>
      <c r="B1319">
        <v>103.30999799999999</v>
      </c>
      <c r="C1319">
        <v>103.68</v>
      </c>
      <c r="D1319">
        <v>103.110001</v>
      </c>
      <c r="E1319">
        <v>103.550003</v>
      </c>
      <c r="F1319">
        <v>91.384026000000006</v>
      </c>
      <c r="G1319">
        <v>6793700</v>
      </c>
      <c r="I1319">
        <f t="shared" si="21"/>
        <v>1.2736803993314778E-5</v>
      </c>
    </row>
    <row r="1320" spans="1:9" x14ac:dyDescent="0.3">
      <c r="A1320" s="5">
        <v>43553</v>
      </c>
      <c r="B1320">
        <v>103.860001</v>
      </c>
      <c r="C1320">
        <v>104.150002</v>
      </c>
      <c r="D1320">
        <v>103.110001</v>
      </c>
      <c r="E1320">
        <v>104.050003</v>
      </c>
      <c r="F1320">
        <v>91.825278999999995</v>
      </c>
      <c r="G1320">
        <v>7535400</v>
      </c>
      <c r="I1320">
        <f t="shared" si="21"/>
        <v>6.84505764054884E-5</v>
      </c>
    </row>
    <row r="1321" spans="1:9" x14ac:dyDescent="0.3">
      <c r="A1321" s="5">
        <v>43556</v>
      </c>
      <c r="B1321">
        <v>104.230003</v>
      </c>
      <c r="C1321">
        <v>104.230003</v>
      </c>
      <c r="D1321">
        <v>103.139999</v>
      </c>
      <c r="E1321">
        <v>103.639999</v>
      </c>
      <c r="F1321">
        <v>91.463440000000006</v>
      </c>
      <c r="G1321">
        <v>6626500</v>
      </c>
      <c r="I1321">
        <f t="shared" si="21"/>
        <v>5.0840343346032928E-5</v>
      </c>
    </row>
    <row r="1322" spans="1:9" x14ac:dyDescent="0.3">
      <c r="A1322" s="5">
        <v>43557</v>
      </c>
      <c r="B1322">
        <v>103.610001</v>
      </c>
      <c r="C1322">
        <v>104.019997</v>
      </c>
      <c r="D1322">
        <v>103.260002</v>
      </c>
      <c r="E1322">
        <v>103.75</v>
      </c>
      <c r="F1322">
        <v>91.560531999999995</v>
      </c>
      <c r="G1322">
        <v>6088800</v>
      </c>
      <c r="I1322">
        <f t="shared" si="21"/>
        <v>2.6283160219952518E-5</v>
      </c>
    </row>
    <row r="1323" spans="1:9" x14ac:dyDescent="0.3">
      <c r="A1323" s="5">
        <v>43558</v>
      </c>
      <c r="B1323">
        <v>103.58000199999999</v>
      </c>
      <c r="C1323">
        <v>103.889999</v>
      </c>
      <c r="D1323">
        <v>102.75</v>
      </c>
      <c r="E1323">
        <v>103.69000200000001</v>
      </c>
      <c r="F1323">
        <v>91.507568000000006</v>
      </c>
      <c r="G1323">
        <v>5226500</v>
      </c>
      <c r="I1323">
        <f t="shared" si="21"/>
        <v>7.9026835557953866E-5</v>
      </c>
    </row>
    <row r="1324" spans="1:9" x14ac:dyDescent="0.3">
      <c r="A1324" s="5">
        <v>43559</v>
      </c>
      <c r="B1324">
        <v>103.480003</v>
      </c>
      <c r="C1324">
        <v>103.66999800000001</v>
      </c>
      <c r="D1324">
        <v>102.790001</v>
      </c>
      <c r="E1324">
        <v>103.43</v>
      </c>
      <c r="F1324">
        <v>91.278144999999995</v>
      </c>
      <c r="G1324">
        <v>4786100</v>
      </c>
      <c r="I1324">
        <f t="shared" si="21"/>
        <v>4.5778072230380471E-5</v>
      </c>
    </row>
    <row r="1325" spans="1:9" x14ac:dyDescent="0.3">
      <c r="A1325" s="5">
        <v>43560</v>
      </c>
      <c r="B1325">
        <v>103.610001</v>
      </c>
      <c r="C1325">
        <v>103.69000200000001</v>
      </c>
      <c r="D1325">
        <v>103.16999800000001</v>
      </c>
      <c r="E1325">
        <v>103.650002</v>
      </c>
      <c r="F1325">
        <v>91.472274999999996</v>
      </c>
      <c r="G1325">
        <v>4281800</v>
      </c>
      <c r="I1325">
        <f t="shared" si="21"/>
        <v>2.0052069909684416E-5</v>
      </c>
    </row>
    <row r="1326" spans="1:9" x14ac:dyDescent="0.3">
      <c r="A1326" s="5">
        <v>43563</v>
      </c>
      <c r="B1326">
        <v>103.93</v>
      </c>
      <c r="C1326">
        <v>105.139999</v>
      </c>
      <c r="D1326">
        <v>103.5</v>
      </c>
      <c r="E1326">
        <v>104.970001</v>
      </c>
      <c r="F1326">
        <v>92.637198999999995</v>
      </c>
      <c r="G1326">
        <v>8468600</v>
      </c>
      <c r="I1326">
        <f t="shared" si="21"/>
        <v>7.7201519578605667E-5</v>
      </c>
    </row>
    <row r="1327" spans="1:9" x14ac:dyDescent="0.3">
      <c r="A1327" s="5">
        <v>43564</v>
      </c>
      <c r="B1327">
        <v>104.550003</v>
      </c>
      <c r="C1327">
        <v>104.760002</v>
      </c>
      <c r="D1327">
        <v>104.139999</v>
      </c>
      <c r="E1327">
        <v>104.660004</v>
      </c>
      <c r="F1327">
        <v>92.363617000000005</v>
      </c>
      <c r="G1327">
        <v>5820300</v>
      </c>
      <c r="I1327">
        <f t="shared" si="21"/>
        <v>2.1487823297023569E-5</v>
      </c>
    </row>
    <row r="1328" spans="1:9" x14ac:dyDescent="0.3">
      <c r="A1328" s="5">
        <v>43565</v>
      </c>
      <c r="B1328">
        <v>104.660004</v>
      </c>
      <c r="C1328">
        <v>105</v>
      </c>
      <c r="D1328">
        <v>104.239998</v>
      </c>
      <c r="E1328">
        <v>104.650002</v>
      </c>
      <c r="F1328">
        <v>92.354789999999994</v>
      </c>
      <c r="G1328">
        <v>5394300</v>
      </c>
      <c r="I1328">
        <f t="shared" si="21"/>
        <v>2.6614180121154709E-5</v>
      </c>
    </row>
    <row r="1329" spans="1:9" x14ac:dyDescent="0.3">
      <c r="A1329" s="5">
        <v>43566</v>
      </c>
      <c r="B1329">
        <v>104.58000199999999</v>
      </c>
      <c r="C1329">
        <v>105.050003</v>
      </c>
      <c r="D1329">
        <v>104.370003</v>
      </c>
      <c r="E1329">
        <v>104.75</v>
      </c>
      <c r="F1329">
        <v>92.443038999999999</v>
      </c>
      <c r="G1329">
        <v>5078400</v>
      </c>
      <c r="I1329">
        <f t="shared" si="21"/>
        <v>2.0129084224602126E-5</v>
      </c>
    </row>
    <row r="1330" spans="1:9" x14ac:dyDescent="0.3">
      <c r="A1330" s="5">
        <v>43567</v>
      </c>
      <c r="B1330">
        <v>104.75</v>
      </c>
      <c r="C1330">
        <v>105.05999799999999</v>
      </c>
      <c r="D1330">
        <v>104.16999800000001</v>
      </c>
      <c r="E1330">
        <v>105.05999799999999</v>
      </c>
      <c r="F1330">
        <v>92.716614000000007</v>
      </c>
      <c r="G1330">
        <v>6707900</v>
      </c>
      <c r="I1330">
        <f t="shared" si="21"/>
        <v>4.7236668966838745E-5</v>
      </c>
    </row>
    <row r="1331" spans="1:9" x14ac:dyDescent="0.3">
      <c r="A1331" s="5">
        <v>43570</v>
      </c>
      <c r="B1331">
        <v>104.980003</v>
      </c>
      <c r="C1331">
        <v>105.779999</v>
      </c>
      <c r="D1331">
        <v>104.790001</v>
      </c>
      <c r="E1331">
        <v>105.730003</v>
      </c>
      <c r="F1331">
        <v>93.307914999999994</v>
      </c>
      <c r="G1331">
        <v>5639200</v>
      </c>
      <c r="I1331">
        <f t="shared" si="21"/>
        <v>1.9766505208613713E-5</v>
      </c>
    </row>
    <row r="1332" spans="1:9" x14ac:dyDescent="0.3">
      <c r="A1332" s="5">
        <v>43571</v>
      </c>
      <c r="B1332">
        <v>105.980003</v>
      </c>
      <c r="C1332">
        <v>106.5</v>
      </c>
      <c r="D1332">
        <v>105.650002</v>
      </c>
      <c r="E1332">
        <v>106.41999800000001</v>
      </c>
      <c r="F1332">
        <v>93.916809000000001</v>
      </c>
      <c r="G1332">
        <v>8136100</v>
      </c>
      <c r="I1332">
        <f t="shared" si="21"/>
        <v>2.6325076575635511E-5</v>
      </c>
    </row>
    <row r="1333" spans="1:9" x14ac:dyDescent="0.3">
      <c r="A1333" s="5">
        <v>43572</v>
      </c>
      <c r="B1333">
        <v>106.269997</v>
      </c>
      <c r="C1333">
        <v>106.510002</v>
      </c>
      <c r="D1333">
        <v>105.349998</v>
      </c>
      <c r="E1333">
        <v>105.849998</v>
      </c>
      <c r="F1333">
        <v>94.073250000000002</v>
      </c>
      <c r="G1333">
        <v>6778100</v>
      </c>
      <c r="I1333">
        <f t="shared" si="21"/>
        <v>5.5191480283082016E-5</v>
      </c>
    </row>
    <row r="1334" spans="1:9" x14ac:dyDescent="0.3">
      <c r="A1334" s="5">
        <v>43573</v>
      </c>
      <c r="B1334">
        <v>106.019997</v>
      </c>
      <c r="C1334">
        <v>106.709999</v>
      </c>
      <c r="D1334">
        <v>105.83000199999999</v>
      </c>
      <c r="E1334">
        <v>106.050003</v>
      </c>
      <c r="F1334">
        <v>94.251007000000001</v>
      </c>
      <c r="G1334">
        <v>7248900</v>
      </c>
      <c r="I1334">
        <f t="shared" si="21"/>
        <v>4.3972064649824595E-5</v>
      </c>
    </row>
    <row r="1335" spans="1:9" x14ac:dyDescent="0.3">
      <c r="A1335" s="5">
        <v>43577</v>
      </c>
      <c r="B1335">
        <v>106.129997</v>
      </c>
      <c r="C1335">
        <v>107.199997</v>
      </c>
      <c r="D1335">
        <v>105.739998</v>
      </c>
      <c r="E1335">
        <v>106.010002</v>
      </c>
      <c r="F1335">
        <v>94.215453999999994</v>
      </c>
      <c r="G1335">
        <v>9057200</v>
      </c>
      <c r="I1335">
        <f t="shared" si="21"/>
        <v>1.2136786856186665E-4</v>
      </c>
    </row>
    <row r="1336" spans="1:9" x14ac:dyDescent="0.3">
      <c r="A1336" s="5">
        <v>43578</v>
      </c>
      <c r="B1336">
        <v>104.010002</v>
      </c>
      <c r="C1336">
        <v>104.110001</v>
      </c>
      <c r="D1336">
        <v>102.129997</v>
      </c>
      <c r="E1336">
        <v>103.160004</v>
      </c>
      <c r="F1336">
        <v>91.682525999999996</v>
      </c>
      <c r="G1336">
        <v>15979800</v>
      </c>
      <c r="I1336">
        <f t="shared" si="21"/>
        <v>1.9184856989520543E-4</v>
      </c>
    </row>
    <row r="1337" spans="1:9" x14ac:dyDescent="0.3">
      <c r="A1337" s="5">
        <v>43579</v>
      </c>
      <c r="B1337">
        <v>103.32</v>
      </c>
      <c r="C1337">
        <v>104.650002</v>
      </c>
      <c r="D1337">
        <v>102.790001</v>
      </c>
      <c r="E1337">
        <v>103.69000200000001</v>
      </c>
      <c r="F1337">
        <v>92.153557000000006</v>
      </c>
      <c r="G1337">
        <v>10094800</v>
      </c>
      <c r="I1337">
        <f t="shared" si="21"/>
        <v>1.6270801592517856E-4</v>
      </c>
    </row>
    <row r="1338" spans="1:9" x14ac:dyDescent="0.3">
      <c r="A1338" s="5">
        <v>43580</v>
      </c>
      <c r="B1338">
        <v>103.099998</v>
      </c>
      <c r="C1338">
        <v>103.57</v>
      </c>
      <c r="D1338">
        <v>102.589996</v>
      </c>
      <c r="E1338">
        <v>103.279999</v>
      </c>
      <c r="F1338">
        <v>91.789176999999995</v>
      </c>
      <c r="G1338">
        <v>6085300</v>
      </c>
      <c r="I1338">
        <f t="shared" si="21"/>
        <v>4.5994825524816848E-5</v>
      </c>
    </row>
    <row r="1339" spans="1:9" x14ac:dyDescent="0.3">
      <c r="A1339" s="5">
        <v>43581</v>
      </c>
      <c r="B1339">
        <v>103.949997</v>
      </c>
      <c r="C1339">
        <v>105.879997</v>
      </c>
      <c r="D1339">
        <v>103.910004</v>
      </c>
      <c r="E1339">
        <v>105.860001</v>
      </c>
      <c r="F1339">
        <v>94.082138</v>
      </c>
      <c r="G1339">
        <v>7747400</v>
      </c>
      <c r="I1339">
        <f t="shared" si="21"/>
        <v>1.0629026916610335E-5</v>
      </c>
    </row>
    <row r="1340" spans="1:9" x14ac:dyDescent="0.3">
      <c r="A1340" s="5">
        <v>43584</v>
      </c>
      <c r="B1340">
        <v>105.57</v>
      </c>
      <c r="C1340">
        <v>105.75</v>
      </c>
      <c r="D1340">
        <v>104.720001</v>
      </c>
      <c r="E1340">
        <v>104.779999</v>
      </c>
      <c r="F1340">
        <v>93.122307000000006</v>
      </c>
      <c r="G1340">
        <v>4787600</v>
      </c>
      <c r="I1340">
        <f t="shared" si="21"/>
        <v>2.0328684786085159E-5</v>
      </c>
    </row>
    <row r="1341" spans="1:9" x14ac:dyDescent="0.3">
      <c r="A1341" s="5">
        <v>43585</v>
      </c>
      <c r="B1341">
        <v>104.860001</v>
      </c>
      <c r="C1341">
        <v>106.620003</v>
      </c>
      <c r="D1341">
        <v>104.660004</v>
      </c>
      <c r="E1341">
        <v>106.480003</v>
      </c>
      <c r="F1341">
        <v>94.633156</v>
      </c>
      <c r="G1341">
        <v>8251300</v>
      </c>
      <c r="I1341">
        <f t="shared" si="21"/>
        <v>5.4783642195933591E-5</v>
      </c>
    </row>
    <row r="1342" spans="1:9" x14ac:dyDescent="0.3">
      <c r="A1342" s="5">
        <v>43586</v>
      </c>
      <c r="B1342">
        <v>106.150002</v>
      </c>
      <c r="C1342">
        <v>106.389999</v>
      </c>
      <c r="D1342">
        <v>104.80999799999999</v>
      </c>
      <c r="E1342">
        <v>104.93</v>
      </c>
      <c r="F1342">
        <v>93.255600000000001</v>
      </c>
      <c r="G1342">
        <v>6733800</v>
      </c>
      <c r="I1342">
        <f t="shared" si="21"/>
        <v>4.5743580188987036E-5</v>
      </c>
    </row>
    <row r="1343" spans="1:9" x14ac:dyDescent="0.3">
      <c r="A1343" s="5">
        <v>43587</v>
      </c>
      <c r="B1343">
        <v>105.199997</v>
      </c>
      <c r="C1343">
        <v>105.760002</v>
      </c>
      <c r="D1343">
        <v>105.050003</v>
      </c>
      <c r="E1343">
        <v>105.55999799999999</v>
      </c>
      <c r="F1343">
        <v>93.815505999999999</v>
      </c>
      <c r="G1343">
        <v>6270300</v>
      </c>
      <c r="I1343">
        <f t="shared" si="21"/>
        <v>1.6959773853847777E-5</v>
      </c>
    </row>
    <row r="1344" spans="1:9" x14ac:dyDescent="0.3">
      <c r="A1344" s="5">
        <v>43588</v>
      </c>
      <c r="B1344">
        <v>105.989998</v>
      </c>
      <c r="C1344">
        <v>106.410004</v>
      </c>
      <c r="D1344">
        <v>105.58000199999999</v>
      </c>
      <c r="E1344">
        <v>106.08000199999999</v>
      </c>
      <c r="F1344">
        <v>94.277648999999997</v>
      </c>
      <c r="G1344">
        <v>4793400</v>
      </c>
      <c r="I1344">
        <f t="shared" si="21"/>
        <v>3.0595257702916082E-5</v>
      </c>
    </row>
    <row r="1345" spans="1:9" x14ac:dyDescent="0.3">
      <c r="A1345" s="5">
        <v>43591</v>
      </c>
      <c r="B1345">
        <v>105.120003</v>
      </c>
      <c r="C1345">
        <v>105.82</v>
      </c>
      <c r="D1345">
        <v>105.040001</v>
      </c>
      <c r="E1345">
        <v>105.68</v>
      </c>
      <c r="F1345">
        <v>93.922173000000001</v>
      </c>
      <c r="G1345">
        <v>4890400</v>
      </c>
      <c r="I1345">
        <f t="shared" si="21"/>
        <v>1.3411235052336581E-5</v>
      </c>
    </row>
    <row r="1346" spans="1:9" x14ac:dyDescent="0.3">
      <c r="A1346" s="5">
        <v>43592</v>
      </c>
      <c r="B1346">
        <v>105.029999</v>
      </c>
      <c r="C1346">
        <v>105.58000199999999</v>
      </c>
      <c r="D1346">
        <v>104.099998</v>
      </c>
      <c r="E1346">
        <v>104.699997</v>
      </c>
      <c r="F1346">
        <v>93.051192999999998</v>
      </c>
      <c r="G1346">
        <v>6021700</v>
      </c>
      <c r="I1346">
        <f t="shared" si="21"/>
        <v>9.4830962305886206E-5</v>
      </c>
    </row>
    <row r="1347" spans="1:9" x14ac:dyDescent="0.3">
      <c r="A1347" s="5">
        <v>43593</v>
      </c>
      <c r="B1347">
        <v>104.989998</v>
      </c>
      <c r="C1347">
        <v>105.769997</v>
      </c>
      <c r="D1347">
        <v>104.160004</v>
      </c>
      <c r="E1347">
        <v>105.07</v>
      </c>
      <c r="F1347">
        <v>93.380043000000001</v>
      </c>
      <c r="G1347">
        <v>5392600</v>
      </c>
      <c r="I1347">
        <f t="shared" si="21"/>
        <v>1.1818826099078411E-4</v>
      </c>
    </row>
    <row r="1348" spans="1:9" x14ac:dyDescent="0.3">
      <c r="A1348" s="5">
        <v>43594</v>
      </c>
      <c r="B1348">
        <v>104.66999800000001</v>
      </c>
      <c r="C1348">
        <v>105.040001</v>
      </c>
      <c r="D1348">
        <v>103.779999</v>
      </c>
      <c r="E1348">
        <v>104.239998</v>
      </c>
      <c r="F1348">
        <v>92.642380000000003</v>
      </c>
      <c r="G1348">
        <v>6901700</v>
      </c>
      <c r="I1348">
        <f t="shared" si="21"/>
        <v>6.4744328759939549E-5</v>
      </c>
    </row>
    <row r="1349" spans="1:9" x14ac:dyDescent="0.3">
      <c r="A1349" s="5">
        <v>43595</v>
      </c>
      <c r="B1349">
        <v>103.980003</v>
      </c>
      <c r="C1349">
        <v>106.150002</v>
      </c>
      <c r="D1349">
        <v>103.91999800000001</v>
      </c>
      <c r="E1349">
        <v>106.010002</v>
      </c>
      <c r="F1349">
        <v>94.215453999999994</v>
      </c>
      <c r="G1349">
        <v>5815800</v>
      </c>
      <c r="I1349">
        <f t="shared" si="21"/>
        <v>3.8753328548159361E-5</v>
      </c>
    </row>
    <row r="1350" spans="1:9" x14ac:dyDescent="0.3">
      <c r="A1350" s="5">
        <v>43598</v>
      </c>
      <c r="B1350">
        <v>105.139999</v>
      </c>
      <c r="C1350">
        <v>106.589996</v>
      </c>
      <c r="D1350">
        <v>104.849998</v>
      </c>
      <c r="E1350">
        <v>106.110001</v>
      </c>
      <c r="F1350">
        <v>94.304328999999996</v>
      </c>
      <c r="G1350">
        <v>7575500</v>
      </c>
      <c r="I1350">
        <f t="shared" si="21"/>
        <v>9.4813141019977801E-5</v>
      </c>
    </row>
    <row r="1351" spans="1:9" x14ac:dyDescent="0.3">
      <c r="A1351" s="5">
        <v>43599</v>
      </c>
      <c r="B1351">
        <v>105.769997</v>
      </c>
      <c r="C1351">
        <v>106.5</v>
      </c>
      <c r="D1351">
        <v>105.57</v>
      </c>
      <c r="E1351">
        <v>105.599998</v>
      </c>
      <c r="F1351">
        <v>93.851067</v>
      </c>
      <c r="G1351">
        <v>7004000</v>
      </c>
      <c r="I1351">
        <f t="shared" si="21"/>
        <v>5.8909535990029393E-5</v>
      </c>
    </row>
    <row r="1352" spans="1:9" x14ac:dyDescent="0.3">
      <c r="A1352" s="5">
        <v>43600</v>
      </c>
      <c r="B1352">
        <v>105.610001</v>
      </c>
      <c r="C1352">
        <v>107</v>
      </c>
      <c r="D1352">
        <v>105.5</v>
      </c>
      <c r="E1352">
        <v>106.699997</v>
      </c>
      <c r="F1352">
        <v>94.828689999999995</v>
      </c>
      <c r="G1352">
        <v>5535600</v>
      </c>
      <c r="I1352">
        <f t="shared" si="21"/>
        <v>4.8499436118004968E-5</v>
      </c>
    </row>
    <row r="1353" spans="1:9" x14ac:dyDescent="0.3">
      <c r="A1353" s="5">
        <v>43601</v>
      </c>
      <c r="B1353">
        <v>106.739998</v>
      </c>
      <c r="C1353">
        <v>108.68</v>
      </c>
      <c r="D1353">
        <v>106.589996</v>
      </c>
      <c r="E1353">
        <v>108.110001</v>
      </c>
      <c r="F1353">
        <v>96.081817999999998</v>
      </c>
      <c r="G1353">
        <v>9284200</v>
      </c>
      <c r="I1353">
        <f t="shared" si="21"/>
        <v>1.1462856859832622E-4</v>
      </c>
    </row>
    <row r="1354" spans="1:9" x14ac:dyDescent="0.3">
      <c r="A1354" s="5">
        <v>43602</v>
      </c>
      <c r="B1354">
        <v>107.269997</v>
      </c>
      <c r="C1354">
        <v>108</v>
      </c>
      <c r="D1354">
        <v>107.260002</v>
      </c>
      <c r="E1354">
        <v>107.449997</v>
      </c>
      <c r="F1354">
        <v>95.495232000000001</v>
      </c>
      <c r="G1354">
        <v>6370200</v>
      </c>
      <c r="I1354">
        <f t="shared" si="21"/>
        <v>3.479250225875288E-5</v>
      </c>
    </row>
    <row r="1355" spans="1:9" x14ac:dyDescent="0.3">
      <c r="A1355" s="5">
        <v>43605</v>
      </c>
      <c r="B1355">
        <v>107.44000200000001</v>
      </c>
      <c r="C1355">
        <v>108.129997</v>
      </c>
      <c r="D1355">
        <v>107.139999</v>
      </c>
      <c r="E1355">
        <v>107.33000199999999</v>
      </c>
      <c r="F1355">
        <v>95.388603000000003</v>
      </c>
      <c r="G1355">
        <v>6565300</v>
      </c>
      <c r="I1355">
        <f t="shared" si="21"/>
        <v>5.2492483543590007E-5</v>
      </c>
    </row>
    <row r="1356" spans="1:9" x14ac:dyDescent="0.3">
      <c r="A1356" s="5">
        <v>43606</v>
      </c>
      <c r="B1356">
        <v>107.470001</v>
      </c>
      <c r="C1356">
        <v>107.540001</v>
      </c>
      <c r="D1356">
        <v>106.290001</v>
      </c>
      <c r="E1356">
        <v>106.370003</v>
      </c>
      <c r="F1356">
        <v>94.535385000000005</v>
      </c>
      <c r="G1356">
        <v>5226400</v>
      </c>
      <c r="I1356">
        <f t="shared" ref="I1356:I1419" si="22">LN(C1356/B1356)*(LN(C1356/B1356)-LN(E1356/B1356))+LN(D1356/B1356)*(LN(D1356/B1356)-LN(E1356/B1356))</f>
        <v>1.5429738668891815E-5</v>
      </c>
    </row>
    <row r="1357" spans="1:9" x14ac:dyDescent="0.3">
      <c r="A1357" s="5">
        <v>43607</v>
      </c>
      <c r="B1357">
        <v>106.089996</v>
      </c>
      <c r="C1357">
        <v>107.050003</v>
      </c>
      <c r="D1357">
        <v>105.94000200000001</v>
      </c>
      <c r="E1357">
        <v>106.720001</v>
      </c>
      <c r="F1357">
        <v>94.846451000000002</v>
      </c>
      <c r="G1357">
        <v>4889700</v>
      </c>
      <c r="I1357">
        <f t="shared" si="22"/>
        <v>3.8191451836056289E-5</v>
      </c>
    </row>
    <row r="1358" spans="1:9" x14ac:dyDescent="0.3">
      <c r="A1358" s="5">
        <v>43608</v>
      </c>
      <c r="B1358">
        <v>106.68</v>
      </c>
      <c r="C1358">
        <v>107.029999</v>
      </c>
      <c r="D1358">
        <v>105.889999</v>
      </c>
      <c r="E1358">
        <v>106.760002</v>
      </c>
      <c r="F1358">
        <v>94.882003999999995</v>
      </c>
      <c r="G1358">
        <v>6175600</v>
      </c>
      <c r="I1358">
        <f t="shared" si="22"/>
        <v>6.9093075511291241E-5</v>
      </c>
    </row>
    <row r="1359" spans="1:9" x14ac:dyDescent="0.3">
      <c r="A1359" s="5">
        <v>43609</v>
      </c>
      <c r="B1359">
        <v>107.150002</v>
      </c>
      <c r="C1359">
        <v>107.44000200000001</v>
      </c>
      <c r="D1359">
        <v>106.540001</v>
      </c>
      <c r="E1359">
        <v>106.69000200000001</v>
      </c>
      <c r="F1359">
        <v>94.819809000000006</v>
      </c>
      <c r="G1359">
        <v>4372100</v>
      </c>
      <c r="I1359">
        <f t="shared" si="22"/>
        <v>2.6966196962279971E-5</v>
      </c>
    </row>
    <row r="1360" spans="1:9" x14ac:dyDescent="0.3">
      <c r="A1360" s="5">
        <v>43613</v>
      </c>
      <c r="B1360">
        <v>106.699997</v>
      </c>
      <c r="C1360">
        <v>107.25</v>
      </c>
      <c r="D1360">
        <v>104.41999800000001</v>
      </c>
      <c r="E1360">
        <v>104.459999</v>
      </c>
      <c r="F1360">
        <v>92.837913999999998</v>
      </c>
      <c r="G1360">
        <v>7615500</v>
      </c>
      <c r="I1360">
        <f t="shared" si="22"/>
        <v>1.4379238906187561E-4</v>
      </c>
    </row>
    <row r="1361" spans="1:9" x14ac:dyDescent="0.3">
      <c r="A1361" s="5">
        <v>43614</v>
      </c>
      <c r="B1361">
        <v>103.959999</v>
      </c>
      <c r="C1361">
        <v>104.80999799999999</v>
      </c>
      <c r="D1361">
        <v>103.699997</v>
      </c>
      <c r="E1361">
        <v>104.19000200000001</v>
      </c>
      <c r="F1361">
        <v>92.597945999999993</v>
      </c>
      <c r="G1361">
        <v>7137300</v>
      </c>
      <c r="I1361">
        <f t="shared" si="22"/>
        <v>6.0116789560177139E-5</v>
      </c>
    </row>
    <row r="1362" spans="1:9" x14ac:dyDescent="0.3">
      <c r="A1362" s="5">
        <v>43615</v>
      </c>
      <c r="B1362">
        <v>104.370003</v>
      </c>
      <c r="C1362">
        <v>105.370003</v>
      </c>
      <c r="D1362">
        <v>104.370003</v>
      </c>
      <c r="E1362">
        <v>105.33000199999999</v>
      </c>
      <c r="F1362">
        <v>93.611098999999996</v>
      </c>
      <c r="G1362">
        <v>4729200</v>
      </c>
      <c r="I1362">
        <f t="shared" si="22"/>
        <v>3.6206647506973061E-6</v>
      </c>
    </row>
    <row r="1363" spans="1:9" x14ac:dyDescent="0.3">
      <c r="A1363" s="5">
        <v>43616</v>
      </c>
      <c r="B1363">
        <v>104.889999</v>
      </c>
      <c r="C1363">
        <v>104.900002</v>
      </c>
      <c r="D1363">
        <v>102.410004</v>
      </c>
      <c r="E1363">
        <v>102.910004</v>
      </c>
      <c r="F1363">
        <v>91.460357999999999</v>
      </c>
      <c r="G1363">
        <v>10282300</v>
      </c>
      <c r="I1363">
        <f t="shared" si="22"/>
        <v>1.1836557526247265E-4</v>
      </c>
    </row>
    <row r="1364" spans="1:9" x14ac:dyDescent="0.3">
      <c r="A1364" s="5">
        <v>43619</v>
      </c>
      <c r="B1364">
        <v>103.150002</v>
      </c>
      <c r="C1364">
        <v>103.959999</v>
      </c>
      <c r="D1364">
        <v>102.400002</v>
      </c>
      <c r="E1364">
        <v>103.800003</v>
      </c>
      <c r="F1364">
        <v>92.251334999999997</v>
      </c>
      <c r="G1364">
        <v>8532900</v>
      </c>
      <c r="I1364">
        <f t="shared" si="22"/>
        <v>1.1114242605568906E-4</v>
      </c>
    </row>
    <row r="1365" spans="1:9" x14ac:dyDescent="0.3">
      <c r="A1365" s="5">
        <v>43620</v>
      </c>
      <c r="B1365">
        <v>104.010002</v>
      </c>
      <c r="C1365">
        <v>105.099998</v>
      </c>
      <c r="D1365">
        <v>103.849998</v>
      </c>
      <c r="E1365">
        <v>104.68</v>
      </c>
      <c r="F1365">
        <v>93.033432000000005</v>
      </c>
      <c r="G1365">
        <v>6906400</v>
      </c>
      <c r="I1365">
        <f t="shared" si="22"/>
        <v>5.3999907048533609E-5</v>
      </c>
    </row>
    <row r="1366" spans="1:9" x14ac:dyDescent="0.3">
      <c r="A1366" s="5">
        <v>43621</v>
      </c>
      <c r="B1366">
        <v>105.239998</v>
      </c>
      <c r="C1366">
        <v>106.75</v>
      </c>
      <c r="D1366">
        <v>104.889999</v>
      </c>
      <c r="E1366">
        <v>106.730003</v>
      </c>
      <c r="F1366">
        <v>94.855354000000005</v>
      </c>
      <c r="G1366">
        <v>6481700</v>
      </c>
      <c r="I1366">
        <f t="shared" si="22"/>
        <v>6.0600078363373335E-5</v>
      </c>
    </row>
    <row r="1367" spans="1:9" x14ac:dyDescent="0.3">
      <c r="A1367" s="5">
        <v>43622</v>
      </c>
      <c r="B1367">
        <v>106.849998</v>
      </c>
      <c r="C1367">
        <v>107.68</v>
      </c>
      <c r="D1367">
        <v>106.33000199999999</v>
      </c>
      <c r="E1367">
        <v>107.379997</v>
      </c>
      <c r="F1367">
        <v>95.433021999999994</v>
      </c>
      <c r="G1367">
        <v>6681600</v>
      </c>
      <c r="I1367">
        <f t="shared" si="22"/>
        <v>6.9526393907971425E-5</v>
      </c>
    </row>
    <row r="1368" spans="1:9" x14ac:dyDescent="0.3">
      <c r="A1368" s="5">
        <v>43623</v>
      </c>
      <c r="B1368">
        <v>107.739998</v>
      </c>
      <c r="C1368">
        <v>109.379997</v>
      </c>
      <c r="D1368">
        <v>107.739998</v>
      </c>
      <c r="E1368">
        <v>108.769997</v>
      </c>
      <c r="F1368">
        <v>96.668364999999994</v>
      </c>
      <c r="G1368">
        <v>8063400</v>
      </c>
      <c r="I1368">
        <f t="shared" si="22"/>
        <v>8.4486588778710103E-5</v>
      </c>
    </row>
    <row r="1369" spans="1:9" x14ac:dyDescent="0.3">
      <c r="A1369" s="5">
        <v>43626</v>
      </c>
      <c r="B1369">
        <v>108.32</v>
      </c>
      <c r="C1369">
        <v>109.019997</v>
      </c>
      <c r="D1369">
        <v>107.459999</v>
      </c>
      <c r="E1369">
        <v>108.720001</v>
      </c>
      <c r="F1369">
        <v>96.623924000000002</v>
      </c>
      <c r="G1369">
        <v>4767000</v>
      </c>
      <c r="I1369">
        <f t="shared" si="22"/>
        <v>1.1067020556825613E-4</v>
      </c>
    </row>
    <row r="1370" spans="1:9" x14ac:dyDescent="0.3">
      <c r="A1370" s="5">
        <v>43627</v>
      </c>
      <c r="B1370">
        <v>108.94000200000001</v>
      </c>
      <c r="C1370">
        <v>109.599998</v>
      </c>
      <c r="D1370">
        <v>108.870003</v>
      </c>
      <c r="E1370">
        <v>109.379997</v>
      </c>
      <c r="F1370">
        <v>97.210487000000001</v>
      </c>
      <c r="G1370">
        <v>8074400</v>
      </c>
      <c r="I1370">
        <f t="shared" si="22"/>
        <v>1.5140361239874511E-5</v>
      </c>
    </row>
    <row r="1371" spans="1:9" x14ac:dyDescent="0.3">
      <c r="A1371" s="5">
        <v>43628</v>
      </c>
      <c r="B1371">
        <v>109.599998</v>
      </c>
      <c r="C1371">
        <v>110.660004</v>
      </c>
      <c r="D1371">
        <v>109.58000199999999</v>
      </c>
      <c r="E1371">
        <v>109.68</v>
      </c>
      <c r="F1371">
        <v>97.477126999999996</v>
      </c>
      <c r="G1371">
        <v>7687800</v>
      </c>
      <c r="I1371">
        <f t="shared" si="22"/>
        <v>8.5786069092893267E-5</v>
      </c>
    </row>
    <row r="1372" spans="1:9" x14ac:dyDescent="0.3">
      <c r="A1372" s="5">
        <v>43629</v>
      </c>
      <c r="B1372">
        <v>109.980003</v>
      </c>
      <c r="C1372">
        <v>110.949997</v>
      </c>
      <c r="D1372">
        <v>109.860001</v>
      </c>
      <c r="E1372">
        <v>110.910004</v>
      </c>
      <c r="F1372">
        <v>98.570282000000006</v>
      </c>
      <c r="G1372">
        <v>8611400</v>
      </c>
      <c r="I1372">
        <f t="shared" si="22"/>
        <v>1.3550528047586858E-5</v>
      </c>
    </row>
    <row r="1373" spans="1:9" x14ac:dyDescent="0.3">
      <c r="A1373" s="5">
        <v>43630</v>
      </c>
      <c r="B1373">
        <v>110.970001</v>
      </c>
      <c r="C1373">
        <v>111.75</v>
      </c>
      <c r="D1373">
        <v>110.650002</v>
      </c>
      <c r="E1373">
        <v>111.199997</v>
      </c>
      <c r="F1373">
        <v>98.828002999999995</v>
      </c>
      <c r="G1373">
        <v>6438100</v>
      </c>
      <c r="I1373">
        <f t="shared" si="22"/>
        <v>4.8877100977200817E-5</v>
      </c>
    </row>
    <row r="1374" spans="1:9" x14ac:dyDescent="0.3">
      <c r="A1374" s="5">
        <v>43633</v>
      </c>
      <c r="B1374">
        <v>111.160004</v>
      </c>
      <c r="C1374">
        <v>111.209999</v>
      </c>
      <c r="D1374">
        <v>110.239998</v>
      </c>
      <c r="E1374">
        <v>110.989998</v>
      </c>
      <c r="F1374">
        <v>98.641388000000006</v>
      </c>
      <c r="G1374">
        <v>6020000</v>
      </c>
      <c r="I1374">
        <f t="shared" si="22"/>
        <v>5.7240480428910231E-5</v>
      </c>
    </row>
    <row r="1375" spans="1:9" x14ac:dyDescent="0.3">
      <c r="A1375" s="5">
        <v>43634</v>
      </c>
      <c r="B1375">
        <v>111.449997</v>
      </c>
      <c r="C1375">
        <v>111.55999799999999</v>
      </c>
      <c r="D1375">
        <v>109.43</v>
      </c>
      <c r="E1375">
        <v>109.599998</v>
      </c>
      <c r="F1375">
        <v>97.406036</v>
      </c>
      <c r="G1375">
        <v>7731200</v>
      </c>
      <c r="I1375">
        <f t="shared" si="22"/>
        <v>4.5878812527224299E-5</v>
      </c>
    </row>
    <row r="1376" spans="1:9" x14ac:dyDescent="0.3">
      <c r="A1376" s="5">
        <v>43635</v>
      </c>
      <c r="B1376">
        <v>109.5</v>
      </c>
      <c r="C1376">
        <v>110.730003</v>
      </c>
      <c r="D1376">
        <v>109.260002</v>
      </c>
      <c r="E1376">
        <v>110.41999800000001</v>
      </c>
      <c r="F1376">
        <v>98.134804000000003</v>
      </c>
      <c r="G1376">
        <v>7028000</v>
      </c>
      <c r="I1376">
        <f t="shared" si="22"/>
        <v>5.4489056419654789E-5</v>
      </c>
    </row>
    <row r="1377" spans="1:9" x14ac:dyDescent="0.3">
      <c r="A1377" s="5">
        <v>43636</v>
      </c>
      <c r="B1377">
        <v>110.779999</v>
      </c>
      <c r="C1377">
        <v>112.019997</v>
      </c>
      <c r="D1377">
        <v>110.5</v>
      </c>
      <c r="E1377">
        <v>111.739998</v>
      </c>
      <c r="F1377">
        <v>99.307945000000004</v>
      </c>
      <c r="G1377">
        <v>7044200</v>
      </c>
      <c r="I1377">
        <f t="shared" si="22"/>
        <v>5.6098507263778038E-5</v>
      </c>
    </row>
    <row r="1378" spans="1:9" x14ac:dyDescent="0.3">
      <c r="A1378" s="5">
        <v>43637</v>
      </c>
      <c r="B1378">
        <v>111.620003</v>
      </c>
      <c r="C1378">
        <v>112.470001</v>
      </c>
      <c r="D1378">
        <v>111.019997</v>
      </c>
      <c r="E1378">
        <v>111.199997</v>
      </c>
      <c r="F1378">
        <v>98.828002999999995</v>
      </c>
      <c r="G1378">
        <v>13799400</v>
      </c>
      <c r="I1378">
        <f t="shared" si="22"/>
        <v>9.4882622451046859E-5</v>
      </c>
    </row>
    <row r="1379" spans="1:9" x14ac:dyDescent="0.3">
      <c r="A1379" s="5">
        <v>43640</v>
      </c>
      <c r="B1379">
        <v>111.82</v>
      </c>
      <c r="C1379">
        <v>112.5</v>
      </c>
      <c r="D1379">
        <v>111.400002</v>
      </c>
      <c r="E1379">
        <v>112.33000199999999</v>
      </c>
      <c r="F1379">
        <v>99.832297999999994</v>
      </c>
      <c r="G1379">
        <v>5518100</v>
      </c>
      <c r="I1379">
        <f t="shared" si="22"/>
        <v>4.0453341303694027E-5</v>
      </c>
    </row>
    <row r="1380" spans="1:9" x14ac:dyDescent="0.3">
      <c r="A1380" s="5">
        <v>43641</v>
      </c>
      <c r="B1380">
        <v>112.110001</v>
      </c>
      <c r="C1380">
        <v>112.629997</v>
      </c>
      <c r="D1380">
        <v>111.30999799999999</v>
      </c>
      <c r="E1380">
        <v>111.720001</v>
      </c>
      <c r="F1380">
        <v>99.290169000000006</v>
      </c>
      <c r="G1380">
        <v>6805600</v>
      </c>
      <c r="I1380">
        <f t="shared" si="22"/>
        <v>6.3870457243130142E-5</v>
      </c>
    </row>
    <row r="1381" spans="1:9" x14ac:dyDescent="0.3">
      <c r="A1381" s="5">
        <v>43642</v>
      </c>
      <c r="B1381">
        <v>111.389999</v>
      </c>
      <c r="C1381">
        <v>111.44000200000001</v>
      </c>
      <c r="D1381">
        <v>109.660004</v>
      </c>
      <c r="E1381">
        <v>109.730003</v>
      </c>
      <c r="F1381">
        <v>97.521575999999996</v>
      </c>
      <c r="G1381">
        <v>7170300</v>
      </c>
      <c r="I1381">
        <f t="shared" si="22"/>
        <v>1.692847139702918E-5</v>
      </c>
    </row>
    <row r="1382" spans="1:9" x14ac:dyDescent="0.3">
      <c r="A1382" s="5">
        <v>43643</v>
      </c>
      <c r="B1382">
        <v>109.91999800000001</v>
      </c>
      <c r="C1382">
        <v>110.269997</v>
      </c>
      <c r="D1382">
        <v>109.290001</v>
      </c>
      <c r="E1382">
        <v>109.779999</v>
      </c>
      <c r="F1382">
        <v>97.566024999999996</v>
      </c>
      <c r="G1382">
        <v>5613300</v>
      </c>
      <c r="I1382">
        <f t="shared" si="22"/>
        <v>3.987096535724634E-5</v>
      </c>
    </row>
    <row r="1383" spans="1:9" x14ac:dyDescent="0.3">
      <c r="A1383" s="5">
        <v>43644</v>
      </c>
      <c r="B1383">
        <v>111.860001</v>
      </c>
      <c r="C1383">
        <v>111.959999</v>
      </c>
      <c r="D1383">
        <v>109.019997</v>
      </c>
      <c r="E1383">
        <v>109.650002</v>
      </c>
      <c r="F1383">
        <v>97.450469999999996</v>
      </c>
      <c r="G1383">
        <v>12152000</v>
      </c>
      <c r="I1383">
        <f t="shared" si="22"/>
        <v>1.6681342839770151E-4</v>
      </c>
    </row>
    <row r="1384" spans="1:9" x14ac:dyDescent="0.3">
      <c r="A1384" s="5">
        <v>43647</v>
      </c>
      <c r="B1384">
        <v>109.91999800000001</v>
      </c>
      <c r="C1384">
        <v>110.699997</v>
      </c>
      <c r="D1384">
        <v>109.610001</v>
      </c>
      <c r="E1384">
        <v>110.489998</v>
      </c>
      <c r="F1384">
        <v>98.197006000000002</v>
      </c>
      <c r="G1384">
        <v>6775900</v>
      </c>
      <c r="I1384">
        <f t="shared" si="22"/>
        <v>3.6009798948206245E-5</v>
      </c>
    </row>
    <row r="1385" spans="1:9" x14ac:dyDescent="0.3">
      <c r="A1385" s="5">
        <v>43648</v>
      </c>
      <c r="B1385">
        <v>110.610001</v>
      </c>
      <c r="C1385">
        <v>111.5</v>
      </c>
      <c r="D1385">
        <v>110.290001</v>
      </c>
      <c r="E1385">
        <v>111.480003</v>
      </c>
      <c r="F1385">
        <v>99.076851000000005</v>
      </c>
      <c r="G1385">
        <v>6578200</v>
      </c>
      <c r="I1385">
        <f t="shared" si="22"/>
        <v>3.2530486893865621E-5</v>
      </c>
    </row>
    <row r="1386" spans="1:9" x14ac:dyDescent="0.3">
      <c r="A1386" s="5">
        <v>43649</v>
      </c>
      <c r="B1386">
        <v>111.959999</v>
      </c>
      <c r="C1386">
        <v>114.269997</v>
      </c>
      <c r="D1386">
        <v>111.839996</v>
      </c>
      <c r="E1386">
        <v>114.08000199999999</v>
      </c>
      <c r="F1386">
        <v>101.38758900000001</v>
      </c>
      <c r="G1386">
        <v>6223300</v>
      </c>
      <c r="I1386">
        <f t="shared" si="22"/>
        <v>5.5250989598011312E-5</v>
      </c>
    </row>
    <row r="1387" spans="1:9" x14ac:dyDescent="0.3">
      <c r="A1387" s="5">
        <v>43651</v>
      </c>
      <c r="B1387">
        <v>112.970001</v>
      </c>
      <c r="C1387">
        <v>113.449997</v>
      </c>
      <c r="D1387">
        <v>112.230003</v>
      </c>
      <c r="E1387">
        <v>113.150002</v>
      </c>
      <c r="F1387">
        <v>100.561058</v>
      </c>
      <c r="G1387">
        <v>8694800</v>
      </c>
      <c r="I1387">
        <f t="shared" si="22"/>
        <v>6.4879835000267131E-5</v>
      </c>
    </row>
    <row r="1388" spans="1:9" x14ac:dyDescent="0.3">
      <c r="A1388" s="5">
        <v>43654</v>
      </c>
      <c r="B1388">
        <v>113.339996</v>
      </c>
      <c r="C1388">
        <v>114.230003</v>
      </c>
      <c r="D1388">
        <v>113.300003</v>
      </c>
      <c r="E1388">
        <v>114.050003</v>
      </c>
      <c r="F1388">
        <v>101.360947</v>
      </c>
      <c r="G1388">
        <v>5317800</v>
      </c>
      <c r="I1388">
        <f t="shared" si="22"/>
        <v>1.4663670593860591E-5</v>
      </c>
    </row>
    <row r="1389" spans="1:9" x14ac:dyDescent="0.3">
      <c r="A1389" s="5">
        <v>43655</v>
      </c>
      <c r="B1389">
        <v>113.900002</v>
      </c>
      <c r="C1389">
        <v>113.910004</v>
      </c>
      <c r="D1389">
        <v>112.32</v>
      </c>
      <c r="E1389">
        <v>112.910004</v>
      </c>
      <c r="F1389">
        <v>100.34775500000001</v>
      </c>
      <c r="G1389">
        <v>7537700</v>
      </c>
      <c r="I1389">
        <f t="shared" si="22"/>
        <v>7.3959497195601098E-5</v>
      </c>
    </row>
    <row r="1390" spans="1:9" x14ac:dyDescent="0.3">
      <c r="A1390" s="5">
        <v>43656</v>
      </c>
      <c r="B1390">
        <v>113.459999</v>
      </c>
      <c r="C1390">
        <v>114.5</v>
      </c>
      <c r="D1390">
        <v>113.400002</v>
      </c>
      <c r="E1390">
        <v>113.75</v>
      </c>
      <c r="F1390">
        <v>101.09429900000001</v>
      </c>
      <c r="G1390">
        <v>5600700</v>
      </c>
      <c r="I1390">
        <f t="shared" si="22"/>
        <v>6.1593928557711737E-5</v>
      </c>
    </row>
    <row r="1391" spans="1:9" x14ac:dyDescent="0.3">
      <c r="A1391" s="5">
        <v>43657</v>
      </c>
      <c r="B1391">
        <v>113.660004</v>
      </c>
      <c r="C1391">
        <v>114.400002</v>
      </c>
      <c r="D1391">
        <v>113.44000200000001</v>
      </c>
      <c r="E1391">
        <v>114.379997</v>
      </c>
      <c r="F1391">
        <v>101.654213</v>
      </c>
      <c r="G1391">
        <v>4625300</v>
      </c>
      <c r="I1391">
        <f t="shared" si="22"/>
        <v>1.7123343523222413E-5</v>
      </c>
    </row>
    <row r="1392" spans="1:9" x14ac:dyDescent="0.3">
      <c r="A1392" s="5">
        <v>43658</v>
      </c>
      <c r="B1392">
        <v>114.07</v>
      </c>
      <c r="C1392">
        <v>115.209999</v>
      </c>
      <c r="D1392">
        <v>114.07</v>
      </c>
      <c r="E1392">
        <v>114.989998</v>
      </c>
      <c r="F1392">
        <v>102.196342</v>
      </c>
      <c r="G1392">
        <v>7058600</v>
      </c>
      <c r="I1392">
        <f t="shared" si="22"/>
        <v>1.900733997824677E-5</v>
      </c>
    </row>
    <row r="1393" spans="1:9" x14ac:dyDescent="0.3">
      <c r="A1393" s="5">
        <v>43661</v>
      </c>
      <c r="B1393">
        <v>115.07</v>
      </c>
      <c r="C1393">
        <v>115.879997</v>
      </c>
      <c r="D1393">
        <v>114.790001</v>
      </c>
      <c r="E1393">
        <v>115.480003</v>
      </c>
      <c r="F1393">
        <v>102.63183600000001</v>
      </c>
      <c r="G1393">
        <v>6240700</v>
      </c>
      <c r="I1393">
        <f t="shared" si="22"/>
        <v>3.8855023991484194E-5</v>
      </c>
    </row>
    <row r="1394" spans="1:9" x14ac:dyDescent="0.3">
      <c r="A1394" s="5">
        <v>43662</v>
      </c>
      <c r="B1394">
        <v>115.720001</v>
      </c>
      <c r="C1394">
        <v>116.519997</v>
      </c>
      <c r="D1394">
        <v>115.449997</v>
      </c>
      <c r="E1394">
        <v>115.889999</v>
      </c>
      <c r="F1394">
        <v>102.996208</v>
      </c>
      <c r="G1394">
        <v>7644300</v>
      </c>
      <c r="I1394">
        <f t="shared" si="22"/>
        <v>4.6236570282801792E-5</v>
      </c>
    </row>
    <row r="1395" spans="1:9" x14ac:dyDescent="0.3">
      <c r="A1395" s="5">
        <v>43663</v>
      </c>
      <c r="B1395">
        <v>115.730003</v>
      </c>
      <c r="C1395">
        <v>116.290001</v>
      </c>
      <c r="D1395">
        <v>115.730003</v>
      </c>
      <c r="E1395">
        <v>115.94000200000001</v>
      </c>
      <c r="F1395">
        <v>103.040657</v>
      </c>
      <c r="G1395">
        <v>7861700</v>
      </c>
      <c r="I1395">
        <f t="shared" si="22"/>
        <v>1.4550257699826911E-5</v>
      </c>
    </row>
    <row r="1396" spans="1:9" x14ac:dyDescent="0.3">
      <c r="A1396" s="5">
        <v>43664</v>
      </c>
      <c r="B1396">
        <v>114.93</v>
      </c>
      <c r="C1396">
        <v>115.769997</v>
      </c>
      <c r="D1396">
        <v>114.790001</v>
      </c>
      <c r="E1396">
        <v>115.44000200000001</v>
      </c>
      <c r="F1396">
        <v>103.260696</v>
      </c>
      <c r="G1396">
        <v>5828700</v>
      </c>
      <c r="I1396">
        <f t="shared" si="22"/>
        <v>2.7669453798412946E-5</v>
      </c>
    </row>
    <row r="1397" spans="1:9" x14ac:dyDescent="0.3">
      <c r="A1397" s="5">
        <v>43665</v>
      </c>
      <c r="B1397">
        <v>115.5</v>
      </c>
      <c r="C1397">
        <v>115.949997</v>
      </c>
      <c r="D1397">
        <v>115.010002</v>
      </c>
      <c r="E1397">
        <v>115.010002</v>
      </c>
      <c r="F1397">
        <v>102.87606</v>
      </c>
      <c r="G1397">
        <v>6547000</v>
      </c>
      <c r="I1397">
        <f t="shared" si="22"/>
        <v>3.1652218132997126E-5</v>
      </c>
    </row>
    <row r="1398" spans="1:9" x14ac:dyDescent="0.3">
      <c r="A1398" s="5">
        <v>43668</v>
      </c>
      <c r="B1398">
        <v>115.040001</v>
      </c>
      <c r="C1398">
        <v>115.449997</v>
      </c>
      <c r="D1398">
        <v>114.58000199999999</v>
      </c>
      <c r="E1398">
        <v>115.300003</v>
      </c>
      <c r="F1398">
        <v>103.13545999999999</v>
      </c>
      <c r="G1398">
        <v>4018800</v>
      </c>
      <c r="I1398">
        <f t="shared" si="22"/>
        <v>2.9723202977199599E-5</v>
      </c>
    </row>
    <row r="1399" spans="1:9" x14ac:dyDescent="0.3">
      <c r="A1399" s="5">
        <v>43669</v>
      </c>
      <c r="B1399">
        <v>115.709999</v>
      </c>
      <c r="C1399">
        <v>116.050003</v>
      </c>
      <c r="D1399">
        <v>113.839996</v>
      </c>
      <c r="E1399">
        <v>113.849998</v>
      </c>
      <c r="F1399">
        <v>101.83844000000001</v>
      </c>
      <c r="G1399">
        <v>8194600</v>
      </c>
      <c r="I1399">
        <f t="shared" si="22"/>
        <v>5.7588440973835408E-5</v>
      </c>
    </row>
    <row r="1400" spans="1:9" x14ac:dyDescent="0.3">
      <c r="A1400" s="5">
        <v>43670</v>
      </c>
      <c r="B1400">
        <v>113.849998</v>
      </c>
      <c r="C1400">
        <v>113.879997</v>
      </c>
      <c r="D1400">
        <v>112.279999</v>
      </c>
      <c r="E1400">
        <v>112.599998</v>
      </c>
      <c r="F1400">
        <v>100.72032900000001</v>
      </c>
      <c r="G1400">
        <v>9635900</v>
      </c>
      <c r="I1400">
        <f t="shared" si="22"/>
        <v>4.2497071012368461E-5</v>
      </c>
    </row>
    <row r="1401" spans="1:9" x14ac:dyDescent="0.3">
      <c r="A1401" s="5">
        <v>43671</v>
      </c>
      <c r="B1401">
        <v>111.480003</v>
      </c>
      <c r="C1401">
        <v>112.980003</v>
      </c>
      <c r="D1401">
        <v>111.379997</v>
      </c>
      <c r="E1401">
        <v>112.769997</v>
      </c>
      <c r="F1401">
        <v>100.872383</v>
      </c>
      <c r="G1401">
        <v>7809400</v>
      </c>
      <c r="I1401">
        <f t="shared" si="22"/>
        <v>3.5998002790111068E-5</v>
      </c>
    </row>
    <row r="1402" spans="1:9" x14ac:dyDescent="0.3">
      <c r="A1402" s="5">
        <v>43672</v>
      </c>
      <c r="B1402">
        <v>113.209999</v>
      </c>
      <c r="C1402">
        <v>114.879997</v>
      </c>
      <c r="D1402">
        <v>112.879997</v>
      </c>
      <c r="E1402">
        <v>114.730003</v>
      </c>
      <c r="F1402">
        <v>102.625603</v>
      </c>
      <c r="G1402">
        <v>5559600</v>
      </c>
      <c r="I1402">
        <f t="shared" si="22"/>
        <v>6.6587547222908539E-5</v>
      </c>
    </row>
    <row r="1403" spans="1:9" x14ac:dyDescent="0.3">
      <c r="A1403" s="5">
        <v>43675</v>
      </c>
      <c r="B1403">
        <v>114.730003</v>
      </c>
      <c r="C1403">
        <v>116.209999</v>
      </c>
      <c r="D1403">
        <v>114.620003</v>
      </c>
      <c r="E1403">
        <v>116</v>
      </c>
      <c r="F1403">
        <v>103.76161999999999</v>
      </c>
      <c r="G1403">
        <v>7768700</v>
      </c>
      <c r="I1403">
        <f t="shared" si="22"/>
        <v>3.4662643594576587E-5</v>
      </c>
    </row>
    <row r="1404" spans="1:9" x14ac:dyDescent="0.3">
      <c r="A1404" s="5">
        <v>43676</v>
      </c>
      <c r="B1404">
        <v>119.82</v>
      </c>
      <c r="C1404">
        <v>121.760002</v>
      </c>
      <c r="D1404">
        <v>118.800003</v>
      </c>
      <c r="E1404">
        <v>120.410004</v>
      </c>
      <c r="F1404">
        <v>107.706329</v>
      </c>
      <c r="G1404">
        <v>18788800</v>
      </c>
      <c r="I1404">
        <f t="shared" si="22"/>
        <v>2.9415421643352386E-4</v>
      </c>
    </row>
    <row r="1405" spans="1:9" x14ac:dyDescent="0.3">
      <c r="A1405" s="5">
        <v>43677</v>
      </c>
      <c r="B1405">
        <v>119.660004</v>
      </c>
      <c r="C1405">
        <v>120.68</v>
      </c>
      <c r="D1405">
        <v>117.07</v>
      </c>
      <c r="E1405">
        <v>118.040001</v>
      </c>
      <c r="F1405">
        <v>105.586388</v>
      </c>
      <c r="G1405">
        <v>12641800</v>
      </c>
      <c r="I1405">
        <f t="shared" si="22"/>
        <v>3.683073707980405E-4</v>
      </c>
    </row>
    <row r="1406" spans="1:9" x14ac:dyDescent="0.3">
      <c r="A1406" s="5">
        <v>43678</v>
      </c>
      <c r="B1406">
        <v>118.55999799999999</v>
      </c>
      <c r="C1406">
        <v>119.16999800000001</v>
      </c>
      <c r="D1406">
        <v>116.730003</v>
      </c>
      <c r="E1406">
        <v>116.730003</v>
      </c>
      <c r="F1406">
        <v>104.41458900000001</v>
      </c>
      <c r="G1406">
        <v>11308600</v>
      </c>
      <c r="I1406">
        <f t="shared" si="22"/>
        <v>1.0616546797099641E-4</v>
      </c>
    </row>
    <row r="1407" spans="1:9" x14ac:dyDescent="0.3">
      <c r="A1407" s="5">
        <v>43679</v>
      </c>
      <c r="B1407">
        <v>116.510002</v>
      </c>
      <c r="C1407">
        <v>117.08000199999999</v>
      </c>
      <c r="D1407">
        <v>115.69000200000001</v>
      </c>
      <c r="E1407">
        <v>116.44000200000001</v>
      </c>
      <c r="F1407">
        <v>104.15519</v>
      </c>
      <c r="G1407">
        <v>12266100</v>
      </c>
      <c r="I1407">
        <f t="shared" si="22"/>
        <v>7.239082676684348E-5</v>
      </c>
    </row>
    <row r="1408" spans="1:9" x14ac:dyDescent="0.3">
      <c r="A1408" s="5">
        <v>43682</v>
      </c>
      <c r="B1408">
        <v>116.089996</v>
      </c>
      <c r="C1408">
        <v>116.300003</v>
      </c>
      <c r="D1408">
        <v>112.83000199999999</v>
      </c>
      <c r="E1408">
        <v>113.08000199999999</v>
      </c>
      <c r="F1408">
        <v>101.149689</v>
      </c>
      <c r="G1408">
        <v>12974800</v>
      </c>
      <c r="I1408">
        <f t="shared" si="22"/>
        <v>1.1378800948535817E-4</v>
      </c>
    </row>
    <row r="1409" spans="1:9" x14ac:dyDescent="0.3">
      <c r="A1409" s="5">
        <v>43683</v>
      </c>
      <c r="B1409">
        <v>113.650002</v>
      </c>
      <c r="C1409">
        <v>115</v>
      </c>
      <c r="D1409">
        <v>113.18</v>
      </c>
      <c r="E1409">
        <v>114.279999</v>
      </c>
      <c r="F1409">
        <v>102.223083</v>
      </c>
      <c r="G1409">
        <v>9490600</v>
      </c>
      <c r="I1409">
        <f t="shared" si="22"/>
        <v>1.1424646941298899E-4</v>
      </c>
    </row>
    <row r="1410" spans="1:9" x14ac:dyDescent="0.3">
      <c r="A1410" s="5">
        <v>43684</v>
      </c>
      <c r="B1410">
        <v>113.75</v>
      </c>
      <c r="C1410">
        <v>116.239998</v>
      </c>
      <c r="D1410">
        <v>112.68</v>
      </c>
      <c r="E1410">
        <v>115.519997</v>
      </c>
      <c r="F1410">
        <v>103.332245</v>
      </c>
      <c r="G1410">
        <v>9507600</v>
      </c>
      <c r="I1410">
        <f t="shared" si="22"/>
        <v>3.6979796986234711E-4</v>
      </c>
    </row>
    <row r="1411" spans="1:9" x14ac:dyDescent="0.3">
      <c r="A1411" s="5">
        <v>43685</v>
      </c>
      <c r="B1411">
        <v>115.519997</v>
      </c>
      <c r="C1411">
        <v>117.489998</v>
      </c>
      <c r="D1411">
        <v>115.339996</v>
      </c>
      <c r="E1411">
        <v>117.44000200000001</v>
      </c>
      <c r="F1411">
        <v>105.049706</v>
      </c>
      <c r="G1411">
        <v>7416600</v>
      </c>
      <c r="I1411">
        <f t="shared" si="22"/>
        <v>3.5333812743561073E-5</v>
      </c>
    </row>
    <row r="1412" spans="1:9" x14ac:dyDescent="0.3">
      <c r="A1412" s="5">
        <v>43686</v>
      </c>
      <c r="B1412">
        <v>117.620003</v>
      </c>
      <c r="C1412">
        <v>118.040001</v>
      </c>
      <c r="D1412">
        <v>115.849998</v>
      </c>
      <c r="E1412">
        <v>116.779999</v>
      </c>
      <c r="F1412">
        <v>104.459305</v>
      </c>
      <c r="G1412">
        <v>6939500</v>
      </c>
      <c r="I1412">
        <f t="shared" si="22"/>
        <v>1.5948873923499906E-4</v>
      </c>
    </row>
    <row r="1413" spans="1:9" x14ac:dyDescent="0.3">
      <c r="A1413" s="5">
        <v>43689</v>
      </c>
      <c r="B1413">
        <v>116.779999</v>
      </c>
      <c r="C1413">
        <v>117.66999800000001</v>
      </c>
      <c r="D1413">
        <v>115.589996</v>
      </c>
      <c r="E1413">
        <v>116.029999</v>
      </c>
      <c r="F1413">
        <v>103.788445</v>
      </c>
      <c r="G1413">
        <v>4996200</v>
      </c>
      <c r="I1413">
        <f t="shared" si="22"/>
        <v>1.4547433410275253E-4</v>
      </c>
    </row>
    <row r="1414" spans="1:9" x14ac:dyDescent="0.3">
      <c r="A1414" s="5">
        <v>43690</v>
      </c>
      <c r="B1414">
        <v>116.510002</v>
      </c>
      <c r="C1414">
        <v>118.07</v>
      </c>
      <c r="D1414">
        <v>116.339996</v>
      </c>
      <c r="E1414">
        <v>117.25</v>
      </c>
      <c r="F1414">
        <v>104.879738</v>
      </c>
      <c r="G1414">
        <v>6722000</v>
      </c>
      <c r="I1414">
        <f t="shared" si="22"/>
        <v>1.0407228442622029E-4</v>
      </c>
    </row>
    <row r="1415" spans="1:9" x14ac:dyDescent="0.3">
      <c r="A1415" s="5">
        <v>43691</v>
      </c>
      <c r="B1415">
        <v>116.459999</v>
      </c>
      <c r="C1415">
        <v>117.94000200000001</v>
      </c>
      <c r="D1415">
        <v>115.660004</v>
      </c>
      <c r="E1415">
        <v>115.790001</v>
      </c>
      <c r="F1415">
        <v>103.573784</v>
      </c>
      <c r="G1415">
        <v>10148300</v>
      </c>
      <c r="I1415">
        <f t="shared" si="22"/>
        <v>2.4007407799307175E-4</v>
      </c>
    </row>
    <row r="1416" spans="1:9" x14ac:dyDescent="0.3">
      <c r="A1416" s="5">
        <v>43692</v>
      </c>
      <c r="B1416">
        <v>116.800003</v>
      </c>
      <c r="C1416">
        <v>118.089996</v>
      </c>
      <c r="D1416">
        <v>116.44000200000001</v>
      </c>
      <c r="E1416">
        <v>117.389999</v>
      </c>
      <c r="F1416">
        <v>105.004959</v>
      </c>
      <c r="G1416">
        <v>7758000</v>
      </c>
      <c r="I1416">
        <f t="shared" si="22"/>
        <v>9.0385964541105673E-5</v>
      </c>
    </row>
    <row r="1417" spans="1:9" x14ac:dyDescent="0.3">
      <c r="A1417" s="5">
        <v>43693</v>
      </c>
      <c r="B1417">
        <v>118.05999799999999</v>
      </c>
      <c r="C1417">
        <v>119.540001</v>
      </c>
      <c r="D1417">
        <v>117.599998</v>
      </c>
      <c r="E1417">
        <v>119.18</v>
      </c>
      <c r="F1417">
        <v>106.60612500000001</v>
      </c>
      <c r="G1417">
        <v>8302400</v>
      </c>
      <c r="I1417">
        <f t="shared" si="22"/>
        <v>8.9676489946039997E-5</v>
      </c>
    </row>
    <row r="1418" spans="1:9" x14ac:dyDescent="0.3">
      <c r="A1418" s="5">
        <v>43696</v>
      </c>
      <c r="B1418">
        <v>119.970001</v>
      </c>
      <c r="C1418">
        <v>120.449997</v>
      </c>
      <c r="D1418">
        <v>119.110001</v>
      </c>
      <c r="E1418">
        <v>120.239998</v>
      </c>
      <c r="F1418">
        <v>107.554283</v>
      </c>
      <c r="G1418">
        <v>5867100</v>
      </c>
      <c r="I1418">
        <f t="shared" si="22"/>
        <v>7.4898056038858707E-5</v>
      </c>
    </row>
    <row r="1419" spans="1:9" x14ac:dyDescent="0.3">
      <c r="A1419" s="5">
        <v>43697</v>
      </c>
      <c r="B1419">
        <v>120.050003</v>
      </c>
      <c r="C1419">
        <v>120.260002</v>
      </c>
      <c r="D1419">
        <v>118.790001</v>
      </c>
      <c r="E1419">
        <v>118.900002</v>
      </c>
      <c r="F1419">
        <v>106.355659</v>
      </c>
      <c r="G1419">
        <v>6744300</v>
      </c>
      <c r="I1419">
        <f t="shared" si="22"/>
        <v>2.964338019605282E-5</v>
      </c>
    </row>
    <row r="1420" spans="1:9" x14ac:dyDescent="0.3">
      <c r="A1420" s="5">
        <v>43698</v>
      </c>
      <c r="B1420">
        <v>119.269997</v>
      </c>
      <c r="C1420">
        <v>119.650002</v>
      </c>
      <c r="D1420">
        <v>118.68</v>
      </c>
      <c r="E1420">
        <v>119.199997</v>
      </c>
      <c r="F1420">
        <v>106.623993</v>
      </c>
      <c r="G1420">
        <v>4037400</v>
      </c>
      <c r="I1420">
        <f t="shared" ref="I1420:I1483" si="23">LN(C1420/B1420)*(LN(C1420/B1420)-LN(E1420/B1420))+LN(D1420/B1420)*(LN(D1420/B1420)-LN(E1420/B1420))</f>
        <v>3.3666892487848944E-5</v>
      </c>
    </row>
    <row r="1421" spans="1:9" x14ac:dyDescent="0.3">
      <c r="A1421" s="5">
        <v>43699</v>
      </c>
      <c r="B1421">
        <v>119.08000199999999</v>
      </c>
      <c r="C1421">
        <v>119.790001</v>
      </c>
      <c r="D1421">
        <v>118.699997</v>
      </c>
      <c r="E1421">
        <v>119.41999800000001</v>
      </c>
      <c r="F1421">
        <v>106.820801</v>
      </c>
      <c r="G1421">
        <v>4558400</v>
      </c>
      <c r="I1421">
        <f t="shared" si="23"/>
        <v>3.7719238355789989E-5</v>
      </c>
    </row>
    <row r="1422" spans="1:9" x14ac:dyDescent="0.3">
      <c r="A1422" s="5">
        <v>43700</v>
      </c>
      <c r="B1422">
        <v>119.139999</v>
      </c>
      <c r="C1422">
        <v>120.110001</v>
      </c>
      <c r="D1422">
        <v>116.43</v>
      </c>
      <c r="E1422">
        <v>117.32</v>
      </c>
      <c r="F1422">
        <v>104.942352</v>
      </c>
      <c r="G1422">
        <v>7336800</v>
      </c>
      <c r="I1422">
        <f t="shared" si="23"/>
        <v>3.6579157377792E-4</v>
      </c>
    </row>
    <row r="1423" spans="1:9" x14ac:dyDescent="0.3">
      <c r="A1423" s="5">
        <v>43703</v>
      </c>
      <c r="B1423">
        <v>117.75</v>
      </c>
      <c r="C1423">
        <v>119.599998</v>
      </c>
      <c r="D1423">
        <v>117.220001</v>
      </c>
      <c r="E1423">
        <v>119.32</v>
      </c>
      <c r="F1423">
        <v>106.731346</v>
      </c>
      <c r="G1423">
        <v>5661500</v>
      </c>
      <c r="I1423">
        <f t="shared" si="23"/>
        <v>1.1664181808014376E-4</v>
      </c>
    </row>
    <row r="1424" spans="1:9" x14ac:dyDescent="0.3">
      <c r="A1424" s="5">
        <v>43704</v>
      </c>
      <c r="B1424">
        <v>119.989998</v>
      </c>
      <c r="C1424">
        <v>121.050003</v>
      </c>
      <c r="D1424">
        <v>119.779999</v>
      </c>
      <c r="E1424">
        <v>120.550003</v>
      </c>
      <c r="F1424">
        <v>107.831581</v>
      </c>
      <c r="G1424">
        <v>6996300</v>
      </c>
      <c r="I1424">
        <f t="shared" si="23"/>
        <v>4.7629067309181104E-5</v>
      </c>
    </row>
    <row r="1425" spans="1:9" x14ac:dyDescent="0.3">
      <c r="A1425" s="5">
        <v>43705</v>
      </c>
      <c r="B1425">
        <v>120.459999</v>
      </c>
      <c r="C1425">
        <v>121.43</v>
      </c>
      <c r="D1425">
        <v>119.629997</v>
      </c>
      <c r="E1425">
        <v>121.400002</v>
      </c>
      <c r="F1425">
        <v>108.59189600000001</v>
      </c>
      <c r="G1425">
        <v>4600300</v>
      </c>
      <c r="I1425">
        <f t="shared" si="23"/>
        <v>1.0353110546148477E-4</v>
      </c>
    </row>
    <row r="1426" spans="1:9" x14ac:dyDescent="0.3">
      <c r="A1426" s="5">
        <v>43706</v>
      </c>
      <c r="B1426">
        <v>121.790001</v>
      </c>
      <c r="C1426">
        <v>122</v>
      </c>
      <c r="D1426">
        <v>120.32</v>
      </c>
      <c r="E1426">
        <v>121.18</v>
      </c>
      <c r="F1426">
        <v>108.39510300000001</v>
      </c>
      <c r="G1426">
        <v>5011500</v>
      </c>
      <c r="I1426">
        <f t="shared" si="23"/>
        <v>9.810598113337204E-5</v>
      </c>
    </row>
    <row r="1427" spans="1:9" x14ac:dyDescent="0.3">
      <c r="A1427" s="5">
        <v>43707</v>
      </c>
      <c r="B1427">
        <v>121.959999</v>
      </c>
      <c r="C1427">
        <v>122</v>
      </c>
      <c r="D1427">
        <v>119.510002</v>
      </c>
      <c r="E1427">
        <v>120.230003</v>
      </c>
      <c r="F1427">
        <v>107.545334</v>
      </c>
      <c r="G1427">
        <v>6007100</v>
      </c>
      <c r="I1427">
        <f t="shared" si="23"/>
        <v>1.2668339167577026E-4</v>
      </c>
    </row>
    <row r="1428" spans="1:9" x14ac:dyDescent="0.3">
      <c r="A1428" s="5">
        <v>43711</v>
      </c>
      <c r="B1428">
        <v>119.790001</v>
      </c>
      <c r="C1428">
        <v>121.540001</v>
      </c>
      <c r="D1428">
        <v>119.629997</v>
      </c>
      <c r="E1428">
        <v>121.360001</v>
      </c>
      <c r="F1428">
        <v>108.556107</v>
      </c>
      <c r="G1428">
        <v>4959300</v>
      </c>
      <c r="I1428">
        <f t="shared" si="23"/>
        <v>4.0685584831017796E-5</v>
      </c>
    </row>
    <row r="1429" spans="1:9" x14ac:dyDescent="0.3">
      <c r="A1429" s="5">
        <v>43712</v>
      </c>
      <c r="B1429">
        <v>121.849998</v>
      </c>
      <c r="C1429">
        <v>123.279999</v>
      </c>
      <c r="D1429">
        <v>121.459999</v>
      </c>
      <c r="E1429">
        <v>123.209999</v>
      </c>
      <c r="F1429">
        <v>110.210938</v>
      </c>
      <c r="G1429">
        <v>5586900</v>
      </c>
      <c r="I1429">
        <f t="shared" si="23"/>
        <v>5.2486223858670105E-5</v>
      </c>
    </row>
    <row r="1430" spans="1:9" x14ac:dyDescent="0.3">
      <c r="A1430" s="5">
        <v>43713</v>
      </c>
      <c r="B1430">
        <v>123.239998</v>
      </c>
      <c r="C1430">
        <v>123.43</v>
      </c>
      <c r="D1430">
        <v>122.18</v>
      </c>
      <c r="E1430">
        <v>122.760002</v>
      </c>
      <c r="F1430">
        <v>109.808426</v>
      </c>
      <c r="G1430">
        <v>7491900</v>
      </c>
      <c r="I1430">
        <f t="shared" si="23"/>
        <v>4.9294954276032427E-5</v>
      </c>
    </row>
    <row r="1431" spans="1:9" x14ac:dyDescent="0.3">
      <c r="A1431" s="5">
        <v>43714</v>
      </c>
      <c r="B1431">
        <v>123</v>
      </c>
      <c r="C1431">
        <v>123.379997</v>
      </c>
      <c r="D1431">
        <v>122.540001</v>
      </c>
      <c r="E1431">
        <v>122.870003</v>
      </c>
      <c r="F1431">
        <v>109.90683</v>
      </c>
      <c r="G1431">
        <v>5306900</v>
      </c>
      <c r="I1431">
        <f t="shared" si="23"/>
        <v>2.2853602819626013E-5</v>
      </c>
    </row>
    <row r="1432" spans="1:9" x14ac:dyDescent="0.3">
      <c r="A1432" s="5">
        <v>43717</v>
      </c>
      <c r="B1432">
        <v>122.709999</v>
      </c>
      <c r="C1432">
        <v>122.779999</v>
      </c>
      <c r="D1432">
        <v>121.779999</v>
      </c>
      <c r="E1432">
        <v>122.16999800000001</v>
      </c>
      <c r="F1432">
        <v>109.280663</v>
      </c>
      <c r="G1432">
        <v>7662400</v>
      </c>
      <c r="I1432">
        <f t="shared" si="23"/>
        <v>2.7165063276368671E-5</v>
      </c>
    </row>
    <row r="1433" spans="1:9" x14ac:dyDescent="0.3">
      <c r="A1433" s="5">
        <v>43718</v>
      </c>
      <c r="B1433">
        <v>121.029999</v>
      </c>
      <c r="C1433">
        <v>121.18</v>
      </c>
      <c r="D1433">
        <v>119.58000199999999</v>
      </c>
      <c r="E1433">
        <v>119.879997</v>
      </c>
      <c r="F1433">
        <v>107.23226200000001</v>
      </c>
      <c r="G1433">
        <v>9582200</v>
      </c>
      <c r="I1433">
        <f t="shared" si="23"/>
        <v>4.3558870236078991E-5</v>
      </c>
    </row>
    <row r="1434" spans="1:9" x14ac:dyDescent="0.3">
      <c r="A1434" s="5">
        <v>43719</v>
      </c>
      <c r="B1434">
        <v>119.860001</v>
      </c>
      <c r="C1434">
        <v>121.339996</v>
      </c>
      <c r="D1434">
        <v>119.360001</v>
      </c>
      <c r="E1434">
        <v>121.269997</v>
      </c>
      <c r="F1434">
        <v>108.475616</v>
      </c>
      <c r="G1434">
        <v>7565500</v>
      </c>
      <c r="I1434">
        <f t="shared" si="23"/>
        <v>7.3444440543658164E-5</v>
      </c>
    </row>
    <row r="1435" spans="1:9" x14ac:dyDescent="0.3">
      <c r="A1435" s="5">
        <v>43720</v>
      </c>
      <c r="B1435">
        <v>122.650002</v>
      </c>
      <c r="C1435">
        <v>123.209999</v>
      </c>
      <c r="D1435">
        <v>121.620003</v>
      </c>
      <c r="E1435">
        <v>122.769997</v>
      </c>
      <c r="F1435">
        <v>109.817352</v>
      </c>
      <c r="G1435">
        <v>6194300</v>
      </c>
      <c r="I1435">
        <f t="shared" si="23"/>
        <v>9.5665076121148271E-5</v>
      </c>
    </row>
    <row r="1436" spans="1:9" x14ac:dyDescent="0.3">
      <c r="A1436" s="5">
        <v>43721</v>
      </c>
      <c r="B1436">
        <v>121.82</v>
      </c>
      <c r="C1436">
        <v>122.58000199999999</v>
      </c>
      <c r="D1436">
        <v>121.5</v>
      </c>
      <c r="E1436">
        <v>122.120003</v>
      </c>
      <c r="F1436">
        <v>109.235939</v>
      </c>
      <c r="G1436">
        <v>6777400</v>
      </c>
      <c r="I1436">
        <f t="shared" si="23"/>
        <v>3.6770851914826852E-5</v>
      </c>
    </row>
    <row r="1437" spans="1:9" x14ac:dyDescent="0.3">
      <c r="A1437" s="5">
        <v>43724</v>
      </c>
      <c r="B1437">
        <v>121.80999799999999</v>
      </c>
      <c r="C1437">
        <v>121.959999</v>
      </c>
      <c r="D1437">
        <v>119.019997</v>
      </c>
      <c r="E1437">
        <v>119.75</v>
      </c>
      <c r="F1437">
        <v>107.11599</v>
      </c>
      <c r="G1437">
        <v>9626700</v>
      </c>
      <c r="I1437">
        <f t="shared" si="23"/>
        <v>1.6418878873901663E-4</v>
      </c>
    </row>
    <row r="1438" spans="1:9" x14ac:dyDescent="0.3">
      <c r="A1438" s="5">
        <v>43725</v>
      </c>
      <c r="B1438">
        <v>119.629997</v>
      </c>
      <c r="C1438">
        <v>121.989998</v>
      </c>
      <c r="D1438">
        <v>119.44000200000001</v>
      </c>
      <c r="E1438">
        <v>121.160004</v>
      </c>
      <c r="F1438">
        <v>108.37721999999999</v>
      </c>
      <c r="G1438">
        <v>6377100</v>
      </c>
      <c r="I1438">
        <f t="shared" si="23"/>
        <v>1.5609491256406713E-4</v>
      </c>
    </row>
    <row r="1439" spans="1:9" x14ac:dyDescent="0.3">
      <c r="A1439" s="5">
        <v>43726</v>
      </c>
      <c r="B1439">
        <v>121.269997</v>
      </c>
      <c r="C1439">
        <v>121.959999</v>
      </c>
      <c r="D1439">
        <v>120.769997</v>
      </c>
      <c r="E1439">
        <v>121.410004</v>
      </c>
      <c r="F1439">
        <v>108.60086099999999</v>
      </c>
      <c r="G1439">
        <v>5684200</v>
      </c>
      <c r="I1439">
        <f t="shared" si="23"/>
        <v>4.7480958946597171E-5</v>
      </c>
    </row>
    <row r="1440" spans="1:9" x14ac:dyDescent="0.3">
      <c r="A1440" s="5">
        <v>43727</v>
      </c>
      <c r="B1440">
        <v>121.389999</v>
      </c>
      <c r="C1440">
        <v>122.230003</v>
      </c>
      <c r="D1440">
        <v>121.239998</v>
      </c>
      <c r="E1440">
        <v>121.900002</v>
      </c>
      <c r="F1440">
        <v>109.039154</v>
      </c>
      <c r="G1440">
        <v>4525800</v>
      </c>
      <c r="I1440">
        <f t="shared" si="23"/>
        <v>2.5356129885374438E-5</v>
      </c>
    </row>
    <row r="1441" spans="1:9" x14ac:dyDescent="0.3">
      <c r="A1441" s="5">
        <v>43728</v>
      </c>
      <c r="B1441">
        <v>122.129997</v>
      </c>
      <c r="C1441">
        <v>122.599998</v>
      </c>
      <c r="D1441">
        <v>121.75</v>
      </c>
      <c r="E1441">
        <v>122.239998</v>
      </c>
      <c r="F1441">
        <v>109.34328499999999</v>
      </c>
      <c r="G1441">
        <v>15362000</v>
      </c>
      <c r="I1441">
        <f t="shared" si="23"/>
        <v>2.3811788136928902E-5</v>
      </c>
    </row>
    <row r="1442" spans="1:9" x14ac:dyDescent="0.3">
      <c r="A1442" s="5">
        <v>43731</v>
      </c>
      <c r="B1442">
        <v>122.199997</v>
      </c>
      <c r="C1442">
        <v>123.769997</v>
      </c>
      <c r="D1442">
        <v>121.970001</v>
      </c>
      <c r="E1442">
        <v>123.220001</v>
      </c>
      <c r="F1442">
        <v>110.219864</v>
      </c>
      <c r="G1442">
        <v>6060400</v>
      </c>
      <c r="I1442">
        <f t="shared" si="23"/>
        <v>7.6063178613167774E-5</v>
      </c>
    </row>
    <row r="1443" spans="1:9" x14ac:dyDescent="0.3">
      <c r="A1443" s="5">
        <v>43732</v>
      </c>
      <c r="B1443">
        <v>123.699997</v>
      </c>
      <c r="C1443">
        <v>124.730003</v>
      </c>
      <c r="D1443">
        <v>123.360001</v>
      </c>
      <c r="E1443">
        <v>123.610001</v>
      </c>
      <c r="F1443">
        <v>110.568741</v>
      </c>
      <c r="G1443">
        <v>7633200</v>
      </c>
      <c r="I1443">
        <f t="shared" si="23"/>
        <v>8.0367329879715813E-5</v>
      </c>
    </row>
    <row r="1444" spans="1:9" x14ac:dyDescent="0.3">
      <c r="A1444" s="5">
        <v>43733</v>
      </c>
      <c r="B1444">
        <v>123.55999799999999</v>
      </c>
      <c r="C1444">
        <v>123.83000199999999</v>
      </c>
      <c r="D1444">
        <v>122.949997</v>
      </c>
      <c r="E1444">
        <v>123.019997</v>
      </c>
      <c r="F1444">
        <v>110.04098500000001</v>
      </c>
      <c r="G1444">
        <v>5812600</v>
      </c>
      <c r="I1444">
        <f t="shared" si="23"/>
        <v>1.7142229561761367E-5</v>
      </c>
    </row>
    <row r="1445" spans="1:9" x14ac:dyDescent="0.3">
      <c r="A1445" s="5">
        <v>43734</v>
      </c>
      <c r="B1445">
        <v>123.639999</v>
      </c>
      <c r="C1445">
        <v>125</v>
      </c>
      <c r="D1445">
        <v>123.529999</v>
      </c>
      <c r="E1445">
        <v>124.30999799999999</v>
      </c>
      <c r="F1445">
        <v>111.194878</v>
      </c>
      <c r="G1445">
        <v>6984800</v>
      </c>
      <c r="I1445">
        <f t="shared" si="23"/>
        <v>6.6156695871570458E-5</v>
      </c>
    </row>
    <row r="1446" spans="1:9" x14ac:dyDescent="0.3">
      <c r="A1446" s="5">
        <v>43735</v>
      </c>
      <c r="B1446">
        <v>124.410004</v>
      </c>
      <c r="C1446">
        <v>124.879997</v>
      </c>
      <c r="D1446">
        <v>123.720001</v>
      </c>
      <c r="E1446">
        <v>124.57</v>
      </c>
      <c r="F1446">
        <v>111.427452</v>
      </c>
      <c r="G1446">
        <v>5589800</v>
      </c>
      <c r="I1446">
        <f t="shared" si="23"/>
        <v>4.7451476691542356E-5</v>
      </c>
    </row>
    <row r="1447" spans="1:9" x14ac:dyDescent="0.3">
      <c r="A1447" s="5">
        <v>43738</v>
      </c>
      <c r="B1447">
        <v>124.57</v>
      </c>
      <c r="C1447">
        <v>125.360001</v>
      </c>
      <c r="D1447">
        <v>124.129997</v>
      </c>
      <c r="E1447">
        <v>124.379997</v>
      </c>
      <c r="F1447">
        <v>111.257492</v>
      </c>
      <c r="G1447">
        <v>5206900</v>
      </c>
      <c r="I1447">
        <f t="shared" si="23"/>
        <v>5.673425040588511E-5</v>
      </c>
    </row>
    <row r="1448" spans="1:9" x14ac:dyDescent="0.3">
      <c r="A1448" s="5">
        <v>43739</v>
      </c>
      <c r="B1448">
        <v>124.360001</v>
      </c>
      <c r="C1448">
        <v>124.639999</v>
      </c>
      <c r="D1448">
        <v>123.199997</v>
      </c>
      <c r="E1448">
        <v>123.849998</v>
      </c>
      <c r="F1448">
        <v>110.78340900000001</v>
      </c>
      <c r="G1448">
        <v>5415700</v>
      </c>
      <c r="I1448">
        <f t="shared" si="23"/>
        <v>6.3614239293554757E-5</v>
      </c>
    </row>
    <row r="1449" spans="1:9" x14ac:dyDescent="0.3">
      <c r="A1449" s="5">
        <v>43740</v>
      </c>
      <c r="B1449">
        <v>123.199997</v>
      </c>
      <c r="C1449">
        <v>123.650002</v>
      </c>
      <c r="D1449">
        <v>120.209999</v>
      </c>
      <c r="E1449">
        <v>121.08000199999999</v>
      </c>
      <c r="F1449">
        <v>108.30566399999999</v>
      </c>
      <c r="G1449">
        <v>6755100</v>
      </c>
      <c r="I1449">
        <f t="shared" si="23"/>
        <v>2.537514847460072E-4</v>
      </c>
    </row>
    <row r="1450" spans="1:9" x14ac:dyDescent="0.3">
      <c r="A1450" s="5">
        <v>43741</v>
      </c>
      <c r="B1450">
        <v>121.66999800000001</v>
      </c>
      <c r="C1450">
        <v>122.540001</v>
      </c>
      <c r="D1450">
        <v>120.839996</v>
      </c>
      <c r="E1450">
        <v>121.739998</v>
      </c>
      <c r="F1450">
        <v>108.896027</v>
      </c>
      <c r="G1450">
        <v>5171000</v>
      </c>
      <c r="I1450">
        <f t="shared" si="23"/>
        <v>9.7461302982452625E-5</v>
      </c>
    </row>
    <row r="1451" spans="1:9" x14ac:dyDescent="0.3">
      <c r="A1451" s="5">
        <v>43742</v>
      </c>
      <c r="B1451">
        <v>122.19000200000001</v>
      </c>
      <c r="C1451">
        <v>124.05999799999999</v>
      </c>
      <c r="D1451">
        <v>121.989998</v>
      </c>
      <c r="E1451">
        <v>124</v>
      </c>
      <c r="F1451">
        <v>110.917587</v>
      </c>
      <c r="G1451">
        <v>4377900</v>
      </c>
      <c r="I1451">
        <f t="shared" si="23"/>
        <v>3.4118835695348278E-5</v>
      </c>
    </row>
    <row r="1452" spans="1:9" x14ac:dyDescent="0.3">
      <c r="A1452" s="5">
        <v>43745</v>
      </c>
      <c r="B1452">
        <v>123.529999</v>
      </c>
      <c r="C1452">
        <v>123.889999</v>
      </c>
      <c r="D1452">
        <v>122.68</v>
      </c>
      <c r="E1452">
        <v>122.839996</v>
      </c>
      <c r="F1452">
        <v>109.879974</v>
      </c>
      <c r="G1452">
        <v>4749700</v>
      </c>
      <c r="I1452">
        <f t="shared" si="23"/>
        <v>3.3767523820939746E-5</v>
      </c>
    </row>
    <row r="1453" spans="1:9" x14ac:dyDescent="0.3">
      <c r="A1453" s="5">
        <v>43746</v>
      </c>
      <c r="B1453">
        <v>122.660004</v>
      </c>
      <c r="C1453">
        <v>122.93</v>
      </c>
      <c r="D1453">
        <v>120.879997</v>
      </c>
      <c r="E1453">
        <v>120.93</v>
      </c>
      <c r="F1453">
        <v>108.171486</v>
      </c>
      <c r="G1453">
        <v>5545300</v>
      </c>
      <c r="I1453">
        <f t="shared" si="23"/>
        <v>4.2112285423379179E-5</v>
      </c>
    </row>
    <row r="1454" spans="1:9" x14ac:dyDescent="0.3">
      <c r="A1454" s="5">
        <v>43747</v>
      </c>
      <c r="B1454">
        <v>121.80999799999999</v>
      </c>
      <c r="C1454">
        <v>122.389999</v>
      </c>
      <c r="D1454">
        <v>121.43</v>
      </c>
      <c r="E1454">
        <v>121.980003</v>
      </c>
      <c r="F1454">
        <v>109.11071800000001</v>
      </c>
      <c r="G1454">
        <v>3775600</v>
      </c>
      <c r="I1454">
        <f t="shared" si="23"/>
        <v>3.0059527714335031E-5</v>
      </c>
    </row>
    <row r="1455" spans="1:9" x14ac:dyDescent="0.3">
      <c r="A1455" s="5">
        <v>43748</v>
      </c>
      <c r="B1455">
        <v>121.33000199999999</v>
      </c>
      <c r="C1455">
        <v>122.19000200000001</v>
      </c>
      <c r="D1455">
        <v>120.800003</v>
      </c>
      <c r="E1455">
        <v>121.94000200000001</v>
      </c>
      <c r="F1455">
        <v>109.074928</v>
      </c>
      <c r="G1455">
        <v>3943400</v>
      </c>
      <c r="I1455">
        <f t="shared" si="23"/>
        <v>5.5585902434562195E-5</v>
      </c>
    </row>
    <row r="1456" spans="1:9" x14ac:dyDescent="0.3">
      <c r="A1456" s="5">
        <v>43749</v>
      </c>
      <c r="B1456">
        <v>122.040001</v>
      </c>
      <c r="C1456">
        <v>122.05999799999999</v>
      </c>
      <c r="D1456">
        <v>120.82</v>
      </c>
      <c r="E1456">
        <v>121.089996</v>
      </c>
      <c r="F1456">
        <v>108.314598</v>
      </c>
      <c r="G1456">
        <v>6292200</v>
      </c>
      <c r="I1456">
        <f t="shared" si="23"/>
        <v>2.3734265403958464E-5</v>
      </c>
    </row>
    <row r="1457" spans="1:9" x14ac:dyDescent="0.3">
      <c r="A1457" s="5">
        <v>43752</v>
      </c>
      <c r="B1457">
        <v>121.620003</v>
      </c>
      <c r="C1457">
        <v>121.620003</v>
      </c>
      <c r="D1457">
        <v>119.58000199999999</v>
      </c>
      <c r="E1457">
        <v>120.050003</v>
      </c>
      <c r="F1457">
        <v>107.384331</v>
      </c>
      <c r="G1457">
        <v>7360200</v>
      </c>
      <c r="I1457">
        <f t="shared" si="23"/>
        <v>6.6356207570083015E-5</v>
      </c>
    </row>
    <row r="1458" spans="1:9" x14ac:dyDescent="0.3">
      <c r="A1458" s="5">
        <v>43753</v>
      </c>
      <c r="B1458">
        <v>120.19000200000001</v>
      </c>
      <c r="C1458">
        <v>120.55999799999999</v>
      </c>
      <c r="D1458">
        <v>116.699997</v>
      </c>
      <c r="E1458">
        <v>117.199997</v>
      </c>
      <c r="F1458">
        <v>104.834999</v>
      </c>
      <c r="G1458">
        <v>11113900</v>
      </c>
      <c r="I1458">
        <f t="shared" si="23"/>
        <v>2.1286294011700537E-4</v>
      </c>
    </row>
    <row r="1459" spans="1:9" x14ac:dyDescent="0.3">
      <c r="A1459" s="5">
        <v>43754</v>
      </c>
      <c r="B1459">
        <v>117.66999800000001</v>
      </c>
      <c r="C1459">
        <v>117.769997</v>
      </c>
      <c r="D1459">
        <v>116.510002</v>
      </c>
      <c r="E1459">
        <v>117.529999</v>
      </c>
      <c r="F1459">
        <v>105.130196</v>
      </c>
      <c r="G1459">
        <v>7973100</v>
      </c>
      <c r="I1459">
        <f t="shared" si="23"/>
        <v>8.8086717429275543E-5</v>
      </c>
    </row>
    <row r="1460" spans="1:9" x14ac:dyDescent="0.3">
      <c r="A1460" s="5">
        <v>43755</v>
      </c>
      <c r="B1460">
        <v>117.30999799999999</v>
      </c>
      <c r="C1460">
        <v>117.639999</v>
      </c>
      <c r="D1460">
        <v>116.550003</v>
      </c>
      <c r="E1460">
        <v>116.629997</v>
      </c>
      <c r="F1460">
        <v>104.991562</v>
      </c>
      <c r="G1460">
        <v>5956900</v>
      </c>
      <c r="I1460">
        <f t="shared" si="23"/>
        <v>2.8681369345484056E-5</v>
      </c>
    </row>
    <row r="1461" spans="1:9" x14ac:dyDescent="0.3">
      <c r="A1461" s="5">
        <v>43756</v>
      </c>
      <c r="B1461">
        <v>116.550003</v>
      </c>
      <c r="C1461">
        <v>117.75</v>
      </c>
      <c r="D1461">
        <v>116.16999800000001</v>
      </c>
      <c r="E1461">
        <v>117.470001</v>
      </c>
      <c r="F1461">
        <v>105.74773399999999</v>
      </c>
      <c r="G1461">
        <v>9016700</v>
      </c>
      <c r="I1461">
        <f t="shared" si="23"/>
        <v>6.0729495324970175E-5</v>
      </c>
    </row>
    <row r="1462" spans="1:9" x14ac:dyDescent="0.3">
      <c r="A1462" s="5">
        <v>43759</v>
      </c>
      <c r="B1462">
        <v>117.41999800000001</v>
      </c>
      <c r="C1462">
        <v>119.120003</v>
      </c>
      <c r="D1462">
        <v>117.349998</v>
      </c>
      <c r="E1462">
        <v>119.08000199999999</v>
      </c>
      <c r="F1462">
        <v>107.19708300000001</v>
      </c>
      <c r="G1462">
        <v>6731600</v>
      </c>
      <c r="I1462">
        <f t="shared" si="23"/>
        <v>1.3554776252593487E-5</v>
      </c>
    </row>
    <row r="1463" spans="1:9" x14ac:dyDescent="0.3">
      <c r="A1463" s="5">
        <v>43760</v>
      </c>
      <c r="B1463">
        <v>124</v>
      </c>
      <c r="C1463">
        <v>124.220001</v>
      </c>
      <c r="D1463">
        <v>121.599998</v>
      </c>
      <c r="E1463">
        <v>122.18</v>
      </c>
      <c r="F1463">
        <v>109.98773199999999</v>
      </c>
      <c r="G1463">
        <v>14410500</v>
      </c>
      <c r="I1463">
        <f t="shared" si="23"/>
        <v>1.2235402870869533E-4</v>
      </c>
    </row>
    <row r="1464" spans="1:9" x14ac:dyDescent="0.3">
      <c r="A1464" s="5">
        <v>43761</v>
      </c>
      <c r="B1464">
        <v>121.989998</v>
      </c>
      <c r="C1464">
        <v>123.730003</v>
      </c>
      <c r="D1464">
        <v>121.839996</v>
      </c>
      <c r="E1464">
        <v>123</v>
      </c>
      <c r="F1464">
        <v>110.725914</v>
      </c>
      <c r="G1464">
        <v>8249300</v>
      </c>
      <c r="I1464">
        <f t="shared" si="23"/>
        <v>9.5465877827821617E-5</v>
      </c>
    </row>
    <row r="1465" spans="1:9" x14ac:dyDescent="0.3">
      <c r="A1465" s="5">
        <v>43762</v>
      </c>
      <c r="B1465">
        <v>123.760002</v>
      </c>
      <c r="C1465">
        <v>125.769997</v>
      </c>
      <c r="D1465">
        <v>123.339996</v>
      </c>
      <c r="E1465">
        <v>124.790001</v>
      </c>
      <c r="F1465">
        <v>112.33728000000001</v>
      </c>
      <c r="G1465">
        <v>6725600</v>
      </c>
      <c r="I1465">
        <f t="shared" si="23"/>
        <v>1.6575671334411157E-4</v>
      </c>
    </row>
    <row r="1466" spans="1:9" x14ac:dyDescent="0.3">
      <c r="A1466" s="5">
        <v>43763</v>
      </c>
      <c r="B1466">
        <v>124.82</v>
      </c>
      <c r="C1466">
        <v>124.82</v>
      </c>
      <c r="D1466">
        <v>123.16999800000001</v>
      </c>
      <c r="E1466">
        <v>123.25</v>
      </c>
      <c r="F1466">
        <v>110.95096599999999</v>
      </c>
      <c r="G1466">
        <v>6093300</v>
      </c>
      <c r="I1466">
        <f t="shared" si="23"/>
        <v>8.6405545301840975E-6</v>
      </c>
    </row>
    <row r="1467" spans="1:9" x14ac:dyDescent="0.3">
      <c r="A1467" s="5">
        <v>43766</v>
      </c>
      <c r="B1467">
        <v>123.480003</v>
      </c>
      <c r="C1467">
        <v>124.120003</v>
      </c>
      <c r="D1467">
        <v>122.599998</v>
      </c>
      <c r="E1467">
        <v>123.480003</v>
      </c>
      <c r="F1467">
        <v>111.158012</v>
      </c>
      <c r="G1467">
        <v>5459500</v>
      </c>
      <c r="I1467">
        <f t="shared" si="23"/>
        <v>7.7879380181309276E-5</v>
      </c>
    </row>
    <row r="1468" spans="1:9" x14ac:dyDescent="0.3">
      <c r="A1468" s="5">
        <v>43767</v>
      </c>
      <c r="B1468">
        <v>123.199997</v>
      </c>
      <c r="C1468">
        <v>124.55999799999999</v>
      </c>
      <c r="D1468">
        <v>123.099998</v>
      </c>
      <c r="E1468">
        <v>123.599998</v>
      </c>
      <c r="F1468">
        <v>111.266037</v>
      </c>
      <c r="G1468">
        <v>5659800</v>
      </c>
      <c r="I1468">
        <f t="shared" si="23"/>
        <v>8.8231836959312405E-5</v>
      </c>
    </row>
    <row r="1469" spans="1:9" x14ac:dyDescent="0.3">
      <c r="A1469" s="5">
        <v>43768</v>
      </c>
      <c r="B1469">
        <v>123.989998</v>
      </c>
      <c r="C1469">
        <v>125.16999800000001</v>
      </c>
      <c r="D1469">
        <v>123.5</v>
      </c>
      <c r="E1469">
        <v>124.94000200000001</v>
      </c>
      <c r="F1469">
        <v>112.47232099999999</v>
      </c>
      <c r="G1469">
        <v>4734500</v>
      </c>
      <c r="I1469">
        <f t="shared" si="23"/>
        <v>6.3323598641336037E-5</v>
      </c>
    </row>
    <row r="1470" spans="1:9" x14ac:dyDescent="0.3">
      <c r="A1470" s="5">
        <v>43769</v>
      </c>
      <c r="B1470">
        <v>124.790001</v>
      </c>
      <c r="C1470">
        <v>125.449997</v>
      </c>
      <c r="D1470">
        <v>123.360001</v>
      </c>
      <c r="E1470">
        <v>124.510002</v>
      </c>
      <c r="F1470">
        <v>112.08523599999999</v>
      </c>
      <c r="G1470">
        <v>6399500</v>
      </c>
      <c r="I1470">
        <f t="shared" si="23"/>
        <v>1.4661953977129728E-4</v>
      </c>
    </row>
    <row r="1471" spans="1:9" x14ac:dyDescent="0.3">
      <c r="A1471" s="5">
        <v>43770</v>
      </c>
      <c r="B1471">
        <v>124.83000199999999</v>
      </c>
      <c r="C1471">
        <v>125.139999</v>
      </c>
      <c r="D1471">
        <v>123.25</v>
      </c>
      <c r="E1471">
        <v>123.870003</v>
      </c>
      <c r="F1471">
        <v>111.50908699999999</v>
      </c>
      <c r="G1471">
        <v>6010200</v>
      </c>
      <c r="I1471">
        <f t="shared" si="23"/>
        <v>8.9217237774543147E-5</v>
      </c>
    </row>
    <row r="1472" spans="1:9" x14ac:dyDescent="0.3">
      <c r="A1472" s="5">
        <v>43773</v>
      </c>
      <c r="B1472">
        <v>123.91999800000001</v>
      </c>
      <c r="C1472">
        <v>123.91999800000001</v>
      </c>
      <c r="D1472">
        <v>118.639999</v>
      </c>
      <c r="E1472">
        <v>119.07</v>
      </c>
      <c r="F1472">
        <v>107.18807200000001</v>
      </c>
      <c r="G1472">
        <v>10351400</v>
      </c>
      <c r="I1472">
        <f t="shared" si="23"/>
        <v>1.5753089889383853E-4</v>
      </c>
    </row>
    <row r="1473" spans="1:9" x14ac:dyDescent="0.3">
      <c r="A1473" s="5">
        <v>43774</v>
      </c>
      <c r="B1473">
        <v>118.83000199999999</v>
      </c>
      <c r="C1473">
        <v>119.589996</v>
      </c>
      <c r="D1473">
        <v>118.239998</v>
      </c>
      <c r="E1473">
        <v>118.900002</v>
      </c>
      <c r="F1473">
        <v>107.03505699999999</v>
      </c>
      <c r="G1473">
        <v>9239600</v>
      </c>
      <c r="I1473">
        <f t="shared" si="23"/>
        <v>6.4596243899789013E-5</v>
      </c>
    </row>
    <row r="1474" spans="1:9" x14ac:dyDescent="0.3">
      <c r="A1474" s="5">
        <v>43775</v>
      </c>
      <c r="B1474">
        <v>119.099998</v>
      </c>
      <c r="C1474">
        <v>120.349998</v>
      </c>
      <c r="D1474">
        <v>118.660004</v>
      </c>
      <c r="E1474">
        <v>120.32</v>
      </c>
      <c r="F1474">
        <v>108.313339</v>
      </c>
      <c r="G1474">
        <v>6756300</v>
      </c>
      <c r="I1474">
        <f t="shared" si="23"/>
        <v>5.4021410254009865E-5</v>
      </c>
    </row>
    <row r="1475" spans="1:9" x14ac:dyDescent="0.3">
      <c r="A1475" s="5">
        <v>43776</v>
      </c>
      <c r="B1475">
        <v>120.339996</v>
      </c>
      <c r="C1475">
        <v>120.339996</v>
      </c>
      <c r="D1475">
        <v>118.80999799999999</v>
      </c>
      <c r="E1475">
        <v>119.620003</v>
      </c>
      <c r="F1475">
        <v>107.68319700000001</v>
      </c>
      <c r="G1475">
        <v>8909700</v>
      </c>
      <c r="I1475">
        <f t="shared" si="23"/>
        <v>8.6939047009877791E-5</v>
      </c>
    </row>
    <row r="1476" spans="1:9" x14ac:dyDescent="0.3">
      <c r="A1476" s="5">
        <v>43777</v>
      </c>
      <c r="B1476">
        <v>119.849998</v>
      </c>
      <c r="C1476">
        <v>120.589996</v>
      </c>
      <c r="D1476">
        <v>119.160004</v>
      </c>
      <c r="E1476">
        <v>119.699997</v>
      </c>
      <c r="F1476">
        <v>107.755188</v>
      </c>
      <c r="G1476">
        <v>4249900</v>
      </c>
      <c r="I1476">
        <f t="shared" si="23"/>
        <v>7.1703230818782667E-5</v>
      </c>
    </row>
    <row r="1477" spans="1:9" x14ac:dyDescent="0.3">
      <c r="A1477" s="5">
        <v>43780</v>
      </c>
      <c r="B1477">
        <v>119.480003</v>
      </c>
      <c r="C1477">
        <v>120</v>
      </c>
      <c r="D1477">
        <v>119.089996</v>
      </c>
      <c r="E1477">
        <v>119.33000199999999</v>
      </c>
      <c r="F1477">
        <v>107.422134</v>
      </c>
      <c r="G1477">
        <v>3850400</v>
      </c>
      <c r="I1477">
        <f t="shared" si="23"/>
        <v>3.0897332537550446E-5</v>
      </c>
    </row>
    <row r="1478" spans="1:9" x14ac:dyDescent="0.3">
      <c r="A1478" s="5">
        <v>43781</v>
      </c>
      <c r="B1478">
        <v>119.489998</v>
      </c>
      <c r="C1478">
        <v>119.599998</v>
      </c>
      <c r="D1478">
        <v>118.550003</v>
      </c>
      <c r="E1478">
        <v>119.269997</v>
      </c>
      <c r="F1478">
        <v>107.368111</v>
      </c>
      <c r="G1478">
        <v>4759600</v>
      </c>
      <c r="I1478">
        <f t="shared" si="23"/>
        <v>5.0363520761010539E-5</v>
      </c>
    </row>
    <row r="1479" spans="1:9" x14ac:dyDescent="0.3">
      <c r="A1479" s="5">
        <v>43782</v>
      </c>
      <c r="B1479">
        <v>119.900002</v>
      </c>
      <c r="C1479">
        <v>121.050003</v>
      </c>
      <c r="D1479">
        <v>119.870003</v>
      </c>
      <c r="E1479">
        <v>120.650002</v>
      </c>
      <c r="F1479">
        <v>108.61042</v>
      </c>
      <c r="G1479">
        <v>7262800</v>
      </c>
      <c r="I1479">
        <f t="shared" si="23"/>
        <v>3.3218065980890435E-5</v>
      </c>
    </row>
    <row r="1480" spans="1:9" x14ac:dyDescent="0.3">
      <c r="A1480" s="5">
        <v>43783</v>
      </c>
      <c r="B1480">
        <v>120.620003</v>
      </c>
      <c r="C1480">
        <v>121.16999800000001</v>
      </c>
      <c r="D1480">
        <v>120.110001</v>
      </c>
      <c r="E1480">
        <v>120.5</v>
      </c>
      <c r="F1480">
        <v>108.475365</v>
      </c>
      <c r="G1480">
        <v>5188300</v>
      </c>
      <c r="I1480">
        <f t="shared" si="23"/>
        <v>3.8960861209515912E-5</v>
      </c>
    </row>
    <row r="1481" spans="1:9" x14ac:dyDescent="0.3">
      <c r="A1481" s="5">
        <v>43784</v>
      </c>
      <c r="B1481">
        <v>120.989998</v>
      </c>
      <c r="C1481">
        <v>120.989998</v>
      </c>
      <c r="D1481">
        <v>119.970001</v>
      </c>
      <c r="E1481">
        <v>120.540001</v>
      </c>
      <c r="F1481">
        <v>108.511391</v>
      </c>
      <c r="G1481">
        <v>7108600</v>
      </c>
      <c r="I1481">
        <f t="shared" si="23"/>
        <v>4.012906620502245E-5</v>
      </c>
    </row>
    <row r="1482" spans="1:9" x14ac:dyDescent="0.3">
      <c r="A1482" s="5">
        <v>43787</v>
      </c>
      <c r="B1482">
        <v>120.25</v>
      </c>
      <c r="C1482">
        <v>122.55999799999999</v>
      </c>
      <c r="D1482">
        <v>120.16999800000001</v>
      </c>
      <c r="E1482">
        <v>121.889999</v>
      </c>
      <c r="F1482">
        <v>109.726677</v>
      </c>
      <c r="G1482">
        <v>7493700</v>
      </c>
      <c r="I1482">
        <f t="shared" si="23"/>
        <v>1.1376265612776039E-4</v>
      </c>
    </row>
    <row r="1483" spans="1:9" x14ac:dyDescent="0.3">
      <c r="A1483" s="5">
        <v>43788</v>
      </c>
      <c r="B1483">
        <v>121.93</v>
      </c>
      <c r="C1483">
        <v>122.779999</v>
      </c>
      <c r="D1483">
        <v>121.129997</v>
      </c>
      <c r="E1483">
        <v>121.41999800000001</v>
      </c>
      <c r="F1483">
        <v>109.303574</v>
      </c>
      <c r="G1483">
        <v>5989000</v>
      </c>
      <c r="I1483">
        <f t="shared" si="23"/>
        <v>9.3120813914016455E-5</v>
      </c>
    </row>
    <row r="1484" spans="1:9" x14ac:dyDescent="0.3">
      <c r="A1484" s="5">
        <v>43789</v>
      </c>
      <c r="B1484">
        <v>121.41999800000001</v>
      </c>
      <c r="C1484">
        <v>122.379997</v>
      </c>
      <c r="D1484">
        <v>120.93</v>
      </c>
      <c r="E1484">
        <v>122.290001</v>
      </c>
      <c r="F1484">
        <v>110.08674600000001</v>
      </c>
      <c r="G1484">
        <v>6480000</v>
      </c>
      <c r="I1484">
        <f t="shared" ref="I1484:I1547" si="24">LN(C1484/B1484)*(LN(C1484/B1484)-LN(E1484/B1484))+LN(D1484/B1484)*(LN(D1484/B1484)-LN(E1484/B1484))</f>
        <v>5.101619533853536E-5</v>
      </c>
    </row>
    <row r="1485" spans="1:9" x14ac:dyDescent="0.3">
      <c r="A1485" s="5">
        <v>43790</v>
      </c>
      <c r="B1485">
        <v>121.779999</v>
      </c>
      <c r="C1485">
        <v>122.540001</v>
      </c>
      <c r="D1485">
        <v>120.279999</v>
      </c>
      <c r="E1485">
        <v>120.339996</v>
      </c>
      <c r="F1485">
        <v>108.331337</v>
      </c>
      <c r="G1485">
        <v>7094200</v>
      </c>
      <c r="I1485">
        <f t="shared" si="24"/>
        <v>1.1889021288351921E-4</v>
      </c>
    </row>
    <row r="1486" spans="1:9" x14ac:dyDescent="0.3">
      <c r="A1486" s="5">
        <v>43791</v>
      </c>
      <c r="B1486">
        <v>120.230003</v>
      </c>
      <c r="C1486">
        <v>120.610001</v>
      </c>
      <c r="D1486">
        <v>119.389999</v>
      </c>
      <c r="E1486">
        <v>120.290001</v>
      </c>
      <c r="F1486">
        <v>108.286331</v>
      </c>
      <c r="G1486">
        <v>4414900</v>
      </c>
      <c r="I1486">
        <f t="shared" si="24"/>
        <v>6.1037813107195959E-5</v>
      </c>
    </row>
    <row r="1487" spans="1:9" x14ac:dyDescent="0.3">
      <c r="A1487" s="5">
        <v>43794</v>
      </c>
      <c r="B1487">
        <v>120.44000200000001</v>
      </c>
      <c r="C1487">
        <v>120.91999800000001</v>
      </c>
      <c r="D1487">
        <v>120.019997</v>
      </c>
      <c r="E1487">
        <v>120.510002</v>
      </c>
      <c r="F1487">
        <v>108.48438299999999</v>
      </c>
      <c r="G1487">
        <v>5134300</v>
      </c>
      <c r="I1487">
        <f t="shared" si="24"/>
        <v>2.774219759415152E-5</v>
      </c>
    </row>
    <row r="1488" spans="1:9" x14ac:dyDescent="0.3">
      <c r="A1488" s="5">
        <v>43795</v>
      </c>
      <c r="B1488">
        <v>120.730003</v>
      </c>
      <c r="C1488">
        <v>122.349998</v>
      </c>
      <c r="D1488">
        <v>120.410004</v>
      </c>
      <c r="E1488">
        <v>122.260002</v>
      </c>
      <c r="F1488">
        <v>110.059753</v>
      </c>
      <c r="G1488">
        <v>8235200</v>
      </c>
      <c r="I1488">
        <f t="shared" si="24"/>
        <v>5.0275188387736098E-5</v>
      </c>
    </row>
    <row r="1489" spans="1:9" x14ac:dyDescent="0.3">
      <c r="A1489" s="5">
        <v>43796</v>
      </c>
      <c r="B1489">
        <v>122.41999800000001</v>
      </c>
      <c r="C1489">
        <v>122.44000200000001</v>
      </c>
      <c r="D1489">
        <v>120.959999</v>
      </c>
      <c r="E1489">
        <v>121.760002</v>
      </c>
      <c r="F1489">
        <v>109.609634</v>
      </c>
      <c r="G1489">
        <v>3751400</v>
      </c>
      <c r="I1489">
        <f t="shared" si="24"/>
        <v>7.9999766511149194E-5</v>
      </c>
    </row>
    <row r="1490" spans="1:9" x14ac:dyDescent="0.3">
      <c r="A1490" s="5">
        <v>43798</v>
      </c>
      <c r="B1490">
        <v>121.989998</v>
      </c>
      <c r="C1490">
        <v>122.629997</v>
      </c>
      <c r="D1490">
        <v>121.709999</v>
      </c>
      <c r="E1490">
        <v>122.05999799999999</v>
      </c>
      <c r="F1490">
        <v>109.879707</v>
      </c>
      <c r="G1490">
        <v>2927300</v>
      </c>
      <c r="I1490">
        <f t="shared" si="24"/>
        <v>3.0977042715138838E-5</v>
      </c>
    </row>
    <row r="1491" spans="1:9" x14ac:dyDescent="0.3">
      <c r="A1491" s="5">
        <v>43801</v>
      </c>
      <c r="B1491">
        <v>121.94000200000001</v>
      </c>
      <c r="C1491">
        <v>122.779999</v>
      </c>
      <c r="D1491">
        <v>120.959999</v>
      </c>
      <c r="E1491">
        <v>122.720001</v>
      </c>
      <c r="F1491">
        <v>110.473839</v>
      </c>
      <c r="G1491">
        <v>6146200</v>
      </c>
      <c r="I1491">
        <f t="shared" si="24"/>
        <v>1.1991911461719857E-4</v>
      </c>
    </row>
    <row r="1492" spans="1:9" x14ac:dyDescent="0.3">
      <c r="A1492" s="5">
        <v>43802</v>
      </c>
      <c r="B1492">
        <v>122.30999799999999</v>
      </c>
      <c r="C1492">
        <v>122.959999</v>
      </c>
      <c r="D1492">
        <v>121.800003</v>
      </c>
      <c r="E1492">
        <v>122.949997</v>
      </c>
      <c r="F1492">
        <v>110.680908</v>
      </c>
      <c r="G1492">
        <v>6396200</v>
      </c>
      <c r="I1492">
        <f t="shared" si="24"/>
        <v>3.9697196856530469E-5</v>
      </c>
    </row>
    <row r="1493" spans="1:9" x14ac:dyDescent="0.3">
      <c r="A1493" s="5">
        <v>43803</v>
      </c>
      <c r="B1493">
        <v>122.75</v>
      </c>
      <c r="C1493">
        <v>124.58000199999999</v>
      </c>
      <c r="D1493">
        <v>122.69000200000001</v>
      </c>
      <c r="E1493">
        <v>124.529999</v>
      </c>
      <c r="F1493">
        <v>112.103218</v>
      </c>
      <c r="G1493">
        <v>6857300</v>
      </c>
      <c r="I1493">
        <f t="shared" si="24"/>
        <v>1.3218516317831632E-5</v>
      </c>
    </row>
    <row r="1494" spans="1:9" x14ac:dyDescent="0.3">
      <c r="A1494" s="5">
        <v>43804</v>
      </c>
      <c r="B1494">
        <v>124.269997</v>
      </c>
      <c r="C1494">
        <v>124.629997</v>
      </c>
      <c r="D1494">
        <v>123.660004</v>
      </c>
      <c r="E1494">
        <v>124.620003</v>
      </c>
      <c r="F1494">
        <v>112.184265</v>
      </c>
      <c r="G1494">
        <v>7029200</v>
      </c>
      <c r="I1494">
        <f t="shared" si="24"/>
        <v>3.8284881875396812E-5</v>
      </c>
    </row>
    <row r="1495" spans="1:9" x14ac:dyDescent="0.3">
      <c r="A1495" s="5">
        <v>43805</v>
      </c>
      <c r="B1495">
        <v>124.730003</v>
      </c>
      <c r="C1495">
        <v>125.449997</v>
      </c>
      <c r="D1495">
        <v>123.889999</v>
      </c>
      <c r="E1495">
        <v>124.19000200000001</v>
      </c>
      <c r="F1495">
        <v>111.79715</v>
      </c>
      <c r="G1495">
        <v>7150900</v>
      </c>
      <c r="I1495">
        <f t="shared" si="24"/>
        <v>7.4445979891561741E-5</v>
      </c>
    </row>
    <row r="1496" spans="1:9" x14ac:dyDescent="0.3">
      <c r="A1496" s="5">
        <v>43808</v>
      </c>
      <c r="B1496">
        <v>124.30999799999999</v>
      </c>
      <c r="C1496">
        <v>125.139999</v>
      </c>
      <c r="D1496">
        <v>124.18</v>
      </c>
      <c r="E1496">
        <v>124.870003</v>
      </c>
      <c r="F1496">
        <v>112.40930899999999</v>
      </c>
      <c r="G1496">
        <v>7452800</v>
      </c>
      <c r="I1496">
        <f t="shared" si="24"/>
        <v>2.0170978790088329E-5</v>
      </c>
    </row>
    <row r="1497" spans="1:9" x14ac:dyDescent="0.3">
      <c r="A1497" s="5">
        <v>43809</v>
      </c>
      <c r="B1497">
        <v>124.779999</v>
      </c>
      <c r="C1497">
        <v>124.870003</v>
      </c>
      <c r="D1497">
        <v>124.120003</v>
      </c>
      <c r="E1497">
        <v>124.269997</v>
      </c>
      <c r="F1497">
        <v>111.86917099999999</v>
      </c>
      <c r="G1497">
        <v>4740100</v>
      </c>
      <c r="I1497">
        <f t="shared" si="24"/>
        <v>9.8779596359048018E-6</v>
      </c>
    </row>
    <row r="1498" spans="1:9" x14ac:dyDescent="0.3">
      <c r="A1498" s="5">
        <v>43810</v>
      </c>
      <c r="B1498">
        <v>124.269997</v>
      </c>
      <c r="C1498">
        <v>125.269997</v>
      </c>
      <c r="D1498">
        <v>124.07</v>
      </c>
      <c r="E1498">
        <v>124.660004</v>
      </c>
      <c r="F1498">
        <v>112.22024500000001</v>
      </c>
      <c r="G1498">
        <v>4823300</v>
      </c>
      <c r="I1498">
        <f t="shared" si="24"/>
        <v>4.6764010778959547E-5</v>
      </c>
    </row>
    <row r="1499" spans="1:9" x14ac:dyDescent="0.3">
      <c r="A1499" s="5">
        <v>43811</v>
      </c>
      <c r="B1499">
        <v>124.779999</v>
      </c>
      <c r="C1499">
        <v>125.760002</v>
      </c>
      <c r="D1499">
        <v>123.879997</v>
      </c>
      <c r="E1499">
        <v>124.57</v>
      </c>
      <c r="F1499">
        <v>112.139229</v>
      </c>
      <c r="G1499">
        <v>5897800</v>
      </c>
      <c r="I1499">
        <f t="shared" si="24"/>
        <v>1.1458705110544647E-4</v>
      </c>
    </row>
    <row r="1500" spans="1:9" x14ac:dyDescent="0.3">
      <c r="A1500" s="5">
        <v>43812</v>
      </c>
      <c r="B1500">
        <v>124.209999</v>
      </c>
      <c r="C1500">
        <v>125.739998</v>
      </c>
      <c r="D1500">
        <v>123.790001</v>
      </c>
      <c r="E1500">
        <v>125.470001</v>
      </c>
      <c r="F1500">
        <v>112.949432</v>
      </c>
      <c r="G1500">
        <v>5471600</v>
      </c>
      <c r="I1500">
        <f t="shared" si="24"/>
        <v>7.197459216265726E-5</v>
      </c>
    </row>
    <row r="1501" spans="1:9" x14ac:dyDescent="0.3">
      <c r="A1501" s="5">
        <v>43815</v>
      </c>
      <c r="B1501">
        <v>125.470001</v>
      </c>
      <c r="C1501">
        <v>126.349998</v>
      </c>
      <c r="D1501">
        <v>125.349998</v>
      </c>
      <c r="E1501">
        <v>125.55999799999999</v>
      </c>
      <c r="F1501">
        <v>113.03042600000001</v>
      </c>
      <c r="G1501">
        <v>8281900</v>
      </c>
      <c r="I1501">
        <f t="shared" si="24"/>
        <v>4.5438235186771501E-5</v>
      </c>
    </row>
    <row r="1502" spans="1:9" x14ac:dyDescent="0.3">
      <c r="A1502" s="5">
        <v>43816</v>
      </c>
      <c r="B1502">
        <v>125.589996</v>
      </c>
      <c r="C1502">
        <v>125.980003</v>
      </c>
      <c r="D1502">
        <v>124.30999799999999</v>
      </c>
      <c r="E1502">
        <v>125.30999799999999</v>
      </c>
      <c r="F1502">
        <v>112.80538199999999</v>
      </c>
      <c r="G1502">
        <v>8832200</v>
      </c>
      <c r="I1502">
        <f t="shared" si="24"/>
        <v>9.8612564211117372E-5</v>
      </c>
    </row>
    <row r="1503" spans="1:9" x14ac:dyDescent="0.3">
      <c r="A1503" s="5">
        <v>43817</v>
      </c>
      <c r="B1503">
        <v>125.30999799999999</v>
      </c>
      <c r="C1503">
        <v>125.870003</v>
      </c>
      <c r="D1503">
        <v>123.69000200000001</v>
      </c>
      <c r="E1503">
        <v>124.010002</v>
      </c>
      <c r="F1503">
        <v>111.63511699999999</v>
      </c>
      <c r="G1503">
        <v>8607600</v>
      </c>
      <c r="I1503">
        <f t="shared" si="24"/>
        <v>1.0000361562785697E-4</v>
      </c>
    </row>
    <row r="1504" spans="1:9" x14ac:dyDescent="0.3">
      <c r="A1504" s="5">
        <v>43818</v>
      </c>
      <c r="B1504">
        <v>124.160004</v>
      </c>
      <c r="C1504">
        <v>125.199997</v>
      </c>
      <c r="D1504">
        <v>123.900002</v>
      </c>
      <c r="E1504">
        <v>124.91999800000001</v>
      </c>
      <c r="F1504">
        <v>112.454323</v>
      </c>
      <c r="G1504">
        <v>6629100</v>
      </c>
      <c r="I1504">
        <f t="shared" si="24"/>
        <v>3.5862419296460186E-5</v>
      </c>
    </row>
    <row r="1505" spans="1:9" x14ac:dyDescent="0.3">
      <c r="A1505" s="5">
        <v>43819</v>
      </c>
      <c r="B1505">
        <v>126.150002</v>
      </c>
      <c r="C1505">
        <v>126.599998</v>
      </c>
      <c r="D1505">
        <v>125.029999</v>
      </c>
      <c r="E1505">
        <v>125.360001</v>
      </c>
      <c r="F1505">
        <v>112.85041</v>
      </c>
      <c r="G1505">
        <v>16250500</v>
      </c>
      <c r="I1505">
        <f t="shared" si="24"/>
        <v>5.8555564605813326E-5</v>
      </c>
    </row>
    <row r="1506" spans="1:9" x14ac:dyDescent="0.3">
      <c r="A1506" s="5">
        <v>43822</v>
      </c>
      <c r="B1506">
        <v>125.519997</v>
      </c>
      <c r="C1506">
        <v>125.82</v>
      </c>
      <c r="D1506">
        <v>124.69000200000001</v>
      </c>
      <c r="E1506">
        <v>124.900002</v>
      </c>
      <c r="F1506">
        <v>112.43631000000001</v>
      </c>
      <c r="G1506">
        <v>6619500</v>
      </c>
      <c r="I1506">
        <f t="shared" si="24"/>
        <v>2.8683716970556336E-5</v>
      </c>
    </row>
    <row r="1507" spans="1:9" x14ac:dyDescent="0.3">
      <c r="A1507" s="5">
        <v>43823</v>
      </c>
      <c r="B1507">
        <v>124.790001</v>
      </c>
      <c r="C1507">
        <v>125.30999799999999</v>
      </c>
      <c r="D1507">
        <v>124.58000199999999</v>
      </c>
      <c r="E1507">
        <v>125.220001</v>
      </c>
      <c r="F1507">
        <v>112.72438</v>
      </c>
      <c r="G1507">
        <v>2022100</v>
      </c>
      <c r="I1507">
        <f t="shared" si="24"/>
        <v>1.1617757290436855E-5</v>
      </c>
    </row>
    <row r="1508" spans="1:9" x14ac:dyDescent="0.3">
      <c r="A1508" s="5">
        <v>43825</v>
      </c>
      <c r="B1508">
        <v>125.099998</v>
      </c>
      <c r="C1508">
        <v>125.75</v>
      </c>
      <c r="D1508">
        <v>124.870003</v>
      </c>
      <c r="E1508">
        <v>125.220001</v>
      </c>
      <c r="F1508">
        <v>112.72438</v>
      </c>
      <c r="G1508">
        <v>4760400</v>
      </c>
      <c r="I1508">
        <f t="shared" si="24"/>
        <v>2.70390989704863E-5</v>
      </c>
    </row>
    <row r="1509" spans="1:9" x14ac:dyDescent="0.3">
      <c r="A1509" s="5">
        <v>43826</v>
      </c>
      <c r="B1509">
        <v>125.55999799999999</v>
      </c>
      <c r="C1509">
        <v>126.300003</v>
      </c>
      <c r="D1509">
        <v>125.389999</v>
      </c>
      <c r="E1509">
        <v>126.089996</v>
      </c>
      <c r="F1509">
        <v>113.507538</v>
      </c>
      <c r="G1509">
        <v>5192000</v>
      </c>
      <c r="I1509">
        <f t="shared" si="24"/>
        <v>1.7321550802691677E-5</v>
      </c>
    </row>
    <row r="1510" spans="1:9" x14ac:dyDescent="0.3">
      <c r="A1510" s="5">
        <v>43829</v>
      </c>
      <c r="B1510">
        <v>125.760002</v>
      </c>
      <c r="C1510">
        <v>125.980003</v>
      </c>
      <c r="D1510">
        <v>124.139999</v>
      </c>
      <c r="E1510">
        <v>124.470001</v>
      </c>
      <c r="F1510">
        <v>112.04922500000001</v>
      </c>
      <c r="G1510">
        <v>3884300</v>
      </c>
      <c r="I1510">
        <f t="shared" si="24"/>
        <v>5.5496532727821775E-5</v>
      </c>
    </row>
    <row r="1511" spans="1:9" x14ac:dyDescent="0.3">
      <c r="A1511" s="5">
        <v>43830</v>
      </c>
      <c r="B1511">
        <v>124.43</v>
      </c>
      <c r="C1511">
        <v>124.989998</v>
      </c>
      <c r="D1511">
        <v>123.949997</v>
      </c>
      <c r="E1511">
        <v>124.900002</v>
      </c>
      <c r="F1511">
        <v>112.43631000000001</v>
      </c>
      <c r="G1511">
        <v>4798900</v>
      </c>
      <c r="I1511">
        <f t="shared" si="24"/>
        <v>3.2744986791757489E-5</v>
      </c>
    </row>
    <row r="1512" spans="1:9" x14ac:dyDescent="0.3">
      <c r="A1512" s="5">
        <v>43832</v>
      </c>
      <c r="B1512">
        <v>124.5</v>
      </c>
      <c r="C1512">
        <v>124.730003</v>
      </c>
      <c r="D1512">
        <v>122.94000200000001</v>
      </c>
      <c r="E1512">
        <v>123.410004</v>
      </c>
      <c r="F1512">
        <v>111.095009</v>
      </c>
      <c r="G1512">
        <v>8130800</v>
      </c>
      <c r="I1512">
        <f t="shared" si="24"/>
        <v>6.7750521979673399E-5</v>
      </c>
    </row>
    <row r="1513" spans="1:9" x14ac:dyDescent="0.3">
      <c r="A1513" s="5">
        <v>43833</v>
      </c>
      <c r="B1513">
        <v>122.160004</v>
      </c>
      <c r="C1513">
        <v>123.529999</v>
      </c>
      <c r="D1513">
        <v>121.860001</v>
      </c>
      <c r="E1513">
        <v>122.58000199999999</v>
      </c>
      <c r="F1513">
        <v>110.347824</v>
      </c>
      <c r="G1513">
        <v>7970500</v>
      </c>
      <c r="I1513">
        <f t="shared" si="24"/>
        <v>1.0058274612214617E-4</v>
      </c>
    </row>
    <row r="1514" spans="1:9" x14ac:dyDescent="0.3">
      <c r="A1514" s="5">
        <v>43836</v>
      </c>
      <c r="B1514">
        <v>122.57</v>
      </c>
      <c r="C1514">
        <v>123.19000200000001</v>
      </c>
      <c r="D1514">
        <v>122.379997</v>
      </c>
      <c r="E1514">
        <v>122.75</v>
      </c>
      <c r="F1514">
        <v>110.500854</v>
      </c>
      <c r="G1514">
        <v>6674400</v>
      </c>
      <c r="I1514">
        <f t="shared" si="24"/>
        <v>2.2737107351054277E-5</v>
      </c>
    </row>
    <row r="1515" spans="1:9" x14ac:dyDescent="0.3">
      <c r="A1515" s="5">
        <v>43837</v>
      </c>
      <c r="B1515">
        <v>122.879997</v>
      </c>
      <c r="C1515">
        <v>123.209999</v>
      </c>
      <c r="D1515">
        <v>121.870003</v>
      </c>
      <c r="E1515">
        <v>121.989998</v>
      </c>
      <c r="F1515">
        <v>109.816681</v>
      </c>
      <c r="G1515">
        <v>7583400</v>
      </c>
      <c r="I1515">
        <f t="shared" si="24"/>
        <v>3.4810963431596282E-5</v>
      </c>
    </row>
    <row r="1516" spans="1:9" x14ac:dyDescent="0.3">
      <c r="A1516" s="5">
        <v>43838</v>
      </c>
      <c r="B1516">
        <v>122.19000200000001</v>
      </c>
      <c r="C1516">
        <v>123.43</v>
      </c>
      <c r="D1516">
        <v>122</v>
      </c>
      <c r="E1516">
        <v>122.510002</v>
      </c>
      <c r="F1516">
        <v>110.28480500000001</v>
      </c>
      <c r="G1516">
        <v>5385100</v>
      </c>
      <c r="I1516">
        <f t="shared" si="24"/>
        <v>8.2032458818718821E-5</v>
      </c>
    </row>
    <row r="1517" spans="1:9" x14ac:dyDescent="0.3">
      <c r="A1517" s="5">
        <v>43839</v>
      </c>
      <c r="B1517">
        <v>122.510002</v>
      </c>
      <c r="C1517">
        <v>123.879997</v>
      </c>
      <c r="D1517">
        <v>122.510002</v>
      </c>
      <c r="E1517">
        <v>123.849998</v>
      </c>
      <c r="F1517">
        <v>111.491089</v>
      </c>
      <c r="G1517">
        <v>5944000</v>
      </c>
      <c r="I1517">
        <f t="shared" si="24"/>
        <v>2.6933237428746755E-6</v>
      </c>
    </row>
    <row r="1518" spans="1:9" x14ac:dyDescent="0.3">
      <c r="A1518" s="5">
        <v>43840</v>
      </c>
      <c r="B1518">
        <v>123.900002</v>
      </c>
      <c r="C1518">
        <v>124.32</v>
      </c>
      <c r="D1518">
        <v>123.300003</v>
      </c>
      <c r="E1518">
        <v>123.970001</v>
      </c>
      <c r="F1518">
        <v>111.599098</v>
      </c>
      <c r="G1518">
        <v>3927100</v>
      </c>
      <c r="I1518">
        <f t="shared" si="24"/>
        <v>3.5847345684116285E-5</v>
      </c>
    </row>
    <row r="1519" spans="1:9" x14ac:dyDescent="0.3">
      <c r="A1519" s="5">
        <v>43843</v>
      </c>
      <c r="B1519">
        <v>124</v>
      </c>
      <c r="C1519">
        <v>124.900002</v>
      </c>
      <c r="D1519">
        <v>123.80999799999999</v>
      </c>
      <c r="E1519">
        <v>124.879997</v>
      </c>
      <c r="F1519">
        <v>112.418282</v>
      </c>
      <c r="G1519">
        <v>8409200</v>
      </c>
      <c r="I1519">
        <f t="shared" si="24"/>
        <v>1.4353947342704579E-5</v>
      </c>
    </row>
    <row r="1520" spans="1:9" x14ac:dyDescent="0.3">
      <c r="A1520" s="5">
        <v>43844</v>
      </c>
      <c r="B1520">
        <v>124.650002</v>
      </c>
      <c r="C1520">
        <v>125.199997</v>
      </c>
      <c r="D1520">
        <v>124.480003</v>
      </c>
      <c r="E1520">
        <v>124.69000200000001</v>
      </c>
      <c r="F1520">
        <v>112.24726099999999</v>
      </c>
      <c r="G1520">
        <v>7829700</v>
      </c>
      <c r="I1520">
        <f t="shared" si="24"/>
        <v>2.0270791912495829E-5</v>
      </c>
    </row>
    <row r="1521" spans="1:9" x14ac:dyDescent="0.3">
      <c r="A1521" s="5">
        <v>43845</v>
      </c>
      <c r="B1521">
        <v>125.05999799999999</v>
      </c>
      <c r="C1521">
        <v>126.120003</v>
      </c>
      <c r="D1521">
        <v>125.010002</v>
      </c>
      <c r="E1521">
        <v>125.959999</v>
      </c>
      <c r="F1521">
        <v>113.39052599999999</v>
      </c>
      <c r="G1521">
        <v>4843700</v>
      </c>
      <c r="I1521">
        <f t="shared" si="24"/>
        <v>1.3741813993658106E-5</v>
      </c>
    </row>
    <row r="1522" spans="1:9" x14ac:dyDescent="0.3">
      <c r="A1522" s="5">
        <v>43846</v>
      </c>
      <c r="B1522">
        <v>126.110001</v>
      </c>
      <c r="C1522">
        <v>126.779999</v>
      </c>
      <c r="D1522">
        <v>125.589996</v>
      </c>
      <c r="E1522">
        <v>126.07</v>
      </c>
      <c r="F1522">
        <v>113.489548</v>
      </c>
      <c r="G1522">
        <v>6233700</v>
      </c>
      <c r="I1522">
        <f t="shared" si="24"/>
        <v>4.5519834103074617E-5</v>
      </c>
    </row>
    <row r="1523" spans="1:9" x14ac:dyDescent="0.3">
      <c r="A1523" s="5">
        <v>43847</v>
      </c>
      <c r="B1523">
        <v>126.349998</v>
      </c>
      <c r="C1523">
        <v>127</v>
      </c>
      <c r="D1523">
        <v>125.879997</v>
      </c>
      <c r="E1523">
        <v>126.410004</v>
      </c>
      <c r="F1523">
        <v>113.795616</v>
      </c>
      <c r="G1523">
        <v>11315200</v>
      </c>
      <c r="I1523">
        <f t="shared" si="24"/>
        <v>3.9551863232339222E-5</v>
      </c>
    </row>
    <row r="1524" spans="1:9" x14ac:dyDescent="0.3">
      <c r="A1524" s="5">
        <v>43851</v>
      </c>
      <c r="B1524">
        <v>126.410004</v>
      </c>
      <c r="C1524">
        <v>126.620003</v>
      </c>
      <c r="D1524">
        <v>124.839996</v>
      </c>
      <c r="E1524">
        <v>126.089996</v>
      </c>
      <c r="F1524">
        <v>113.507538</v>
      </c>
      <c r="G1524">
        <v>8553100</v>
      </c>
      <c r="I1524">
        <f t="shared" si="24"/>
        <v>1.314777273795983E-4</v>
      </c>
    </row>
    <row r="1525" spans="1:9" x14ac:dyDescent="0.3">
      <c r="A1525" s="5">
        <v>43852</v>
      </c>
      <c r="B1525">
        <v>126.33000199999999</v>
      </c>
      <c r="C1525">
        <v>126.68</v>
      </c>
      <c r="D1525">
        <v>125.83000199999999</v>
      </c>
      <c r="E1525">
        <v>126.30999799999999</v>
      </c>
      <c r="F1525">
        <v>113.705597</v>
      </c>
      <c r="G1525">
        <v>7396700</v>
      </c>
      <c r="I1525">
        <f t="shared" si="24"/>
        <v>2.3191709820814602E-5</v>
      </c>
    </row>
    <row r="1526" spans="1:9" x14ac:dyDescent="0.3">
      <c r="A1526" s="5">
        <v>43853</v>
      </c>
      <c r="B1526">
        <v>124.300003</v>
      </c>
      <c r="C1526">
        <v>126.550003</v>
      </c>
      <c r="D1526">
        <v>123.650002</v>
      </c>
      <c r="E1526">
        <v>124.989998</v>
      </c>
      <c r="F1526">
        <v>113.18581399999999</v>
      </c>
      <c r="G1526">
        <v>11096500</v>
      </c>
      <c r="I1526">
        <f t="shared" si="24"/>
        <v>2.7903058966507484E-4</v>
      </c>
    </row>
    <row r="1527" spans="1:9" x14ac:dyDescent="0.3">
      <c r="A1527" s="5">
        <v>43854</v>
      </c>
      <c r="B1527">
        <v>125.220001</v>
      </c>
      <c r="C1527">
        <v>126.790001</v>
      </c>
      <c r="D1527">
        <v>124.769997</v>
      </c>
      <c r="E1527">
        <v>125.139999</v>
      </c>
      <c r="F1527">
        <v>113.32164</v>
      </c>
      <c r="G1527">
        <v>9508600</v>
      </c>
      <c r="I1527">
        <f t="shared" si="24"/>
        <v>1.7387476283245638E-4</v>
      </c>
    </row>
    <row r="1528" spans="1:9" x14ac:dyDescent="0.3">
      <c r="A1528" s="5">
        <v>43857</v>
      </c>
      <c r="B1528">
        <v>124.75</v>
      </c>
      <c r="C1528">
        <v>126.389999</v>
      </c>
      <c r="D1528">
        <v>124.75</v>
      </c>
      <c r="E1528">
        <v>125.69000200000001</v>
      </c>
      <c r="F1528">
        <v>113.81971</v>
      </c>
      <c r="G1528">
        <v>9338400</v>
      </c>
      <c r="I1528">
        <f t="shared" si="24"/>
        <v>7.2535859743066218E-5</v>
      </c>
    </row>
    <row r="1529" spans="1:9" x14ac:dyDescent="0.3">
      <c r="A1529" s="5">
        <v>43858</v>
      </c>
      <c r="B1529">
        <v>125.93</v>
      </c>
      <c r="C1529">
        <v>126.980003</v>
      </c>
      <c r="D1529">
        <v>125.720001</v>
      </c>
      <c r="E1529">
        <v>126.029999</v>
      </c>
      <c r="F1529">
        <v>114.12758599999999</v>
      </c>
      <c r="G1529">
        <v>6200200</v>
      </c>
      <c r="I1529">
        <f t="shared" si="24"/>
        <v>6.6466059514505381E-5</v>
      </c>
    </row>
    <row r="1530" spans="1:9" x14ac:dyDescent="0.3">
      <c r="A1530" s="5">
        <v>43859</v>
      </c>
      <c r="B1530">
        <v>125.910004</v>
      </c>
      <c r="C1530">
        <v>126.07</v>
      </c>
      <c r="D1530">
        <v>125.029999</v>
      </c>
      <c r="E1530">
        <v>125.05999799999999</v>
      </c>
      <c r="F1530">
        <v>113.249199</v>
      </c>
      <c r="G1530">
        <v>5271000</v>
      </c>
      <c r="I1530">
        <f t="shared" si="24"/>
        <v>1.1897406955219978E-5</v>
      </c>
    </row>
    <row r="1531" spans="1:9" x14ac:dyDescent="0.3">
      <c r="A1531" s="5">
        <v>43860</v>
      </c>
      <c r="B1531">
        <v>124.790001</v>
      </c>
      <c r="C1531">
        <v>126.05999799999999</v>
      </c>
      <c r="D1531">
        <v>124.41999800000001</v>
      </c>
      <c r="E1531">
        <v>125.949997</v>
      </c>
      <c r="F1531">
        <v>114.055153</v>
      </c>
      <c r="G1531">
        <v>5894400</v>
      </c>
      <c r="I1531">
        <f t="shared" si="24"/>
        <v>4.5131860355763248E-5</v>
      </c>
    </row>
    <row r="1532" spans="1:9" x14ac:dyDescent="0.3">
      <c r="A1532" s="5">
        <v>43861</v>
      </c>
      <c r="B1532">
        <v>125.989998</v>
      </c>
      <c r="C1532">
        <v>126.949997</v>
      </c>
      <c r="D1532">
        <v>124.459999</v>
      </c>
      <c r="E1532">
        <v>124.620003</v>
      </c>
      <c r="F1532">
        <v>112.85075399999999</v>
      </c>
      <c r="G1532">
        <v>6612900</v>
      </c>
      <c r="I1532">
        <f t="shared" si="24"/>
        <v>1.5630982673181485E-4</v>
      </c>
    </row>
    <row r="1533" spans="1:9" x14ac:dyDescent="0.3">
      <c r="A1533" s="5">
        <v>43864</v>
      </c>
      <c r="B1533">
        <v>124.660004</v>
      </c>
      <c r="C1533">
        <v>125.949997</v>
      </c>
      <c r="D1533">
        <v>124.489998</v>
      </c>
      <c r="E1533">
        <v>125.110001</v>
      </c>
      <c r="F1533">
        <v>113.294487</v>
      </c>
      <c r="G1533">
        <v>6052300</v>
      </c>
      <c r="I1533">
        <f t="shared" si="24"/>
        <v>7.5669416774681414E-5</v>
      </c>
    </row>
    <row r="1534" spans="1:9" x14ac:dyDescent="0.3">
      <c r="A1534" s="5">
        <v>43865</v>
      </c>
      <c r="B1534">
        <v>125.709999</v>
      </c>
      <c r="C1534">
        <v>127.349998</v>
      </c>
      <c r="D1534">
        <v>125.360001</v>
      </c>
      <c r="E1534">
        <v>125.660004</v>
      </c>
      <c r="F1534">
        <v>113.79254899999999</v>
      </c>
      <c r="G1534">
        <v>6512200</v>
      </c>
      <c r="I1534">
        <f t="shared" si="24"/>
        <v>1.798212209850962E-4</v>
      </c>
    </row>
    <row r="1535" spans="1:9" x14ac:dyDescent="0.3">
      <c r="A1535" s="5">
        <v>43866</v>
      </c>
      <c r="B1535">
        <v>125.910004</v>
      </c>
      <c r="C1535">
        <v>127.05999799999999</v>
      </c>
      <c r="D1535">
        <v>125.400002</v>
      </c>
      <c r="E1535">
        <v>126.80999799999999</v>
      </c>
      <c r="F1535">
        <v>114.83393100000001</v>
      </c>
      <c r="G1535">
        <v>6125400</v>
      </c>
      <c r="I1535">
        <f t="shared" si="24"/>
        <v>6.3288725318955553E-5</v>
      </c>
    </row>
    <row r="1536" spans="1:9" x14ac:dyDescent="0.3">
      <c r="A1536" s="5">
        <v>43867</v>
      </c>
      <c r="B1536">
        <v>126.900002</v>
      </c>
      <c r="C1536">
        <v>128.08999600000001</v>
      </c>
      <c r="D1536">
        <v>126.599998</v>
      </c>
      <c r="E1536">
        <v>127.139999</v>
      </c>
      <c r="F1536">
        <v>115.132767</v>
      </c>
      <c r="G1536">
        <v>9102700</v>
      </c>
      <c r="I1536">
        <f t="shared" si="24"/>
        <v>7.9557113761821534E-5</v>
      </c>
    </row>
    <row r="1537" spans="1:9" x14ac:dyDescent="0.3">
      <c r="A1537" s="5">
        <v>43868</v>
      </c>
      <c r="B1537">
        <v>127.19000200000001</v>
      </c>
      <c r="C1537">
        <v>127.269997</v>
      </c>
      <c r="D1537">
        <v>126.050003</v>
      </c>
      <c r="E1537">
        <v>126.08000199999999</v>
      </c>
      <c r="F1537">
        <v>114.172859</v>
      </c>
      <c r="G1537">
        <v>5915100</v>
      </c>
      <c r="I1537">
        <f t="shared" si="24"/>
        <v>8.048990106670955E-6</v>
      </c>
    </row>
    <row r="1538" spans="1:9" x14ac:dyDescent="0.3">
      <c r="A1538" s="5">
        <v>43871</v>
      </c>
      <c r="B1538">
        <v>126.459999</v>
      </c>
      <c r="C1538">
        <v>126.83000199999999</v>
      </c>
      <c r="D1538">
        <v>125.760002</v>
      </c>
      <c r="E1538">
        <v>126.16999800000001</v>
      </c>
      <c r="F1538">
        <v>114.254349</v>
      </c>
      <c r="G1538">
        <v>5216100</v>
      </c>
      <c r="I1538">
        <f t="shared" si="24"/>
        <v>3.3309803555989369E-5</v>
      </c>
    </row>
    <row r="1539" spans="1:9" x14ac:dyDescent="0.3">
      <c r="A1539" s="5">
        <v>43872</v>
      </c>
      <c r="B1539">
        <v>126.269997</v>
      </c>
      <c r="C1539">
        <v>126.269997</v>
      </c>
      <c r="D1539">
        <v>124.029999</v>
      </c>
      <c r="E1539">
        <v>124.160004</v>
      </c>
      <c r="F1539">
        <v>112.434212</v>
      </c>
      <c r="G1539">
        <v>6105700</v>
      </c>
      <c r="I1539">
        <f t="shared" si="24"/>
        <v>1.8751421009429275E-5</v>
      </c>
    </row>
    <row r="1540" spans="1:9" x14ac:dyDescent="0.3">
      <c r="A1540" s="5">
        <v>43873</v>
      </c>
      <c r="B1540">
        <v>123.68</v>
      </c>
      <c r="C1540">
        <v>123.970001</v>
      </c>
      <c r="D1540">
        <v>122.849998</v>
      </c>
      <c r="E1540">
        <v>123.449997</v>
      </c>
      <c r="F1540">
        <v>111.791229</v>
      </c>
      <c r="G1540">
        <v>6031700</v>
      </c>
      <c r="I1540">
        <f t="shared" si="24"/>
        <v>4.2650859928006617E-5</v>
      </c>
    </row>
    <row r="1541" spans="1:9" x14ac:dyDescent="0.3">
      <c r="A1541" s="5">
        <v>43874</v>
      </c>
      <c r="B1541">
        <v>123.730003</v>
      </c>
      <c r="C1541">
        <v>125.279999</v>
      </c>
      <c r="D1541">
        <v>123.519997</v>
      </c>
      <c r="E1541">
        <v>124.959999</v>
      </c>
      <c r="F1541">
        <v>113.158638</v>
      </c>
      <c r="G1541">
        <v>7159000</v>
      </c>
      <c r="I1541">
        <f t="shared" si="24"/>
        <v>5.1529365629576787E-5</v>
      </c>
    </row>
    <row r="1542" spans="1:9" x14ac:dyDescent="0.3">
      <c r="A1542" s="5">
        <v>43875</v>
      </c>
      <c r="B1542">
        <v>125.290001</v>
      </c>
      <c r="C1542">
        <v>126.150002</v>
      </c>
      <c r="D1542">
        <v>124.790001</v>
      </c>
      <c r="E1542">
        <v>126.139999</v>
      </c>
      <c r="F1542">
        <v>114.22719600000001</v>
      </c>
      <c r="G1542">
        <v>5889100</v>
      </c>
      <c r="I1542">
        <f t="shared" si="24"/>
        <v>4.3568977598675785E-5</v>
      </c>
    </row>
    <row r="1543" spans="1:9" x14ac:dyDescent="0.3">
      <c r="A1543" s="5">
        <v>43879</v>
      </c>
      <c r="B1543">
        <v>125.83000199999999</v>
      </c>
      <c r="C1543">
        <v>126.18</v>
      </c>
      <c r="D1543">
        <v>124.83000199999999</v>
      </c>
      <c r="E1543">
        <v>124.870003</v>
      </c>
      <c r="F1543">
        <v>113.077141</v>
      </c>
      <c r="G1543">
        <v>6767600</v>
      </c>
      <c r="I1543">
        <f t="shared" si="24"/>
        <v>3.1544659010739183E-5</v>
      </c>
    </row>
    <row r="1544" spans="1:9" x14ac:dyDescent="0.3">
      <c r="A1544" s="5">
        <v>43880</v>
      </c>
      <c r="B1544">
        <v>124.849998</v>
      </c>
      <c r="C1544">
        <v>126.470001</v>
      </c>
      <c r="D1544">
        <v>124.650002</v>
      </c>
      <c r="E1544">
        <v>125.44000200000001</v>
      </c>
      <c r="F1544">
        <v>113.593323</v>
      </c>
      <c r="G1544">
        <v>4734000</v>
      </c>
      <c r="I1544">
        <f t="shared" si="24"/>
        <v>1.1555465939360859E-4</v>
      </c>
    </row>
    <row r="1545" spans="1:9" x14ac:dyDescent="0.3">
      <c r="A1545" s="5">
        <v>43881</v>
      </c>
      <c r="B1545">
        <v>125.470001</v>
      </c>
      <c r="C1545">
        <v>126.760002</v>
      </c>
      <c r="D1545">
        <v>125.129997</v>
      </c>
      <c r="E1545">
        <v>126.58000199999999</v>
      </c>
      <c r="F1545">
        <v>114.62565600000001</v>
      </c>
      <c r="G1545">
        <v>6094600</v>
      </c>
      <c r="I1545">
        <f t="shared" si="24"/>
        <v>4.5798824259992872E-5</v>
      </c>
    </row>
    <row r="1546" spans="1:9" x14ac:dyDescent="0.3">
      <c r="A1546" s="5">
        <v>43882</v>
      </c>
      <c r="B1546">
        <v>126.129997</v>
      </c>
      <c r="C1546">
        <v>128.070007</v>
      </c>
      <c r="D1546">
        <v>125.980003</v>
      </c>
      <c r="E1546">
        <v>126.699997</v>
      </c>
      <c r="F1546">
        <v>114.73429899999999</v>
      </c>
      <c r="G1546">
        <v>8723900</v>
      </c>
      <c r="I1546">
        <f t="shared" si="24"/>
        <v>1.709445943368034E-4</v>
      </c>
    </row>
    <row r="1547" spans="1:9" x14ac:dyDescent="0.3">
      <c r="A1547" s="5">
        <v>43885</v>
      </c>
      <c r="B1547">
        <v>125.260002</v>
      </c>
      <c r="C1547">
        <v>126.589996</v>
      </c>
      <c r="D1547">
        <v>123.139999</v>
      </c>
      <c r="E1547">
        <v>123.300003</v>
      </c>
      <c r="F1547">
        <v>111.65542600000001</v>
      </c>
      <c r="G1547">
        <v>7533900</v>
      </c>
      <c r="I1547">
        <f t="shared" si="24"/>
        <v>3.0029224914101323E-4</v>
      </c>
    </row>
    <row r="1548" spans="1:9" x14ac:dyDescent="0.3">
      <c r="A1548" s="5">
        <v>43886</v>
      </c>
      <c r="B1548">
        <v>123.019997</v>
      </c>
      <c r="C1548">
        <v>123.959999</v>
      </c>
      <c r="D1548">
        <v>120.879997</v>
      </c>
      <c r="E1548">
        <v>121.43</v>
      </c>
      <c r="F1548">
        <v>109.96202099999999</v>
      </c>
      <c r="G1548">
        <v>8903200</v>
      </c>
      <c r="I1548">
        <f t="shared" ref="I1548:I1611" si="25">LN(C1548/B1548)*(LN(C1548/B1548)-LN(E1548/B1548))+LN(D1548/B1548)*(LN(D1548/B1548)-LN(E1548/B1548))</f>
        <v>2.3663186425250957E-4</v>
      </c>
    </row>
    <row r="1549" spans="1:9" x14ac:dyDescent="0.3">
      <c r="A1549" s="5">
        <v>43887</v>
      </c>
      <c r="B1549">
        <v>121.41999800000001</v>
      </c>
      <c r="C1549">
        <v>122.389999</v>
      </c>
      <c r="D1549">
        <v>119.849998</v>
      </c>
      <c r="E1549">
        <v>120.160004</v>
      </c>
      <c r="F1549">
        <v>108.811958</v>
      </c>
      <c r="G1549">
        <v>6894200</v>
      </c>
      <c r="I1549">
        <f t="shared" si="25"/>
        <v>1.7993845900912898E-4</v>
      </c>
    </row>
    <row r="1550" spans="1:9" x14ac:dyDescent="0.3">
      <c r="A1550" s="5">
        <v>43888</v>
      </c>
      <c r="B1550">
        <v>119.120003</v>
      </c>
      <c r="C1550">
        <v>119.91999800000001</v>
      </c>
      <c r="D1550">
        <v>113.43</v>
      </c>
      <c r="E1550">
        <v>113.5</v>
      </c>
      <c r="F1550">
        <v>102.78093699999999</v>
      </c>
      <c r="G1550">
        <v>13298900</v>
      </c>
      <c r="I1550">
        <f t="shared" si="25"/>
        <v>3.9848152099322334E-4</v>
      </c>
    </row>
    <row r="1551" spans="1:9" x14ac:dyDescent="0.3">
      <c r="A1551" s="5">
        <v>43889</v>
      </c>
      <c r="B1551">
        <v>109.459999</v>
      </c>
      <c r="C1551">
        <v>113.230003</v>
      </c>
      <c r="D1551">
        <v>106.66999800000001</v>
      </c>
      <c r="E1551">
        <v>113.230003</v>
      </c>
      <c r="F1551">
        <v>102.536423</v>
      </c>
      <c r="G1551">
        <v>22784300</v>
      </c>
      <c r="I1551">
        <f t="shared" si="25"/>
        <v>1.5409241018018245E-3</v>
      </c>
    </row>
    <row r="1552" spans="1:9" x14ac:dyDescent="0.3">
      <c r="A1552" s="5">
        <v>43892</v>
      </c>
      <c r="B1552">
        <v>113.19000200000001</v>
      </c>
      <c r="C1552">
        <v>119.790001</v>
      </c>
      <c r="D1552">
        <v>112.550003</v>
      </c>
      <c r="E1552">
        <v>119.55999799999999</v>
      </c>
      <c r="F1552">
        <v>108.26863899999999</v>
      </c>
      <c r="G1552">
        <v>12399800</v>
      </c>
      <c r="I1552">
        <f t="shared" si="25"/>
        <v>4.5151889797222797E-4</v>
      </c>
    </row>
    <row r="1553" spans="1:9" x14ac:dyDescent="0.3">
      <c r="A1553" s="5">
        <v>43893</v>
      </c>
      <c r="B1553">
        <v>119.730003</v>
      </c>
      <c r="C1553">
        <v>121.839996</v>
      </c>
      <c r="D1553">
        <v>117.139999</v>
      </c>
      <c r="E1553">
        <v>118.16999800000001</v>
      </c>
      <c r="F1553">
        <v>107.009888</v>
      </c>
      <c r="G1553">
        <v>12510900</v>
      </c>
      <c r="I1553">
        <f t="shared" si="25"/>
        <v>7.2574797299647235E-4</v>
      </c>
    </row>
    <row r="1554" spans="1:9" x14ac:dyDescent="0.3">
      <c r="A1554" s="5">
        <v>43894</v>
      </c>
      <c r="B1554">
        <v>119.879997</v>
      </c>
      <c r="C1554">
        <v>124.69000200000001</v>
      </c>
      <c r="D1554">
        <v>119.599998</v>
      </c>
      <c r="E1554">
        <v>124.5</v>
      </c>
      <c r="F1554">
        <v>112.742081</v>
      </c>
      <c r="G1554">
        <v>9459300</v>
      </c>
      <c r="I1554">
        <f t="shared" si="25"/>
        <v>1.5388420849569257E-4</v>
      </c>
    </row>
    <row r="1555" spans="1:9" x14ac:dyDescent="0.3">
      <c r="A1555" s="5">
        <v>43895</v>
      </c>
      <c r="B1555">
        <v>121.300003</v>
      </c>
      <c r="C1555">
        <v>122.900002</v>
      </c>
      <c r="D1555">
        <v>120.279999</v>
      </c>
      <c r="E1555">
        <v>121.629997</v>
      </c>
      <c r="F1555">
        <v>110.14312</v>
      </c>
      <c r="G1555">
        <v>9363500</v>
      </c>
      <c r="I1555">
        <f t="shared" si="25"/>
        <v>2.3036987517922839E-4</v>
      </c>
    </row>
    <row r="1556" spans="1:9" x14ac:dyDescent="0.3">
      <c r="A1556" s="5">
        <v>43896</v>
      </c>
      <c r="B1556">
        <v>118.029999</v>
      </c>
      <c r="C1556">
        <v>122.610001</v>
      </c>
      <c r="D1556">
        <v>117.550003</v>
      </c>
      <c r="E1556">
        <v>121.660004</v>
      </c>
      <c r="F1556">
        <v>110.170311</v>
      </c>
      <c r="G1556">
        <v>9817400</v>
      </c>
      <c r="I1556">
        <f t="shared" si="25"/>
        <v>4.361620339156681E-4</v>
      </c>
    </row>
    <row r="1557" spans="1:9" x14ac:dyDescent="0.3">
      <c r="A1557" s="5">
        <v>43899</v>
      </c>
      <c r="B1557">
        <v>115.269997</v>
      </c>
      <c r="C1557">
        <v>120.029999</v>
      </c>
      <c r="D1557">
        <v>115.120003</v>
      </c>
      <c r="E1557">
        <v>116.05999799999999</v>
      </c>
      <c r="F1557">
        <v>105.099174</v>
      </c>
      <c r="G1557">
        <v>13116500</v>
      </c>
      <c r="I1557">
        <f t="shared" si="25"/>
        <v>1.3715897815771393E-3</v>
      </c>
    </row>
    <row r="1558" spans="1:9" x14ac:dyDescent="0.3">
      <c r="A1558" s="5">
        <v>43900</v>
      </c>
      <c r="B1558">
        <v>118.959999</v>
      </c>
      <c r="C1558">
        <v>120.82</v>
      </c>
      <c r="D1558">
        <v>114.44000200000001</v>
      </c>
      <c r="E1558">
        <v>120.550003</v>
      </c>
      <c r="F1558">
        <v>109.16514599999999</v>
      </c>
      <c r="G1558">
        <v>11419100</v>
      </c>
      <c r="I1558">
        <f t="shared" si="25"/>
        <v>2.0495529698664268E-3</v>
      </c>
    </row>
    <row r="1559" spans="1:9" x14ac:dyDescent="0.3">
      <c r="A1559" s="5">
        <v>43901</v>
      </c>
      <c r="B1559">
        <v>117.599998</v>
      </c>
      <c r="C1559">
        <v>118.44000200000001</v>
      </c>
      <c r="D1559">
        <v>110.68</v>
      </c>
      <c r="E1559">
        <v>111.589996</v>
      </c>
      <c r="F1559">
        <v>101.051331</v>
      </c>
      <c r="G1559">
        <v>16456000</v>
      </c>
      <c r="I1559">
        <f t="shared" si="25"/>
        <v>9.2060944324006224E-4</v>
      </c>
    </row>
    <row r="1560" spans="1:9" x14ac:dyDescent="0.3">
      <c r="A1560" s="5">
        <v>43902</v>
      </c>
      <c r="B1560">
        <v>103</v>
      </c>
      <c r="C1560">
        <v>111.58000199999999</v>
      </c>
      <c r="D1560">
        <v>101</v>
      </c>
      <c r="E1560">
        <v>101.839996</v>
      </c>
      <c r="F1560">
        <v>92.222121999999999</v>
      </c>
      <c r="G1560">
        <v>20988000</v>
      </c>
      <c r="I1560">
        <f t="shared" si="25"/>
        <v>7.4706930944704129E-3</v>
      </c>
    </row>
    <row r="1561" spans="1:9" x14ac:dyDescent="0.3">
      <c r="A1561" s="5">
        <v>43903</v>
      </c>
      <c r="B1561">
        <v>106.5</v>
      </c>
      <c r="C1561">
        <v>114.629997</v>
      </c>
      <c r="D1561">
        <v>105.410004</v>
      </c>
      <c r="E1561">
        <v>114.07</v>
      </c>
      <c r="F1561">
        <v>103.297089</v>
      </c>
      <c r="G1561">
        <v>17378700</v>
      </c>
      <c r="I1561">
        <f t="shared" si="25"/>
        <v>1.1725045438280514E-3</v>
      </c>
    </row>
    <row r="1562" spans="1:9" x14ac:dyDescent="0.3">
      <c r="A1562" s="5">
        <v>43906</v>
      </c>
      <c r="B1562">
        <v>101.75</v>
      </c>
      <c r="C1562">
        <v>115.949997</v>
      </c>
      <c r="D1562">
        <v>101</v>
      </c>
      <c r="E1562">
        <v>108.5</v>
      </c>
      <c r="F1562">
        <v>98.253135999999998</v>
      </c>
      <c r="G1562">
        <v>17367400</v>
      </c>
      <c r="I1562">
        <f t="shared" si="25"/>
        <v>9.2056065032910979E-3</v>
      </c>
    </row>
    <row r="1563" spans="1:9" x14ac:dyDescent="0.3">
      <c r="A1563" s="5">
        <v>43907</v>
      </c>
      <c r="B1563">
        <v>111.449997</v>
      </c>
      <c r="C1563">
        <v>119.699997</v>
      </c>
      <c r="D1563">
        <v>110.769997</v>
      </c>
      <c r="E1563">
        <v>118.239998</v>
      </c>
      <c r="F1563">
        <v>107.07328800000001</v>
      </c>
      <c r="G1563">
        <v>19451400</v>
      </c>
      <c r="I1563">
        <f t="shared" si="25"/>
        <v>1.2757848199517797E-3</v>
      </c>
    </row>
    <row r="1564" spans="1:9" x14ac:dyDescent="0.3">
      <c r="A1564" s="5">
        <v>43908</v>
      </c>
      <c r="B1564">
        <v>113.019997</v>
      </c>
      <c r="C1564">
        <v>121.5</v>
      </c>
      <c r="D1564">
        <v>112.089996</v>
      </c>
      <c r="E1564">
        <v>117.449997</v>
      </c>
      <c r="F1564">
        <v>106.357895</v>
      </c>
      <c r="G1564">
        <v>23139200</v>
      </c>
      <c r="I1564">
        <f t="shared" si="25"/>
        <v>2.8387169006978616E-3</v>
      </c>
    </row>
    <row r="1565" spans="1:9" x14ac:dyDescent="0.3">
      <c r="A1565" s="5">
        <v>43909</v>
      </c>
      <c r="B1565">
        <v>116.610001</v>
      </c>
      <c r="C1565">
        <v>118</v>
      </c>
      <c r="D1565">
        <v>109.790001</v>
      </c>
      <c r="E1565">
        <v>110.83000199999999</v>
      </c>
      <c r="F1565">
        <v>100.36309799999999</v>
      </c>
      <c r="G1565">
        <v>16428100</v>
      </c>
      <c r="I1565">
        <f t="shared" si="25"/>
        <v>1.311003277573049E-3</v>
      </c>
    </row>
    <row r="1566" spans="1:9" x14ac:dyDescent="0.3">
      <c r="A1566" s="5">
        <v>43910</v>
      </c>
      <c r="B1566">
        <v>109.19000200000001</v>
      </c>
      <c r="C1566">
        <v>109.699997</v>
      </c>
      <c r="D1566">
        <v>101.589996</v>
      </c>
      <c r="E1566">
        <v>102.43</v>
      </c>
      <c r="F1566">
        <v>92.756416000000002</v>
      </c>
      <c r="G1566">
        <v>19922900</v>
      </c>
      <c r="I1566">
        <f t="shared" si="25"/>
        <v>9.1360228215782663E-4</v>
      </c>
    </row>
    <row r="1567" spans="1:9" x14ac:dyDescent="0.3">
      <c r="A1567" s="5">
        <v>43913</v>
      </c>
      <c r="B1567">
        <v>100.19000200000001</v>
      </c>
      <c r="C1567">
        <v>103.75</v>
      </c>
      <c r="D1567">
        <v>94.339995999999999</v>
      </c>
      <c r="E1567">
        <v>97.699996999999996</v>
      </c>
      <c r="F1567">
        <v>88.473113999999995</v>
      </c>
      <c r="G1567">
        <v>17776800</v>
      </c>
      <c r="I1567">
        <f t="shared" si="25"/>
        <v>4.2033183088728701E-3</v>
      </c>
    </row>
    <row r="1568" spans="1:9" x14ac:dyDescent="0.3">
      <c r="A1568" s="5">
        <v>43914</v>
      </c>
      <c r="B1568">
        <v>101.230003</v>
      </c>
      <c r="C1568">
        <v>104</v>
      </c>
      <c r="D1568">
        <v>96.07</v>
      </c>
      <c r="E1568">
        <v>103.269997</v>
      </c>
      <c r="F1568">
        <v>93.517082000000002</v>
      </c>
      <c r="G1568">
        <v>14625500</v>
      </c>
      <c r="I1568">
        <f t="shared" si="25"/>
        <v>3.9711759989583201E-3</v>
      </c>
    </row>
    <row r="1569" spans="1:9" x14ac:dyDescent="0.3">
      <c r="A1569" s="5">
        <v>43915</v>
      </c>
      <c r="B1569">
        <v>100.510002</v>
      </c>
      <c r="C1569">
        <v>104.699997</v>
      </c>
      <c r="D1569">
        <v>98.599997999999999</v>
      </c>
      <c r="E1569">
        <v>100.91999800000001</v>
      </c>
      <c r="F1569">
        <v>91.389015000000001</v>
      </c>
      <c r="G1569">
        <v>13789100</v>
      </c>
      <c r="I1569">
        <f t="shared" si="25"/>
        <v>1.9480011050338928E-3</v>
      </c>
    </row>
    <row r="1570" spans="1:9" x14ac:dyDescent="0.3">
      <c r="A1570" s="5">
        <v>43916</v>
      </c>
      <c r="B1570">
        <v>103.879997</v>
      </c>
      <c r="C1570">
        <v>108.30999799999999</v>
      </c>
      <c r="D1570">
        <v>102.529999</v>
      </c>
      <c r="E1570">
        <v>107.379997</v>
      </c>
      <c r="F1570">
        <v>97.238929999999996</v>
      </c>
      <c r="G1570">
        <v>15796000</v>
      </c>
      <c r="I1570">
        <f t="shared" si="25"/>
        <v>9.6470979020401985E-4</v>
      </c>
    </row>
    <row r="1571" spans="1:9" x14ac:dyDescent="0.3">
      <c r="A1571" s="5">
        <v>43917</v>
      </c>
      <c r="B1571">
        <v>106.489998</v>
      </c>
      <c r="C1571">
        <v>114.290001</v>
      </c>
      <c r="D1571">
        <v>106.489998</v>
      </c>
      <c r="E1571">
        <v>110.16999800000001</v>
      </c>
      <c r="F1571">
        <v>99.765427000000003</v>
      </c>
      <c r="G1571">
        <v>16073100</v>
      </c>
      <c r="I1571">
        <f t="shared" si="25"/>
        <v>2.5952737689276836E-3</v>
      </c>
    </row>
    <row r="1572" spans="1:9" x14ac:dyDescent="0.3">
      <c r="A1572" s="5">
        <v>43920</v>
      </c>
      <c r="B1572">
        <v>113.900002</v>
      </c>
      <c r="C1572">
        <v>115.790001</v>
      </c>
      <c r="D1572">
        <v>110.199997</v>
      </c>
      <c r="E1572">
        <v>115</v>
      </c>
      <c r="F1572">
        <v>104.13928199999999</v>
      </c>
      <c r="G1572">
        <v>14571600</v>
      </c>
      <c r="I1572">
        <f t="shared" si="25"/>
        <v>1.5206558474487619E-3</v>
      </c>
    </row>
    <row r="1573" spans="1:9" x14ac:dyDescent="0.3">
      <c r="A1573" s="5">
        <v>43921</v>
      </c>
      <c r="B1573">
        <v>113.5</v>
      </c>
      <c r="C1573">
        <v>114.290001</v>
      </c>
      <c r="D1573">
        <v>108.949997</v>
      </c>
      <c r="E1573">
        <v>110</v>
      </c>
      <c r="F1573">
        <v>99.611480999999998</v>
      </c>
      <c r="G1573">
        <v>21691000</v>
      </c>
      <c r="I1573">
        <f t="shared" si="25"/>
        <v>6.5778990860698087E-4</v>
      </c>
    </row>
    <row r="1574" spans="1:9" x14ac:dyDescent="0.3">
      <c r="A1574" s="5">
        <v>43922</v>
      </c>
      <c r="B1574">
        <v>107.949997</v>
      </c>
      <c r="C1574">
        <v>112.18</v>
      </c>
      <c r="D1574">
        <v>107</v>
      </c>
      <c r="E1574">
        <v>109.33000199999999</v>
      </c>
      <c r="F1574">
        <v>99.004761000000002</v>
      </c>
      <c r="G1574">
        <v>11095800</v>
      </c>
      <c r="I1574">
        <f t="shared" si="25"/>
        <v>1.1795387251431152E-3</v>
      </c>
    </row>
    <row r="1575" spans="1:9" x14ac:dyDescent="0.3">
      <c r="A1575" s="5">
        <v>43923</v>
      </c>
      <c r="B1575">
        <v>107.69000200000001</v>
      </c>
      <c r="C1575">
        <v>114.989998</v>
      </c>
      <c r="D1575">
        <v>107.5</v>
      </c>
      <c r="E1575">
        <v>114.400002</v>
      </c>
      <c r="F1575">
        <v>103.59594</v>
      </c>
      <c r="G1575">
        <v>9168800</v>
      </c>
      <c r="I1575">
        <f t="shared" si="25"/>
        <v>4.4724740117631922E-4</v>
      </c>
    </row>
    <row r="1576" spans="1:9" x14ac:dyDescent="0.3">
      <c r="A1576" s="5">
        <v>43924</v>
      </c>
      <c r="B1576">
        <v>113.739998</v>
      </c>
      <c r="C1576">
        <v>115.900002</v>
      </c>
      <c r="D1576">
        <v>113.010002</v>
      </c>
      <c r="E1576">
        <v>115.08000199999999</v>
      </c>
      <c r="F1576">
        <v>104.211731</v>
      </c>
      <c r="G1576">
        <v>7768700</v>
      </c>
      <c r="I1576">
        <f t="shared" si="25"/>
        <v>2.5044580537852788E-4</v>
      </c>
    </row>
    <row r="1577" spans="1:9" x14ac:dyDescent="0.3">
      <c r="A1577" s="5">
        <v>43927</v>
      </c>
      <c r="B1577">
        <v>117</v>
      </c>
      <c r="C1577">
        <v>119</v>
      </c>
      <c r="D1577">
        <v>114.58000199999999</v>
      </c>
      <c r="E1577">
        <v>117.80999799999999</v>
      </c>
      <c r="F1577">
        <v>106.683899</v>
      </c>
      <c r="G1577">
        <v>16848400</v>
      </c>
      <c r="I1577">
        <f t="shared" si="25"/>
        <v>7.5138401112483837E-4</v>
      </c>
    </row>
    <row r="1578" spans="1:9" x14ac:dyDescent="0.3">
      <c r="A1578" s="5">
        <v>43928</v>
      </c>
      <c r="B1578">
        <v>116.709999</v>
      </c>
      <c r="C1578">
        <v>120.05999799999999</v>
      </c>
      <c r="D1578">
        <v>112.5</v>
      </c>
      <c r="E1578">
        <v>112.769997</v>
      </c>
      <c r="F1578">
        <v>102.119873</v>
      </c>
      <c r="G1578">
        <v>14438400</v>
      </c>
      <c r="I1578">
        <f t="shared" si="25"/>
        <v>1.860776671306714E-3</v>
      </c>
    </row>
    <row r="1579" spans="1:9" x14ac:dyDescent="0.3">
      <c r="A1579" s="5">
        <v>43929</v>
      </c>
      <c r="B1579">
        <v>114.389999</v>
      </c>
      <c r="C1579">
        <v>117.300003</v>
      </c>
      <c r="D1579">
        <v>111.860001</v>
      </c>
      <c r="E1579">
        <v>115.099998</v>
      </c>
      <c r="F1579">
        <v>104.229828</v>
      </c>
      <c r="G1579">
        <v>12564500</v>
      </c>
      <c r="I1579">
        <f t="shared" si="25"/>
        <v>1.1142386150207986E-3</v>
      </c>
    </row>
    <row r="1580" spans="1:9" x14ac:dyDescent="0.3">
      <c r="A1580" s="5">
        <v>43930</v>
      </c>
      <c r="B1580">
        <v>115.260002</v>
      </c>
      <c r="C1580">
        <v>118.660004</v>
      </c>
      <c r="D1580">
        <v>114.199997</v>
      </c>
      <c r="E1580">
        <v>114.660004</v>
      </c>
      <c r="F1580">
        <v>103.83139799999999</v>
      </c>
      <c r="G1580">
        <v>12747300</v>
      </c>
      <c r="I1580">
        <f t="shared" si="25"/>
        <v>1.0340445724987023E-3</v>
      </c>
    </row>
    <row r="1581" spans="1:9" x14ac:dyDescent="0.3">
      <c r="A1581" s="5">
        <v>43934</v>
      </c>
      <c r="B1581">
        <v>113.610001</v>
      </c>
      <c r="C1581">
        <v>116.75</v>
      </c>
      <c r="D1581">
        <v>113.160004</v>
      </c>
      <c r="E1581">
        <v>115.949997</v>
      </c>
      <c r="F1581">
        <v>104.999565</v>
      </c>
      <c r="G1581">
        <v>7926700</v>
      </c>
      <c r="I1581">
        <f t="shared" si="25"/>
        <v>2.841230684686671E-4</v>
      </c>
    </row>
    <row r="1582" spans="1:9" x14ac:dyDescent="0.3">
      <c r="A1582" s="5">
        <v>43935</v>
      </c>
      <c r="B1582">
        <v>118.760002</v>
      </c>
      <c r="C1582">
        <v>121.470001</v>
      </c>
      <c r="D1582">
        <v>116.25</v>
      </c>
      <c r="E1582">
        <v>120.959999</v>
      </c>
      <c r="F1582">
        <v>109.536423</v>
      </c>
      <c r="G1582">
        <v>10474200</v>
      </c>
      <c r="I1582">
        <f t="shared" si="25"/>
        <v>9.4334720509277672E-4</v>
      </c>
    </row>
    <row r="1583" spans="1:9" x14ac:dyDescent="0.3">
      <c r="A1583" s="5">
        <v>43936</v>
      </c>
      <c r="B1583">
        <v>120.860001</v>
      </c>
      <c r="C1583">
        <v>123.41999800000001</v>
      </c>
      <c r="D1583">
        <v>119.589996</v>
      </c>
      <c r="E1583">
        <v>121.220001</v>
      </c>
      <c r="F1583">
        <v>109.77185799999999</v>
      </c>
      <c r="G1583">
        <v>14192900</v>
      </c>
      <c r="I1583">
        <f t="shared" si="25"/>
        <v>5.2000319894818085E-4</v>
      </c>
    </row>
    <row r="1584" spans="1:9" x14ac:dyDescent="0.3">
      <c r="A1584" s="5">
        <v>43937</v>
      </c>
      <c r="B1584">
        <v>122.349998</v>
      </c>
      <c r="C1584">
        <v>122.5</v>
      </c>
      <c r="D1584">
        <v>119.900002</v>
      </c>
      <c r="E1584">
        <v>121.5</v>
      </c>
      <c r="F1584">
        <v>110.025406</v>
      </c>
      <c r="G1584">
        <v>12020200</v>
      </c>
      <c r="I1584">
        <f t="shared" si="25"/>
        <v>2.7818518770943303E-4</v>
      </c>
    </row>
    <row r="1585" spans="1:9" x14ac:dyDescent="0.3">
      <c r="A1585" s="5">
        <v>43938</v>
      </c>
      <c r="B1585">
        <v>122.449997</v>
      </c>
      <c r="C1585">
        <v>124.989998</v>
      </c>
      <c r="D1585">
        <v>120.540001</v>
      </c>
      <c r="E1585">
        <v>124.69000200000001</v>
      </c>
      <c r="F1585">
        <v>112.914146</v>
      </c>
      <c r="G1585">
        <v>15899800</v>
      </c>
      <c r="I1585">
        <f t="shared" si="25"/>
        <v>5.8148068256697104E-4</v>
      </c>
    </row>
    <row r="1586" spans="1:9" x14ac:dyDescent="0.3">
      <c r="A1586" s="5">
        <v>43941</v>
      </c>
      <c r="B1586">
        <v>121.470001</v>
      </c>
      <c r="C1586">
        <v>123.230003</v>
      </c>
      <c r="D1586">
        <v>120.540001</v>
      </c>
      <c r="E1586">
        <v>120.599998</v>
      </c>
      <c r="F1586">
        <v>109.210419</v>
      </c>
      <c r="G1586">
        <v>10832000</v>
      </c>
      <c r="I1586">
        <f t="shared" si="25"/>
        <v>3.1416103728744757E-4</v>
      </c>
    </row>
    <row r="1587" spans="1:9" x14ac:dyDescent="0.3">
      <c r="A1587" s="5">
        <v>43942</v>
      </c>
      <c r="B1587">
        <v>119.5</v>
      </c>
      <c r="C1587">
        <v>120.300003</v>
      </c>
      <c r="D1587">
        <v>118.43</v>
      </c>
      <c r="E1587">
        <v>119.68</v>
      </c>
      <c r="F1587">
        <v>108.377289</v>
      </c>
      <c r="G1587">
        <v>9465400</v>
      </c>
      <c r="I1587">
        <f t="shared" si="25"/>
        <v>1.2891173524252241E-4</v>
      </c>
    </row>
    <row r="1588" spans="1:9" x14ac:dyDescent="0.3">
      <c r="A1588" s="5">
        <v>43943</v>
      </c>
      <c r="B1588">
        <v>119.989998</v>
      </c>
      <c r="C1588">
        <v>120.279999</v>
      </c>
      <c r="D1588">
        <v>118.779999</v>
      </c>
      <c r="E1588">
        <v>119.400002</v>
      </c>
      <c r="F1588">
        <v>108.123734</v>
      </c>
      <c r="G1588">
        <v>10259400</v>
      </c>
      <c r="I1588">
        <f t="shared" si="25"/>
        <v>7.0492549916431038E-5</v>
      </c>
    </row>
    <row r="1589" spans="1:9" x14ac:dyDescent="0.3">
      <c r="A1589" s="5">
        <v>43944</v>
      </c>
      <c r="B1589">
        <v>118.650002</v>
      </c>
      <c r="C1589">
        <v>119.66999800000001</v>
      </c>
      <c r="D1589">
        <v>118.050003</v>
      </c>
      <c r="E1589">
        <v>119.400002</v>
      </c>
      <c r="F1589">
        <v>108.844818</v>
      </c>
      <c r="G1589">
        <v>17277000</v>
      </c>
      <c r="I1589">
        <f t="shared" si="25"/>
        <v>7.6981825156672862E-5</v>
      </c>
    </row>
    <row r="1590" spans="1:9" x14ac:dyDescent="0.3">
      <c r="A1590" s="5">
        <v>43945</v>
      </c>
      <c r="B1590">
        <v>119.099998</v>
      </c>
      <c r="C1590">
        <v>119.760002</v>
      </c>
      <c r="D1590">
        <v>118.620003</v>
      </c>
      <c r="E1590">
        <v>118.779999</v>
      </c>
      <c r="F1590">
        <v>108.279617</v>
      </c>
      <c r="G1590">
        <v>12751100</v>
      </c>
      <c r="I1590">
        <f t="shared" si="25"/>
        <v>5.0851323781152549E-5</v>
      </c>
    </row>
    <row r="1591" spans="1:9" x14ac:dyDescent="0.3">
      <c r="A1591" s="5">
        <v>43948</v>
      </c>
      <c r="B1591">
        <v>119.19000200000001</v>
      </c>
      <c r="C1591">
        <v>119.19000200000001</v>
      </c>
      <c r="D1591">
        <v>116.900002</v>
      </c>
      <c r="E1591">
        <v>117.449997</v>
      </c>
      <c r="F1591">
        <v>107.06719200000001</v>
      </c>
      <c r="G1591">
        <v>10635700</v>
      </c>
      <c r="I1591">
        <f t="shared" si="25"/>
        <v>9.1059671121210834E-5</v>
      </c>
    </row>
    <row r="1592" spans="1:9" x14ac:dyDescent="0.3">
      <c r="A1592" s="5">
        <v>43949</v>
      </c>
      <c r="B1592">
        <v>117.099998</v>
      </c>
      <c r="C1592">
        <v>117.910004</v>
      </c>
      <c r="D1592">
        <v>116.16999800000001</v>
      </c>
      <c r="E1592">
        <v>116.889999</v>
      </c>
      <c r="F1592">
        <v>106.556702</v>
      </c>
      <c r="G1592">
        <v>9958000</v>
      </c>
      <c r="I1592">
        <f t="shared" si="25"/>
        <v>1.0915889519325062E-4</v>
      </c>
    </row>
    <row r="1593" spans="1:9" x14ac:dyDescent="0.3">
      <c r="A1593" s="5">
        <v>43950</v>
      </c>
      <c r="B1593">
        <v>117.519997</v>
      </c>
      <c r="C1593">
        <v>118.050003</v>
      </c>
      <c r="D1593">
        <v>115.08000199999999</v>
      </c>
      <c r="E1593">
        <v>117.08000199999999</v>
      </c>
      <c r="F1593">
        <v>106.729935</v>
      </c>
      <c r="G1593">
        <v>8707900</v>
      </c>
      <c r="I1593">
        <f t="shared" si="25"/>
        <v>3.986270059292002E-4</v>
      </c>
    </row>
    <row r="1594" spans="1:9" x14ac:dyDescent="0.3">
      <c r="A1594" s="5">
        <v>43951</v>
      </c>
      <c r="B1594">
        <v>115.91999800000001</v>
      </c>
      <c r="C1594">
        <v>118.279999</v>
      </c>
      <c r="D1594">
        <v>115.660004</v>
      </c>
      <c r="E1594">
        <v>117.870003</v>
      </c>
      <c r="F1594">
        <v>107.450081</v>
      </c>
      <c r="G1594">
        <v>10026400</v>
      </c>
      <c r="I1594">
        <f t="shared" si="25"/>
        <v>1.1248252140260188E-4</v>
      </c>
    </row>
    <row r="1595" spans="1:9" x14ac:dyDescent="0.3">
      <c r="A1595" s="5">
        <v>43952</v>
      </c>
      <c r="B1595">
        <v>117.599998</v>
      </c>
      <c r="C1595">
        <v>118.370003</v>
      </c>
      <c r="D1595">
        <v>116.32</v>
      </c>
      <c r="E1595">
        <v>116.82</v>
      </c>
      <c r="F1595">
        <v>106.492897</v>
      </c>
      <c r="G1595">
        <v>7366400</v>
      </c>
      <c r="I1595">
        <f t="shared" si="25"/>
        <v>1.329655703585575E-4</v>
      </c>
    </row>
    <row r="1596" spans="1:9" x14ac:dyDescent="0.3">
      <c r="A1596" s="5">
        <v>43955</v>
      </c>
      <c r="B1596">
        <v>117.089996</v>
      </c>
      <c r="C1596">
        <v>117.199997</v>
      </c>
      <c r="D1596">
        <v>115</v>
      </c>
      <c r="E1596">
        <v>115.769997</v>
      </c>
      <c r="F1596">
        <v>105.535713</v>
      </c>
      <c r="G1596">
        <v>5636000</v>
      </c>
      <c r="I1596">
        <f t="shared" si="25"/>
        <v>1.317187788813229E-4</v>
      </c>
    </row>
    <row r="1597" spans="1:9" x14ac:dyDescent="0.3">
      <c r="A1597" s="5">
        <v>43956</v>
      </c>
      <c r="B1597">
        <v>115.800003</v>
      </c>
      <c r="C1597">
        <v>117.260002</v>
      </c>
      <c r="D1597">
        <v>115.209999</v>
      </c>
      <c r="E1597">
        <v>116.010002</v>
      </c>
      <c r="F1597">
        <v>105.754501</v>
      </c>
      <c r="G1597">
        <v>5425200</v>
      </c>
      <c r="I1597">
        <f t="shared" si="25"/>
        <v>1.6962531521840698E-4</v>
      </c>
    </row>
    <row r="1598" spans="1:9" x14ac:dyDescent="0.3">
      <c r="A1598" s="5">
        <v>43957</v>
      </c>
      <c r="B1598">
        <v>115.540001</v>
      </c>
      <c r="C1598">
        <v>116.139999</v>
      </c>
      <c r="D1598">
        <v>112.889999</v>
      </c>
      <c r="E1598">
        <v>113.099998</v>
      </c>
      <c r="F1598">
        <v>103.10174600000001</v>
      </c>
      <c r="G1598">
        <v>7892200</v>
      </c>
      <c r="I1598">
        <f t="shared" si="25"/>
        <v>1.8050454928015535E-4</v>
      </c>
    </row>
    <row r="1599" spans="1:9" x14ac:dyDescent="0.3">
      <c r="A1599" s="5">
        <v>43958</v>
      </c>
      <c r="B1599">
        <v>114.05999799999999</v>
      </c>
      <c r="C1599">
        <v>114.139999</v>
      </c>
      <c r="D1599">
        <v>111.82</v>
      </c>
      <c r="E1599">
        <v>112.16999800000001</v>
      </c>
      <c r="F1599">
        <v>102.253967</v>
      </c>
      <c r="G1599">
        <v>8762800</v>
      </c>
      <c r="I1599">
        <f t="shared" si="25"/>
        <v>7.4191380475333864E-5</v>
      </c>
    </row>
    <row r="1600" spans="1:9" x14ac:dyDescent="0.3">
      <c r="A1600" s="5">
        <v>43959</v>
      </c>
      <c r="B1600">
        <v>113.519997</v>
      </c>
      <c r="C1600">
        <v>116.300003</v>
      </c>
      <c r="D1600">
        <v>113.389999</v>
      </c>
      <c r="E1600">
        <v>115.949997</v>
      </c>
      <c r="F1600">
        <v>105.699806</v>
      </c>
      <c r="G1600">
        <v>9279900</v>
      </c>
      <c r="I1600">
        <f t="shared" si="25"/>
        <v>9.8503304722375237E-5</v>
      </c>
    </row>
    <row r="1601" spans="1:9" x14ac:dyDescent="0.3">
      <c r="A1601" s="5">
        <v>43962</v>
      </c>
      <c r="B1601">
        <v>115.75</v>
      </c>
      <c r="C1601">
        <v>116.010002</v>
      </c>
      <c r="D1601">
        <v>114.91999800000001</v>
      </c>
      <c r="E1601">
        <v>115.30999799999999</v>
      </c>
      <c r="F1601">
        <v>105.116394</v>
      </c>
      <c r="G1601">
        <v>6947500</v>
      </c>
      <c r="I1601">
        <f t="shared" si="25"/>
        <v>3.7960685861000476E-5</v>
      </c>
    </row>
    <row r="1602" spans="1:9" x14ac:dyDescent="0.3">
      <c r="A1602" s="5">
        <v>43963</v>
      </c>
      <c r="B1602">
        <v>115.199997</v>
      </c>
      <c r="C1602">
        <v>115.900002</v>
      </c>
      <c r="D1602">
        <v>114.139999</v>
      </c>
      <c r="E1602">
        <v>114.550003</v>
      </c>
      <c r="F1602">
        <v>104.423569</v>
      </c>
      <c r="G1602">
        <v>6734400</v>
      </c>
      <c r="I1602">
        <f t="shared" si="25"/>
        <v>1.0412396599004077E-4</v>
      </c>
    </row>
    <row r="1603" spans="1:9" x14ac:dyDescent="0.3">
      <c r="A1603" s="5">
        <v>43964</v>
      </c>
      <c r="B1603">
        <v>114.279999</v>
      </c>
      <c r="C1603">
        <v>115.349998</v>
      </c>
      <c r="D1603">
        <v>113.730003</v>
      </c>
      <c r="E1603">
        <v>113.91999800000001</v>
      </c>
      <c r="F1603">
        <v>103.84925800000001</v>
      </c>
      <c r="G1603">
        <v>9312600</v>
      </c>
      <c r="I1603">
        <f t="shared" si="25"/>
        <v>1.2430787702381416E-4</v>
      </c>
    </row>
    <row r="1604" spans="1:9" x14ac:dyDescent="0.3">
      <c r="A1604" s="5">
        <v>43965</v>
      </c>
      <c r="B1604">
        <v>113.540001</v>
      </c>
      <c r="C1604">
        <v>114.449997</v>
      </c>
      <c r="D1604">
        <v>111.25</v>
      </c>
      <c r="E1604">
        <v>113.80999799999999</v>
      </c>
      <c r="F1604">
        <v>103.74897</v>
      </c>
      <c r="G1604">
        <v>9310000</v>
      </c>
      <c r="I1604">
        <f t="shared" si="25"/>
        <v>5.0831176524992951E-4</v>
      </c>
    </row>
    <row r="1605" spans="1:9" x14ac:dyDescent="0.3">
      <c r="A1605" s="5">
        <v>43966</v>
      </c>
      <c r="B1605">
        <v>113.93</v>
      </c>
      <c r="C1605">
        <v>114.790001</v>
      </c>
      <c r="D1605">
        <v>112.050003</v>
      </c>
      <c r="E1605">
        <v>114.610001</v>
      </c>
      <c r="F1605">
        <v>104.47824900000001</v>
      </c>
      <c r="G1605">
        <v>10694800</v>
      </c>
      <c r="I1605">
        <f t="shared" si="25"/>
        <v>3.8767380021786186E-4</v>
      </c>
    </row>
    <row r="1606" spans="1:9" x14ac:dyDescent="0.3">
      <c r="A1606" s="5">
        <v>43969</v>
      </c>
      <c r="B1606">
        <v>116.029999</v>
      </c>
      <c r="C1606">
        <v>116.989998</v>
      </c>
      <c r="D1606">
        <v>114.709999</v>
      </c>
      <c r="E1606">
        <v>116.209999</v>
      </c>
      <c r="F1606">
        <v>105.93682099999999</v>
      </c>
      <c r="G1606">
        <v>10020800</v>
      </c>
      <c r="I1606">
        <f t="shared" si="25"/>
        <v>2.0376518266955403E-4</v>
      </c>
    </row>
    <row r="1607" spans="1:9" x14ac:dyDescent="0.3">
      <c r="A1607" s="5">
        <v>43970</v>
      </c>
      <c r="B1607">
        <v>115.089996</v>
      </c>
      <c r="C1607">
        <v>115.639999</v>
      </c>
      <c r="D1607">
        <v>112.339996</v>
      </c>
      <c r="E1607">
        <v>112.44000200000001</v>
      </c>
      <c r="F1607">
        <v>102.50009900000001</v>
      </c>
      <c r="G1607">
        <v>8047600</v>
      </c>
      <c r="I1607">
        <f t="shared" si="25"/>
        <v>1.5530623627048277E-4</v>
      </c>
    </row>
    <row r="1608" spans="1:9" x14ac:dyDescent="0.3">
      <c r="A1608" s="5">
        <v>43971</v>
      </c>
      <c r="B1608">
        <v>113</v>
      </c>
      <c r="C1608">
        <v>113.769997</v>
      </c>
      <c r="D1608">
        <v>112.129997</v>
      </c>
      <c r="E1608">
        <v>113.279999</v>
      </c>
      <c r="F1608">
        <v>103.265839</v>
      </c>
      <c r="G1608">
        <v>6593800</v>
      </c>
      <c r="I1608">
        <f t="shared" si="25"/>
        <v>1.0817552353443313E-4</v>
      </c>
    </row>
    <row r="1609" spans="1:9" x14ac:dyDescent="0.3">
      <c r="A1609" s="5">
        <v>43972</v>
      </c>
      <c r="B1609">
        <v>112.800003</v>
      </c>
      <c r="C1609">
        <v>113.199997</v>
      </c>
      <c r="D1609">
        <v>111.43</v>
      </c>
      <c r="E1609">
        <v>111.620003</v>
      </c>
      <c r="F1609">
        <v>101.75258599999999</v>
      </c>
      <c r="G1609">
        <v>6552700</v>
      </c>
      <c r="I1609">
        <f t="shared" si="25"/>
        <v>7.0573187134819823E-5</v>
      </c>
    </row>
    <row r="1610" spans="1:9" x14ac:dyDescent="0.3">
      <c r="A1610" s="5">
        <v>43973</v>
      </c>
      <c r="B1610">
        <v>112.290001</v>
      </c>
      <c r="C1610">
        <v>113.599998</v>
      </c>
      <c r="D1610">
        <v>111.760002</v>
      </c>
      <c r="E1610">
        <v>112.599998</v>
      </c>
      <c r="F1610">
        <v>102.64595</v>
      </c>
      <c r="G1610">
        <v>5571900</v>
      </c>
      <c r="I1610">
        <f t="shared" si="25"/>
        <v>1.3797921751375442E-4</v>
      </c>
    </row>
    <row r="1611" spans="1:9" x14ac:dyDescent="0.3">
      <c r="A1611" s="5">
        <v>43977</v>
      </c>
      <c r="B1611">
        <v>114.150002</v>
      </c>
      <c r="C1611">
        <v>114.150002</v>
      </c>
      <c r="D1611">
        <v>111.68</v>
      </c>
      <c r="E1611">
        <v>112.029999</v>
      </c>
      <c r="F1611">
        <v>102.126335</v>
      </c>
      <c r="G1611">
        <v>10432400</v>
      </c>
      <c r="I1611">
        <f t="shared" si="25"/>
        <v>6.845020271219116E-5</v>
      </c>
    </row>
    <row r="1612" spans="1:9" x14ac:dyDescent="0.3">
      <c r="A1612" s="5">
        <v>43978</v>
      </c>
      <c r="B1612">
        <v>112.5</v>
      </c>
      <c r="C1612">
        <v>113.970001</v>
      </c>
      <c r="D1612">
        <v>111.82</v>
      </c>
      <c r="E1612">
        <v>113.889999</v>
      </c>
      <c r="F1612">
        <v>103.821922</v>
      </c>
      <c r="G1612">
        <v>8279700</v>
      </c>
      <c r="I1612">
        <f t="shared" ref="I1612:I1675" si="26">LN(C1612/B1612)*(LN(C1612/B1612)-LN(E1612/B1612))+LN(D1612/B1612)*(LN(D1612/B1612)-LN(E1612/B1612))</f>
        <v>1.2032344770247589E-4</v>
      </c>
    </row>
    <row r="1613" spans="1:9" x14ac:dyDescent="0.3">
      <c r="A1613" s="5">
        <v>43979</v>
      </c>
      <c r="B1613">
        <v>115.529999</v>
      </c>
      <c r="C1613">
        <v>116.989998</v>
      </c>
      <c r="D1613">
        <v>114.900002</v>
      </c>
      <c r="E1613">
        <v>116.05999799999999</v>
      </c>
      <c r="F1613">
        <v>105.800079</v>
      </c>
      <c r="G1613">
        <v>6586700</v>
      </c>
      <c r="I1613">
        <f t="shared" si="26"/>
        <v>1.551559131495274E-4</v>
      </c>
    </row>
    <row r="1614" spans="1:9" x14ac:dyDescent="0.3">
      <c r="A1614" s="5">
        <v>43980</v>
      </c>
      <c r="B1614">
        <v>116.129997</v>
      </c>
      <c r="C1614">
        <v>116.720001</v>
      </c>
      <c r="D1614">
        <v>114.620003</v>
      </c>
      <c r="E1614">
        <v>115.91999800000001</v>
      </c>
      <c r="F1614">
        <v>105.67243999999999</v>
      </c>
      <c r="G1614">
        <v>7868000</v>
      </c>
      <c r="I1614">
        <f t="shared" si="26"/>
        <v>1.824582087247986E-4</v>
      </c>
    </row>
    <row r="1615" spans="1:9" x14ac:dyDescent="0.3">
      <c r="A1615" s="5">
        <v>43983</v>
      </c>
      <c r="B1615">
        <v>116</v>
      </c>
      <c r="C1615">
        <v>117.5</v>
      </c>
      <c r="D1615">
        <v>115.260002</v>
      </c>
      <c r="E1615">
        <v>117.25</v>
      </c>
      <c r="F1615">
        <v>106.88488</v>
      </c>
      <c r="G1615">
        <v>5105600</v>
      </c>
      <c r="I1615">
        <f t="shared" si="26"/>
        <v>1.3691577697629858E-4</v>
      </c>
    </row>
    <row r="1616" spans="1:9" x14ac:dyDescent="0.3">
      <c r="A1616" s="5">
        <v>43984</v>
      </c>
      <c r="B1616">
        <v>117.07</v>
      </c>
      <c r="C1616">
        <v>118.139999</v>
      </c>
      <c r="D1616">
        <v>116.82</v>
      </c>
      <c r="E1616">
        <v>118.05999799999999</v>
      </c>
      <c r="F1616">
        <v>107.62326</v>
      </c>
      <c r="G1616">
        <v>6327900</v>
      </c>
      <c r="I1616">
        <f t="shared" si="26"/>
        <v>2.8735065763523013E-5</v>
      </c>
    </row>
    <row r="1617" spans="1:9" x14ac:dyDescent="0.3">
      <c r="A1617" s="5">
        <v>43985</v>
      </c>
      <c r="B1617">
        <v>118.099998</v>
      </c>
      <c r="C1617">
        <v>119.19000200000001</v>
      </c>
      <c r="D1617">
        <v>117.949997</v>
      </c>
      <c r="E1617">
        <v>118.529999</v>
      </c>
      <c r="F1617">
        <v>108.051727</v>
      </c>
      <c r="G1617">
        <v>6171000</v>
      </c>
      <c r="I1617">
        <f t="shared" si="26"/>
        <v>5.7248703831245189E-5</v>
      </c>
    </row>
    <row r="1618" spans="1:9" x14ac:dyDescent="0.3">
      <c r="A1618" s="5">
        <v>43986</v>
      </c>
      <c r="B1618">
        <v>118</v>
      </c>
      <c r="C1618">
        <v>118.83000199999999</v>
      </c>
      <c r="D1618">
        <v>115.57</v>
      </c>
      <c r="E1618">
        <v>116.050003</v>
      </c>
      <c r="F1618">
        <v>105.79096199999999</v>
      </c>
      <c r="G1618">
        <v>6895800</v>
      </c>
      <c r="I1618">
        <f t="shared" si="26"/>
        <v>2.5217418534637657E-4</v>
      </c>
    </row>
    <row r="1619" spans="1:9" x14ac:dyDescent="0.3">
      <c r="A1619" s="5">
        <v>43987</v>
      </c>
      <c r="B1619">
        <v>116.25</v>
      </c>
      <c r="C1619">
        <v>118.83000199999999</v>
      </c>
      <c r="D1619">
        <v>116.050003</v>
      </c>
      <c r="E1619">
        <v>118.33000199999999</v>
      </c>
      <c r="F1619">
        <v>107.86940800000001</v>
      </c>
      <c r="G1619">
        <v>7337800</v>
      </c>
      <c r="I1619">
        <f t="shared" si="26"/>
        <v>1.2605870424961903E-4</v>
      </c>
    </row>
    <row r="1620" spans="1:9" x14ac:dyDescent="0.3">
      <c r="A1620" s="5">
        <v>43990</v>
      </c>
      <c r="B1620">
        <v>117.44000200000001</v>
      </c>
      <c r="C1620">
        <v>119.120003</v>
      </c>
      <c r="D1620">
        <v>116.839996</v>
      </c>
      <c r="E1620">
        <v>119.050003</v>
      </c>
      <c r="F1620">
        <v>108.525749</v>
      </c>
      <c r="G1620">
        <v>6926700</v>
      </c>
      <c r="I1620">
        <f t="shared" si="26"/>
        <v>1.0432865784337761E-4</v>
      </c>
    </row>
    <row r="1621" spans="1:9" x14ac:dyDescent="0.3">
      <c r="A1621" s="5">
        <v>43991</v>
      </c>
      <c r="B1621">
        <v>119.400002</v>
      </c>
      <c r="C1621">
        <v>119.760002</v>
      </c>
      <c r="D1621">
        <v>118.150002</v>
      </c>
      <c r="E1621">
        <v>118.339996</v>
      </c>
      <c r="F1621">
        <v>107.878525</v>
      </c>
      <c r="G1621">
        <v>5563200</v>
      </c>
      <c r="I1621">
        <f t="shared" si="26"/>
        <v>5.2819669893056456E-5</v>
      </c>
    </row>
    <row r="1622" spans="1:9" x14ac:dyDescent="0.3">
      <c r="A1622" s="5">
        <v>43992</v>
      </c>
      <c r="B1622">
        <v>119</v>
      </c>
      <c r="C1622">
        <v>119.889999</v>
      </c>
      <c r="D1622">
        <v>118.110001</v>
      </c>
      <c r="E1622">
        <v>119.230003</v>
      </c>
      <c r="F1622">
        <v>108.689857</v>
      </c>
      <c r="G1622">
        <v>6678200</v>
      </c>
      <c r="I1622">
        <f t="shared" si="26"/>
        <v>1.1198412562725753E-4</v>
      </c>
    </row>
    <row r="1623" spans="1:9" x14ac:dyDescent="0.3">
      <c r="A1623" s="5">
        <v>43993</v>
      </c>
      <c r="B1623">
        <v>118.80999799999999</v>
      </c>
      <c r="C1623">
        <v>119.57</v>
      </c>
      <c r="D1623">
        <v>116</v>
      </c>
      <c r="E1623">
        <v>116.260002</v>
      </c>
      <c r="F1623">
        <v>105.98240699999999</v>
      </c>
      <c r="G1623">
        <v>8937500</v>
      </c>
      <c r="I1623">
        <f t="shared" si="26"/>
        <v>2.325929720626946E-4</v>
      </c>
    </row>
    <row r="1624" spans="1:9" x14ac:dyDescent="0.3">
      <c r="A1624" s="5">
        <v>43994</v>
      </c>
      <c r="B1624">
        <v>116.589996</v>
      </c>
      <c r="C1624">
        <v>118.050003</v>
      </c>
      <c r="D1624">
        <v>115.260002</v>
      </c>
      <c r="E1624">
        <v>115.620003</v>
      </c>
      <c r="F1624">
        <v>105.398979</v>
      </c>
      <c r="G1624">
        <v>7998500</v>
      </c>
      <c r="I1624">
        <f t="shared" si="26"/>
        <v>2.9462235180123314E-4</v>
      </c>
    </row>
    <row r="1625" spans="1:9" x14ac:dyDescent="0.3">
      <c r="A1625" s="5">
        <v>43997</v>
      </c>
      <c r="B1625">
        <v>114.550003</v>
      </c>
      <c r="C1625">
        <v>117.279999</v>
      </c>
      <c r="D1625">
        <v>113.760002</v>
      </c>
      <c r="E1625">
        <v>116.69000200000001</v>
      </c>
      <c r="F1625">
        <v>106.374374</v>
      </c>
      <c r="G1625">
        <v>8786000</v>
      </c>
      <c r="I1625">
        <f t="shared" si="26"/>
        <v>2.9477162381629667E-4</v>
      </c>
    </row>
    <row r="1626" spans="1:9" x14ac:dyDescent="0.3">
      <c r="A1626" s="5">
        <v>43998</v>
      </c>
      <c r="B1626">
        <v>118.529999</v>
      </c>
      <c r="C1626">
        <v>118.970001</v>
      </c>
      <c r="D1626">
        <v>116.93</v>
      </c>
      <c r="E1626">
        <v>118.129997</v>
      </c>
      <c r="F1626">
        <v>107.687073</v>
      </c>
      <c r="G1626">
        <v>8165200</v>
      </c>
      <c r="I1626">
        <f t="shared" si="26"/>
        <v>1.6501771119664012E-4</v>
      </c>
    </row>
    <row r="1627" spans="1:9" x14ac:dyDescent="0.3">
      <c r="A1627" s="5">
        <v>43999</v>
      </c>
      <c r="B1627">
        <v>118.389999</v>
      </c>
      <c r="C1627">
        <v>119.110001</v>
      </c>
      <c r="D1627">
        <v>117.44000200000001</v>
      </c>
      <c r="E1627">
        <v>117.93</v>
      </c>
      <c r="F1627">
        <v>107.50477600000001</v>
      </c>
      <c r="G1627">
        <v>6320800</v>
      </c>
      <c r="I1627">
        <f t="shared" si="26"/>
        <v>9.3911583038745188E-5</v>
      </c>
    </row>
    <row r="1628" spans="1:9" x14ac:dyDescent="0.3">
      <c r="A1628" s="5">
        <v>44000</v>
      </c>
      <c r="B1628">
        <v>117.459999</v>
      </c>
      <c r="C1628">
        <v>119.959999</v>
      </c>
      <c r="D1628">
        <v>117.370003</v>
      </c>
      <c r="E1628">
        <v>119.279999</v>
      </c>
      <c r="F1628">
        <v>108.73542</v>
      </c>
      <c r="G1628">
        <v>6274400</v>
      </c>
      <c r="I1628">
        <f t="shared" si="26"/>
        <v>1.3209501391042675E-4</v>
      </c>
    </row>
    <row r="1629" spans="1:9" x14ac:dyDescent="0.3">
      <c r="A1629" s="5">
        <v>44001</v>
      </c>
      <c r="B1629">
        <v>120.489998</v>
      </c>
      <c r="C1629">
        <v>121.82</v>
      </c>
      <c r="D1629">
        <v>118.83000199999999</v>
      </c>
      <c r="E1629">
        <v>118.91999800000001</v>
      </c>
      <c r="F1629">
        <v>108.40724899999999</v>
      </c>
      <c r="G1629">
        <v>17506200</v>
      </c>
      <c r="I1629">
        <f t="shared" si="26"/>
        <v>2.7499695097064225E-4</v>
      </c>
    </row>
    <row r="1630" spans="1:9" x14ac:dyDescent="0.3">
      <c r="A1630" s="5">
        <v>44004</v>
      </c>
      <c r="B1630">
        <v>118.779999</v>
      </c>
      <c r="C1630">
        <v>119.08000199999999</v>
      </c>
      <c r="D1630">
        <v>117.339996</v>
      </c>
      <c r="E1630">
        <v>117.75</v>
      </c>
      <c r="F1630">
        <v>107.340675</v>
      </c>
      <c r="G1630">
        <v>5695600</v>
      </c>
      <c r="I1630">
        <f t="shared" si="26"/>
        <v>7.0877659602620129E-5</v>
      </c>
    </row>
    <row r="1631" spans="1:9" x14ac:dyDescent="0.3">
      <c r="A1631" s="5">
        <v>44005</v>
      </c>
      <c r="B1631">
        <v>118.66999800000001</v>
      </c>
      <c r="C1631">
        <v>119.19000200000001</v>
      </c>
      <c r="D1631">
        <v>117.650002</v>
      </c>
      <c r="E1631">
        <v>117.730003</v>
      </c>
      <c r="F1631">
        <v>107.322441</v>
      </c>
      <c r="G1631">
        <v>5340400</v>
      </c>
      <c r="I1631">
        <f t="shared" si="26"/>
        <v>5.9757218803370364E-5</v>
      </c>
    </row>
    <row r="1632" spans="1:9" x14ac:dyDescent="0.3">
      <c r="A1632" s="5">
        <v>44006</v>
      </c>
      <c r="B1632">
        <v>117.220001</v>
      </c>
      <c r="C1632">
        <v>117.959999</v>
      </c>
      <c r="D1632">
        <v>116.279999</v>
      </c>
      <c r="E1632">
        <v>116.41999800000001</v>
      </c>
      <c r="F1632">
        <v>106.128242</v>
      </c>
      <c r="G1632">
        <v>6547800</v>
      </c>
      <c r="I1632">
        <f t="shared" si="26"/>
        <v>9.2386596972464876E-5</v>
      </c>
    </row>
    <row r="1633" spans="1:9" x14ac:dyDescent="0.3">
      <c r="A1633" s="5">
        <v>44007</v>
      </c>
      <c r="B1633">
        <v>116.989998</v>
      </c>
      <c r="C1633">
        <v>118.029999</v>
      </c>
      <c r="D1633">
        <v>116.029999</v>
      </c>
      <c r="E1633">
        <v>117.889999</v>
      </c>
      <c r="F1633">
        <v>107.4683</v>
      </c>
      <c r="G1633">
        <v>5489300</v>
      </c>
      <c r="I1633">
        <f t="shared" si="26"/>
        <v>1.4154126298121224E-4</v>
      </c>
    </row>
    <row r="1634" spans="1:9" x14ac:dyDescent="0.3">
      <c r="A1634" s="5">
        <v>44008</v>
      </c>
      <c r="B1634">
        <v>117.589996</v>
      </c>
      <c r="C1634">
        <v>118.470001</v>
      </c>
      <c r="D1634">
        <v>115.040001</v>
      </c>
      <c r="E1634">
        <v>115.230003</v>
      </c>
      <c r="F1634">
        <v>105.043465</v>
      </c>
      <c r="G1634">
        <v>23201700</v>
      </c>
      <c r="I1634">
        <f t="shared" si="26"/>
        <v>2.4292698255131133E-4</v>
      </c>
    </row>
    <row r="1635" spans="1:9" x14ac:dyDescent="0.3">
      <c r="A1635" s="5">
        <v>44011</v>
      </c>
      <c r="B1635">
        <v>116.510002</v>
      </c>
      <c r="C1635">
        <v>118.050003</v>
      </c>
      <c r="D1635">
        <v>116.349998</v>
      </c>
      <c r="E1635">
        <v>117.660004</v>
      </c>
      <c r="F1635">
        <v>107.258644</v>
      </c>
      <c r="G1635">
        <v>6866900</v>
      </c>
      <c r="I1635">
        <f t="shared" si="26"/>
        <v>5.8839422176775517E-5</v>
      </c>
    </row>
    <row r="1636" spans="1:9" x14ac:dyDescent="0.3">
      <c r="A1636" s="5">
        <v>44012</v>
      </c>
      <c r="B1636">
        <v>117.970001</v>
      </c>
      <c r="C1636">
        <v>119.989998</v>
      </c>
      <c r="D1636">
        <v>117.800003</v>
      </c>
      <c r="E1636">
        <v>119.57</v>
      </c>
      <c r="F1636">
        <v>108.999779</v>
      </c>
      <c r="G1636">
        <v>7818000</v>
      </c>
      <c r="I1636">
        <f t="shared" si="26"/>
        <v>8.1038527884137707E-5</v>
      </c>
    </row>
    <row r="1637" spans="1:9" x14ac:dyDescent="0.3">
      <c r="A1637" s="5">
        <v>44013</v>
      </c>
      <c r="B1637">
        <v>119.650002</v>
      </c>
      <c r="C1637">
        <v>120.389999</v>
      </c>
      <c r="D1637">
        <v>118.900002</v>
      </c>
      <c r="E1637">
        <v>119.980003</v>
      </c>
      <c r="F1637">
        <v>109.373535</v>
      </c>
      <c r="G1637">
        <v>6501200</v>
      </c>
      <c r="I1637">
        <f t="shared" si="26"/>
        <v>7.7891171588812295E-5</v>
      </c>
    </row>
    <row r="1638" spans="1:9" x14ac:dyDescent="0.3">
      <c r="A1638" s="5">
        <v>44014</v>
      </c>
      <c r="B1638">
        <v>121</v>
      </c>
      <c r="C1638">
        <v>122.57</v>
      </c>
      <c r="D1638">
        <v>120.529999</v>
      </c>
      <c r="E1638">
        <v>120.879997</v>
      </c>
      <c r="F1638">
        <v>110.193977</v>
      </c>
      <c r="G1638">
        <v>6150900</v>
      </c>
      <c r="I1638">
        <f t="shared" si="26"/>
        <v>1.9027401181668854E-4</v>
      </c>
    </row>
    <row r="1639" spans="1:9" x14ac:dyDescent="0.3">
      <c r="A1639" s="5">
        <v>44018</v>
      </c>
      <c r="B1639">
        <v>121.769997</v>
      </c>
      <c r="C1639">
        <v>122.410004</v>
      </c>
      <c r="D1639">
        <v>120.879997</v>
      </c>
      <c r="E1639">
        <v>121.629997</v>
      </c>
      <c r="F1639">
        <v>110.877663</v>
      </c>
      <c r="G1639">
        <v>6023300</v>
      </c>
      <c r="I1639">
        <f t="shared" si="26"/>
        <v>7.8883761079592805E-5</v>
      </c>
    </row>
    <row r="1640" spans="1:9" x14ac:dyDescent="0.3">
      <c r="A1640" s="5">
        <v>44019</v>
      </c>
      <c r="B1640">
        <v>121.300003</v>
      </c>
      <c r="C1640">
        <v>123.25</v>
      </c>
      <c r="D1640">
        <v>120.889999</v>
      </c>
      <c r="E1640">
        <v>122.220001</v>
      </c>
      <c r="F1640">
        <v>111.41552</v>
      </c>
      <c r="G1640">
        <v>6866300</v>
      </c>
      <c r="I1640">
        <f t="shared" si="26"/>
        <v>1.7088346886462357E-4</v>
      </c>
    </row>
    <row r="1641" spans="1:9" x14ac:dyDescent="0.3">
      <c r="A1641" s="5">
        <v>44020</v>
      </c>
      <c r="B1641">
        <v>122.150002</v>
      </c>
      <c r="C1641">
        <v>123.239998</v>
      </c>
      <c r="D1641">
        <v>122</v>
      </c>
      <c r="E1641">
        <v>122.889999</v>
      </c>
      <c r="F1641">
        <v>112.026291</v>
      </c>
      <c r="G1641">
        <v>6494100</v>
      </c>
      <c r="I1641">
        <f t="shared" si="26"/>
        <v>3.4197247289902407E-5</v>
      </c>
    </row>
    <row r="1642" spans="1:9" x14ac:dyDescent="0.3">
      <c r="A1642" s="5">
        <v>44021</v>
      </c>
      <c r="B1642">
        <v>122.82</v>
      </c>
      <c r="C1642">
        <v>123.980003</v>
      </c>
      <c r="D1642">
        <v>121.80999799999999</v>
      </c>
      <c r="E1642">
        <v>122.480003</v>
      </c>
      <c r="F1642">
        <v>111.652534</v>
      </c>
      <c r="G1642">
        <v>5341000</v>
      </c>
      <c r="I1642">
        <f t="shared" si="26"/>
        <v>1.5972149070670919E-4</v>
      </c>
    </row>
    <row r="1643" spans="1:9" x14ac:dyDescent="0.3">
      <c r="A1643" s="5">
        <v>44022</v>
      </c>
      <c r="B1643">
        <v>122.57</v>
      </c>
      <c r="C1643">
        <v>124.5</v>
      </c>
      <c r="D1643">
        <v>122.470001</v>
      </c>
      <c r="E1643">
        <v>123.889999</v>
      </c>
      <c r="F1643">
        <v>112.937889</v>
      </c>
      <c r="G1643">
        <v>6752600</v>
      </c>
      <c r="I1643">
        <f t="shared" si="26"/>
        <v>8.6145702817002237E-5</v>
      </c>
    </row>
    <row r="1644" spans="1:9" x14ac:dyDescent="0.3">
      <c r="A1644" s="5">
        <v>44025</v>
      </c>
      <c r="B1644">
        <v>124</v>
      </c>
      <c r="C1644">
        <v>125.589996</v>
      </c>
      <c r="D1644">
        <v>123.339996</v>
      </c>
      <c r="E1644">
        <v>124.050003</v>
      </c>
      <c r="F1644">
        <v>113.08374000000001</v>
      </c>
      <c r="G1644">
        <v>7681500</v>
      </c>
      <c r="I1644">
        <f t="shared" si="26"/>
        <v>1.8783058100036763E-4</v>
      </c>
    </row>
    <row r="1645" spans="1:9" x14ac:dyDescent="0.3">
      <c r="A1645" s="5">
        <v>44026</v>
      </c>
      <c r="B1645">
        <v>123.989998</v>
      </c>
      <c r="C1645">
        <v>125.660004</v>
      </c>
      <c r="D1645">
        <v>123.5</v>
      </c>
      <c r="E1645">
        <v>125.089996</v>
      </c>
      <c r="F1645">
        <v>114.031792</v>
      </c>
      <c r="G1645">
        <v>6272100</v>
      </c>
      <c r="I1645">
        <f t="shared" si="26"/>
        <v>1.1148082700208127E-4</v>
      </c>
    </row>
    <row r="1646" spans="1:9" x14ac:dyDescent="0.3">
      <c r="A1646" s="5">
        <v>44027</v>
      </c>
      <c r="B1646">
        <v>125.980003</v>
      </c>
      <c r="C1646">
        <v>126.900002</v>
      </c>
      <c r="D1646">
        <v>124.260002</v>
      </c>
      <c r="E1646">
        <v>124.5</v>
      </c>
      <c r="F1646">
        <v>113.493965</v>
      </c>
      <c r="G1646">
        <v>8145000</v>
      </c>
      <c r="I1646">
        <f t="shared" si="26"/>
        <v>1.6545508978906709E-4</v>
      </c>
    </row>
    <row r="1647" spans="1:9" x14ac:dyDescent="0.3">
      <c r="A1647" s="5">
        <v>44028</v>
      </c>
      <c r="B1647">
        <v>125.08000199999999</v>
      </c>
      <c r="C1647">
        <v>125.519997</v>
      </c>
      <c r="D1647">
        <v>123.910004</v>
      </c>
      <c r="E1647">
        <v>124.760002</v>
      </c>
      <c r="F1647">
        <v>113.73098</v>
      </c>
      <c r="G1647">
        <v>3959300</v>
      </c>
      <c r="I1647">
        <f t="shared" si="26"/>
        <v>8.5574617703624203E-5</v>
      </c>
    </row>
    <row r="1648" spans="1:9" x14ac:dyDescent="0.3">
      <c r="A1648" s="5">
        <v>44029</v>
      </c>
      <c r="B1648">
        <v>125.089996</v>
      </c>
      <c r="C1648">
        <v>126.07</v>
      </c>
      <c r="D1648">
        <v>124.83000199999999</v>
      </c>
      <c r="E1648">
        <v>125.629997</v>
      </c>
      <c r="F1648">
        <v>114.52407100000001</v>
      </c>
      <c r="G1648">
        <v>4868600</v>
      </c>
      <c r="I1648">
        <f t="shared" si="26"/>
        <v>4.0575741370919032E-5</v>
      </c>
    </row>
    <row r="1649" spans="1:9" x14ac:dyDescent="0.3">
      <c r="A1649" s="5">
        <v>44032</v>
      </c>
      <c r="B1649">
        <v>125.470001</v>
      </c>
      <c r="C1649">
        <v>125.839996</v>
      </c>
      <c r="D1649">
        <v>124.790001</v>
      </c>
      <c r="E1649">
        <v>125.239998</v>
      </c>
      <c r="F1649">
        <v>114.168556</v>
      </c>
      <c r="G1649">
        <v>4242100</v>
      </c>
      <c r="I1649">
        <f t="shared" si="26"/>
        <v>3.3634187780354624E-5</v>
      </c>
    </row>
    <row r="1650" spans="1:9" x14ac:dyDescent="0.3">
      <c r="A1650" s="5">
        <v>44033</v>
      </c>
      <c r="B1650">
        <v>125.489998</v>
      </c>
      <c r="C1650">
        <v>126.639999</v>
      </c>
      <c r="D1650">
        <v>124.91999800000001</v>
      </c>
      <c r="E1650">
        <v>125.07</v>
      </c>
      <c r="F1650">
        <v>114.013588</v>
      </c>
      <c r="G1650">
        <v>5162300</v>
      </c>
      <c r="I1650">
        <f t="shared" si="26"/>
        <v>1.19263075005867E-4</v>
      </c>
    </row>
    <row r="1651" spans="1:9" x14ac:dyDescent="0.3">
      <c r="A1651" s="5">
        <v>44034</v>
      </c>
      <c r="B1651">
        <v>125.5</v>
      </c>
      <c r="C1651">
        <v>126.400002</v>
      </c>
      <c r="D1651">
        <v>124.209999</v>
      </c>
      <c r="E1651">
        <v>126.139999</v>
      </c>
      <c r="F1651">
        <v>114.98897599999999</v>
      </c>
      <c r="G1651">
        <v>5929200</v>
      </c>
      <c r="I1651">
        <f t="shared" si="26"/>
        <v>1.7402134592911305E-4</v>
      </c>
    </row>
    <row r="1652" spans="1:9" x14ac:dyDescent="0.3">
      <c r="A1652" s="5">
        <v>44035</v>
      </c>
      <c r="B1652">
        <v>126.120003</v>
      </c>
      <c r="C1652">
        <v>127.18</v>
      </c>
      <c r="D1652">
        <v>125.599998</v>
      </c>
      <c r="E1652">
        <v>126.160004</v>
      </c>
      <c r="F1652">
        <v>115.732964</v>
      </c>
      <c r="G1652">
        <v>6664800</v>
      </c>
      <c r="I1652">
        <f t="shared" si="26"/>
        <v>8.577569598588329E-5</v>
      </c>
    </row>
    <row r="1653" spans="1:9" x14ac:dyDescent="0.3">
      <c r="A1653" s="5">
        <v>44036</v>
      </c>
      <c r="B1653">
        <v>126.989998</v>
      </c>
      <c r="C1653">
        <v>127.769997</v>
      </c>
      <c r="D1653">
        <v>125.32</v>
      </c>
      <c r="E1653">
        <v>125.959999</v>
      </c>
      <c r="F1653">
        <v>115.54948400000001</v>
      </c>
      <c r="G1653">
        <v>6014200</v>
      </c>
      <c r="I1653">
        <f t="shared" si="26"/>
        <v>1.5479770253641048E-4</v>
      </c>
    </row>
    <row r="1654" spans="1:9" x14ac:dyDescent="0.3">
      <c r="A1654" s="5">
        <v>44039</v>
      </c>
      <c r="B1654">
        <v>125.709999</v>
      </c>
      <c r="C1654">
        <v>126.639999</v>
      </c>
      <c r="D1654">
        <v>125.540001</v>
      </c>
      <c r="E1654">
        <v>126.32</v>
      </c>
      <c r="F1654">
        <v>115.879745</v>
      </c>
      <c r="G1654">
        <v>6464600</v>
      </c>
      <c r="I1654">
        <f t="shared" si="26"/>
        <v>2.7030009375930039E-5</v>
      </c>
    </row>
    <row r="1655" spans="1:9" x14ac:dyDescent="0.3">
      <c r="A1655" s="5">
        <v>44040</v>
      </c>
      <c r="B1655">
        <v>126.370003</v>
      </c>
      <c r="C1655">
        <v>128.46000699999999</v>
      </c>
      <c r="D1655">
        <v>126.290001</v>
      </c>
      <c r="E1655">
        <v>127.879997</v>
      </c>
      <c r="F1655">
        <v>117.31079099999999</v>
      </c>
      <c r="G1655">
        <v>7644400</v>
      </c>
      <c r="I1655">
        <f t="shared" si="26"/>
        <v>8.2154357591856082E-5</v>
      </c>
    </row>
    <row r="1656" spans="1:9" x14ac:dyDescent="0.3">
      <c r="A1656" s="5">
        <v>44041</v>
      </c>
      <c r="B1656">
        <v>127.55999799999999</v>
      </c>
      <c r="C1656">
        <v>129.240005</v>
      </c>
      <c r="D1656">
        <v>127.360001</v>
      </c>
      <c r="E1656">
        <v>128.30999800000001</v>
      </c>
      <c r="F1656">
        <v>117.705254</v>
      </c>
      <c r="G1656">
        <v>6702000</v>
      </c>
      <c r="I1656">
        <f t="shared" si="26"/>
        <v>1.0615567998482706E-4</v>
      </c>
    </row>
    <row r="1657" spans="1:9" x14ac:dyDescent="0.3">
      <c r="A1657" s="5">
        <v>44042</v>
      </c>
      <c r="B1657">
        <v>130.66000399999999</v>
      </c>
      <c r="C1657">
        <v>132.029999</v>
      </c>
      <c r="D1657">
        <v>129.64999399999999</v>
      </c>
      <c r="E1657">
        <v>131.41999799999999</v>
      </c>
      <c r="F1657">
        <v>120.558235</v>
      </c>
      <c r="G1657">
        <v>10400700</v>
      </c>
      <c r="I1657">
        <f t="shared" si="26"/>
        <v>1.5352830686920105E-4</v>
      </c>
    </row>
    <row r="1658" spans="1:9" x14ac:dyDescent="0.3">
      <c r="A1658" s="5">
        <v>44043</v>
      </c>
      <c r="B1658">
        <v>130.66000399999999</v>
      </c>
      <c r="C1658">
        <v>131.21000699999999</v>
      </c>
      <c r="D1658">
        <v>129.270004</v>
      </c>
      <c r="E1658">
        <v>131.11999499999999</v>
      </c>
      <c r="F1658">
        <v>120.28301999999999</v>
      </c>
      <c r="G1658">
        <v>8487000</v>
      </c>
      <c r="I1658">
        <f t="shared" si="26"/>
        <v>1.5485869675618838E-4</v>
      </c>
    </row>
    <row r="1659" spans="1:9" x14ac:dyDescent="0.3">
      <c r="A1659" s="5">
        <v>44046</v>
      </c>
      <c r="B1659">
        <v>130.470001</v>
      </c>
      <c r="C1659">
        <v>131.91999799999999</v>
      </c>
      <c r="D1659">
        <v>130.470001</v>
      </c>
      <c r="E1659">
        <v>131.28999300000001</v>
      </c>
      <c r="F1659">
        <v>120.438957</v>
      </c>
      <c r="G1659">
        <v>7769400</v>
      </c>
      <c r="I1659">
        <f t="shared" si="26"/>
        <v>5.2908651574934689E-5</v>
      </c>
    </row>
    <row r="1660" spans="1:9" x14ac:dyDescent="0.3">
      <c r="A1660" s="5">
        <v>44047</v>
      </c>
      <c r="B1660">
        <v>130.770004</v>
      </c>
      <c r="C1660">
        <v>133.929993</v>
      </c>
      <c r="D1660">
        <v>130.699997</v>
      </c>
      <c r="E1660">
        <v>133.78999300000001</v>
      </c>
      <c r="F1660">
        <v>122.73233</v>
      </c>
      <c r="G1660">
        <v>7773700</v>
      </c>
      <c r="I1660">
        <f t="shared" si="26"/>
        <v>3.7484971009730686E-5</v>
      </c>
    </row>
    <row r="1661" spans="1:9" x14ac:dyDescent="0.3">
      <c r="A1661" s="5">
        <v>44048</v>
      </c>
      <c r="B1661">
        <v>133.58999600000001</v>
      </c>
      <c r="C1661">
        <v>134.64999399999999</v>
      </c>
      <c r="D1661">
        <v>133.11999499999999</v>
      </c>
      <c r="E1661">
        <v>133.44000199999999</v>
      </c>
      <c r="F1661">
        <v>122.411247</v>
      </c>
      <c r="G1661">
        <v>5680000</v>
      </c>
      <c r="I1661">
        <f t="shared" si="26"/>
        <v>7.9804774123946989E-5</v>
      </c>
    </row>
    <row r="1662" spans="1:9" x14ac:dyDescent="0.3">
      <c r="A1662" s="5">
        <v>44049</v>
      </c>
      <c r="B1662">
        <v>132.85000600000001</v>
      </c>
      <c r="C1662">
        <v>133.36999499999999</v>
      </c>
      <c r="D1662">
        <v>132.11999499999999</v>
      </c>
      <c r="E1662">
        <v>132.71000699999999</v>
      </c>
      <c r="F1662">
        <v>121.741608</v>
      </c>
      <c r="G1662">
        <v>3974100</v>
      </c>
      <c r="I1662">
        <f t="shared" si="26"/>
        <v>4.39314010202844E-5</v>
      </c>
    </row>
    <row r="1663" spans="1:9" x14ac:dyDescent="0.3">
      <c r="A1663" s="5">
        <v>44050</v>
      </c>
      <c r="B1663">
        <v>132.88999899999999</v>
      </c>
      <c r="C1663">
        <v>133.63999899999999</v>
      </c>
      <c r="D1663">
        <v>132.449997</v>
      </c>
      <c r="E1663">
        <v>133.550003</v>
      </c>
      <c r="F1663">
        <v>122.51216100000001</v>
      </c>
      <c r="G1663">
        <v>4934900</v>
      </c>
      <c r="I1663">
        <f t="shared" si="26"/>
        <v>3.1221374991375094E-5</v>
      </c>
    </row>
    <row r="1664" spans="1:9" x14ac:dyDescent="0.3">
      <c r="A1664" s="5">
        <v>44053</v>
      </c>
      <c r="B1664">
        <v>133.699997</v>
      </c>
      <c r="C1664">
        <v>134.44000199999999</v>
      </c>
      <c r="D1664">
        <v>133.19000199999999</v>
      </c>
      <c r="E1664">
        <v>134.10000600000001</v>
      </c>
      <c r="F1664">
        <v>123.01673099999999</v>
      </c>
      <c r="G1664">
        <v>5812700</v>
      </c>
      <c r="I1664">
        <f t="shared" si="26"/>
        <v>3.9999466374787843E-5</v>
      </c>
    </row>
    <row r="1665" spans="1:9" x14ac:dyDescent="0.3">
      <c r="A1665" s="5">
        <v>44054</v>
      </c>
      <c r="B1665">
        <v>134.270004</v>
      </c>
      <c r="C1665">
        <v>134.740005</v>
      </c>
      <c r="D1665">
        <v>132.78999300000001</v>
      </c>
      <c r="E1665">
        <v>133.229996</v>
      </c>
      <c r="F1665">
        <v>122.218636</v>
      </c>
      <c r="G1665">
        <v>5329900</v>
      </c>
      <c r="I1665">
        <f t="shared" si="26"/>
        <v>7.6047076628416556E-5</v>
      </c>
    </row>
    <row r="1666" spans="1:9" x14ac:dyDescent="0.3">
      <c r="A1666" s="5">
        <v>44055</v>
      </c>
      <c r="B1666">
        <v>133.770004</v>
      </c>
      <c r="C1666">
        <v>135.970001</v>
      </c>
      <c r="D1666">
        <v>133.699997</v>
      </c>
      <c r="E1666">
        <v>135.46000699999999</v>
      </c>
      <c r="F1666">
        <v>124.26432800000001</v>
      </c>
      <c r="G1666">
        <v>5920400</v>
      </c>
      <c r="I1666">
        <f t="shared" si="26"/>
        <v>6.8145100232416868E-5</v>
      </c>
    </row>
    <row r="1667" spans="1:9" x14ac:dyDescent="0.3">
      <c r="A1667" s="5">
        <v>44056</v>
      </c>
      <c r="B1667">
        <v>135.08000200000001</v>
      </c>
      <c r="C1667">
        <v>135.86999499999999</v>
      </c>
      <c r="D1667">
        <v>134.929993</v>
      </c>
      <c r="E1667">
        <v>135.779999</v>
      </c>
      <c r="F1667">
        <v>124.557877</v>
      </c>
      <c r="G1667">
        <v>4989500</v>
      </c>
      <c r="I1667">
        <f t="shared" si="26"/>
        <v>1.0841518290271656E-5</v>
      </c>
    </row>
    <row r="1668" spans="1:9" x14ac:dyDescent="0.3">
      <c r="A1668" s="5">
        <v>44057</v>
      </c>
      <c r="B1668">
        <v>135.61000100000001</v>
      </c>
      <c r="C1668">
        <v>135.63999899999999</v>
      </c>
      <c r="D1668">
        <v>134.550003</v>
      </c>
      <c r="E1668">
        <v>135.10000600000001</v>
      </c>
      <c r="F1668">
        <v>123.934082</v>
      </c>
      <c r="G1668">
        <v>5845200</v>
      </c>
      <c r="I1668">
        <f t="shared" si="26"/>
        <v>3.2894203812269491E-5</v>
      </c>
    </row>
    <row r="1669" spans="1:9" x14ac:dyDescent="0.3">
      <c r="A1669" s="5">
        <v>44060</v>
      </c>
      <c r="B1669">
        <v>134.94000199999999</v>
      </c>
      <c r="C1669">
        <v>135.699997</v>
      </c>
      <c r="D1669">
        <v>134.66000399999999</v>
      </c>
      <c r="E1669">
        <v>135.5</v>
      </c>
      <c r="F1669">
        <v>124.301018</v>
      </c>
      <c r="G1669">
        <v>5603800</v>
      </c>
      <c r="I1669">
        <f t="shared" si="26"/>
        <v>2.1200232649066462E-5</v>
      </c>
    </row>
    <row r="1670" spans="1:9" x14ac:dyDescent="0.3">
      <c r="A1670" s="5">
        <v>44061</v>
      </c>
      <c r="B1670">
        <v>135.80999800000001</v>
      </c>
      <c r="C1670">
        <v>137.520004</v>
      </c>
      <c r="D1670">
        <v>135.41999799999999</v>
      </c>
      <c r="E1670">
        <v>136.509995</v>
      </c>
      <c r="F1670">
        <v>125.227547</v>
      </c>
      <c r="G1670">
        <v>8670700</v>
      </c>
      <c r="I1670">
        <f t="shared" si="26"/>
        <v>1.1529158846669663E-4</v>
      </c>
    </row>
    <row r="1671" spans="1:9" x14ac:dyDescent="0.3">
      <c r="A1671" s="5">
        <v>44062</v>
      </c>
      <c r="B1671">
        <v>135.53999300000001</v>
      </c>
      <c r="C1671">
        <v>136.320007</v>
      </c>
      <c r="D1671">
        <v>135.5</v>
      </c>
      <c r="E1671">
        <v>135.770004</v>
      </c>
      <c r="F1671">
        <v>124.548698</v>
      </c>
      <c r="G1671">
        <v>6827700</v>
      </c>
      <c r="I1671">
        <f t="shared" si="26"/>
        <v>2.3786570942683724E-5</v>
      </c>
    </row>
    <row r="1672" spans="1:9" x14ac:dyDescent="0.3">
      <c r="A1672" s="5">
        <v>44063</v>
      </c>
      <c r="B1672">
        <v>135.240005</v>
      </c>
      <c r="C1672">
        <v>136.979996</v>
      </c>
      <c r="D1672">
        <v>135.19000199999999</v>
      </c>
      <c r="E1672">
        <v>136.85000600000001</v>
      </c>
      <c r="F1672">
        <v>125.53943599999999</v>
      </c>
      <c r="G1672">
        <v>4352200</v>
      </c>
      <c r="I1672">
        <f t="shared" si="26"/>
        <v>1.6650475441084192E-5</v>
      </c>
    </row>
    <row r="1673" spans="1:9" x14ac:dyDescent="0.3">
      <c r="A1673" s="5">
        <v>44064</v>
      </c>
      <c r="B1673">
        <v>136.60000600000001</v>
      </c>
      <c r="C1673">
        <v>138.10000600000001</v>
      </c>
      <c r="D1673">
        <v>135.91000399999999</v>
      </c>
      <c r="E1673">
        <v>137.44000199999999</v>
      </c>
      <c r="F1673">
        <v>126.08066599999999</v>
      </c>
      <c r="G1673">
        <v>5706600</v>
      </c>
      <c r="I1673">
        <f t="shared" si="26"/>
        <v>1.0900884783691614E-4</v>
      </c>
    </row>
    <row r="1674" spans="1:9" x14ac:dyDescent="0.3">
      <c r="A1674" s="5">
        <v>44067</v>
      </c>
      <c r="B1674">
        <v>137.490005</v>
      </c>
      <c r="C1674">
        <v>138.779999</v>
      </c>
      <c r="D1674">
        <v>137.199997</v>
      </c>
      <c r="E1674">
        <v>138.509995</v>
      </c>
      <c r="F1674">
        <v>127.062241</v>
      </c>
      <c r="G1674">
        <v>7420500</v>
      </c>
      <c r="I1674">
        <f t="shared" si="26"/>
        <v>3.8252111635355364E-5</v>
      </c>
    </row>
    <row r="1675" spans="1:9" x14ac:dyDescent="0.3">
      <c r="A1675" s="5">
        <v>44068</v>
      </c>
      <c r="B1675">
        <v>139</v>
      </c>
      <c r="C1675">
        <v>139.14999399999999</v>
      </c>
      <c r="D1675">
        <v>137.800003</v>
      </c>
      <c r="E1675">
        <v>139.05999800000001</v>
      </c>
      <c r="F1675">
        <v>127.566765</v>
      </c>
      <c r="G1675">
        <v>4718300</v>
      </c>
      <c r="I1675">
        <f t="shared" si="26"/>
        <v>7.9617996794981876E-5</v>
      </c>
    </row>
    <row r="1676" spans="1:9" x14ac:dyDescent="0.3">
      <c r="A1676" s="5">
        <v>44069</v>
      </c>
      <c r="B1676">
        <v>138.570007</v>
      </c>
      <c r="C1676">
        <v>139.320007</v>
      </c>
      <c r="D1676">
        <v>138.25</v>
      </c>
      <c r="E1676">
        <v>138.38999899999999</v>
      </c>
      <c r="F1676">
        <v>126.95214799999999</v>
      </c>
      <c r="G1676">
        <v>4746200</v>
      </c>
      <c r="I1676">
        <f t="shared" ref="I1676:I1739" si="27">LN(C1676/B1676)*(LN(C1676/B1676)-LN(E1676/B1676))+LN(D1676/B1676)*(LN(D1676/B1676)-LN(E1676/B1676))</f>
        <v>3.8493238434807785E-5</v>
      </c>
    </row>
    <row r="1677" spans="1:9" x14ac:dyDescent="0.3">
      <c r="A1677" s="5">
        <v>44070</v>
      </c>
      <c r="B1677">
        <v>138.83999600000001</v>
      </c>
      <c r="C1677">
        <v>139.69000199999999</v>
      </c>
      <c r="D1677">
        <v>138.179993</v>
      </c>
      <c r="E1677">
        <v>138.21000699999999</v>
      </c>
      <c r="F1677">
        <v>126.78705600000001</v>
      </c>
      <c r="G1677">
        <v>6156100</v>
      </c>
      <c r="I1677">
        <f t="shared" si="27"/>
        <v>6.6045942258327321E-5</v>
      </c>
    </row>
    <row r="1678" spans="1:9" x14ac:dyDescent="0.3">
      <c r="A1678" s="5">
        <v>44071</v>
      </c>
      <c r="B1678">
        <v>138.320007</v>
      </c>
      <c r="C1678">
        <v>138.91000399999999</v>
      </c>
      <c r="D1678">
        <v>136.949997</v>
      </c>
      <c r="E1678">
        <v>138.770004</v>
      </c>
      <c r="F1678">
        <v>127.30075100000001</v>
      </c>
      <c r="G1678">
        <v>4166300</v>
      </c>
      <c r="I1678">
        <f t="shared" si="27"/>
        <v>1.3570530039021643E-4</v>
      </c>
    </row>
    <row r="1679" spans="1:9" x14ac:dyDescent="0.3">
      <c r="A1679" s="5">
        <v>44074</v>
      </c>
      <c r="B1679">
        <v>138.19000199999999</v>
      </c>
      <c r="C1679">
        <v>138.729996</v>
      </c>
      <c r="D1679">
        <v>137.820007</v>
      </c>
      <c r="E1679">
        <v>138.33000200000001</v>
      </c>
      <c r="F1679">
        <v>126.89711</v>
      </c>
      <c r="G1679">
        <v>5596800</v>
      </c>
      <c r="I1679">
        <f t="shared" si="27"/>
        <v>2.116362929613699E-5</v>
      </c>
    </row>
    <row r="1680" spans="1:9" x14ac:dyDescent="0.3">
      <c r="A1680" s="5">
        <v>44075</v>
      </c>
      <c r="B1680">
        <v>137.86000100000001</v>
      </c>
      <c r="C1680">
        <v>138.220001</v>
      </c>
      <c r="D1680">
        <v>137.070007</v>
      </c>
      <c r="E1680">
        <v>138.179993</v>
      </c>
      <c r="F1680">
        <v>126.759506</v>
      </c>
      <c r="G1680">
        <v>5671800</v>
      </c>
      <c r="I1680">
        <f t="shared" si="27"/>
        <v>4.7105582234701211E-5</v>
      </c>
    </row>
    <row r="1681" spans="1:9" x14ac:dyDescent="0.3">
      <c r="A1681" s="5">
        <v>44076</v>
      </c>
      <c r="B1681">
        <v>138.11000100000001</v>
      </c>
      <c r="C1681">
        <v>141.44000199999999</v>
      </c>
      <c r="D1681">
        <v>137.61000100000001</v>
      </c>
      <c r="E1681">
        <v>140.509995</v>
      </c>
      <c r="F1681">
        <v>128.89692700000001</v>
      </c>
      <c r="G1681">
        <v>8384800</v>
      </c>
      <c r="I1681">
        <f t="shared" si="27"/>
        <v>2.3281262622456297E-4</v>
      </c>
    </row>
    <row r="1682" spans="1:9" x14ac:dyDescent="0.3">
      <c r="A1682" s="5">
        <v>44077</v>
      </c>
      <c r="B1682">
        <v>140.740005</v>
      </c>
      <c r="C1682">
        <v>141.699997</v>
      </c>
      <c r="D1682">
        <v>137.08999600000001</v>
      </c>
      <c r="E1682">
        <v>138.259995</v>
      </c>
      <c r="F1682">
        <v>126.83287799999999</v>
      </c>
      <c r="G1682">
        <v>7277900</v>
      </c>
      <c r="I1682">
        <f t="shared" si="27"/>
        <v>3.9037308164491951E-4</v>
      </c>
    </row>
    <row r="1683" spans="1:9" x14ac:dyDescent="0.3">
      <c r="A1683" s="5">
        <v>44078</v>
      </c>
      <c r="B1683">
        <v>137.80999800000001</v>
      </c>
      <c r="C1683">
        <v>139.19000199999999</v>
      </c>
      <c r="D1683">
        <v>136.11999499999999</v>
      </c>
      <c r="E1683">
        <v>137.96000699999999</v>
      </c>
      <c r="F1683">
        <v>126.557716</v>
      </c>
      <c r="G1683">
        <v>7437700</v>
      </c>
      <c r="I1683">
        <f t="shared" si="27"/>
        <v>2.5411875135158751E-4</v>
      </c>
    </row>
    <row r="1684" spans="1:9" x14ac:dyDescent="0.3">
      <c r="A1684" s="5">
        <v>44082</v>
      </c>
      <c r="B1684">
        <v>138.520004</v>
      </c>
      <c r="C1684">
        <v>138.63999899999999</v>
      </c>
      <c r="D1684">
        <v>135.03999300000001</v>
      </c>
      <c r="E1684">
        <v>135.94000199999999</v>
      </c>
      <c r="F1684">
        <v>124.704651</v>
      </c>
      <c r="G1684">
        <v>6847500</v>
      </c>
      <c r="I1684">
        <f t="shared" si="27"/>
        <v>1.8604345862486963E-4</v>
      </c>
    </row>
    <row r="1685" spans="1:9" x14ac:dyDescent="0.3">
      <c r="A1685" s="5">
        <v>44083</v>
      </c>
      <c r="B1685">
        <v>136.41999799999999</v>
      </c>
      <c r="C1685">
        <v>139.55999800000001</v>
      </c>
      <c r="D1685">
        <v>136.270004</v>
      </c>
      <c r="E1685">
        <v>138.14999399999999</v>
      </c>
      <c r="F1685">
        <v>126.731979</v>
      </c>
      <c r="G1685">
        <v>6002900</v>
      </c>
      <c r="I1685">
        <f t="shared" si="27"/>
        <v>2.4615392780867108E-4</v>
      </c>
    </row>
    <row r="1686" spans="1:9" x14ac:dyDescent="0.3">
      <c r="A1686" s="5">
        <v>44084</v>
      </c>
      <c r="B1686">
        <v>138.11999499999999</v>
      </c>
      <c r="C1686">
        <v>138.720001</v>
      </c>
      <c r="D1686">
        <v>136.509995</v>
      </c>
      <c r="E1686">
        <v>136.699997</v>
      </c>
      <c r="F1686">
        <v>125.40181699999999</v>
      </c>
      <c r="G1686">
        <v>5242500</v>
      </c>
      <c r="I1686">
        <f t="shared" si="27"/>
        <v>7.9892749089313935E-5</v>
      </c>
    </row>
    <row r="1687" spans="1:9" x14ac:dyDescent="0.3">
      <c r="A1687" s="5">
        <v>44085</v>
      </c>
      <c r="B1687">
        <v>137.69000199999999</v>
      </c>
      <c r="C1687">
        <v>138.66000399999999</v>
      </c>
      <c r="D1687">
        <v>137.16000399999999</v>
      </c>
      <c r="E1687">
        <v>138.13999899999999</v>
      </c>
      <c r="F1687">
        <v>126.722832</v>
      </c>
      <c r="G1687">
        <v>4398000</v>
      </c>
      <c r="I1687">
        <f t="shared" si="27"/>
        <v>5.3833823402635169E-5</v>
      </c>
    </row>
    <row r="1688" spans="1:9" x14ac:dyDescent="0.3">
      <c r="A1688" s="5">
        <v>44088</v>
      </c>
      <c r="B1688">
        <v>138.44000199999999</v>
      </c>
      <c r="C1688">
        <v>139.58000200000001</v>
      </c>
      <c r="D1688">
        <v>138.33000200000001</v>
      </c>
      <c r="E1688">
        <v>138.63000500000001</v>
      </c>
      <c r="F1688">
        <v>127.172348</v>
      </c>
      <c r="G1688">
        <v>4767400</v>
      </c>
      <c r="I1688">
        <f t="shared" si="27"/>
        <v>5.7729048963125196E-5</v>
      </c>
    </row>
    <row r="1689" spans="1:9" x14ac:dyDescent="0.3">
      <c r="A1689" s="5">
        <v>44089</v>
      </c>
      <c r="B1689">
        <v>138.78999300000001</v>
      </c>
      <c r="C1689">
        <v>139.770004</v>
      </c>
      <c r="D1689">
        <v>138.38999899999999</v>
      </c>
      <c r="E1689">
        <v>138.63000500000001</v>
      </c>
      <c r="F1689">
        <v>127.172348</v>
      </c>
      <c r="G1689">
        <v>4046500</v>
      </c>
      <c r="I1689">
        <f t="shared" si="27"/>
        <v>6.2626163122350933E-5</v>
      </c>
    </row>
    <row r="1690" spans="1:9" x14ac:dyDescent="0.3">
      <c r="A1690" s="5">
        <v>44090</v>
      </c>
      <c r="B1690">
        <v>139.570007</v>
      </c>
      <c r="C1690">
        <v>140.16999799999999</v>
      </c>
      <c r="D1690">
        <v>137.60000600000001</v>
      </c>
      <c r="E1690">
        <v>137.699997</v>
      </c>
      <c r="F1690">
        <v>126.319176</v>
      </c>
      <c r="G1690">
        <v>6049900</v>
      </c>
      <c r="I1690">
        <f t="shared" si="27"/>
        <v>8.6589915302931112E-5</v>
      </c>
    </row>
    <row r="1691" spans="1:9" x14ac:dyDescent="0.3">
      <c r="A1691" s="5">
        <v>44091</v>
      </c>
      <c r="B1691">
        <v>137.05999800000001</v>
      </c>
      <c r="C1691">
        <v>137.88000500000001</v>
      </c>
      <c r="D1691">
        <v>136.19000199999999</v>
      </c>
      <c r="E1691">
        <v>137.520004</v>
      </c>
      <c r="F1691">
        <v>126.15406</v>
      </c>
      <c r="G1691">
        <v>4648500</v>
      </c>
      <c r="I1691">
        <f t="shared" si="27"/>
        <v>7.7479581153773984E-5</v>
      </c>
    </row>
    <row r="1692" spans="1:9" x14ac:dyDescent="0.3">
      <c r="A1692" s="5">
        <v>44092</v>
      </c>
      <c r="B1692">
        <v>136.91000399999999</v>
      </c>
      <c r="C1692">
        <v>137.929993</v>
      </c>
      <c r="D1692">
        <v>136.259995</v>
      </c>
      <c r="E1692">
        <v>137.36999499999999</v>
      </c>
      <c r="F1692">
        <v>126.01644899999999</v>
      </c>
      <c r="G1692">
        <v>10192800</v>
      </c>
      <c r="I1692">
        <f t="shared" si="27"/>
        <v>6.8807430149747182E-5</v>
      </c>
    </row>
    <row r="1693" spans="1:9" x14ac:dyDescent="0.3">
      <c r="A1693" s="5">
        <v>44095</v>
      </c>
      <c r="B1693">
        <v>137</v>
      </c>
      <c r="C1693">
        <v>137.470001</v>
      </c>
      <c r="D1693">
        <v>134.699997</v>
      </c>
      <c r="E1693">
        <v>136.71000699999999</v>
      </c>
      <c r="F1693">
        <v>125.410995</v>
      </c>
      <c r="G1693">
        <v>7092600</v>
      </c>
      <c r="I1693">
        <f t="shared" si="27"/>
        <v>2.6976428041956509E-4</v>
      </c>
    </row>
    <row r="1694" spans="1:9" x14ac:dyDescent="0.3">
      <c r="A1694" s="5">
        <v>44096</v>
      </c>
      <c r="B1694">
        <v>136.490005</v>
      </c>
      <c r="C1694">
        <v>139.029999</v>
      </c>
      <c r="D1694">
        <v>136.240005</v>
      </c>
      <c r="E1694">
        <v>137.96000699999999</v>
      </c>
      <c r="F1694">
        <v>126.557716</v>
      </c>
      <c r="G1694">
        <v>4722800</v>
      </c>
      <c r="I1694">
        <f t="shared" si="27"/>
        <v>1.654529660334252E-4</v>
      </c>
    </row>
    <row r="1695" spans="1:9" x14ac:dyDescent="0.3">
      <c r="A1695" s="5">
        <v>44097</v>
      </c>
      <c r="B1695">
        <v>138.41999799999999</v>
      </c>
      <c r="C1695">
        <v>138.41999799999999</v>
      </c>
      <c r="D1695">
        <v>136.08999600000001</v>
      </c>
      <c r="E1695">
        <v>136.30999800000001</v>
      </c>
      <c r="F1695">
        <v>125.04406</v>
      </c>
      <c r="G1695">
        <v>6373700</v>
      </c>
      <c r="I1695">
        <f t="shared" si="27"/>
        <v>2.7421309098898817E-5</v>
      </c>
    </row>
    <row r="1696" spans="1:9" x14ac:dyDescent="0.3">
      <c r="A1696" s="5">
        <v>44098</v>
      </c>
      <c r="B1696">
        <v>136.66999799999999</v>
      </c>
      <c r="C1696">
        <v>137.14999399999999</v>
      </c>
      <c r="D1696">
        <v>135.71000699999999</v>
      </c>
      <c r="E1696">
        <v>136.91999799999999</v>
      </c>
      <c r="F1696">
        <v>125.603638</v>
      </c>
      <c r="G1696">
        <v>5708200</v>
      </c>
      <c r="I1696">
        <f t="shared" si="27"/>
        <v>6.8454102592850236E-5</v>
      </c>
    </row>
    <row r="1697" spans="1:9" x14ac:dyDescent="0.3">
      <c r="A1697" s="5">
        <v>44099</v>
      </c>
      <c r="B1697">
        <v>135.88999899999999</v>
      </c>
      <c r="C1697">
        <v>137.990005</v>
      </c>
      <c r="D1697">
        <v>135.88999899999999</v>
      </c>
      <c r="E1697">
        <v>137.61999499999999</v>
      </c>
      <c r="F1697">
        <v>126.245789</v>
      </c>
      <c r="G1697">
        <v>4969900</v>
      </c>
      <c r="I1697">
        <f t="shared" si="27"/>
        <v>4.1176313713836281E-5</v>
      </c>
    </row>
    <row r="1698" spans="1:9" x14ac:dyDescent="0.3">
      <c r="A1698" s="5">
        <v>44102</v>
      </c>
      <c r="B1698">
        <v>138.55999800000001</v>
      </c>
      <c r="C1698">
        <v>139.94000199999999</v>
      </c>
      <c r="D1698">
        <v>137.779999</v>
      </c>
      <c r="E1698">
        <v>138.009995</v>
      </c>
      <c r="F1698">
        <v>126.603531</v>
      </c>
      <c r="G1698">
        <v>5810800</v>
      </c>
      <c r="I1698">
        <f t="shared" si="27"/>
        <v>1.4704722767036515E-4</v>
      </c>
    </row>
    <row r="1699" spans="1:9" x14ac:dyDescent="0.3">
      <c r="A1699" s="5">
        <v>44103</v>
      </c>
      <c r="B1699">
        <v>138.38999899999999</v>
      </c>
      <c r="C1699">
        <v>138.41999799999999</v>
      </c>
      <c r="D1699">
        <v>136.66000399999999</v>
      </c>
      <c r="E1699">
        <v>137.259995</v>
      </c>
      <c r="F1699">
        <v>125.915565</v>
      </c>
      <c r="G1699">
        <v>4492100</v>
      </c>
      <c r="I1699">
        <f t="shared" si="27"/>
        <v>5.6932824911395366E-5</v>
      </c>
    </row>
    <row r="1700" spans="1:9" x14ac:dyDescent="0.3">
      <c r="A1700" s="5">
        <v>44104</v>
      </c>
      <c r="B1700">
        <v>138.16000399999999</v>
      </c>
      <c r="C1700">
        <v>139.85000600000001</v>
      </c>
      <c r="D1700">
        <v>137.80999800000001</v>
      </c>
      <c r="E1700">
        <v>138.990005</v>
      </c>
      <c r="F1700">
        <v>127.502579</v>
      </c>
      <c r="G1700">
        <v>8727800</v>
      </c>
      <c r="I1700">
        <f t="shared" si="27"/>
        <v>9.6622807866594745E-5</v>
      </c>
    </row>
    <row r="1701" spans="1:9" x14ac:dyDescent="0.3">
      <c r="A1701" s="5">
        <v>44105</v>
      </c>
      <c r="B1701">
        <v>139.58000200000001</v>
      </c>
      <c r="C1701">
        <v>139.990005</v>
      </c>
      <c r="D1701">
        <v>138.21000699999999</v>
      </c>
      <c r="E1701">
        <v>139.240005</v>
      </c>
      <c r="F1701">
        <v>127.73189499999999</v>
      </c>
      <c r="G1701">
        <v>5713400</v>
      </c>
      <c r="I1701">
        <f t="shared" si="27"/>
        <v>8.8991536707986311E-5</v>
      </c>
    </row>
    <row r="1702" spans="1:9" x14ac:dyDescent="0.3">
      <c r="A1702" s="5">
        <v>44106</v>
      </c>
      <c r="B1702">
        <v>137.929993</v>
      </c>
      <c r="C1702">
        <v>139.11999499999999</v>
      </c>
      <c r="D1702">
        <v>136.949997</v>
      </c>
      <c r="E1702">
        <v>138.11999499999999</v>
      </c>
      <c r="F1702">
        <v>126.704475</v>
      </c>
      <c r="G1702">
        <v>6077900</v>
      </c>
      <c r="I1702">
        <f t="shared" si="27"/>
        <v>1.2263030982449373E-4</v>
      </c>
    </row>
    <row r="1703" spans="1:9" x14ac:dyDescent="0.3">
      <c r="A1703" s="5">
        <v>44109</v>
      </c>
      <c r="B1703">
        <v>138.720001</v>
      </c>
      <c r="C1703">
        <v>139.64999399999999</v>
      </c>
      <c r="D1703">
        <v>138.300003</v>
      </c>
      <c r="E1703">
        <v>139.38999899999999</v>
      </c>
      <c r="F1703">
        <v>127.86953699999999</v>
      </c>
      <c r="G1703">
        <v>6333900</v>
      </c>
      <c r="I1703">
        <f t="shared" si="27"/>
        <v>3.6256113887986064E-5</v>
      </c>
    </row>
    <row r="1704" spans="1:9" x14ac:dyDescent="0.3">
      <c r="A1704" s="5">
        <v>44110</v>
      </c>
      <c r="B1704">
        <v>139.41999799999999</v>
      </c>
      <c r="C1704">
        <v>140.770004</v>
      </c>
      <c r="D1704">
        <v>138.80999800000001</v>
      </c>
      <c r="E1704">
        <v>139.61000100000001</v>
      </c>
      <c r="F1704">
        <v>128.07131999999999</v>
      </c>
      <c r="G1704">
        <v>6042900</v>
      </c>
      <c r="I1704">
        <f t="shared" si="27"/>
        <v>1.0493594507220673E-4</v>
      </c>
    </row>
    <row r="1705" spans="1:9" x14ac:dyDescent="0.3">
      <c r="A1705" s="5">
        <v>44111</v>
      </c>
      <c r="B1705">
        <v>140.08000200000001</v>
      </c>
      <c r="C1705">
        <v>141.38999899999999</v>
      </c>
      <c r="D1705">
        <v>139.36999499999999</v>
      </c>
      <c r="E1705">
        <v>140.699997</v>
      </c>
      <c r="F1705">
        <v>129.07122799999999</v>
      </c>
      <c r="G1705">
        <v>4640900</v>
      </c>
      <c r="I1705">
        <f t="shared" si="27"/>
        <v>9.3799390733231727E-5</v>
      </c>
    </row>
    <row r="1706" spans="1:9" x14ac:dyDescent="0.3">
      <c r="A1706" s="5">
        <v>44112</v>
      </c>
      <c r="B1706">
        <v>140.55999800000001</v>
      </c>
      <c r="C1706">
        <v>141.929993</v>
      </c>
      <c r="D1706">
        <v>140.36000100000001</v>
      </c>
      <c r="E1706">
        <v>141.64999399999999</v>
      </c>
      <c r="F1706">
        <v>129.942688</v>
      </c>
      <c r="G1706">
        <v>4569800</v>
      </c>
      <c r="I1706">
        <f t="shared" si="27"/>
        <v>3.2180509307893237E-5</v>
      </c>
    </row>
    <row r="1707" spans="1:9" x14ac:dyDescent="0.3">
      <c r="A1707" s="5">
        <v>44113</v>
      </c>
      <c r="B1707">
        <v>141.83999600000001</v>
      </c>
      <c r="C1707">
        <v>143.63999899999999</v>
      </c>
      <c r="D1707">
        <v>141.699997</v>
      </c>
      <c r="E1707">
        <v>142.91999799999999</v>
      </c>
      <c r="F1707">
        <v>131.10777300000001</v>
      </c>
      <c r="G1707">
        <v>6551700</v>
      </c>
      <c r="I1707">
        <f t="shared" si="27"/>
        <v>7.1835515031996752E-5</v>
      </c>
    </row>
    <row r="1708" spans="1:9" x14ac:dyDescent="0.3">
      <c r="A1708" s="5">
        <v>44116</v>
      </c>
      <c r="B1708">
        <v>143.33000200000001</v>
      </c>
      <c r="C1708">
        <v>145.33000200000001</v>
      </c>
      <c r="D1708">
        <v>143.33000200000001</v>
      </c>
      <c r="E1708">
        <v>144.490005</v>
      </c>
      <c r="F1708">
        <v>132.54800399999999</v>
      </c>
      <c r="G1708">
        <v>5791500</v>
      </c>
      <c r="I1708">
        <f t="shared" si="27"/>
        <v>8.0326882409604265E-5</v>
      </c>
    </row>
    <row r="1709" spans="1:9" x14ac:dyDescent="0.3">
      <c r="A1709" s="5">
        <v>44117</v>
      </c>
      <c r="B1709">
        <v>143.820007</v>
      </c>
      <c r="C1709">
        <v>144.83999600000001</v>
      </c>
      <c r="D1709">
        <v>143.46000699999999</v>
      </c>
      <c r="E1709">
        <v>144.21000699999999</v>
      </c>
      <c r="F1709">
        <v>132.29115300000001</v>
      </c>
      <c r="G1709">
        <v>4509400</v>
      </c>
      <c r="I1709">
        <f t="shared" si="27"/>
        <v>4.3874195543338432E-5</v>
      </c>
    </row>
    <row r="1710" spans="1:9" x14ac:dyDescent="0.3">
      <c r="A1710" s="5">
        <v>44118</v>
      </c>
      <c r="B1710">
        <v>144.179993</v>
      </c>
      <c r="C1710">
        <v>145.10000600000001</v>
      </c>
      <c r="D1710">
        <v>143.08000200000001</v>
      </c>
      <c r="E1710">
        <v>144.03999300000001</v>
      </c>
      <c r="F1710">
        <v>132.13519299999999</v>
      </c>
      <c r="G1710">
        <v>3860700</v>
      </c>
      <c r="I1710">
        <f t="shared" si="27"/>
        <v>9.7851364957996179E-5</v>
      </c>
    </row>
    <row r="1711" spans="1:9" x14ac:dyDescent="0.3">
      <c r="A1711" s="5">
        <v>44119</v>
      </c>
      <c r="B1711">
        <v>143.05999800000001</v>
      </c>
      <c r="C1711">
        <v>144.38999899999999</v>
      </c>
      <c r="D1711">
        <v>142.88999899999999</v>
      </c>
      <c r="E1711">
        <v>143.83000200000001</v>
      </c>
      <c r="F1711">
        <v>131.942566</v>
      </c>
      <c r="G1711">
        <v>4997100</v>
      </c>
      <c r="I1711">
        <f t="shared" si="27"/>
        <v>4.3755912749930498E-5</v>
      </c>
    </row>
    <row r="1712" spans="1:9" x14ac:dyDescent="0.3">
      <c r="A1712" s="5">
        <v>44120</v>
      </c>
      <c r="B1712">
        <v>144.41999799999999</v>
      </c>
      <c r="C1712">
        <v>145.86999499999999</v>
      </c>
      <c r="D1712">
        <v>143.91999799999999</v>
      </c>
      <c r="E1712">
        <v>144.38999899999999</v>
      </c>
      <c r="F1712">
        <v>132.45626799999999</v>
      </c>
      <c r="G1712">
        <v>6806100</v>
      </c>
      <c r="I1712">
        <f t="shared" si="27"/>
        <v>1.1318436896614071E-4</v>
      </c>
    </row>
    <row r="1713" spans="1:9" x14ac:dyDescent="0.3">
      <c r="A1713" s="5">
        <v>44123</v>
      </c>
      <c r="B1713">
        <v>144.470001</v>
      </c>
      <c r="C1713">
        <v>145.38999899999999</v>
      </c>
      <c r="D1713">
        <v>141.13000500000001</v>
      </c>
      <c r="E1713">
        <v>141.91000399999999</v>
      </c>
      <c r="F1713">
        <v>130.18121300000001</v>
      </c>
      <c r="G1713">
        <v>6427600</v>
      </c>
      <c r="I1713">
        <f t="shared" si="27"/>
        <v>2.8270702744983726E-4</v>
      </c>
    </row>
    <row r="1714" spans="1:9" x14ac:dyDescent="0.3">
      <c r="A1714" s="5">
        <v>44124</v>
      </c>
      <c r="B1714">
        <v>145.61000100000001</v>
      </c>
      <c r="C1714">
        <v>145.69000199999999</v>
      </c>
      <c r="D1714">
        <v>141.89999399999999</v>
      </c>
      <c r="E1714">
        <v>142.479996</v>
      </c>
      <c r="F1714">
        <v>130.704117</v>
      </c>
      <c r="G1714">
        <v>7582100</v>
      </c>
      <c r="I1714">
        <f t="shared" si="27"/>
        <v>1.1751525643663893E-4</v>
      </c>
    </row>
    <row r="1715" spans="1:9" x14ac:dyDescent="0.3">
      <c r="A1715" s="5">
        <v>44125</v>
      </c>
      <c r="B1715">
        <v>142.490005</v>
      </c>
      <c r="C1715">
        <v>144.33999600000001</v>
      </c>
      <c r="D1715">
        <v>142.470001</v>
      </c>
      <c r="E1715">
        <v>143.25</v>
      </c>
      <c r="F1715">
        <v>131.41047699999999</v>
      </c>
      <c r="G1715">
        <v>5649700</v>
      </c>
      <c r="I1715">
        <f t="shared" si="27"/>
        <v>9.8549766295685456E-5</v>
      </c>
    </row>
    <row r="1716" spans="1:9" x14ac:dyDescent="0.3">
      <c r="A1716" s="5">
        <v>44126</v>
      </c>
      <c r="B1716">
        <v>141.490005</v>
      </c>
      <c r="C1716">
        <v>142.75</v>
      </c>
      <c r="D1716">
        <v>141.08000200000001</v>
      </c>
      <c r="E1716">
        <v>141.449997</v>
      </c>
      <c r="F1716">
        <v>130.479736</v>
      </c>
      <c r="G1716">
        <v>4502900</v>
      </c>
      <c r="I1716">
        <f t="shared" si="27"/>
        <v>8.8709821284343492E-5</v>
      </c>
    </row>
    <row r="1717" spans="1:9" x14ac:dyDescent="0.3">
      <c r="A1717" s="5">
        <v>44127</v>
      </c>
      <c r="B1717">
        <v>141.759995</v>
      </c>
      <c r="C1717">
        <v>142.88000500000001</v>
      </c>
      <c r="D1717">
        <v>141.759995</v>
      </c>
      <c r="E1717">
        <v>142.38000500000001</v>
      </c>
      <c r="F1717">
        <v>131.337616</v>
      </c>
      <c r="G1717">
        <v>4278100</v>
      </c>
      <c r="I1717">
        <f t="shared" si="27"/>
        <v>2.7587843791965443E-5</v>
      </c>
    </row>
    <row r="1718" spans="1:9" x14ac:dyDescent="0.3">
      <c r="A1718" s="5">
        <v>44130</v>
      </c>
      <c r="B1718">
        <v>141.5</v>
      </c>
      <c r="C1718">
        <v>142.050003</v>
      </c>
      <c r="D1718">
        <v>140.009995</v>
      </c>
      <c r="E1718">
        <v>141.300003</v>
      </c>
      <c r="F1718">
        <v>130.341385</v>
      </c>
      <c r="G1718">
        <v>5315500</v>
      </c>
      <c r="I1718">
        <f t="shared" si="27"/>
        <v>1.176255037049641E-4</v>
      </c>
    </row>
    <row r="1719" spans="1:9" x14ac:dyDescent="0.3">
      <c r="A1719" s="5">
        <v>44131</v>
      </c>
      <c r="B1719">
        <v>141.94000199999999</v>
      </c>
      <c r="C1719">
        <v>143.33999600000001</v>
      </c>
      <c r="D1719">
        <v>141.64999399999999</v>
      </c>
      <c r="E1719">
        <v>142.36000100000001</v>
      </c>
      <c r="F1719">
        <v>131.31918300000001</v>
      </c>
      <c r="G1719">
        <v>6806700</v>
      </c>
      <c r="I1719">
        <f t="shared" si="27"/>
        <v>7.7559961068420112E-5</v>
      </c>
    </row>
    <row r="1720" spans="1:9" x14ac:dyDescent="0.3">
      <c r="A1720" s="5">
        <v>44132</v>
      </c>
      <c r="B1720">
        <v>140.449997</v>
      </c>
      <c r="C1720">
        <v>140.94000199999999</v>
      </c>
      <c r="D1720">
        <v>137.30999800000001</v>
      </c>
      <c r="E1720">
        <v>137.66000399999999</v>
      </c>
      <c r="F1720">
        <v>126.983665</v>
      </c>
      <c r="G1720">
        <v>8192200</v>
      </c>
      <c r="I1720">
        <f t="shared" si="27"/>
        <v>1.3957067245556459E-4</v>
      </c>
    </row>
    <row r="1721" spans="1:9" x14ac:dyDescent="0.3">
      <c r="A1721" s="5">
        <v>44133</v>
      </c>
      <c r="B1721">
        <v>137.35000600000001</v>
      </c>
      <c r="C1721">
        <v>139.08999600000001</v>
      </c>
      <c r="D1721">
        <v>135.800003</v>
      </c>
      <c r="E1721">
        <v>137.570007</v>
      </c>
      <c r="F1721">
        <v>126.90068100000001</v>
      </c>
      <c r="G1721">
        <v>5476900</v>
      </c>
      <c r="I1721">
        <f t="shared" si="27"/>
        <v>2.8529687031087956E-4</v>
      </c>
    </row>
    <row r="1722" spans="1:9" x14ac:dyDescent="0.3">
      <c r="A1722" s="5">
        <v>44134</v>
      </c>
      <c r="B1722">
        <v>137.179993</v>
      </c>
      <c r="C1722">
        <v>137.990005</v>
      </c>
      <c r="D1722">
        <v>134.679993</v>
      </c>
      <c r="E1722">
        <v>137.10000600000001</v>
      </c>
      <c r="F1722">
        <v>126.467125</v>
      </c>
      <c r="G1722">
        <v>6422000</v>
      </c>
      <c r="I1722">
        <f t="shared" si="27"/>
        <v>3.6564576627718293E-4</v>
      </c>
    </row>
    <row r="1723" spans="1:9" x14ac:dyDescent="0.3">
      <c r="A1723" s="5">
        <v>44137</v>
      </c>
      <c r="B1723">
        <v>138.509995</v>
      </c>
      <c r="C1723">
        <v>140</v>
      </c>
      <c r="D1723">
        <v>137.44000199999999</v>
      </c>
      <c r="E1723">
        <v>138.5</v>
      </c>
      <c r="F1723">
        <v>127.758537</v>
      </c>
      <c r="G1723">
        <v>6682800</v>
      </c>
      <c r="I1723">
        <f t="shared" si="27"/>
        <v>1.7484137059371697E-4</v>
      </c>
    </row>
    <row r="1724" spans="1:9" x14ac:dyDescent="0.3">
      <c r="A1724" s="5">
        <v>44138</v>
      </c>
      <c r="B1724">
        <v>139.320007</v>
      </c>
      <c r="C1724">
        <v>142.66000399999999</v>
      </c>
      <c r="D1724">
        <v>139.320007</v>
      </c>
      <c r="E1724">
        <v>141.220001</v>
      </c>
      <c r="F1724">
        <v>130.267563</v>
      </c>
      <c r="G1724">
        <v>6244200</v>
      </c>
      <c r="I1724">
        <f t="shared" si="27"/>
        <v>2.4034792341236596E-4</v>
      </c>
    </row>
    <row r="1725" spans="1:9" x14ac:dyDescent="0.3">
      <c r="A1725" s="5">
        <v>44139</v>
      </c>
      <c r="B1725">
        <v>140.46000699999999</v>
      </c>
      <c r="C1725">
        <v>143</v>
      </c>
      <c r="D1725">
        <v>140.270004</v>
      </c>
      <c r="E1725">
        <v>140.63999899999999</v>
      </c>
      <c r="F1725">
        <v>129.732574</v>
      </c>
      <c r="G1725">
        <v>5820600</v>
      </c>
      <c r="I1725">
        <f t="shared" si="27"/>
        <v>3.018066433286543E-4</v>
      </c>
    </row>
    <row r="1726" spans="1:9" x14ac:dyDescent="0.3">
      <c r="A1726" s="5">
        <v>44140</v>
      </c>
      <c r="B1726">
        <v>142.44000199999999</v>
      </c>
      <c r="C1726">
        <v>143.529999</v>
      </c>
      <c r="D1726">
        <v>141.779999</v>
      </c>
      <c r="E1726">
        <v>142.38000500000001</v>
      </c>
      <c r="F1726">
        <v>131.337616</v>
      </c>
      <c r="G1726">
        <v>5673100</v>
      </c>
      <c r="I1726">
        <f t="shared" si="27"/>
        <v>8.093776640258342E-5</v>
      </c>
    </row>
    <row r="1727" spans="1:9" x14ac:dyDescent="0.3">
      <c r="A1727" s="5">
        <v>44141</v>
      </c>
      <c r="B1727">
        <v>142.66999799999999</v>
      </c>
      <c r="C1727">
        <v>144.070007</v>
      </c>
      <c r="D1727">
        <v>142.38000500000001</v>
      </c>
      <c r="E1727">
        <v>143.229996</v>
      </c>
      <c r="F1727">
        <v>132.121689</v>
      </c>
      <c r="G1727">
        <v>4702300</v>
      </c>
      <c r="I1727">
        <f t="shared" si="27"/>
        <v>6.9213376927600978E-5</v>
      </c>
    </row>
    <row r="1728" spans="1:9" x14ac:dyDescent="0.3">
      <c r="A1728" s="5">
        <v>44144</v>
      </c>
      <c r="B1728">
        <v>146.14999399999999</v>
      </c>
      <c r="C1728">
        <v>146.91999799999999</v>
      </c>
      <c r="D1728">
        <v>137.60000600000001</v>
      </c>
      <c r="E1728">
        <v>137.990005</v>
      </c>
      <c r="F1728">
        <v>127.288071</v>
      </c>
      <c r="G1728">
        <v>12664700</v>
      </c>
      <c r="I1728">
        <f t="shared" si="27"/>
        <v>5.0012644318412518E-4</v>
      </c>
    </row>
    <row r="1729" spans="1:9" x14ac:dyDescent="0.3">
      <c r="A1729" s="5">
        <v>44145</v>
      </c>
      <c r="B1729">
        <v>138.10000600000001</v>
      </c>
      <c r="C1729">
        <v>140.61999499999999</v>
      </c>
      <c r="D1729">
        <v>137.14999399999999</v>
      </c>
      <c r="E1729">
        <v>140.259995</v>
      </c>
      <c r="F1729">
        <v>129.38200399999999</v>
      </c>
      <c r="G1729">
        <v>7854000</v>
      </c>
      <c r="I1729">
        <f t="shared" si="27"/>
        <v>2.0113556264598478E-4</v>
      </c>
    </row>
    <row r="1730" spans="1:9" x14ac:dyDescent="0.3">
      <c r="A1730" s="5">
        <v>44146</v>
      </c>
      <c r="B1730">
        <v>141.85000600000001</v>
      </c>
      <c r="C1730">
        <v>143</v>
      </c>
      <c r="D1730">
        <v>140.64999399999999</v>
      </c>
      <c r="E1730">
        <v>142.070007</v>
      </c>
      <c r="F1730">
        <v>131.05165099999999</v>
      </c>
      <c r="G1730">
        <v>5554300</v>
      </c>
      <c r="I1730">
        <f t="shared" si="27"/>
        <v>1.3802635811526278E-4</v>
      </c>
    </row>
    <row r="1731" spans="1:9" x14ac:dyDescent="0.3">
      <c r="A1731" s="5">
        <v>44147</v>
      </c>
      <c r="B1731">
        <v>142.28999300000001</v>
      </c>
      <c r="C1731">
        <v>142.550003</v>
      </c>
      <c r="D1731">
        <v>141.070007</v>
      </c>
      <c r="E1731">
        <v>142.14999399999999</v>
      </c>
      <c r="F1731">
        <v>131.12544299999999</v>
      </c>
      <c r="G1731">
        <v>5631700</v>
      </c>
      <c r="I1731">
        <f t="shared" si="27"/>
        <v>7.0801481943884447E-5</v>
      </c>
    </row>
    <row r="1732" spans="1:9" x14ac:dyDescent="0.3">
      <c r="A1732" s="5">
        <v>44148</v>
      </c>
      <c r="B1732">
        <v>142.21000699999999</v>
      </c>
      <c r="C1732">
        <v>144.479996</v>
      </c>
      <c r="D1732">
        <v>141.88000500000001</v>
      </c>
      <c r="E1732">
        <v>144.279999</v>
      </c>
      <c r="F1732">
        <v>133.090271</v>
      </c>
      <c r="G1732">
        <v>6466800</v>
      </c>
      <c r="I1732">
        <f t="shared" si="27"/>
        <v>6.0906633634045192E-5</v>
      </c>
    </row>
    <row r="1733" spans="1:9" x14ac:dyDescent="0.3">
      <c r="A1733" s="5">
        <v>44151</v>
      </c>
      <c r="B1733">
        <v>144.779999</v>
      </c>
      <c r="C1733">
        <v>144.779999</v>
      </c>
      <c r="D1733">
        <v>141.259995</v>
      </c>
      <c r="E1733">
        <v>142.429993</v>
      </c>
      <c r="F1733">
        <v>131.38372799999999</v>
      </c>
      <c r="G1733">
        <v>7976600</v>
      </c>
      <c r="I1733">
        <f t="shared" si="27"/>
        <v>2.0302143122906429E-4</v>
      </c>
    </row>
    <row r="1734" spans="1:9" x14ac:dyDescent="0.3">
      <c r="A1734" s="5">
        <v>44152</v>
      </c>
      <c r="B1734">
        <v>141.88999899999999</v>
      </c>
      <c r="C1734">
        <v>143.470001</v>
      </c>
      <c r="D1734">
        <v>141.75</v>
      </c>
      <c r="E1734">
        <v>141.88000500000001</v>
      </c>
      <c r="F1734">
        <v>130.876373</v>
      </c>
      <c r="G1734">
        <v>6396800</v>
      </c>
      <c r="I1734">
        <f t="shared" si="27"/>
        <v>1.2431530916413091E-4</v>
      </c>
    </row>
    <row r="1735" spans="1:9" x14ac:dyDescent="0.3">
      <c r="A1735" s="5">
        <v>44153</v>
      </c>
      <c r="B1735">
        <v>141.990005</v>
      </c>
      <c r="C1735">
        <v>142.10000600000001</v>
      </c>
      <c r="D1735">
        <v>139.66000399999999</v>
      </c>
      <c r="E1735">
        <v>139.699997</v>
      </c>
      <c r="F1735">
        <v>128.865433</v>
      </c>
      <c r="G1735">
        <v>6097100</v>
      </c>
      <c r="I1735">
        <f t="shared" si="27"/>
        <v>1.7928517949388513E-5</v>
      </c>
    </row>
    <row r="1736" spans="1:9" x14ac:dyDescent="0.3">
      <c r="A1736" s="5">
        <v>44154</v>
      </c>
      <c r="B1736">
        <v>139.86999499999999</v>
      </c>
      <c r="C1736">
        <v>140.11999499999999</v>
      </c>
      <c r="D1736">
        <v>138.449997</v>
      </c>
      <c r="E1736">
        <v>139.529999</v>
      </c>
      <c r="F1736">
        <v>128.708664</v>
      </c>
      <c r="G1736">
        <v>5284100</v>
      </c>
      <c r="I1736">
        <f t="shared" si="27"/>
        <v>8.6825502260302057E-5</v>
      </c>
    </row>
    <row r="1737" spans="1:9" x14ac:dyDescent="0.3">
      <c r="A1737" s="5">
        <v>44155</v>
      </c>
      <c r="B1737">
        <v>139.529999</v>
      </c>
      <c r="C1737">
        <v>140.35000600000001</v>
      </c>
      <c r="D1737">
        <v>138.63000500000001</v>
      </c>
      <c r="E1737">
        <v>139.300003</v>
      </c>
      <c r="F1737">
        <v>128.496475</v>
      </c>
      <c r="G1737">
        <v>4726900</v>
      </c>
      <c r="I1737">
        <f t="shared" si="27"/>
        <v>7.5202576413963275E-5</v>
      </c>
    </row>
    <row r="1738" spans="1:9" x14ac:dyDescent="0.3">
      <c r="A1738" s="5">
        <v>44158</v>
      </c>
      <c r="B1738">
        <v>139.320007</v>
      </c>
      <c r="C1738">
        <v>139.949997</v>
      </c>
      <c r="D1738">
        <v>137.86000100000001</v>
      </c>
      <c r="E1738">
        <v>138.759995</v>
      </c>
      <c r="F1738">
        <v>127.998367</v>
      </c>
      <c r="G1738">
        <v>4770600</v>
      </c>
      <c r="I1738">
        <f t="shared" si="27"/>
        <v>1.070783218984785E-4</v>
      </c>
    </row>
    <row r="1739" spans="1:9" x14ac:dyDescent="0.3">
      <c r="A1739" s="5">
        <v>44159</v>
      </c>
      <c r="B1739">
        <v>138.83000200000001</v>
      </c>
      <c r="C1739">
        <v>139.83999600000001</v>
      </c>
      <c r="D1739">
        <v>138.070007</v>
      </c>
      <c r="E1739">
        <v>138.30999800000001</v>
      </c>
      <c r="F1739">
        <v>127.58326</v>
      </c>
      <c r="G1739">
        <v>7101800</v>
      </c>
      <c r="I1739">
        <f t="shared" si="27"/>
        <v>8.9278756249987174E-5</v>
      </c>
    </row>
    <row r="1740" spans="1:9" x14ac:dyDescent="0.3">
      <c r="A1740" s="5">
        <v>44160</v>
      </c>
      <c r="B1740">
        <v>138.16000399999999</v>
      </c>
      <c r="C1740">
        <v>139.38999899999999</v>
      </c>
      <c r="D1740">
        <v>138.03999300000001</v>
      </c>
      <c r="E1740">
        <v>138.679993</v>
      </c>
      <c r="F1740">
        <v>127.924538</v>
      </c>
      <c r="G1740">
        <v>8411300</v>
      </c>
      <c r="I1740">
        <f t="shared" ref="I1740:I1803" si="28">LN(C1740/B1740)*(LN(C1740/B1740)-LN(E1740/B1740))+LN(D1740/B1740)*(LN(D1740/B1740)-LN(E1740/B1740))</f>
        <v>4.9281741243626162E-5</v>
      </c>
    </row>
    <row r="1741" spans="1:9" x14ac:dyDescent="0.3">
      <c r="A1741" s="5">
        <v>44162</v>
      </c>
      <c r="B1741">
        <v>138.58999600000001</v>
      </c>
      <c r="C1741">
        <v>138.88999899999999</v>
      </c>
      <c r="D1741">
        <v>137.529999</v>
      </c>
      <c r="E1741">
        <v>138.61000100000001</v>
      </c>
      <c r="F1741">
        <v>127.860016</v>
      </c>
      <c r="G1741">
        <v>4252200</v>
      </c>
      <c r="I1741">
        <f t="shared" si="28"/>
        <v>6.4420989027574611E-5</v>
      </c>
    </row>
    <row r="1742" spans="1:9" x14ac:dyDescent="0.3">
      <c r="A1742" s="5">
        <v>44165</v>
      </c>
      <c r="B1742">
        <v>138</v>
      </c>
      <c r="C1742">
        <v>139.199997</v>
      </c>
      <c r="D1742">
        <v>136.740005</v>
      </c>
      <c r="E1742">
        <v>138.86999499999999</v>
      </c>
      <c r="F1742">
        <v>128.09982299999999</v>
      </c>
      <c r="G1742">
        <v>11640400</v>
      </c>
      <c r="I1742">
        <f t="shared" si="28"/>
        <v>1.6232552489641252E-4</v>
      </c>
    </row>
    <row r="1743" spans="1:9" x14ac:dyDescent="0.3">
      <c r="A1743" s="5">
        <v>44166</v>
      </c>
      <c r="B1743">
        <v>139.16000399999999</v>
      </c>
      <c r="C1743">
        <v>139.53999300000001</v>
      </c>
      <c r="D1743">
        <v>138.16000399999999</v>
      </c>
      <c r="E1743">
        <v>139.36999499999999</v>
      </c>
      <c r="F1743">
        <v>128.561035</v>
      </c>
      <c r="G1743">
        <v>7169700</v>
      </c>
      <c r="I1743">
        <f t="shared" si="28"/>
        <v>6.621034008350322E-5</v>
      </c>
    </row>
    <row r="1744" spans="1:9" x14ac:dyDescent="0.3">
      <c r="A1744" s="5">
        <v>44167</v>
      </c>
      <c r="B1744">
        <v>139.36999499999999</v>
      </c>
      <c r="C1744">
        <v>139.94000199999999</v>
      </c>
      <c r="D1744">
        <v>137.490005</v>
      </c>
      <c r="E1744">
        <v>138.36000100000001</v>
      </c>
      <c r="F1744">
        <v>127.629402</v>
      </c>
      <c r="G1744">
        <v>6963000</v>
      </c>
      <c r="I1744">
        <f t="shared" si="28"/>
        <v>1.3201086719315933E-4</v>
      </c>
    </row>
    <row r="1745" spans="1:9" x14ac:dyDescent="0.3">
      <c r="A1745" s="5">
        <v>44168</v>
      </c>
      <c r="B1745">
        <v>138.08999600000001</v>
      </c>
      <c r="C1745">
        <v>138.35000600000001</v>
      </c>
      <c r="D1745">
        <v>135.53999300000001</v>
      </c>
      <c r="E1745">
        <v>137.33999600000001</v>
      </c>
      <c r="F1745">
        <v>126.68849899999999</v>
      </c>
      <c r="G1745">
        <v>8742500</v>
      </c>
      <c r="I1745">
        <f t="shared" si="28"/>
        <v>2.5968274670384682E-4</v>
      </c>
    </row>
    <row r="1746" spans="1:9" x14ac:dyDescent="0.3">
      <c r="A1746" s="5">
        <v>44169</v>
      </c>
      <c r="B1746">
        <v>137.21000699999999</v>
      </c>
      <c r="C1746">
        <v>137.86000100000001</v>
      </c>
      <c r="D1746">
        <v>135.86999499999999</v>
      </c>
      <c r="E1746">
        <v>137.470001</v>
      </c>
      <c r="F1746">
        <v>126.808418</v>
      </c>
      <c r="G1746">
        <v>6617200</v>
      </c>
      <c r="I1746">
        <f t="shared" si="28"/>
        <v>1.2828489287399807E-4</v>
      </c>
    </row>
    <row r="1747" spans="1:9" x14ac:dyDescent="0.3">
      <c r="A1747" s="5">
        <v>44172</v>
      </c>
      <c r="B1747">
        <v>136.61000100000001</v>
      </c>
      <c r="C1747">
        <v>137.740005</v>
      </c>
      <c r="D1747">
        <v>136.55999800000001</v>
      </c>
      <c r="E1747">
        <v>137.679993</v>
      </c>
      <c r="F1747">
        <v>127.002129</v>
      </c>
      <c r="G1747">
        <v>6918000</v>
      </c>
      <c r="I1747">
        <f t="shared" si="28"/>
        <v>6.5801538286538704E-6</v>
      </c>
    </row>
    <row r="1748" spans="1:9" x14ac:dyDescent="0.3">
      <c r="A1748" s="5">
        <v>44173</v>
      </c>
      <c r="B1748">
        <v>137.020004</v>
      </c>
      <c r="C1748">
        <v>138.779999</v>
      </c>
      <c r="D1748">
        <v>136.429993</v>
      </c>
      <c r="E1748">
        <v>138.050003</v>
      </c>
      <c r="F1748">
        <v>127.343407</v>
      </c>
      <c r="G1748">
        <v>6493500</v>
      </c>
      <c r="I1748">
        <f t="shared" si="28"/>
        <v>1.1825135300167787E-4</v>
      </c>
    </row>
    <row r="1749" spans="1:9" x14ac:dyDescent="0.3">
      <c r="A1749" s="5">
        <v>44174</v>
      </c>
      <c r="B1749">
        <v>137.83000200000001</v>
      </c>
      <c r="C1749">
        <v>138.03999300000001</v>
      </c>
      <c r="D1749">
        <v>136.25</v>
      </c>
      <c r="E1749">
        <v>136.41000399999999</v>
      </c>
      <c r="F1749">
        <v>125.830612</v>
      </c>
      <c r="G1749">
        <v>6773400</v>
      </c>
      <c r="I1749">
        <f t="shared" si="28"/>
        <v>3.161528252815374E-5</v>
      </c>
    </row>
    <row r="1750" spans="1:9" x14ac:dyDescent="0.3">
      <c r="A1750" s="5">
        <v>44175</v>
      </c>
      <c r="B1750">
        <v>136.520004</v>
      </c>
      <c r="C1750">
        <v>136.91999799999999</v>
      </c>
      <c r="D1750">
        <v>135.03999300000001</v>
      </c>
      <c r="E1750">
        <v>135.509995</v>
      </c>
      <c r="F1750">
        <v>125.00042000000001</v>
      </c>
      <c r="G1750">
        <v>6800500</v>
      </c>
      <c r="I1750">
        <f t="shared" si="28"/>
        <v>6.8156332229916567E-5</v>
      </c>
    </row>
    <row r="1751" spans="1:9" x14ac:dyDescent="0.3">
      <c r="A1751" s="5">
        <v>44176</v>
      </c>
      <c r="B1751">
        <v>134.46000699999999</v>
      </c>
      <c r="C1751">
        <v>136.800003</v>
      </c>
      <c r="D1751">
        <v>134.199997</v>
      </c>
      <c r="E1751">
        <v>136.509995</v>
      </c>
      <c r="F1751">
        <v>125.92289</v>
      </c>
      <c r="G1751">
        <v>6548000</v>
      </c>
      <c r="I1751">
        <f t="shared" si="28"/>
        <v>6.9648929904487838E-5</v>
      </c>
    </row>
    <row r="1752" spans="1:9" x14ac:dyDescent="0.3">
      <c r="A1752" s="5">
        <v>44179</v>
      </c>
      <c r="B1752">
        <v>137.020004</v>
      </c>
      <c r="C1752">
        <v>137.929993</v>
      </c>
      <c r="D1752">
        <v>135.770004</v>
      </c>
      <c r="E1752">
        <v>135.85000600000001</v>
      </c>
      <c r="F1752">
        <v>125.314049</v>
      </c>
      <c r="G1752">
        <v>6485300</v>
      </c>
      <c r="I1752">
        <f t="shared" si="28"/>
        <v>1.0597854530681004E-4</v>
      </c>
    </row>
    <row r="1753" spans="1:9" x14ac:dyDescent="0.3">
      <c r="A1753" s="5">
        <v>44180</v>
      </c>
      <c r="B1753">
        <v>136.38999899999999</v>
      </c>
      <c r="C1753">
        <v>137.53999300000001</v>
      </c>
      <c r="D1753">
        <v>136.240005</v>
      </c>
      <c r="E1753">
        <v>136.64999399999999</v>
      </c>
      <c r="F1753">
        <v>126.051956</v>
      </c>
      <c r="G1753">
        <v>5397000</v>
      </c>
      <c r="I1753">
        <f t="shared" si="28"/>
        <v>5.7814038390501531E-5</v>
      </c>
    </row>
    <row r="1754" spans="1:9" x14ac:dyDescent="0.3">
      <c r="A1754" s="5">
        <v>44181</v>
      </c>
      <c r="B1754">
        <v>136.71000699999999</v>
      </c>
      <c r="C1754">
        <v>138.270004</v>
      </c>
      <c r="D1754">
        <v>136.71000699999999</v>
      </c>
      <c r="E1754">
        <v>137.270004</v>
      </c>
      <c r="F1754">
        <v>126.623955</v>
      </c>
      <c r="G1754">
        <v>5382500</v>
      </c>
      <c r="I1754">
        <f t="shared" si="28"/>
        <v>8.2357760535479549E-5</v>
      </c>
    </row>
    <row r="1755" spans="1:9" x14ac:dyDescent="0.3">
      <c r="A1755" s="5">
        <v>44182</v>
      </c>
      <c r="B1755">
        <v>138.009995</v>
      </c>
      <c r="C1755">
        <v>139.11999499999999</v>
      </c>
      <c r="D1755">
        <v>137.949997</v>
      </c>
      <c r="E1755">
        <v>138.25</v>
      </c>
      <c r="F1755">
        <v>127.527901</v>
      </c>
      <c r="G1755">
        <v>7405300</v>
      </c>
      <c r="I1755">
        <f t="shared" si="28"/>
        <v>5.1197434029635696E-5</v>
      </c>
    </row>
    <row r="1756" spans="1:9" x14ac:dyDescent="0.3">
      <c r="A1756" s="5">
        <v>44183</v>
      </c>
      <c r="B1756">
        <v>138.259995</v>
      </c>
      <c r="C1756">
        <v>140.070007</v>
      </c>
      <c r="D1756">
        <v>137.449997</v>
      </c>
      <c r="E1756">
        <v>139.03999300000001</v>
      </c>
      <c r="F1756">
        <v>128.25668300000001</v>
      </c>
      <c r="G1756">
        <v>19988800</v>
      </c>
      <c r="I1756">
        <f t="shared" si="28"/>
        <v>1.6357627068677873E-4</v>
      </c>
    </row>
    <row r="1757" spans="1:9" x14ac:dyDescent="0.3">
      <c r="A1757" s="5">
        <v>44186</v>
      </c>
      <c r="B1757">
        <v>137.96000699999999</v>
      </c>
      <c r="C1757">
        <v>138.429993</v>
      </c>
      <c r="D1757">
        <v>136.220001</v>
      </c>
      <c r="E1757">
        <v>137.520004</v>
      </c>
      <c r="F1757">
        <v>126.854546</v>
      </c>
      <c r="G1757">
        <v>6732400</v>
      </c>
      <c r="I1757">
        <f t="shared" si="28"/>
        <v>1.4298641581117372E-4</v>
      </c>
    </row>
    <row r="1758" spans="1:9" x14ac:dyDescent="0.3">
      <c r="A1758" s="5">
        <v>44187</v>
      </c>
      <c r="B1758">
        <v>137.28999300000001</v>
      </c>
      <c r="C1758">
        <v>138.070007</v>
      </c>
      <c r="D1758">
        <v>136.38000500000001</v>
      </c>
      <c r="E1758">
        <v>136.550003</v>
      </c>
      <c r="F1758">
        <v>125.95977000000001</v>
      </c>
      <c r="G1758">
        <v>5023100</v>
      </c>
      <c r="I1758">
        <f t="shared" si="28"/>
        <v>7.1000622853805361E-5</v>
      </c>
    </row>
    <row r="1759" spans="1:9" x14ac:dyDescent="0.3">
      <c r="A1759" s="5">
        <v>44188</v>
      </c>
      <c r="B1759">
        <v>137.38999899999999</v>
      </c>
      <c r="C1759">
        <v>137.550003</v>
      </c>
      <c r="D1759">
        <v>136.13000500000001</v>
      </c>
      <c r="E1759">
        <v>136.33999600000001</v>
      </c>
      <c r="F1759">
        <v>125.76606</v>
      </c>
      <c r="G1759">
        <v>6004200</v>
      </c>
      <c r="I1759">
        <f t="shared" si="28"/>
        <v>2.4485311110037648E-5</v>
      </c>
    </row>
    <row r="1760" spans="1:9" x14ac:dyDescent="0.3">
      <c r="A1760" s="5">
        <v>44189</v>
      </c>
      <c r="B1760">
        <v>136.199997</v>
      </c>
      <c r="C1760">
        <v>138.13000500000001</v>
      </c>
      <c r="D1760">
        <v>136.199997</v>
      </c>
      <c r="E1760">
        <v>137.720001</v>
      </c>
      <c r="F1760">
        <v>127.03903200000001</v>
      </c>
      <c r="G1760">
        <v>2588200</v>
      </c>
      <c r="I1760">
        <f t="shared" si="28"/>
        <v>4.1828122871745358E-5</v>
      </c>
    </row>
    <row r="1761" spans="1:9" x14ac:dyDescent="0.3">
      <c r="A1761" s="5">
        <v>44193</v>
      </c>
      <c r="B1761">
        <v>138.14999399999999</v>
      </c>
      <c r="C1761">
        <v>139.38999899999999</v>
      </c>
      <c r="D1761">
        <v>137.949997</v>
      </c>
      <c r="E1761">
        <v>138.679993</v>
      </c>
      <c r="F1761">
        <v>127.924538</v>
      </c>
      <c r="G1761">
        <v>3714700</v>
      </c>
      <c r="I1761">
        <f t="shared" si="28"/>
        <v>5.3278097890840386E-5</v>
      </c>
    </row>
    <row r="1762" spans="1:9" x14ac:dyDescent="0.3">
      <c r="A1762" s="5">
        <v>44194</v>
      </c>
      <c r="B1762">
        <v>139.220001</v>
      </c>
      <c r="C1762">
        <v>139.94000199999999</v>
      </c>
      <c r="D1762">
        <v>138.199997</v>
      </c>
      <c r="E1762">
        <v>138.41999799999999</v>
      </c>
      <c r="F1762">
        <v>127.68472300000001</v>
      </c>
      <c r="G1762">
        <v>5139300</v>
      </c>
      <c r="I1762">
        <f t="shared" si="28"/>
        <v>6.8032424760392239E-5</v>
      </c>
    </row>
    <row r="1763" spans="1:9" x14ac:dyDescent="0.3">
      <c r="A1763" s="5">
        <v>44195</v>
      </c>
      <c r="B1763">
        <v>138.60000600000001</v>
      </c>
      <c r="C1763">
        <v>138.91999799999999</v>
      </c>
      <c r="D1763">
        <v>137.550003</v>
      </c>
      <c r="E1763">
        <v>137.770004</v>
      </c>
      <c r="F1763">
        <v>127.08515199999999</v>
      </c>
      <c r="G1763">
        <v>3261400</v>
      </c>
      <c r="I1763">
        <f t="shared" si="28"/>
        <v>3.1322757514436706E-5</v>
      </c>
    </row>
    <row r="1764" spans="1:9" x14ac:dyDescent="0.3">
      <c r="A1764" s="5">
        <v>44196</v>
      </c>
      <c r="B1764">
        <v>138.30999800000001</v>
      </c>
      <c r="C1764">
        <v>139.28999300000001</v>
      </c>
      <c r="D1764">
        <v>137.38999899999999</v>
      </c>
      <c r="E1764">
        <v>139.13999899999999</v>
      </c>
      <c r="F1764">
        <v>128.348907</v>
      </c>
      <c r="G1764">
        <v>4076400</v>
      </c>
      <c r="I1764">
        <f t="shared" si="28"/>
        <v>9.2079385198545231E-5</v>
      </c>
    </row>
    <row r="1765" spans="1:9" x14ac:dyDescent="0.3">
      <c r="A1765" s="5">
        <v>44200</v>
      </c>
      <c r="B1765">
        <v>139.66000399999999</v>
      </c>
      <c r="C1765">
        <v>139.86000100000001</v>
      </c>
      <c r="D1765">
        <v>136.35000600000001</v>
      </c>
      <c r="E1765">
        <v>137.820007</v>
      </c>
      <c r="F1765">
        <v>127.131271</v>
      </c>
      <c r="G1765">
        <v>8330900</v>
      </c>
      <c r="I1765">
        <f t="shared" si="28"/>
        <v>2.782349324885512E-4</v>
      </c>
    </row>
    <row r="1766" spans="1:9" x14ac:dyDescent="0.3">
      <c r="A1766" s="5">
        <v>44201</v>
      </c>
      <c r="B1766">
        <v>137.990005</v>
      </c>
      <c r="C1766">
        <v>138.91999799999999</v>
      </c>
      <c r="D1766">
        <v>136.270004</v>
      </c>
      <c r="E1766">
        <v>138.699997</v>
      </c>
      <c r="F1766">
        <v>127.943031</v>
      </c>
      <c r="G1766">
        <v>6856400</v>
      </c>
      <c r="I1766">
        <f t="shared" si="28"/>
        <v>2.3234434016382069E-4</v>
      </c>
    </row>
    <row r="1767" spans="1:9" x14ac:dyDescent="0.3">
      <c r="A1767" s="5">
        <v>44202</v>
      </c>
      <c r="B1767">
        <v>138.770004</v>
      </c>
      <c r="C1767">
        <v>141.03999300000001</v>
      </c>
      <c r="D1767">
        <v>138.60000600000001</v>
      </c>
      <c r="E1767">
        <v>140.16000399999999</v>
      </c>
      <c r="F1767">
        <v>129.28978000000001</v>
      </c>
      <c r="G1767">
        <v>10578000</v>
      </c>
      <c r="I1767">
        <f t="shared" si="28"/>
        <v>1.1527278084973988E-4</v>
      </c>
    </row>
    <row r="1768" spans="1:9" x14ac:dyDescent="0.3">
      <c r="A1768" s="5">
        <v>44203</v>
      </c>
      <c r="B1768">
        <v>139.75</v>
      </c>
      <c r="C1768">
        <v>140.13000500000001</v>
      </c>
      <c r="D1768">
        <v>138.03999300000001</v>
      </c>
      <c r="E1768">
        <v>138.85000600000001</v>
      </c>
      <c r="F1768">
        <v>128.08142100000001</v>
      </c>
      <c r="G1768">
        <v>7355400</v>
      </c>
      <c r="I1768">
        <f t="shared" si="28"/>
        <v>9.6951438585510155E-5</v>
      </c>
    </row>
    <row r="1769" spans="1:9" x14ac:dyDescent="0.3">
      <c r="A1769" s="5">
        <v>44204</v>
      </c>
      <c r="B1769">
        <v>138.470001</v>
      </c>
      <c r="C1769">
        <v>139.05999800000001</v>
      </c>
      <c r="D1769">
        <v>137</v>
      </c>
      <c r="E1769">
        <v>138.78999300000001</v>
      </c>
      <c r="F1769">
        <v>128.02603099999999</v>
      </c>
      <c r="G1769">
        <v>7448500</v>
      </c>
      <c r="I1769">
        <f t="shared" si="28"/>
        <v>1.4680702829944102E-4</v>
      </c>
    </row>
    <row r="1770" spans="1:9" x14ac:dyDescent="0.3">
      <c r="A1770" s="5">
        <v>44207</v>
      </c>
      <c r="B1770">
        <v>138.75</v>
      </c>
      <c r="C1770">
        <v>139.44000199999999</v>
      </c>
      <c r="D1770">
        <v>137.60000600000001</v>
      </c>
      <c r="E1770">
        <v>137.85000600000001</v>
      </c>
      <c r="F1770">
        <v>127.158928</v>
      </c>
      <c r="G1770">
        <v>7239900</v>
      </c>
      <c r="I1770">
        <f t="shared" si="28"/>
        <v>7.1997661652884034E-5</v>
      </c>
    </row>
    <row r="1771" spans="1:9" x14ac:dyDescent="0.3">
      <c r="A1771" s="5">
        <v>44208</v>
      </c>
      <c r="B1771">
        <v>137.85000600000001</v>
      </c>
      <c r="C1771">
        <v>138.25</v>
      </c>
      <c r="D1771">
        <v>136.240005</v>
      </c>
      <c r="E1771">
        <v>137.050003</v>
      </c>
      <c r="F1771">
        <v>126.42100499999999</v>
      </c>
      <c r="G1771">
        <v>6333500</v>
      </c>
      <c r="I1771">
        <f t="shared" si="28"/>
        <v>9.4899559766091024E-5</v>
      </c>
    </row>
    <row r="1772" spans="1:9" x14ac:dyDescent="0.3">
      <c r="A1772" s="5">
        <v>44209</v>
      </c>
      <c r="B1772">
        <v>137.10000600000001</v>
      </c>
      <c r="C1772">
        <v>138.070007</v>
      </c>
      <c r="D1772">
        <v>137.10000600000001</v>
      </c>
      <c r="E1772">
        <v>137.259995</v>
      </c>
      <c r="F1772">
        <v>126.6147</v>
      </c>
      <c r="G1772">
        <v>6078800</v>
      </c>
      <c r="I1772">
        <f t="shared" si="28"/>
        <v>4.1483179502067299E-5</v>
      </c>
    </row>
    <row r="1773" spans="1:9" x14ac:dyDescent="0.3">
      <c r="A1773" s="5">
        <v>44210</v>
      </c>
      <c r="B1773">
        <v>137.429993</v>
      </c>
      <c r="C1773">
        <v>137.64999399999999</v>
      </c>
      <c r="D1773">
        <v>135.279999</v>
      </c>
      <c r="E1773">
        <v>135.800003</v>
      </c>
      <c r="F1773">
        <v>125.267944</v>
      </c>
      <c r="G1773">
        <v>6172800</v>
      </c>
      <c r="I1773">
        <f t="shared" si="28"/>
        <v>8.2137694220484799E-5</v>
      </c>
    </row>
    <row r="1774" spans="1:9" x14ac:dyDescent="0.3">
      <c r="A1774" s="5">
        <v>44211</v>
      </c>
      <c r="B1774">
        <v>135.25</v>
      </c>
      <c r="C1774">
        <v>136.199997</v>
      </c>
      <c r="D1774">
        <v>134.66000399999999</v>
      </c>
      <c r="E1774">
        <v>134.779999</v>
      </c>
      <c r="F1774">
        <v>124.32704200000001</v>
      </c>
      <c r="G1774">
        <v>7757600</v>
      </c>
      <c r="I1774">
        <f t="shared" si="28"/>
        <v>7.7252157821204712E-5</v>
      </c>
    </row>
    <row r="1775" spans="1:9" x14ac:dyDescent="0.3">
      <c r="A1775" s="5">
        <v>44215</v>
      </c>
      <c r="B1775">
        <v>135.699997</v>
      </c>
      <c r="C1775">
        <v>136.36000100000001</v>
      </c>
      <c r="D1775">
        <v>133.55999800000001</v>
      </c>
      <c r="E1775">
        <v>133.60000600000001</v>
      </c>
      <c r="F1775">
        <v>123.238541</v>
      </c>
      <c r="G1775">
        <v>9184900</v>
      </c>
      <c r="I1775">
        <f t="shared" si="28"/>
        <v>1.0397344345953266E-4</v>
      </c>
    </row>
    <row r="1776" spans="1:9" x14ac:dyDescent="0.3">
      <c r="A1776" s="5">
        <v>44216</v>
      </c>
      <c r="B1776">
        <v>132.529999</v>
      </c>
      <c r="C1776">
        <v>133.800003</v>
      </c>
      <c r="D1776">
        <v>131.259995</v>
      </c>
      <c r="E1776">
        <v>131.929993</v>
      </c>
      <c r="F1776">
        <v>121.69806699999999</v>
      </c>
      <c r="G1776">
        <v>12506600</v>
      </c>
      <c r="I1776">
        <f t="shared" si="28"/>
        <v>1.8325757418418233E-4</v>
      </c>
    </row>
    <row r="1777" spans="1:9" x14ac:dyDescent="0.3">
      <c r="A1777" s="5">
        <v>44217</v>
      </c>
      <c r="B1777">
        <v>130.64999399999999</v>
      </c>
      <c r="C1777">
        <v>131.990005</v>
      </c>
      <c r="D1777">
        <v>130.509995</v>
      </c>
      <c r="E1777">
        <v>131.009995</v>
      </c>
      <c r="F1777">
        <v>121.578339</v>
      </c>
      <c r="G1777">
        <v>8761600</v>
      </c>
      <c r="I1777">
        <f t="shared" si="28"/>
        <v>8.0147663198005604E-5</v>
      </c>
    </row>
    <row r="1778" spans="1:9" x14ac:dyDescent="0.3">
      <c r="A1778" s="5">
        <v>44218</v>
      </c>
      <c r="B1778">
        <v>131.020004</v>
      </c>
      <c r="C1778">
        <v>131.470001</v>
      </c>
      <c r="D1778">
        <v>129.990005</v>
      </c>
      <c r="E1778">
        <v>130</v>
      </c>
      <c r="F1778">
        <v>120.641068</v>
      </c>
      <c r="G1778">
        <v>7202800</v>
      </c>
      <c r="I1778">
        <f t="shared" si="28"/>
        <v>3.9159780177941276E-5</v>
      </c>
    </row>
    <row r="1779" spans="1:9" x14ac:dyDescent="0.3">
      <c r="A1779" s="5">
        <v>44221</v>
      </c>
      <c r="B1779">
        <v>129.949997</v>
      </c>
      <c r="C1779">
        <v>133</v>
      </c>
      <c r="D1779">
        <v>129.89999399999999</v>
      </c>
      <c r="E1779">
        <v>132.240005</v>
      </c>
      <c r="F1779">
        <v>122.719818</v>
      </c>
      <c r="G1779">
        <v>9640000</v>
      </c>
      <c r="I1779">
        <f t="shared" si="28"/>
        <v>1.3981843263487792E-4</v>
      </c>
    </row>
    <row r="1780" spans="1:9" x14ac:dyDescent="0.3">
      <c r="A1780" s="5">
        <v>44222</v>
      </c>
      <c r="B1780">
        <v>132.25</v>
      </c>
      <c r="C1780">
        <v>133.470001</v>
      </c>
      <c r="D1780">
        <v>131.429993</v>
      </c>
      <c r="E1780">
        <v>133.08999600000001</v>
      </c>
      <c r="F1780">
        <v>123.508606</v>
      </c>
      <c r="G1780">
        <v>5996700</v>
      </c>
      <c r="I1780">
        <f t="shared" si="28"/>
        <v>1.0424671239281757E-4</v>
      </c>
    </row>
    <row r="1781" spans="1:9" x14ac:dyDescent="0.3">
      <c r="A1781" s="5">
        <v>44223</v>
      </c>
      <c r="B1781">
        <v>132.38999899999999</v>
      </c>
      <c r="C1781">
        <v>133.10000600000001</v>
      </c>
      <c r="D1781">
        <v>127.699997</v>
      </c>
      <c r="E1781">
        <v>128.38000500000001</v>
      </c>
      <c r="F1781">
        <v>119.137703</v>
      </c>
      <c r="G1781">
        <v>10826700</v>
      </c>
      <c r="I1781">
        <f t="shared" si="28"/>
        <v>3.8467558636548602E-4</v>
      </c>
    </row>
    <row r="1782" spans="1:9" x14ac:dyDescent="0.3">
      <c r="A1782" s="5">
        <v>44224</v>
      </c>
      <c r="B1782">
        <v>127.839996</v>
      </c>
      <c r="C1782">
        <v>131.64999399999999</v>
      </c>
      <c r="D1782">
        <v>127.44000200000001</v>
      </c>
      <c r="E1782">
        <v>130.36000100000001</v>
      </c>
      <c r="F1782">
        <v>120.975151</v>
      </c>
      <c r="G1782">
        <v>8242000</v>
      </c>
      <c r="I1782">
        <f t="shared" si="28"/>
        <v>3.6017303892283428E-4</v>
      </c>
    </row>
    <row r="1783" spans="1:9" x14ac:dyDescent="0.3">
      <c r="A1783" s="5">
        <v>44225</v>
      </c>
      <c r="B1783">
        <v>130.19000199999999</v>
      </c>
      <c r="C1783">
        <v>130.28999300000001</v>
      </c>
      <c r="D1783">
        <v>128.070007</v>
      </c>
      <c r="E1783">
        <v>128.21000699999999</v>
      </c>
      <c r="F1783">
        <v>118.97994199999999</v>
      </c>
      <c r="G1783">
        <v>8344100</v>
      </c>
      <c r="I1783">
        <f t="shared" si="28"/>
        <v>3.0292823268447325E-5</v>
      </c>
    </row>
    <row r="1784" spans="1:9" x14ac:dyDescent="0.3">
      <c r="A1784" s="5">
        <v>44228</v>
      </c>
      <c r="B1784">
        <v>129</v>
      </c>
      <c r="C1784">
        <v>129.66000399999999</v>
      </c>
      <c r="D1784">
        <v>128.199997</v>
      </c>
      <c r="E1784">
        <v>128.970001</v>
      </c>
      <c r="F1784">
        <v>119.685211</v>
      </c>
      <c r="G1784">
        <v>6534200</v>
      </c>
      <c r="I1784">
        <f t="shared" si="28"/>
        <v>6.448278249940018E-5</v>
      </c>
    </row>
    <row r="1785" spans="1:9" x14ac:dyDescent="0.3">
      <c r="A1785" s="5">
        <v>44229</v>
      </c>
      <c r="B1785">
        <v>129.60000600000001</v>
      </c>
      <c r="C1785">
        <v>130.720001</v>
      </c>
      <c r="D1785">
        <v>128.69000199999999</v>
      </c>
      <c r="E1785">
        <v>128.78999300000001</v>
      </c>
      <c r="F1785">
        <v>119.518181</v>
      </c>
      <c r="G1785">
        <v>6825600</v>
      </c>
      <c r="I1785">
        <f t="shared" si="28"/>
        <v>1.3346528323332111E-4</v>
      </c>
    </row>
    <row r="1786" spans="1:9" x14ac:dyDescent="0.3">
      <c r="A1786" s="5">
        <v>44230</v>
      </c>
      <c r="B1786">
        <v>128.949997</v>
      </c>
      <c r="C1786">
        <v>129.199997</v>
      </c>
      <c r="D1786">
        <v>127.75</v>
      </c>
      <c r="E1786">
        <v>128.949997</v>
      </c>
      <c r="F1786">
        <v>119.666664</v>
      </c>
      <c r="G1786">
        <v>7309400</v>
      </c>
      <c r="I1786">
        <f t="shared" si="28"/>
        <v>9.1164198914452587E-5</v>
      </c>
    </row>
    <row r="1787" spans="1:9" x14ac:dyDescent="0.3">
      <c r="A1787" s="5">
        <v>44231</v>
      </c>
      <c r="B1787">
        <v>129.38000500000001</v>
      </c>
      <c r="C1787">
        <v>129.46000699999999</v>
      </c>
      <c r="D1787">
        <v>128.58000200000001</v>
      </c>
      <c r="E1787">
        <v>129.029999</v>
      </c>
      <c r="F1787">
        <v>119.740906</v>
      </c>
      <c r="G1787">
        <v>6613700</v>
      </c>
      <c r="I1787">
        <f t="shared" si="28"/>
        <v>2.37261141226894E-5</v>
      </c>
    </row>
    <row r="1788" spans="1:9" x14ac:dyDescent="0.3">
      <c r="A1788" s="5">
        <v>44232</v>
      </c>
      <c r="B1788">
        <v>129.11999499999999</v>
      </c>
      <c r="C1788">
        <v>130.10000600000001</v>
      </c>
      <c r="D1788">
        <v>129.029999</v>
      </c>
      <c r="E1788">
        <v>129.570007</v>
      </c>
      <c r="F1788">
        <v>120.242035</v>
      </c>
      <c r="G1788">
        <v>5063700</v>
      </c>
      <c r="I1788">
        <f t="shared" si="28"/>
        <v>3.3777804682483893E-5</v>
      </c>
    </row>
    <row r="1789" spans="1:9" x14ac:dyDescent="0.3">
      <c r="A1789" s="5">
        <v>44235</v>
      </c>
      <c r="B1789">
        <v>129.929993</v>
      </c>
      <c r="C1789">
        <v>130.10000600000001</v>
      </c>
      <c r="D1789">
        <v>128.11000100000001</v>
      </c>
      <c r="E1789">
        <v>129.16999799999999</v>
      </c>
      <c r="F1789">
        <v>119.870811</v>
      </c>
      <c r="G1789">
        <v>7011200</v>
      </c>
      <c r="I1789">
        <f t="shared" si="28"/>
        <v>1.2561981943887609E-4</v>
      </c>
    </row>
    <row r="1790" spans="1:9" x14ac:dyDescent="0.3">
      <c r="A1790" s="5">
        <v>44236</v>
      </c>
      <c r="B1790">
        <v>129.46000699999999</v>
      </c>
      <c r="C1790">
        <v>129.94000199999999</v>
      </c>
      <c r="D1790">
        <v>128.229996</v>
      </c>
      <c r="E1790">
        <v>128.66999799999999</v>
      </c>
      <c r="F1790">
        <v>119.40681499999999</v>
      </c>
      <c r="G1790">
        <v>5917800</v>
      </c>
      <c r="I1790">
        <f t="shared" si="28"/>
        <v>6.9050184638750129E-5</v>
      </c>
    </row>
    <row r="1791" spans="1:9" x14ac:dyDescent="0.3">
      <c r="A1791" s="5">
        <v>44237</v>
      </c>
      <c r="B1791">
        <v>128.75</v>
      </c>
      <c r="C1791">
        <v>129.16000399999999</v>
      </c>
      <c r="D1791">
        <v>127.959999</v>
      </c>
      <c r="E1791">
        <v>128.220001</v>
      </c>
      <c r="F1791">
        <v>118.989227</v>
      </c>
      <c r="G1791">
        <v>8594100</v>
      </c>
      <c r="I1791">
        <f t="shared" si="28"/>
        <v>3.5717298064993244E-5</v>
      </c>
    </row>
    <row r="1792" spans="1:9" x14ac:dyDescent="0.3">
      <c r="A1792" s="5">
        <v>44238</v>
      </c>
      <c r="B1792">
        <v>128.53999300000001</v>
      </c>
      <c r="C1792">
        <v>129.33000200000001</v>
      </c>
      <c r="D1792">
        <v>128.21000699999999</v>
      </c>
      <c r="E1792">
        <v>128.33000200000001</v>
      </c>
      <c r="F1792">
        <v>119.091301</v>
      </c>
      <c r="G1792">
        <v>6139200</v>
      </c>
      <c r="I1792">
        <f t="shared" si="28"/>
        <v>4.9965304682020804E-5</v>
      </c>
    </row>
    <row r="1793" spans="1:9" x14ac:dyDescent="0.3">
      <c r="A1793" s="5">
        <v>44239</v>
      </c>
      <c r="B1793">
        <v>128</v>
      </c>
      <c r="C1793">
        <v>128.13000500000001</v>
      </c>
      <c r="D1793">
        <v>126.58000199999999</v>
      </c>
      <c r="E1793">
        <v>127.620003</v>
      </c>
      <c r="F1793">
        <v>118.432419</v>
      </c>
      <c r="G1793">
        <v>8407300</v>
      </c>
      <c r="I1793">
        <f t="shared" si="28"/>
        <v>9.5331426710509293E-5</v>
      </c>
    </row>
    <row r="1794" spans="1:9" x14ac:dyDescent="0.3">
      <c r="A1794" s="5">
        <v>44243</v>
      </c>
      <c r="B1794">
        <v>127.970001</v>
      </c>
      <c r="C1794">
        <v>128.16999799999999</v>
      </c>
      <c r="D1794">
        <v>126.989998</v>
      </c>
      <c r="E1794">
        <v>127.91999800000001</v>
      </c>
      <c r="F1794">
        <v>118.710823</v>
      </c>
      <c r="G1794">
        <v>8246000</v>
      </c>
      <c r="I1794">
        <f t="shared" si="28"/>
        <v>5.9142855692914858E-5</v>
      </c>
    </row>
    <row r="1795" spans="1:9" x14ac:dyDescent="0.3">
      <c r="A1795" s="5">
        <v>44244</v>
      </c>
      <c r="B1795">
        <v>127.19000200000001</v>
      </c>
      <c r="C1795">
        <v>129.490005</v>
      </c>
      <c r="D1795">
        <v>127.110001</v>
      </c>
      <c r="E1795">
        <v>128.46000699999999</v>
      </c>
      <c r="F1795">
        <v>119.211952</v>
      </c>
      <c r="G1795">
        <v>8845200</v>
      </c>
      <c r="I1795">
        <f t="shared" si="28"/>
        <v>1.4977075661759841E-4</v>
      </c>
    </row>
    <row r="1796" spans="1:9" x14ac:dyDescent="0.3">
      <c r="A1796" s="5">
        <v>44245</v>
      </c>
      <c r="B1796">
        <v>127.80999799999999</v>
      </c>
      <c r="C1796">
        <v>129.85000600000001</v>
      </c>
      <c r="D1796">
        <v>127.589996</v>
      </c>
      <c r="E1796">
        <v>129.529999</v>
      </c>
      <c r="F1796">
        <v>120.20491</v>
      </c>
      <c r="G1796">
        <v>6936400</v>
      </c>
      <c r="I1796">
        <f t="shared" si="28"/>
        <v>6.5071075474301194E-5</v>
      </c>
    </row>
    <row r="1797" spans="1:9" x14ac:dyDescent="0.3">
      <c r="A1797" s="5">
        <v>44246</v>
      </c>
      <c r="B1797">
        <v>129.35000600000001</v>
      </c>
      <c r="C1797">
        <v>129.44000199999999</v>
      </c>
      <c r="D1797">
        <v>127.019997</v>
      </c>
      <c r="E1797">
        <v>127.120003</v>
      </c>
      <c r="F1797">
        <v>117.96839900000001</v>
      </c>
      <c r="G1797">
        <v>8277900</v>
      </c>
      <c r="I1797">
        <f t="shared" si="28"/>
        <v>2.6884914823150964E-5</v>
      </c>
    </row>
    <row r="1798" spans="1:9" x14ac:dyDescent="0.3">
      <c r="A1798" s="5">
        <v>44249</v>
      </c>
      <c r="B1798">
        <v>126.790001</v>
      </c>
      <c r="C1798">
        <v>127.239998</v>
      </c>
      <c r="D1798">
        <v>126.379997</v>
      </c>
      <c r="E1798">
        <v>126.58000199999999</v>
      </c>
      <c r="F1798">
        <v>117.46727799999999</v>
      </c>
      <c r="G1798">
        <v>6975500</v>
      </c>
      <c r="I1798">
        <f t="shared" si="28"/>
        <v>2.3546577480468343E-5</v>
      </c>
    </row>
    <row r="1799" spans="1:9" x14ac:dyDescent="0.3">
      <c r="A1799" s="5">
        <v>44250</v>
      </c>
      <c r="B1799">
        <v>127.779999</v>
      </c>
      <c r="C1799">
        <v>129.929993</v>
      </c>
      <c r="D1799">
        <v>127.19000200000001</v>
      </c>
      <c r="E1799">
        <v>127.519997</v>
      </c>
      <c r="F1799">
        <v>118.339607</v>
      </c>
      <c r="G1799">
        <v>10145300</v>
      </c>
      <c r="I1799">
        <f t="shared" si="28"/>
        <v>3.2439259975869096E-4</v>
      </c>
    </row>
    <row r="1800" spans="1:9" x14ac:dyDescent="0.3">
      <c r="A1800" s="5">
        <v>44251</v>
      </c>
      <c r="B1800">
        <v>127.349998</v>
      </c>
      <c r="C1800">
        <v>128.240005</v>
      </c>
      <c r="D1800">
        <v>126.910004</v>
      </c>
      <c r="E1800">
        <v>127.660004</v>
      </c>
      <c r="F1800">
        <v>118.469543</v>
      </c>
      <c r="G1800">
        <v>7263000</v>
      </c>
      <c r="I1800">
        <f t="shared" si="28"/>
        <v>5.1962857455695966E-5</v>
      </c>
    </row>
    <row r="1801" spans="1:9" x14ac:dyDescent="0.3">
      <c r="A1801" s="5">
        <v>44252</v>
      </c>
      <c r="B1801">
        <v>127.489998</v>
      </c>
      <c r="C1801">
        <v>128.990005</v>
      </c>
      <c r="D1801">
        <v>126.290001</v>
      </c>
      <c r="E1801">
        <v>126.58000199999999</v>
      </c>
      <c r="F1801">
        <v>117.46727799999999</v>
      </c>
      <c r="G1801">
        <v>7790800</v>
      </c>
      <c r="I1801">
        <f t="shared" si="28"/>
        <v>2.4230148793196943E-4</v>
      </c>
    </row>
    <row r="1802" spans="1:9" x14ac:dyDescent="0.3">
      <c r="A1802" s="5">
        <v>44253</v>
      </c>
      <c r="B1802">
        <v>126.540001</v>
      </c>
      <c r="C1802">
        <v>126.93</v>
      </c>
      <c r="D1802">
        <v>121.82</v>
      </c>
      <c r="E1802">
        <v>123.529999</v>
      </c>
      <c r="F1802">
        <v>114.636864</v>
      </c>
      <c r="G1802">
        <v>17718800</v>
      </c>
      <c r="I1802">
        <f t="shared" si="28"/>
        <v>6.1344816304932724E-4</v>
      </c>
    </row>
    <row r="1803" spans="1:9" x14ac:dyDescent="0.3">
      <c r="A1803" s="5">
        <v>44256</v>
      </c>
      <c r="B1803">
        <v>124.160004</v>
      </c>
      <c r="C1803">
        <v>125.489998</v>
      </c>
      <c r="D1803">
        <v>124</v>
      </c>
      <c r="E1803">
        <v>124.290001</v>
      </c>
      <c r="F1803">
        <v>115.342133</v>
      </c>
      <c r="G1803">
        <v>7740200</v>
      </c>
      <c r="I1803">
        <f t="shared" si="28"/>
        <v>1.0539064142903247E-4</v>
      </c>
    </row>
    <row r="1804" spans="1:9" x14ac:dyDescent="0.3">
      <c r="A1804" s="5">
        <v>44257</v>
      </c>
      <c r="B1804">
        <v>123.870003</v>
      </c>
      <c r="C1804">
        <v>124.860001</v>
      </c>
      <c r="D1804">
        <v>123.43</v>
      </c>
      <c r="E1804">
        <v>123.900002</v>
      </c>
      <c r="F1804">
        <v>114.980217</v>
      </c>
      <c r="G1804">
        <v>10206500</v>
      </c>
      <c r="I1804">
        <f t="shared" ref="I1804:I1867" si="29">LN(C1804/B1804)*(LN(C1804/B1804)-LN(E1804/B1804))+LN(D1804/B1804)*(LN(D1804/B1804)-LN(E1804/B1804))</f>
        <v>7.4965676929830723E-5</v>
      </c>
    </row>
    <row r="1805" spans="1:9" x14ac:dyDescent="0.3">
      <c r="A1805" s="5">
        <v>44258</v>
      </c>
      <c r="B1805">
        <v>123.769997</v>
      </c>
      <c r="C1805">
        <v>124.199997</v>
      </c>
      <c r="D1805">
        <v>122.790001</v>
      </c>
      <c r="E1805">
        <v>123.160004</v>
      </c>
      <c r="F1805">
        <v>114.293503</v>
      </c>
      <c r="G1805">
        <v>7537000</v>
      </c>
      <c r="I1805">
        <f t="shared" si="29"/>
        <v>5.308095177814384E-5</v>
      </c>
    </row>
    <row r="1806" spans="1:9" x14ac:dyDescent="0.3">
      <c r="A1806" s="5">
        <v>44259</v>
      </c>
      <c r="B1806">
        <v>123.099998</v>
      </c>
      <c r="C1806">
        <v>124.769997</v>
      </c>
      <c r="D1806">
        <v>121.540001</v>
      </c>
      <c r="E1806">
        <v>122.150002</v>
      </c>
      <c r="F1806">
        <v>113.356216</v>
      </c>
      <c r="G1806">
        <v>10228100</v>
      </c>
      <c r="I1806">
        <f t="shared" si="29"/>
        <v>3.4981850037778316E-4</v>
      </c>
    </row>
    <row r="1807" spans="1:9" x14ac:dyDescent="0.3">
      <c r="A1807" s="5">
        <v>44260</v>
      </c>
      <c r="B1807">
        <v>122.760002</v>
      </c>
      <c r="C1807">
        <v>126.33000199999999</v>
      </c>
      <c r="D1807">
        <v>122.550003</v>
      </c>
      <c r="E1807">
        <v>125.980003</v>
      </c>
      <c r="F1807">
        <v>116.910477</v>
      </c>
      <c r="G1807">
        <v>10490900</v>
      </c>
      <c r="I1807">
        <f t="shared" si="29"/>
        <v>1.2679181959408174E-4</v>
      </c>
    </row>
    <row r="1808" spans="1:9" x14ac:dyDescent="0.3">
      <c r="A1808" s="5">
        <v>44263</v>
      </c>
      <c r="B1808">
        <v>125.760002</v>
      </c>
      <c r="C1808">
        <v>128.89999399999999</v>
      </c>
      <c r="D1808">
        <v>125.32</v>
      </c>
      <c r="E1808">
        <v>127.30999799999999</v>
      </c>
      <c r="F1808">
        <v>118.144722</v>
      </c>
      <c r="G1808">
        <v>9224700</v>
      </c>
      <c r="I1808">
        <f t="shared" si="29"/>
        <v>3.613122547654793E-4</v>
      </c>
    </row>
    <row r="1809" spans="1:9" x14ac:dyDescent="0.3">
      <c r="A1809" s="5">
        <v>44264</v>
      </c>
      <c r="B1809">
        <v>127.650002</v>
      </c>
      <c r="C1809">
        <v>128.91999799999999</v>
      </c>
      <c r="D1809">
        <v>126.05999799999999</v>
      </c>
      <c r="E1809">
        <v>126.18</v>
      </c>
      <c r="F1809">
        <v>117.096085</v>
      </c>
      <c r="G1809">
        <v>8859700</v>
      </c>
      <c r="I1809">
        <f t="shared" si="29"/>
        <v>2.2460119998935047E-4</v>
      </c>
    </row>
    <row r="1810" spans="1:9" x14ac:dyDescent="0.3">
      <c r="A1810" s="5">
        <v>44265</v>
      </c>
      <c r="B1810">
        <v>126.150002</v>
      </c>
      <c r="C1810">
        <v>128.41999799999999</v>
      </c>
      <c r="D1810">
        <v>125.470001</v>
      </c>
      <c r="E1810">
        <v>127.339996</v>
      </c>
      <c r="F1810">
        <v>118.17255400000001</v>
      </c>
      <c r="G1810">
        <v>9070900</v>
      </c>
      <c r="I1810">
        <f t="shared" si="29"/>
        <v>2.3058168295091901E-4</v>
      </c>
    </row>
    <row r="1811" spans="1:9" x14ac:dyDescent="0.3">
      <c r="A1811" s="5">
        <v>44266</v>
      </c>
      <c r="B1811">
        <v>127.129997</v>
      </c>
      <c r="C1811">
        <v>127.849998</v>
      </c>
      <c r="D1811">
        <v>126.720001</v>
      </c>
      <c r="E1811">
        <v>126.910004</v>
      </c>
      <c r="F1811">
        <v>117.773529</v>
      </c>
      <c r="G1811">
        <v>6941500</v>
      </c>
      <c r="I1811">
        <f t="shared" si="29"/>
        <v>4.6515547874029751E-5</v>
      </c>
    </row>
    <row r="1812" spans="1:9" x14ac:dyDescent="0.3">
      <c r="A1812" s="5">
        <v>44267</v>
      </c>
      <c r="B1812">
        <v>127.650002</v>
      </c>
      <c r="C1812">
        <v>128.820007</v>
      </c>
      <c r="D1812">
        <v>127.650002</v>
      </c>
      <c r="E1812">
        <v>128.13999899999999</v>
      </c>
      <c r="F1812">
        <v>118.914986</v>
      </c>
      <c r="G1812">
        <v>6521900</v>
      </c>
      <c r="I1812">
        <f t="shared" si="29"/>
        <v>4.8290715133961929E-5</v>
      </c>
    </row>
    <row r="1813" spans="1:9" x14ac:dyDescent="0.3">
      <c r="A1813" s="5">
        <v>44270</v>
      </c>
      <c r="B1813">
        <v>128.38999899999999</v>
      </c>
      <c r="C1813">
        <v>129.03999300000001</v>
      </c>
      <c r="D1813">
        <v>127.19000200000001</v>
      </c>
      <c r="E1813">
        <v>128.55999800000001</v>
      </c>
      <c r="F1813">
        <v>119.30474100000001</v>
      </c>
      <c r="G1813">
        <v>7172600</v>
      </c>
      <c r="I1813">
        <f t="shared" si="29"/>
        <v>1.1942535140777434E-4</v>
      </c>
    </row>
    <row r="1814" spans="1:9" x14ac:dyDescent="0.3">
      <c r="A1814" s="5">
        <v>44271</v>
      </c>
      <c r="B1814">
        <v>128.509995</v>
      </c>
      <c r="C1814">
        <v>129.979996</v>
      </c>
      <c r="D1814">
        <v>128.509995</v>
      </c>
      <c r="E1814">
        <v>128.94000199999999</v>
      </c>
      <c r="F1814">
        <v>119.65737900000001</v>
      </c>
      <c r="G1814">
        <v>6485200</v>
      </c>
      <c r="I1814">
        <f t="shared" si="29"/>
        <v>9.1370530465109733E-5</v>
      </c>
    </row>
    <row r="1815" spans="1:9" x14ac:dyDescent="0.3">
      <c r="A1815" s="5">
        <v>44272</v>
      </c>
      <c r="B1815">
        <v>129.11000100000001</v>
      </c>
      <c r="C1815">
        <v>129.83999600000001</v>
      </c>
      <c r="D1815">
        <v>128.35000600000001</v>
      </c>
      <c r="E1815">
        <v>128.41999799999999</v>
      </c>
      <c r="F1815">
        <v>119.17482</v>
      </c>
      <c r="G1815">
        <v>6192900</v>
      </c>
      <c r="I1815">
        <f t="shared" si="29"/>
        <v>6.5219794249720558E-5</v>
      </c>
    </row>
    <row r="1816" spans="1:9" x14ac:dyDescent="0.3">
      <c r="A1816" s="5">
        <v>44273</v>
      </c>
      <c r="B1816">
        <v>128.21000699999999</v>
      </c>
      <c r="C1816">
        <v>129.03999300000001</v>
      </c>
      <c r="D1816">
        <v>127.040001</v>
      </c>
      <c r="E1816">
        <v>128.699997</v>
      </c>
      <c r="F1816">
        <v>119.434647</v>
      </c>
      <c r="G1816">
        <v>6871300</v>
      </c>
      <c r="I1816">
        <f t="shared" si="29"/>
        <v>1.3603878521620112E-4</v>
      </c>
    </row>
    <row r="1817" spans="1:9" x14ac:dyDescent="0.3">
      <c r="A1817" s="5">
        <v>44274</v>
      </c>
      <c r="B1817">
        <v>129.10000600000001</v>
      </c>
      <c r="C1817">
        <v>129.740005</v>
      </c>
      <c r="D1817">
        <v>127.900002</v>
      </c>
      <c r="E1817">
        <v>128.009995</v>
      </c>
      <c r="F1817">
        <v>118.794342</v>
      </c>
      <c r="G1817">
        <v>20262100</v>
      </c>
      <c r="I1817">
        <f t="shared" si="29"/>
        <v>7.4411964837087872E-5</v>
      </c>
    </row>
    <row r="1818" spans="1:9" x14ac:dyDescent="0.3">
      <c r="A1818" s="5">
        <v>44277</v>
      </c>
      <c r="B1818">
        <v>128.009995</v>
      </c>
      <c r="C1818">
        <v>130.88999899999999</v>
      </c>
      <c r="D1818">
        <v>128.009995</v>
      </c>
      <c r="E1818">
        <v>130.179993</v>
      </c>
      <c r="F1818">
        <v>120.808105</v>
      </c>
      <c r="G1818">
        <v>8077600</v>
      </c>
      <c r="I1818">
        <f t="shared" si="29"/>
        <v>1.2101663987119948E-4</v>
      </c>
    </row>
    <row r="1819" spans="1:9" x14ac:dyDescent="0.3">
      <c r="A1819" s="5">
        <v>44278</v>
      </c>
      <c r="B1819">
        <v>130.41000399999999</v>
      </c>
      <c r="C1819">
        <v>133.28999300000001</v>
      </c>
      <c r="D1819">
        <v>129.990005</v>
      </c>
      <c r="E1819">
        <v>132.60000600000001</v>
      </c>
      <c r="F1819">
        <v>123.05390199999999</v>
      </c>
      <c r="G1819">
        <v>9503800</v>
      </c>
      <c r="I1819">
        <f t="shared" si="29"/>
        <v>1.7749743509601628E-4</v>
      </c>
    </row>
    <row r="1820" spans="1:9" x14ac:dyDescent="0.3">
      <c r="A1820" s="5">
        <v>44279</v>
      </c>
      <c r="B1820">
        <v>130.94000199999999</v>
      </c>
      <c r="C1820">
        <v>133.13999899999999</v>
      </c>
      <c r="D1820">
        <v>130.61999499999999</v>
      </c>
      <c r="E1820">
        <v>132.55999800000001</v>
      </c>
      <c r="F1820">
        <v>123.016792</v>
      </c>
      <c r="G1820">
        <v>8318000</v>
      </c>
      <c r="I1820">
        <f t="shared" si="29"/>
        <v>1.0881850271247571E-4</v>
      </c>
    </row>
    <row r="1821" spans="1:9" x14ac:dyDescent="0.3">
      <c r="A1821" s="5">
        <v>44280</v>
      </c>
      <c r="B1821">
        <v>133.08999600000001</v>
      </c>
      <c r="C1821">
        <v>133.61999499999999</v>
      </c>
      <c r="D1821">
        <v>132.050003</v>
      </c>
      <c r="E1821">
        <v>133.479996</v>
      </c>
      <c r="F1821">
        <v>123.870537</v>
      </c>
      <c r="G1821">
        <v>7517300</v>
      </c>
      <c r="I1821">
        <f t="shared" si="29"/>
        <v>8.8663389015594993E-5</v>
      </c>
    </row>
    <row r="1822" spans="1:9" x14ac:dyDescent="0.3">
      <c r="A1822" s="5">
        <v>44281</v>
      </c>
      <c r="B1822">
        <v>133.220001</v>
      </c>
      <c r="C1822">
        <v>135.61000100000001</v>
      </c>
      <c r="D1822">
        <v>132.479996</v>
      </c>
      <c r="E1822">
        <v>135.449997</v>
      </c>
      <c r="F1822">
        <v>125.69871500000001</v>
      </c>
      <c r="G1822">
        <v>10821200</v>
      </c>
      <c r="I1822">
        <f t="shared" si="29"/>
        <v>1.444894021043115E-4</v>
      </c>
    </row>
    <row r="1823" spans="1:9" x14ac:dyDescent="0.3">
      <c r="A1823" s="5">
        <v>44284</v>
      </c>
      <c r="B1823">
        <v>135</v>
      </c>
      <c r="C1823">
        <v>137.60000600000001</v>
      </c>
      <c r="D1823">
        <v>135</v>
      </c>
      <c r="E1823">
        <v>137.570007</v>
      </c>
      <c r="F1823">
        <v>127.666115</v>
      </c>
      <c r="G1823">
        <v>11176000</v>
      </c>
      <c r="I1823">
        <f t="shared" si="29"/>
        <v>4.1593678017548664E-6</v>
      </c>
    </row>
    <row r="1824" spans="1:9" x14ac:dyDescent="0.3">
      <c r="A1824" s="5">
        <v>44285</v>
      </c>
      <c r="B1824">
        <v>136.61000100000001</v>
      </c>
      <c r="C1824">
        <v>137</v>
      </c>
      <c r="D1824">
        <v>135.13999899999999</v>
      </c>
      <c r="E1824">
        <v>135.449997</v>
      </c>
      <c r="F1824">
        <v>125.69871500000001</v>
      </c>
      <c r="G1824">
        <v>8090600</v>
      </c>
      <c r="I1824">
        <f t="shared" si="29"/>
        <v>5.7226169130486835E-5</v>
      </c>
    </row>
    <row r="1825" spans="1:9" x14ac:dyDescent="0.3">
      <c r="A1825" s="5">
        <v>44286</v>
      </c>
      <c r="B1825">
        <v>135.679993</v>
      </c>
      <c r="C1825">
        <v>136.75</v>
      </c>
      <c r="D1825">
        <v>135.259995</v>
      </c>
      <c r="E1825">
        <v>135.429993</v>
      </c>
      <c r="F1825">
        <v>125.680122</v>
      </c>
      <c r="G1825">
        <v>9202600</v>
      </c>
      <c r="I1825">
        <f t="shared" si="29"/>
        <v>8.0087493260896261E-5</v>
      </c>
    </row>
    <row r="1826" spans="1:9" x14ac:dyDescent="0.3">
      <c r="A1826" s="5">
        <v>44287</v>
      </c>
      <c r="B1826">
        <v>135.050003</v>
      </c>
      <c r="C1826">
        <v>135.479996</v>
      </c>
      <c r="D1826">
        <v>133.33000200000001</v>
      </c>
      <c r="E1826">
        <v>134.279999</v>
      </c>
      <c r="F1826">
        <v>124.612953</v>
      </c>
      <c r="G1826">
        <v>9117800</v>
      </c>
      <c r="I1826">
        <f t="shared" si="29"/>
        <v>1.1928730695251585E-4</v>
      </c>
    </row>
    <row r="1827" spans="1:9" x14ac:dyDescent="0.3">
      <c r="A1827" s="5">
        <v>44291</v>
      </c>
      <c r="B1827">
        <v>134.96000699999999</v>
      </c>
      <c r="C1827">
        <v>137.25</v>
      </c>
      <c r="D1827">
        <v>134.729996</v>
      </c>
      <c r="E1827">
        <v>136.449997</v>
      </c>
      <c r="F1827">
        <v>126.626694</v>
      </c>
      <c r="G1827">
        <v>8279100</v>
      </c>
      <c r="I1827">
        <f t="shared" si="29"/>
        <v>1.1999814499468974E-4</v>
      </c>
    </row>
    <row r="1828" spans="1:9" x14ac:dyDescent="0.3">
      <c r="A1828" s="5">
        <v>44292</v>
      </c>
      <c r="B1828">
        <v>136</v>
      </c>
      <c r="C1828">
        <v>137.020004</v>
      </c>
      <c r="D1828">
        <v>135.63999899999999</v>
      </c>
      <c r="E1828">
        <v>136.5</v>
      </c>
      <c r="F1828">
        <v>126.673126</v>
      </c>
      <c r="G1828">
        <v>6180600</v>
      </c>
      <c r="I1828">
        <f t="shared" si="29"/>
        <v>4.5163513282235374E-5</v>
      </c>
    </row>
    <row r="1829" spans="1:9" x14ac:dyDescent="0.3">
      <c r="A1829" s="5">
        <v>44293</v>
      </c>
      <c r="B1829">
        <v>137.11999499999999</v>
      </c>
      <c r="C1829">
        <v>137.33000200000001</v>
      </c>
      <c r="D1829">
        <v>136.25</v>
      </c>
      <c r="E1829">
        <v>136.740005</v>
      </c>
      <c r="F1829">
        <v>126.895836</v>
      </c>
      <c r="G1829">
        <v>10244500</v>
      </c>
      <c r="I1829">
        <f t="shared" si="29"/>
        <v>2.9438758891519164E-5</v>
      </c>
    </row>
    <row r="1830" spans="1:9" x14ac:dyDescent="0.3">
      <c r="A1830" s="5">
        <v>44294</v>
      </c>
      <c r="B1830">
        <v>136.89999399999999</v>
      </c>
      <c r="C1830">
        <v>137.63000500000001</v>
      </c>
      <c r="D1830">
        <v>136.58999600000001</v>
      </c>
      <c r="E1830">
        <v>137.259995</v>
      </c>
      <c r="F1830">
        <v>127.378418</v>
      </c>
      <c r="G1830">
        <v>6190300</v>
      </c>
      <c r="I1830">
        <f t="shared" si="29"/>
        <v>2.5409878886101307E-5</v>
      </c>
    </row>
    <row r="1831" spans="1:9" x14ac:dyDescent="0.3">
      <c r="A1831" s="5">
        <v>44295</v>
      </c>
      <c r="B1831">
        <v>136.509995</v>
      </c>
      <c r="C1831">
        <v>137.270004</v>
      </c>
      <c r="D1831">
        <v>135.55999800000001</v>
      </c>
      <c r="E1831">
        <v>136.36999499999999</v>
      </c>
      <c r="F1831">
        <v>126.55249000000001</v>
      </c>
      <c r="G1831">
        <v>5855400</v>
      </c>
      <c r="I1831">
        <f t="shared" si="29"/>
        <v>7.8124963298222466E-5</v>
      </c>
    </row>
    <row r="1832" spans="1:9" x14ac:dyDescent="0.3">
      <c r="A1832" s="5">
        <v>44298</v>
      </c>
      <c r="B1832">
        <v>136.5</v>
      </c>
      <c r="C1832">
        <v>137.03999300000001</v>
      </c>
      <c r="D1832">
        <v>135.71000699999999</v>
      </c>
      <c r="E1832">
        <v>136.91999799999999</v>
      </c>
      <c r="F1832">
        <v>127.062889</v>
      </c>
      <c r="G1832">
        <v>6440900</v>
      </c>
      <c r="I1832">
        <f t="shared" si="29"/>
        <v>5.4980508908134565E-5</v>
      </c>
    </row>
    <row r="1833" spans="1:9" x14ac:dyDescent="0.3">
      <c r="A1833" s="5">
        <v>44299</v>
      </c>
      <c r="B1833">
        <v>136.020004</v>
      </c>
      <c r="C1833">
        <v>136.38999899999999</v>
      </c>
      <c r="D1833">
        <v>134.83999600000001</v>
      </c>
      <c r="E1833">
        <v>135.11000100000001</v>
      </c>
      <c r="F1833">
        <v>125.383202</v>
      </c>
      <c r="G1833">
        <v>9161200</v>
      </c>
      <c r="I1833">
        <f t="shared" si="29"/>
        <v>4.3043662991523756E-5</v>
      </c>
    </row>
    <row r="1834" spans="1:9" x14ac:dyDescent="0.3">
      <c r="A1834" s="5">
        <v>44300</v>
      </c>
      <c r="B1834">
        <v>135.520004</v>
      </c>
      <c r="C1834">
        <v>135.78999300000001</v>
      </c>
      <c r="D1834">
        <v>134.58000200000001</v>
      </c>
      <c r="E1834">
        <v>135.60000600000001</v>
      </c>
      <c r="F1834">
        <v>125.837891</v>
      </c>
      <c r="G1834">
        <v>7584000</v>
      </c>
      <c r="I1834">
        <f t="shared" si="29"/>
        <v>5.5341890217403398E-5</v>
      </c>
    </row>
    <row r="1835" spans="1:9" x14ac:dyDescent="0.3">
      <c r="A1835" s="5">
        <v>44301</v>
      </c>
      <c r="B1835">
        <v>135.970001</v>
      </c>
      <c r="C1835">
        <v>137.759995</v>
      </c>
      <c r="D1835">
        <v>135.86999499999999</v>
      </c>
      <c r="E1835">
        <v>137.240005</v>
      </c>
      <c r="F1835">
        <v>127.359871</v>
      </c>
      <c r="G1835">
        <v>7945300</v>
      </c>
      <c r="I1835">
        <f t="shared" si="29"/>
        <v>5.6842267136680515E-5</v>
      </c>
    </row>
    <row r="1836" spans="1:9" x14ac:dyDescent="0.3">
      <c r="A1836" s="5">
        <v>44302</v>
      </c>
      <c r="B1836">
        <v>137.61000100000001</v>
      </c>
      <c r="C1836">
        <v>137.89999399999999</v>
      </c>
      <c r="D1836">
        <v>136.88000500000001</v>
      </c>
      <c r="E1836">
        <v>137.25</v>
      </c>
      <c r="F1836">
        <v>127.369148</v>
      </c>
      <c r="G1836">
        <v>7708500</v>
      </c>
      <c r="I1836">
        <f t="shared" si="29"/>
        <v>2.4304075612831707E-5</v>
      </c>
    </row>
    <row r="1837" spans="1:9" x14ac:dyDescent="0.3">
      <c r="A1837" s="5">
        <v>44305</v>
      </c>
      <c r="B1837">
        <v>136.94000199999999</v>
      </c>
      <c r="C1837">
        <v>137.08000200000001</v>
      </c>
      <c r="D1837">
        <v>135.38999899999999</v>
      </c>
      <c r="E1837">
        <v>136.61000100000001</v>
      </c>
      <c r="F1837">
        <v>126.7752</v>
      </c>
      <c r="G1837">
        <v>9149400</v>
      </c>
      <c r="I1837">
        <f t="shared" si="29"/>
        <v>1.056260917691309E-4</v>
      </c>
    </row>
    <row r="1838" spans="1:9" x14ac:dyDescent="0.3">
      <c r="A1838" s="5">
        <v>44306</v>
      </c>
      <c r="B1838">
        <v>134.83999600000001</v>
      </c>
      <c r="C1838">
        <v>138.58999600000001</v>
      </c>
      <c r="D1838">
        <v>133.529999</v>
      </c>
      <c r="E1838">
        <v>137.75</v>
      </c>
      <c r="F1838">
        <v>127.833145</v>
      </c>
      <c r="G1838">
        <v>10040500</v>
      </c>
      <c r="I1838">
        <f t="shared" si="29"/>
        <v>4.7052517032712281E-4</v>
      </c>
    </row>
    <row r="1839" spans="1:9" x14ac:dyDescent="0.3">
      <c r="A1839" s="5">
        <v>44307</v>
      </c>
      <c r="B1839">
        <v>137.88999899999999</v>
      </c>
      <c r="C1839">
        <v>138.570007</v>
      </c>
      <c r="D1839">
        <v>136.60000600000001</v>
      </c>
      <c r="E1839">
        <v>136.85000600000001</v>
      </c>
      <c r="F1839">
        <v>126.99791</v>
      </c>
      <c r="G1839">
        <v>8465900</v>
      </c>
      <c r="I1839">
        <f t="shared" si="29"/>
        <v>7.8630725834726847E-5</v>
      </c>
    </row>
    <row r="1840" spans="1:9" x14ac:dyDescent="0.3">
      <c r="A1840" s="5">
        <v>44308</v>
      </c>
      <c r="B1840">
        <v>135.36999499999999</v>
      </c>
      <c r="C1840">
        <v>135.78999300000001</v>
      </c>
      <c r="D1840">
        <v>134.05999800000001</v>
      </c>
      <c r="E1840">
        <v>134.63000500000001</v>
      </c>
      <c r="F1840">
        <v>125.73711400000001</v>
      </c>
      <c r="G1840">
        <v>7338300</v>
      </c>
      <c r="I1840">
        <f t="shared" si="29"/>
        <v>6.7835442174856317E-5</v>
      </c>
    </row>
    <row r="1841" spans="1:9" x14ac:dyDescent="0.3">
      <c r="A1841" s="5">
        <v>44309</v>
      </c>
      <c r="B1841">
        <v>134.929993</v>
      </c>
      <c r="C1841">
        <v>135.08000200000001</v>
      </c>
      <c r="D1841">
        <v>133.25</v>
      </c>
      <c r="E1841">
        <v>133.94000199999999</v>
      </c>
      <c r="F1841">
        <v>125.09266700000001</v>
      </c>
      <c r="G1841">
        <v>6708300</v>
      </c>
      <c r="I1841">
        <f t="shared" si="29"/>
        <v>7.4128135243041395E-5</v>
      </c>
    </row>
    <row r="1842" spans="1:9" x14ac:dyDescent="0.3">
      <c r="A1842" s="5">
        <v>44312</v>
      </c>
      <c r="B1842">
        <v>133.490005</v>
      </c>
      <c r="C1842">
        <v>133.759995</v>
      </c>
      <c r="D1842">
        <v>131.16999799999999</v>
      </c>
      <c r="E1842">
        <v>131.259995</v>
      </c>
      <c r="F1842">
        <v>122.58968400000001</v>
      </c>
      <c r="G1842">
        <v>9910600</v>
      </c>
      <c r="I1842">
        <f t="shared" si="29"/>
        <v>5.0146050926649159E-5</v>
      </c>
    </row>
    <row r="1843" spans="1:9" x14ac:dyDescent="0.3">
      <c r="A1843" s="5">
        <v>44313</v>
      </c>
      <c r="B1843">
        <v>131.240005</v>
      </c>
      <c r="C1843">
        <v>131.88999899999999</v>
      </c>
      <c r="D1843">
        <v>130.28999300000001</v>
      </c>
      <c r="E1843">
        <v>131.179993</v>
      </c>
      <c r="F1843">
        <v>122.514977</v>
      </c>
      <c r="G1843">
        <v>8296800</v>
      </c>
      <c r="I1843">
        <f t="shared" si="29"/>
        <v>7.6126387260664951E-5</v>
      </c>
    </row>
    <row r="1844" spans="1:9" x14ac:dyDescent="0.3">
      <c r="A1844" s="5">
        <v>44314</v>
      </c>
      <c r="B1844">
        <v>131.71000699999999</v>
      </c>
      <c r="C1844">
        <v>131.85000600000001</v>
      </c>
      <c r="D1844">
        <v>130.88000500000001</v>
      </c>
      <c r="E1844">
        <v>131.39999399999999</v>
      </c>
      <c r="F1844">
        <v>122.72045900000001</v>
      </c>
      <c r="G1844">
        <v>6262800</v>
      </c>
      <c r="I1844">
        <f t="shared" si="29"/>
        <v>2.8698529357563872E-5</v>
      </c>
    </row>
    <row r="1845" spans="1:9" x14ac:dyDescent="0.3">
      <c r="A1845" s="5">
        <v>44315</v>
      </c>
      <c r="B1845">
        <v>131.30999800000001</v>
      </c>
      <c r="C1845">
        <v>132.990005</v>
      </c>
      <c r="D1845">
        <v>131.30999800000001</v>
      </c>
      <c r="E1845">
        <v>132.509995</v>
      </c>
      <c r="F1845">
        <v>123.757133</v>
      </c>
      <c r="G1845">
        <v>6786800</v>
      </c>
      <c r="I1845">
        <f t="shared" si="29"/>
        <v>4.5969099531700068E-5</v>
      </c>
    </row>
    <row r="1846" spans="1:9" x14ac:dyDescent="0.3">
      <c r="A1846" s="5">
        <v>44316</v>
      </c>
      <c r="B1846">
        <v>132.75</v>
      </c>
      <c r="C1846">
        <v>133.66999799999999</v>
      </c>
      <c r="D1846">
        <v>132.259995</v>
      </c>
      <c r="E1846">
        <v>133.41999799999999</v>
      </c>
      <c r="F1846">
        <v>124.607018</v>
      </c>
      <c r="G1846">
        <v>9188600</v>
      </c>
      <c r="I1846">
        <f t="shared" si="29"/>
        <v>4.5221488092280405E-5</v>
      </c>
    </row>
    <row r="1847" spans="1:9" x14ac:dyDescent="0.3">
      <c r="A1847" s="5">
        <v>44319</v>
      </c>
      <c r="B1847">
        <v>134.029999</v>
      </c>
      <c r="C1847">
        <v>135.679993</v>
      </c>
      <c r="D1847">
        <v>134.029999</v>
      </c>
      <c r="E1847">
        <v>135</v>
      </c>
      <c r="F1847">
        <v>126.08266399999999</v>
      </c>
      <c r="G1847">
        <v>8070300</v>
      </c>
      <c r="I1847">
        <f t="shared" si="29"/>
        <v>6.1475198142084544E-5</v>
      </c>
    </row>
    <row r="1848" spans="1:9" x14ac:dyDescent="0.3">
      <c r="A1848" s="5">
        <v>44320</v>
      </c>
      <c r="B1848">
        <v>134.979996</v>
      </c>
      <c r="C1848">
        <v>135.83000200000001</v>
      </c>
      <c r="D1848">
        <v>134.21000699999999</v>
      </c>
      <c r="E1848">
        <v>134.53999300000001</v>
      </c>
      <c r="F1848">
        <v>125.653046</v>
      </c>
      <c r="G1848">
        <v>9624000</v>
      </c>
      <c r="I1848">
        <f t="shared" si="29"/>
        <v>7.3952691779661169E-5</v>
      </c>
    </row>
    <row r="1849" spans="1:9" x14ac:dyDescent="0.3">
      <c r="A1849" s="5">
        <v>44321</v>
      </c>
      <c r="B1849">
        <v>134.36999499999999</v>
      </c>
      <c r="C1849">
        <v>134.970001</v>
      </c>
      <c r="D1849">
        <v>133.36999499999999</v>
      </c>
      <c r="E1849">
        <v>133.46000699999999</v>
      </c>
      <c r="F1849">
        <v>124.644386</v>
      </c>
      <c r="G1849">
        <v>8295900</v>
      </c>
      <c r="I1849">
        <f t="shared" si="29"/>
        <v>5.5165946155150597E-5</v>
      </c>
    </row>
    <row r="1850" spans="1:9" x14ac:dyDescent="0.3">
      <c r="A1850" s="5">
        <v>44322</v>
      </c>
      <c r="B1850">
        <v>134.009995</v>
      </c>
      <c r="C1850">
        <v>135.36999499999999</v>
      </c>
      <c r="D1850">
        <v>133.91999799999999</v>
      </c>
      <c r="E1850">
        <v>135.13999899999999</v>
      </c>
      <c r="F1850">
        <v>126.213402</v>
      </c>
      <c r="G1850">
        <v>9771100</v>
      </c>
      <c r="I1850">
        <f t="shared" si="29"/>
        <v>2.3262451900022907E-5</v>
      </c>
    </row>
    <row r="1851" spans="1:9" x14ac:dyDescent="0.3">
      <c r="A1851" s="5">
        <v>44323</v>
      </c>
      <c r="B1851">
        <v>135.08000200000001</v>
      </c>
      <c r="C1851">
        <v>136.029999</v>
      </c>
      <c r="D1851">
        <v>134.759995</v>
      </c>
      <c r="E1851">
        <v>135.14999399999999</v>
      </c>
      <c r="F1851">
        <v>126.22273300000001</v>
      </c>
      <c r="G1851">
        <v>6299100</v>
      </c>
      <c r="I1851">
        <f t="shared" si="29"/>
        <v>5.2339147357860331E-5</v>
      </c>
    </row>
    <row r="1852" spans="1:9" x14ac:dyDescent="0.3">
      <c r="A1852" s="5">
        <v>44326</v>
      </c>
      <c r="B1852">
        <v>135.88999899999999</v>
      </c>
      <c r="C1852">
        <v>138.41999799999999</v>
      </c>
      <c r="D1852">
        <v>135.69000199999999</v>
      </c>
      <c r="E1852">
        <v>137.66999799999999</v>
      </c>
      <c r="F1852">
        <v>128.576279</v>
      </c>
      <c r="G1852">
        <v>8852700</v>
      </c>
      <c r="I1852">
        <f t="shared" si="29"/>
        <v>1.2155838830921786E-4</v>
      </c>
    </row>
    <row r="1853" spans="1:9" x14ac:dyDescent="0.3">
      <c r="A1853" s="5">
        <v>44327</v>
      </c>
      <c r="B1853">
        <v>138.490005</v>
      </c>
      <c r="C1853">
        <v>138.78999300000001</v>
      </c>
      <c r="D1853">
        <v>136.470001</v>
      </c>
      <c r="E1853">
        <v>136.990005</v>
      </c>
      <c r="F1853">
        <v>127.941216</v>
      </c>
      <c r="G1853">
        <v>10973700</v>
      </c>
      <c r="I1853">
        <f t="shared" si="29"/>
        <v>8.4127066032540197E-5</v>
      </c>
    </row>
    <row r="1854" spans="1:9" x14ac:dyDescent="0.3">
      <c r="A1854" s="5">
        <v>44328</v>
      </c>
      <c r="B1854">
        <v>136.490005</v>
      </c>
      <c r="C1854">
        <v>137</v>
      </c>
      <c r="D1854">
        <v>135.490005</v>
      </c>
      <c r="E1854">
        <v>135.53999300000001</v>
      </c>
      <c r="F1854">
        <v>126.586975</v>
      </c>
      <c r="G1854">
        <v>8853700</v>
      </c>
      <c r="I1854">
        <f t="shared" si="29"/>
        <v>4.267144851883483E-5</v>
      </c>
    </row>
    <row r="1855" spans="1:9" x14ac:dyDescent="0.3">
      <c r="A1855" s="5">
        <v>44329</v>
      </c>
      <c r="B1855">
        <v>135.88999899999999</v>
      </c>
      <c r="C1855">
        <v>138.529999</v>
      </c>
      <c r="D1855">
        <v>135.38999899999999</v>
      </c>
      <c r="E1855">
        <v>137.720001</v>
      </c>
      <c r="F1855">
        <v>128.62297100000001</v>
      </c>
      <c r="G1855">
        <v>8753600</v>
      </c>
      <c r="I1855">
        <f t="shared" si="29"/>
        <v>1.7573390348896509E-4</v>
      </c>
    </row>
    <row r="1856" spans="1:9" x14ac:dyDescent="0.3">
      <c r="A1856" s="5">
        <v>44330</v>
      </c>
      <c r="B1856">
        <v>137.66999799999999</v>
      </c>
      <c r="C1856">
        <v>139.10000600000001</v>
      </c>
      <c r="D1856">
        <v>137.66999799999999</v>
      </c>
      <c r="E1856">
        <v>138.009995</v>
      </c>
      <c r="F1856">
        <v>128.89382900000001</v>
      </c>
      <c r="G1856">
        <v>5989500</v>
      </c>
      <c r="I1856">
        <f t="shared" si="29"/>
        <v>8.1295072681702142E-5</v>
      </c>
    </row>
    <row r="1857" spans="1:9" x14ac:dyDescent="0.3">
      <c r="A1857" s="5">
        <v>44333</v>
      </c>
      <c r="B1857">
        <v>137.970001</v>
      </c>
      <c r="C1857">
        <v>139.070007</v>
      </c>
      <c r="D1857">
        <v>137.61000100000001</v>
      </c>
      <c r="E1857">
        <v>137.729996</v>
      </c>
      <c r="F1857">
        <v>128.63230899999999</v>
      </c>
      <c r="G1857">
        <v>7690700</v>
      </c>
      <c r="I1857">
        <f t="shared" si="29"/>
        <v>7.9165583694162047E-5</v>
      </c>
    </row>
    <row r="1858" spans="1:9" x14ac:dyDescent="0.3">
      <c r="A1858" s="5">
        <v>44334</v>
      </c>
      <c r="B1858">
        <v>136.46000699999999</v>
      </c>
      <c r="C1858">
        <v>137.83000200000001</v>
      </c>
      <c r="D1858">
        <v>136.14999399999999</v>
      </c>
      <c r="E1858">
        <v>136.320007</v>
      </c>
      <c r="F1858">
        <v>127.31547500000001</v>
      </c>
      <c r="G1858">
        <v>9239100</v>
      </c>
      <c r="I1858">
        <f t="shared" si="29"/>
        <v>1.1288178176244665E-4</v>
      </c>
    </row>
    <row r="1859" spans="1:9" x14ac:dyDescent="0.3">
      <c r="A1859" s="5">
        <v>44335</v>
      </c>
      <c r="B1859">
        <v>136.05999800000001</v>
      </c>
      <c r="C1859">
        <v>136.83000200000001</v>
      </c>
      <c r="D1859">
        <v>135.58999600000001</v>
      </c>
      <c r="E1859">
        <v>136.60000600000001</v>
      </c>
      <c r="F1859">
        <v>127.576981</v>
      </c>
      <c r="G1859">
        <v>9806800</v>
      </c>
      <c r="I1859">
        <f t="shared" si="29"/>
        <v>3.517445899916871E-5</v>
      </c>
    </row>
    <row r="1860" spans="1:9" x14ac:dyDescent="0.3">
      <c r="A1860" s="5">
        <v>44336</v>
      </c>
      <c r="B1860">
        <v>136.78999300000001</v>
      </c>
      <c r="C1860">
        <v>138.71000699999999</v>
      </c>
      <c r="D1860">
        <v>136.720001</v>
      </c>
      <c r="E1860">
        <v>138</v>
      </c>
      <c r="F1860">
        <v>128.884491</v>
      </c>
      <c r="G1860">
        <v>8768200</v>
      </c>
      <c r="I1860">
        <f t="shared" si="29"/>
        <v>7.6299384309966211E-5</v>
      </c>
    </row>
    <row r="1861" spans="1:9" x14ac:dyDescent="0.3">
      <c r="A1861" s="5">
        <v>44337</v>
      </c>
      <c r="B1861">
        <v>138.199997</v>
      </c>
      <c r="C1861">
        <v>138.94000199999999</v>
      </c>
      <c r="D1861">
        <v>137.779999</v>
      </c>
      <c r="E1861">
        <v>138</v>
      </c>
      <c r="F1861">
        <v>128.884491</v>
      </c>
      <c r="G1861">
        <v>10161000</v>
      </c>
      <c r="I1861">
        <f t="shared" si="29"/>
        <v>4.1108920243805447E-5</v>
      </c>
    </row>
    <row r="1862" spans="1:9" x14ac:dyDescent="0.3">
      <c r="A1862" s="5">
        <v>44340</v>
      </c>
      <c r="B1862">
        <v>138</v>
      </c>
      <c r="C1862">
        <v>138.800003</v>
      </c>
      <c r="D1862">
        <v>137.729996</v>
      </c>
      <c r="E1862">
        <v>137.96000699999999</v>
      </c>
      <c r="F1862">
        <v>128.84715299999999</v>
      </c>
      <c r="G1862">
        <v>6981300</v>
      </c>
      <c r="I1862">
        <f t="shared" si="29"/>
        <v>3.8356208120310533E-5</v>
      </c>
    </row>
    <row r="1863" spans="1:9" x14ac:dyDescent="0.3">
      <c r="A1863" s="5">
        <v>44341</v>
      </c>
      <c r="B1863">
        <v>138.050003</v>
      </c>
      <c r="C1863">
        <v>138.479996</v>
      </c>
      <c r="D1863">
        <v>136.75</v>
      </c>
      <c r="E1863">
        <v>138.429993</v>
      </c>
      <c r="F1863">
        <v>129.286102</v>
      </c>
      <c r="G1863">
        <v>8142400</v>
      </c>
      <c r="I1863">
        <f t="shared" si="29"/>
        <v>1.1665104413103618E-4</v>
      </c>
    </row>
    <row r="1864" spans="1:9" x14ac:dyDescent="0.3">
      <c r="A1864" s="5">
        <v>44342</v>
      </c>
      <c r="B1864">
        <v>138.78999300000001</v>
      </c>
      <c r="C1864">
        <v>138.86000100000001</v>
      </c>
      <c r="D1864">
        <v>137.86999499999999</v>
      </c>
      <c r="E1864">
        <v>138.11999499999999</v>
      </c>
      <c r="F1864">
        <v>128.996567</v>
      </c>
      <c r="G1864">
        <v>8122900</v>
      </c>
      <c r="I1864">
        <f t="shared" si="29"/>
        <v>1.4743564258266983E-5</v>
      </c>
    </row>
    <row r="1865" spans="1:9" x14ac:dyDescent="0.3">
      <c r="A1865" s="5">
        <v>44343</v>
      </c>
      <c r="B1865">
        <v>138.11999499999999</v>
      </c>
      <c r="C1865">
        <v>138.279999</v>
      </c>
      <c r="D1865">
        <v>134.66000399999999</v>
      </c>
      <c r="E1865">
        <v>134.979996</v>
      </c>
      <c r="F1865">
        <v>126.06399500000001</v>
      </c>
      <c r="G1865">
        <v>33095700</v>
      </c>
      <c r="I1865">
        <f t="shared" si="29"/>
        <v>8.8179285484511801E-5</v>
      </c>
    </row>
    <row r="1866" spans="1:9" x14ac:dyDescent="0.3">
      <c r="A1866" s="5">
        <v>44344</v>
      </c>
      <c r="B1866">
        <v>135.14999399999999</v>
      </c>
      <c r="C1866">
        <v>136.13000500000001</v>
      </c>
      <c r="D1866">
        <v>134.63999899999999</v>
      </c>
      <c r="E1866">
        <v>134.85000600000001</v>
      </c>
      <c r="F1866">
        <v>125.94255800000001</v>
      </c>
      <c r="G1866">
        <v>10477100</v>
      </c>
      <c r="I1866">
        <f t="shared" si="29"/>
        <v>7.4149938493884126E-5</v>
      </c>
    </row>
    <row r="1867" spans="1:9" x14ac:dyDescent="0.3">
      <c r="A1867" s="5">
        <v>44348</v>
      </c>
      <c r="B1867">
        <v>135.78999300000001</v>
      </c>
      <c r="C1867">
        <v>136</v>
      </c>
      <c r="D1867">
        <v>132.479996</v>
      </c>
      <c r="E1867">
        <v>132.88000500000001</v>
      </c>
      <c r="F1867">
        <v>124.102707</v>
      </c>
      <c r="G1867">
        <v>9993900</v>
      </c>
      <c r="I1867">
        <f t="shared" si="29"/>
        <v>1.1026523528540466E-4</v>
      </c>
    </row>
    <row r="1868" spans="1:9" x14ac:dyDescent="0.3">
      <c r="A1868" s="5">
        <v>44349</v>
      </c>
      <c r="B1868">
        <v>133</v>
      </c>
      <c r="C1868">
        <v>133.63000500000001</v>
      </c>
      <c r="D1868">
        <v>132.520004</v>
      </c>
      <c r="E1868">
        <v>133.46000699999999</v>
      </c>
      <c r="F1868">
        <v>124.644386</v>
      </c>
      <c r="G1868">
        <v>8254100</v>
      </c>
      <c r="I1868">
        <f t="shared" ref="I1868:I1931" si="30">LN(C1868/B1868)*(LN(C1868/B1868)-LN(E1868/B1868))+LN(D1868/B1868)*(LN(D1868/B1868)-LN(E1868/B1868))</f>
        <v>3.15710540842077E-5</v>
      </c>
    </row>
    <row r="1869" spans="1:9" x14ac:dyDescent="0.3">
      <c r="A1869" s="5">
        <v>44350</v>
      </c>
      <c r="B1869">
        <v>133.229996</v>
      </c>
      <c r="C1869">
        <v>135.91000399999999</v>
      </c>
      <c r="D1869">
        <v>133.199997</v>
      </c>
      <c r="E1869">
        <v>135.85000600000001</v>
      </c>
      <c r="F1869">
        <v>126.87653400000001</v>
      </c>
      <c r="G1869">
        <v>11249800</v>
      </c>
      <c r="I1869">
        <f t="shared" si="30"/>
        <v>1.323014793076081E-5</v>
      </c>
    </row>
    <row r="1870" spans="1:9" x14ac:dyDescent="0.3">
      <c r="A1870" s="5">
        <v>44351</v>
      </c>
      <c r="B1870">
        <v>135.699997</v>
      </c>
      <c r="C1870">
        <v>136.61999499999999</v>
      </c>
      <c r="D1870">
        <v>135.39999399999999</v>
      </c>
      <c r="E1870">
        <v>135.949997</v>
      </c>
      <c r="F1870">
        <v>126.96991</v>
      </c>
      <c r="G1870">
        <v>6894400</v>
      </c>
      <c r="I1870">
        <f t="shared" si="30"/>
        <v>4.2189436064356525E-5</v>
      </c>
    </row>
    <row r="1871" spans="1:9" x14ac:dyDescent="0.3">
      <c r="A1871" s="5">
        <v>44354</v>
      </c>
      <c r="B1871">
        <v>136.36000100000001</v>
      </c>
      <c r="C1871">
        <v>136.83999600000001</v>
      </c>
      <c r="D1871">
        <v>135.679993</v>
      </c>
      <c r="E1871">
        <v>136.41999799999999</v>
      </c>
      <c r="F1871">
        <v>127.40883599999999</v>
      </c>
      <c r="G1871">
        <v>8418000</v>
      </c>
      <c r="I1871">
        <f t="shared" si="30"/>
        <v>3.7994110901628507E-5</v>
      </c>
    </row>
    <row r="1872" spans="1:9" x14ac:dyDescent="0.3">
      <c r="A1872" s="5">
        <v>44355</v>
      </c>
      <c r="B1872">
        <v>136.679993</v>
      </c>
      <c r="C1872">
        <v>136.75</v>
      </c>
      <c r="D1872">
        <v>134.75</v>
      </c>
      <c r="E1872">
        <v>134.83999600000001</v>
      </c>
      <c r="F1872">
        <v>125.933205</v>
      </c>
      <c r="G1872">
        <v>6911500</v>
      </c>
      <c r="I1872">
        <f t="shared" si="30"/>
        <v>1.6697269933026069E-5</v>
      </c>
    </row>
    <row r="1873" spans="1:9" x14ac:dyDescent="0.3">
      <c r="A1873" s="5">
        <v>44356</v>
      </c>
      <c r="B1873">
        <v>135.550003</v>
      </c>
      <c r="C1873">
        <v>136.44000199999999</v>
      </c>
      <c r="D1873">
        <v>134.740005</v>
      </c>
      <c r="E1873">
        <v>134.78999300000001</v>
      </c>
      <c r="F1873">
        <v>125.88651299999999</v>
      </c>
      <c r="G1873">
        <v>6200700</v>
      </c>
      <c r="I1873">
        <f t="shared" si="30"/>
        <v>8.1848657464237749E-5</v>
      </c>
    </row>
    <row r="1874" spans="1:9" x14ac:dyDescent="0.3">
      <c r="A1874" s="5">
        <v>44357</v>
      </c>
      <c r="B1874">
        <v>135.020004</v>
      </c>
      <c r="C1874">
        <v>136.35000600000001</v>
      </c>
      <c r="D1874">
        <v>134.61999499999999</v>
      </c>
      <c r="E1874">
        <v>135.78999300000001</v>
      </c>
      <c r="F1874">
        <v>126.82047300000001</v>
      </c>
      <c r="G1874">
        <v>6515500</v>
      </c>
      <c r="I1874">
        <f t="shared" si="30"/>
        <v>6.6017286772679945E-5</v>
      </c>
    </row>
    <row r="1875" spans="1:9" x14ac:dyDescent="0.3">
      <c r="A1875" s="5">
        <v>44358</v>
      </c>
      <c r="B1875">
        <v>135.75</v>
      </c>
      <c r="C1875">
        <v>135.86999499999999</v>
      </c>
      <c r="D1875">
        <v>133.89999399999999</v>
      </c>
      <c r="E1875">
        <v>134.86000100000001</v>
      </c>
      <c r="F1875">
        <v>125.951897</v>
      </c>
      <c r="G1875">
        <v>10641400</v>
      </c>
      <c r="I1875">
        <f t="shared" si="30"/>
        <v>1.0462066262842046E-4</v>
      </c>
    </row>
    <row r="1876" spans="1:9" x14ac:dyDescent="0.3">
      <c r="A1876" s="5">
        <v>44361</v>
      </c>
      <c r="B1876">
        <v>134.979996</v>
      </c>
      <c r="C1876">
        <v>135.029999</v>
      </c>
      <c r="D1876">
        <v>133.96000699999999</v>
      </c>
      <c r="E1876">
        <v>134.91000399999999</v>
      </c>
      <c r="F1876">
        <v>125.998604</v>
      </c>
      <c r="G1876">
        <v>6302000</v>
      </c>
      <c r="I1876">
        <f t="shared" si="30"/>
        <v>5.3931635449267494E-5</v>
      </c>
    </row>
    <row r="1877" spans="1:9" x14ac:dyDescent="0.3">
      <c r="A1877" s="5">
        <v>44362</v>
      </c>
      <c r="B1877">
        <v>135.199997</v>
      </c>
      <c r="C1877">
        <v>135.63999899999999</v>
      </c>
      <c r="D1877">
        <v>134.550003</v>
      </c>
      <c r="E1877">
        <v>134.64999399999999</v>
      </c>
      <c r="F1877">
        <v>125.75578299999999</v>
      </c>
      <c r="G1877">
        <v>5543400</v>
      </c>
      <c r="I1877">
        <f t="shared" si="30"/>
        <v>2.7381993386681251E-5</v>
      </c>
    </row>
    <row r="1878" spans="1:9" x14ac:dyDescent="0.3">
      <c r="A1878" s="5">
        <v>44363</v>
      </c>
      <c r="B1878">
        <v>135.179993</v>
      </c>
      <c r="C1878">
        <v>135.58000200000001</v>
      </c>
      <c r="D1878">
        <v>132.64999399999999</v>
      </c>
      <c r="E1878">
        <v>132.779999</v>
      </c>
      <c r="F1878">
        <v>124.009315</v>
      </c>
      <c r="G1878">
        <v>8936400</v>
      </c>
      <c r="I1878">
        <f t="shared" si="30"/>
        <v>8.0167136905800465E-5</v>
      </c>
    </row>
    <row r="1879" spans="1:9" x14ac:dyDescent="0.3">
      <c r="A1879" s="5">
        <v>44364</v>
      </c>
      <c r="B1879">
        <v>132.820007</v>
      </c>
      <c r="C1879">
        <v>134.16000399999999</v>
      </c>
      <c r="D1879">
        <v>132.64999399999999</v>
      </c>
      <c r="E1879">
        <v>133.990005</v>
      </c>
      <c r="F1879">
        <v>125.13938899999999</v>
      </c>
      <c r="G1879">
        <v>7875600</v>
      </c>
      <c r="I1879">
        <f t="shared" si="30"/>
        <v>2.5601915165846128E-5</v>
      </c>
    </row>
    <row r="1880" spans="1:9" x14ac:dyDescent="0.3">
      <c r="A1880" s="5">
        <v>44365</v>
      </c>
      <c r="B1880">
        <v>133.33999600000001</v>
      </c>
      <c r="C1880">
        <v>133.35000600000001</v>
      </c>
      <c r="D1880">
        <v>131.94000199999999</v>
      </c>
      <c r="E1880">
        <v>132.029999</v>
      </c>
      <c r="F1880">
        <v>123.308846</v>
      </c>
      <c r="G1880">
        <v>13997600</v>
      </c>
      <c r="I1880">
        <f t="shared" si="30"/>
        <v>7.9439178092623591E-6</v>
      </c>
    </row>
    <row r="1881" spans="1:9" x14ac:dyDescent="0.3">
      <c r="A1881" s="5">
        <v>44368</v>
      </c>
      <c r="B1881">
        <v>132.69000199999999</v>
      </c>
      <c r="C1881">
        <v>133.259995</v>
      </c>
      <c r="D1881">
        <v>132.39999399999999</v>
      </c>
      <c r="E1881">
        <v>133.070007</v>
      </c>
      <c r="F1881">
        <v>124.280128</v>
      </c>
      <c r="G1881">
        <v>8014800</v>
      </c>
      <c r="I1881">
        <f t="shared" si="30"/>
        <v>1.7160047420775367E-5</v>
      </c>
    </row>
    <row r="1882" spans="1:9" x14ac:dyDescent="0.3">
      <c r="A1882" s="5">
        <v>44369</v>
      </c>
      <c r="B1882">
        <v>133.03999300000001</v>
      </c>
      <c r="C1882">
        <v>134.020004</v>
      </c>
      <c r="D1882">
        <v>132.88000500000001</v>
      </c>
      <c r="E1882">
        <v>133.11999499999999</v>
      </c>
      <c r="F1882">
        <v>124.326843</v>
      </c>
      <c r="G1882">
        <v>6550900</v>
      </c>
      <c r="I1882">
        <f t="shared" si="30"/>
        <v>5.1624353328221877E-5</v>
      </c>
    </row>
    <row r="1883" spans="1:9" x14ac:dyDescent="0.3">
      <c r="A1883" s="5">
        <v>44370</v>
      </c>
      <c r="B1883">
        <v>132.949997</v>
      </c>
      <c r="C1883">
        <v>133.36000100000001</v>
      </c>
      <c r="D1883">
        <v>132.320007</v>
      </c>
      <c r="E1883">
        <v>132.929993</v>
      </c>
      <c r="F1883">
        <v>124.149384</v>
      </c>
      <c r="G1883">
        <v>5796000</v>
      </c>
      <c r="I1883">
        <f t="shared" si="30"/>
        <v>3.1790483030795333E-5</v>
      </c>
    </row>
    <row r="1884" spans="1:9" x14ac:dyDescent="0.3">
      <c r="A1884" s="5">
        <v>44371</v>
      </c>
      <c r="B1884">
        <v>132.949997</v>
      </c>
      <c r="C1884">
        <v>133.30999800000001</v>
      </c>
      <c r="D1884">
        <v>132.699997</v>
      </c>
      <c r="E1884">
        <v>133.020004</v>
      </c>
      <c r="F1884">
        <v>124.233459</v>
      </c>
      <c r="G1884">
        <v>6056700</v>
      </c>
      <c r="I1884">
        <f t="shared" si="30"/>
        <v>1.0422222441238471E-5</v>
      </c>
    </row>
    <row r="1885" spans="1:9" x14ac:dyDescent="0.3">
      <c r="A1885" s="5">
        <v>44372</v>
      </c>
      <c r="B1885">
        <v>133.259995</v>
      </c>
      <c r="C1885">
        <v>135.53999300000001</v>
      </c>
      <c r="D1885">
        <v>132.949997</v>
      </c>
      <c r="E1885">
        <v>134.91999799999999</v>
      </c>
      <c r="F1885">
        <v>126.007942</v>
      </c>
      <c r="G1885">
        <v>24504900</v>
      </c>
      <c r="I1885">
        <f t="shared" si="30"/>
        <v>1.1203550864431683E-4</v>
      </c>
    </row>
    <row r="1886" spans="1:9" x14ac:dyDescent="0.3">
      <c r="A1886" s="5">
        <v>44375</v>
      </c>
      <c r="B1886">
        <v>134.89999399999999</v>
      </c>
      <c r="C1886">
        <v>136.16000399999999</v>
      </c>
      <c r="D1886">
        <v>134.759995</v>
      </c>
      <c r="E1886">
        <v>135.320007</v>
      </c>
      <c r="F1886">
        <v>126.38153800000001</v>
      </c>
      <c r="G1886">
        <v>6065400</v>
      </c>
      <c r="I1886">
        <f t="shared" si="30"/>
        <v>6.1838459431295105E-5</v>
      </c>
    </row>
    <row r="1887" spans="1:9" x14ac:dyDescent="0.3">
      <c r="A1887" s="5">
        <v>44376</v>
      </c>
      <c r="B1887">
        <v>135.509995</v>
      </c>
      <c r="C1887">
        <v>135.83000200000001</v>
      </c>
      <c r="D1887">
        <v>133.820007</v>
      </c>
      <c r="E1887">
        <v>134.39999399999999</v>
      </c>
      <c r="F1887">
        <v>125.522301</v>
      </c>
      <c r="G1887">
        <v>5792300</v>
      </c>
      <c r="I1887">
        <f t="shared" si="30"/>
        <v>7.9238102685050678E-5</v>
      </c>
    </row>
    <row r="1888" spans="1:9" x14ac:dyDescent="0.3">
      <c r="A1888" s="5">
        <v>44377</v>
      </c>
      <c r="B1888">
        <v>134.58000200000001</v>
      </c>
      <c r="C1888">
        <v>135.28999300000001</v>
      </c>
      <c r="D1888">
        <v>134.28999300000001</v>
      </c>
      <c r="E1888">
        <v>134.929993</v>
      </c>
      <c r="F1888">
        <v>126.017273</v>
      </c>
      <c r="G1888">
        <v>5776600</v>
      </c>
      <c r="I1888">
        <f t="shared" si="30"/>
        <v>2.4276472606325781E-5</v>
      </c>
    </row>
    <row r="1889" spans="1:9" x14ac:dyDescent="0.3">
      <c r="A1889" s="5">
        <v>44378</v>
      </c>
      <c r="B1889">
        <v>135.429993</v>
      </c>
      <c r="C1889">
        <v>136.13999899999999</v>
      </c>
      <c r="D1889">
        <v>134.91999799999999</v>
      </c>
      <c r="E1889">
        <v>135.240005</v>
      </c>
      <c r="F1889">
        <v>126.306831</v>
      </c>
      <c r="G1889">
        <v>5922300</v>
      </c>
      <c r="I1889">
        <f t="shared" si="30"/>
        <v>4.3620001698500992E-5</v>
      </c>
    </row>
    <row r="1890" spans="1:9" x14ac:dyDescent="0.3">
      <c r="A1890" s="5">
        <v>44379</v>
      </c>
      <c r="B1890">
        <v>135.60000600000001</v>
      </c>
      <c r="C1890">
        <v>136.63999899999999</v>
      </c>
      <c r="D1890">
        <v>135.41999799999999</v>
      </c>
      <c r="E1890">
        <v>135.89999399999999</v>
      </c>
      <c r="F1890">
        <v>126.92321800000001</v>
      </c>
      <c r="G1890">
        <v>5572000</v>
      </c>
      <c r="I1890">
        <f t="shared" si="30"/>
        <v>4.6190347177886486E-5</v>
      </c>
    </row>
    <row r="1891" spans="1:9" x14ac:dyDescent="0.3">
      <c r="A1891" s="5">
        <v>44383</v>
      </c>
      <c r="B1891">
        <v>135.520004</v>
      </c>
      <c r="C1891">
        <v>136.300003</v>
      </c>
      <c r="D1891">
        <v>135.36000100000001</v>
      </c>
      <c r="E1891">
        <v>135.979996</v>
      </c>
      <c r="F1891">
        <v>126.997894</v>
      </c>
      <c r="G1891">
        <v>6534400</v>
      </c>
      <c r="I1891">
        <f t="shared" si="30"/>
        <v>1.8888844690002812E-5</v>
      </c>
    </row>
    <row r="1892" spans="1:9" x14ac:dyDescent="0.3">
      <c r="A1892" s="5">
        <v>44384</v>
      </c>
      <c r="B1892">
        <v>136.029999</v>
      </c>
      <c r="C1892">
        <v>137.58999600000001</v>
      </c>
      <c r="D1892">
        <v>136.029999</v>
      </c>
      <c r="E1892">
        <v>137</v>
      </c>
      <c r="F1892">
        <v>127.95053900000001</v>
      </c>
      <c r="G1892">
        <v>5532700</v>
      </c>
      <c r="I1892">
        <f t="shared" si="30"/>
        <v>4.9001080254211853E-5</v>
      </c>
    </row>
    <row r="1893" spans="1:9" x14ac:dyDescent="0.3">
      <c r="A1893" s="5">
        <v>44385</v>
      </c>
      <c r="B1893">
        <v>136.990005</v>
      </c>
      <c r="C1893">
        <v>137.39999399999999</v>
      </c>
      <c r="D1893">
        <v>135.88999899999999</v>
      </c>
      <c r="E1893">
        <v>136.979996</v>
      </c>
      <c r="F1893">
        <v>127.931877</v>
      </c>
      <c r="G1893">
        <v>7585200</v>
      </c>
      <c r="I1893">
        <f t="shared" si="30"/>
        <v>7.3559324784802288E-5</v>
      </c>
    </row>
    <row r="1894" spans="1:9" x14ac:dyDescent="0.3">
      <c r="A1894" s="5">
        <v>44386</v>
      </c>
      <c r="B1894">
        <v>137.240005</v>
      </c>
      <c r="C1894">
        <v>137.64999399999999</v>
      </c>
      <c r="D1894">
        <v>136.83999600000001</v>
      </c>
      <c r="E1894">
        <v>137.029999</v>
      </c>
      <c r="F1894">
        <v>127.978561</v>
      </c>
      <c r="G1894">
        <v>5948700</v>
      </c>
      <c r="I1894">
        <f t="shared" si="30"/>
        <v>1.7516031180406177E-5</v>
      </c>
    </row>
    <row r="1895" spans="1:9" x14ac:dyDescent="0.3">
      <c r="A1895" s="5">
        <v>44389</v>
      </c>
      <c r="B1895">
        <v>136.89999399999999</v>
      </c>
      <c r="C1895">
        <v>137.470001</v>
      </c>
      <c r="D1895">
        <v>136.429993</v>
      </c>
      <c r="E1895">
        <v>137.13999899999999</v>
      </c>
      <c r="F1895">
        <v>128.081299</v>
      </c>
      <c r="G1895">
        <v>6807300</v>
      </c>
      <c r="I1895">
        <f t="shared" si="30"/>
        <v>2.7837460909136722E-5</v>
      </c>
    </row>
    <row r="1896" spans="1:9" x14ac:dyDescent="0.3">
      <c r="A1896" s="5">
        <v>44390</v>
      </c>
      <c r="B1896">
        <v>136.38999899999999</v>
      </c>
      <c r="C1896">
        <v>137.570007</v>
      </c>
      <c r="D1896">
        <v>136.38999899999999</v>
      </c>
      <c r="E1896">
        <v>136.970001</v>
      </c>
      <c r="F1896">
        <v>127.922516</v>
      </c>
      <c r="G1896">
        <v>5603800</v>
      </c>
      <c r="I1896">
        <f t="shared" si="30"/>
        <v>3.7653998800332033E-5</v>
      </c>
    </row>
    <row r="1897" spans="1:9" x14ac:dyDescent="0.3">
      <c r="A1897" s="5">
        <v>44391</v>
      </c>
      <c r="B1897">
        <v>137.009995</v>
      </c>
      <c r="C1897">
        <v>138.229996</v>
      </c>
      <c r="D1897">
        <v>136.36999499999999</v>
      </c>
      <c r="E1897">
        <v>137.979996</v>
      </c>
      <c r="F1897">
        <v>128.865814</v>
      </c>
      <c r="G1897">
        <v>5903600</v>
      </c>
      <c r="I1897">
        <f t="shared" si="30"/>
        <v>7.1001793796808131E-5</v>
      </c>
    </row>
    <row r="1898" spans="1:9" x14ac:dyDescent="0.3">
      <c r="A1898" s="5">
        <v>44392</v>
      </c>
      <c r="B1898">
        <v>138.009995</v>
      </c>
      <c r="C1898">
        <v>139.259995</v>
      </c>
      <c r="D1898">
        <v>137.699997</v>
      </c>
      <c r="E1898">
        <v>139.16000399999999</v>
      </c>
      <c r="F1898">
        <v>129.96788000000001</v>
      </c>
      <c r="G1898">
        <v>7357100</v>
      </c>
      <c r="I1898">
        <f t="shared" si="30"/>
        <v>3.0193657398317167E-5</v>
      </c>
    </row>
    <row r="1899" spans="1:9" x14ac:dyDescent="0.3">
      <c r="A1899" s="5">
        <v>44393</v>
      </c>
      <c r="B1899">
        <v>139.300003</v>
      </c>
      <c r="C1899">
        <v>140.779999</v>
      </c>
      <c r="D1899">
        <v>139.11000100000001</v>
      </c>
      <c r="E1899">
        <v>140.509995</v>
      </c>
      <c r="F1899">
        <v>131.22869900000001</v>
      </c>
      <c r="G1899">
        <v>9346300</v>
      </c>
      <c r="I1899">
        <f t="shared" si="30"/>
        <v>3.3956586328307268E-5</v>
      </c>
    </row>
    <row r="1900" spans="1:9" x14ac:dyDescent="0.3">
      <c r="A1900" s="5">
        <v>44396</v>
      </c>
      <c r="B1900">
        <v>140.320007</v>
      </c>
      <c r="C1900">
        <v>141.86999499999999</v>
      </c>
      <c r="D1900">
        <v>138.80999800000001</v>
      </c>
      <c r="E1900">
        <v>140.44000199999999</v>
      </c>
      <c r="F1900">
        <v>131.16333</v>
      </c>
      <c r="G1900">
        <v>9544100</v>
      </c>
      <c r="I1900">
        <f t="shared" si="30"/>
        <v>2.3760159244300448E-4</v>
      </c>
    </row>
    <row r="1901" spans="1:9" x14ac:dyDescent="0.3">
      <c r="A1901" s="5">
        <v>44397</v>
      </c>
      <c r="B1901">
        <v>140.44000199999999</v>
      </c>
      <c r="C1901">
        <v>141.979996</v>
      </c>
      <c r="D1901">
        <v>139.63999899999999</v>
      </c>
      <c r="E1901">
        <v>139.69000199999999</v>
      </c>
      <c r="F1901">
        <v>130.46286000000001</v>
      </c>
      <c r="G1901">
        <v>8136300</v>
      </c>
      <c r="I1901">
        <f t="shared" si="30"/>
        <v>1.7937893284870234E-4</v>
      </c>
    </row>
    <row r="1902" spans="1:9" x14ac:dyDescent="0.3">
      <c r="A1902" s="5">
        <v>44398</v>
      </c>
      <c r="B1902">
        <v>139.949997</v>
      </c>
      <c r="C1902">
        <v>140.199997</v>
      </c>
      <c r="D1902">
        <v>138.990005</v>
      </c>
      <c r="E1902">
        <v>139.199997</v>
      </c>
      <c r="F1902">
        <v>130.005234</v>
      </c>
      <c r="G1902">
        <v>6954700</v>
      </c>
      <c r="I1902">
        <f t="shared" si="30"/>
        <v>2.3167245607440283E-5</v>
      </c>
    </row>
    <row r="1903" spans="1:9" x14ac:dyDescent="0.3">
      <c r="A1903" s="5">
        <v>44399</v>
      </c>
      <c r="B1903">
        <v>137.28999300000001</v>
      </c>
      <c r="C1903">
        <v>138.33000200000001</v>
      </c>
      <c r="D1903">
        <v>136.71000699999999</v>
      </c>
      <c r="E1903">
        <v>137.800003</v>
      </c>
      <c r="F1903">
        <v>129.50714099999999</v>
      </c>
      <c r="G1903">
        <v>6013800</v>
      </c>
      <c r="I1903">
        <f t="shared" si="30"/>
        <v>6.2590041146077019E-5</v>
      </c>
    </row>
    <row r="1904" spans="1:9" x14ac:dyDescent="0.3">
      <c r="A1904" s="5">
        <v>44400</v>
      </c>
      <c r="B1904">
        <v>137.479996</v>
      </c>
      <c r="C1904">
        <v>139.979996</v>
      </c>
      <c r="D1904">
        <v>137.08000200000001</v>
      </c>
      <c r="E1904">
        <v>139.78999300000001</v>
      </c>
      <c r="F1904">
        <v>131.37735000000001</v>
      </c>
      <c r="G1904">
        <v>7906000</v>
      </c>
      <c r="I1904">
        <f t="shared" si="30"/>
        <v>8.151808037833577E-5</v>
      </c>
    </row>
    <row r="1905" spans="1:9" x14ac:dyDescent="0.3">
      <c r="A1905" s="5">
        <v>44403</v>
      </c>
      <c r="B1905">
        <v>139.61999499999999</v>
      </c>
      <c r="C1905">
        <v>140.820007</v>
      </c>
      <c r="D1905">
        <v>139.220001</v>
      </c>
      <c r="E1905">
        <v>140.279999</v>
      </c>
      <c r="F1905">
        <v>131.83789100000001</v>
      </c>
      <c r="G1905">
        <v>5925800</v>
      </c>
      <c r="I1905">
        <f t="shared" si="30"/>
        <v>5.4642495437463065E-5</v>
      </c>
    </row>
    <row r="1906" spans="1:9" x14ac:dyDescent="0.3">
      <c r="A1906" s="5">
        <v>44404</v>
      </c>
      <c r="B1906">
        <v>140.14999399999999</v>
      </c>
      <c r="C1906">
        <v>141.61999499999999</v>
      </c>
      <c r="D1906">
        <v>140</v>
      </c>
      <c r="E1906">
        <v>140.85000600000001</v>
      </c>
      <c r="F1906">
        <v>132.37359599999999</v>
      </c>
      <c r="G1906">
        <v>7075400</v>
      </c>
      <c r="I1906">
        <f t="shared" si="30"/>
        <v>6.3367053700729768E-5</v>
      </c>
    </row>
    <row r="1907" spans="1:9" x14ac:dyDescent="0.3">
      <c r="A1907" s="5">
        <v>44405</v>
      </c>
      <c r="B1907">
        <v>140.66999799999999</v>
      </c>
      <c r="C1907">
        <v>140.66999799999999</v>
      </c>
      <c r="D1907">
        <v>138.71000699999999</v>
      </c>
      <c r="E1907">
        <v>138.759995</v>
      </c>
      <c r="F1907">
        <v>130.40933200000001</v>
      </c>
      <c r="G1907">
        <v>8520000</v>
      </c>
      <c r="I1907">
        <f t="shared" si="30"/>
        <v>5.0556337139715774E-6</v>
      </c>
    </row>
    <row r="1908" spans="1:9" x14ac:dyDescent="0.3">
      <c r="A1908" s="5">
        <v>44406</v>
      </c>
      <c r="B1908">
        <v>139.759995</v>
      </c>
      <c r="C1908">
        <v>140.179993</v>
      </c>
      <c r="D1908">
        <v>138.729996</v>
      </c>
      <c r="E1908">
        <v>139.479996</v>
      </c>
      <c r="F1908">
        <v>131.086029</v>
      </c>
      <c r="G1908">
        <v>5430500</v>
      </c>
      <c r="I1908">
        <f t="shared" si="30"/>
        <v>5.4903532806065102E-5</v>
      </c>
    </row>
    <row r="1909" spans="1:9" x14ac:dyDescent="0.3">
      <c r="A1909" s="5">
        <v>44407</v>
      </c>
      <c r="B1909">
        <v>142</v>
      </c>
      <c r="C1909">
        <v>144.53999300000001</v>
      </c>
      <c r="D1909">
        <v>141.550003</v>
      </c>
      <c r="E1909">
        <v>142.229996</v>
      </c>
      <c r="F1909">
        <v>133.670547</v>
      </c>
      <c r="G1909">
        <v>14394300</v>
      </c>
      <c r="I1909">
        <f t="shared" si="30"/>
        <v>3.0084248134658944E-4</v>
      </c>
    </row>
    <row r="1910" spans="1:9" x14ac:dyDescent="0.3">
      <c r="A1910" s="5">
        <v>44410</v>
      </c>
      <c r="B1910">
        <v>141.770004</v>
      </c>
      <c r="C1910">
        <v>142.429993</v>
      </c>
      <c r="D1910">
        <v>140.800003</v>
      </c>
      <c r="E1910">
        <v>141.88000500000001</v>
      </c>
      <c r="F1910">
        <v>133.34161399999999</v>
      </c>
      <c r="G1910">
        <v>7009500</v>
      </c>
      <c r="I1910">
        <f t="shared" si="30"/>
        <v>7.0430801743400702E-5</v>
      </c>
    </row>
    <row r="1911" spans="1:9" x14ac:dyDescent="0.3">
      <c r="A1911" s="5">
        <v>44411</v>
      </c>
      <c r="B1911">
        <v>141.86000100000001</v>
      </c>
      <c r="C1911">
        <v>144.21000699999999</v>
      </c>
      <c r="D1911">
        <v>141.520004</v>
      </c>
      <c r="E1911">
        <v>143.949997</v>
      </c>
      <c r="F1911">
        <v>135.287048</v>
      </c>
      <c r="G1911">
        <v>8455700</v>
      </c>
      <c r="I1911">
        <f t="shared" si="30"/>
        <v>7.050260842992196E-5</v>
      </c>
    </row>
    <row r="1912" spans="1:9" x14ac:dyDescent="0.3">
      <c r="A1912" s="5">
        <v>44412</v>
      </c>
      <c r="B1912">
        <v>143.03999300000001</v>
      </c>
      <c r="C1912">
        <v>144.08999600000001</v>
      </c>
      <c r="D1912">
        <v>142.35000600000001</v>
      </c>
      <c r="E1912">
        <v>142.429993</v>
      </c>
      <c r="F1912">
        <v>133.85848999999999</v>
      </c>
      <c r="G1912">
        <v>6628000</v>
      </c>
      <c r="I1912">
        <f t="shared" si="30"/>
        <v>8.7464906390679744E-5</v>
      </c>
    </row>
    <row r="1913" spans="1:9" x14ac:dyDescent="0.3">
      <c r="A1913" s="5">
        <v>44413</v>
      </c>
      <c r="B1913">
        <v>143.35000600000001</v>
      </c>
      <c r="C1913">
        <v>143.550003</v>
      </c>
      <c r="D1913">
        <v>141.470001</v>
      </c>
      <c r="E1913">
        <v>142.5</v>
      </c>
      <c r="F1913">
        <v>133.924286</v>
      </c>
      <c r="G1913">
        <v>5363300</v>
      </c>
      <c r="I1913">
        <f t="shared" si="30"/>
        <v>1.0600350973287681E-4</v>
      </c>
    </row>
    <row r="1914" spans="1:9" x14ac:dyDescent="0.3">
      <c r="A1914" s="5">
        <v>44414</v>
      </c>
      <c r="B1914">
        <v>143.029999</v>
      </c>
      <c r="C1914">
        <v>143.11999499999999</v>
      </c>
      <c r="D1914">
        <v>141.220001</v>
      </c>
      <c r="E1914">
        <v>141.41000399999999</v>
      </c>
      <c r="F1914">
        <v>132.899857</v>
      </c>
      <c r="G1914">
        <v>6030100</v>
      </c>
      <c r="I1914">
        <f t="shared" si="30"/>
        <v>2.4683905101516E-5</v>
      </c>
    </row>
    <row r="1915" spans="1:9" x14ac:dyDescent="0.3">
      <c r="A1915" s="5">
        <v>44417</v>
      </c>
      <c r="B1915">
        <v>141.949997</v>
      </c>
      <c r="C1915">
        <v>142.58999600000001</v>
      </c>
      <c r="D1915">
        <v>141.699997</v>
      </c>
      <c r="E1915">
        <v>142.179993</v>
      </c>
      <c r="F1915">
        <v>133.62354999999999</v>
      </c>
      <c r="G1915">
        <v>4743800</v>
      </c>
      <c r="I1915">
        <f t="shared" si="30"/>
        <v>1.8914600289206176E-5</v>
      </c>
    </row>
    <row r="1916" spans="1:9" x14ac:dyDescent="0.3">
      <c r="A1916" s="5">
        <v>44418</v>
      </c>
      <c r="B1916">
        <v>141.91000399999999</v>
      </c>
      <c r="C1916">
        <v>142.509995</v>
      </c>
      <c r="D1916">
        <v>141.66000399999999</v>
      </c>
      <c r="E1916">
        <v>142.270004</v>
      </c>
      <c r="F1916">
        <v>133.70811499999999</v>
      </c>
      <c r="G1916">
        <v>5253500</v>
      </c>
      <c r="I1916">
        <f t="shared" si="30"/>
        <v>1.4687334721635558E-5</v>
      </c>
    </row>
    <row r="1917" spans="1:9" x14ac:dyDescent="0.3">
      <c r="A1917" s="5">
        <v>44419</v>
      </c>
      <c r="B1917">
        <v>142.740005</v>
      </c>
      <c r="C1917">
        <v>143.240005</v>
      </c>
      <c r="D1917">
        <v>142.470001</v>
      </c>
      <c r="E1917">
        <v>142.61999499999999</v>
      </c>
      <c r="F1917">
        <v>134.03707900000001</v>
      </c>
      <c r="G1917">
        <v>4205000</v>
      </c>
      <c r="I1917">
        <f t="shared" si="30"/>
        <v>1.7160746759800215E-5</v>
      </c>
    </row>
    <row r="1918" spans="1:9" x14ac:dyDescent="0.3">
      <c r="A1918" s="5">
        <v>44420</v>
      </c>
      <c r="B1918">
        <v>143.14999399999999</v>
      </c>
      <c r="C1918">
        <v>143.14999399999999</v>
      </c>
      <c r="D1918">
        <v>142.35000600000001</v>
      </c>
      <c r="E1918">
        <v>142.949997</v>
      </c>
      <c r="F1918">
        <v>134.34719799999999</v>
      </c>
      <c r="G1918">
        <v>4956100</v>
      </c>
      <c r="I1918">
        <f t="shared" si="30"/>
        <v>2.3571221438926174E-5</v>
      </c>
    </row>
    <row r="1919" spans="1:9" x14ac:dyDescent="0.3">
      <c r="A1919" s="5">
        <v>44421</v>
      </c>
      <c r="B1919">
        <v>142.949997</v>
      </c>
      <c r="C1919">
        <v>143.990005</v>
      </c>
      <c r="D1919">
        <v>142.69000199999999</v>
      </c>
      <c r="E1919">
        <v>143.63999899999999</v>
      </c>
      <c r="F1919">
        <v>134.995667</v>
      </c>
      <c r="G1919">
        <v>4888800</v>
      </c>
      <c r="I1919">
        <f t="shared" si="30"/>
        <v>2.9721939876246576E-5</v>
      </c>
    </row>
    <row r="1920" spans="1:9" x14ac:dyDescent="0.3">
      <c r="A1920" s="5">
        <v>44424</v>
      </c>
      <c r="B1920">
        <v>143.66999799999999</v>
      </c>
      <c r="C1920">
        <v>144.69000199999999</v>
      </c>
      <c r="D1920">
        <v>143.38000500000001</v>
      </c>
      <c r="E1920">
        <v>144.63999899999999</v>
      </c>
      <c r="F1920">
        <v>135.93551600000001</v>
      </c>
      <c r="G1920">
        <v>6040800</v>
      </c>
      <c r="I1920">
        <f t="shared" si="30"/>
        <v>2.0123521474008567E-5</v>
      </c>
    </row>
    <row r="1921" spans="1:9" x14ac:dyDescent="0.3">
      <c r="A1921" s="5">
        <v>44425</v>
      </c>
      <c r="B1921">
        <v>144.39999399999999</v>
      </c>
      <c r="C1921">
        <v>145.60000600000001</v>
      </c>
      <c r="D1921">
        <v>143.88999899999999</v>
      </c>
      <c r="E1921">
        <v>144.88000500000001</v>
      </c>
      <c r="F1921">
        <v>136.16104100000001</v>
      </c>
      <c r="G1921">
        <v>7577000</v>
      </c>
      <c r="I1921">
        <f t="shared" si="30"/>
        <v>6.528644850398578E-5</v>
      </c>
    </row>
    <row r="1922" spans="1:9" x14ac:dyDescent="0.3">
      <c r="A1922" s="5">
        <v>44426</v>
      </c>
      <c r="B1922">
        <v>144.699997</v>
      </c>
      <c r="C1922">
        <v>144.88000500000001</v>
      </c>
      <c r="D1922">
        <v>143.179993</v>
      </c>
      <c r="E1922">
        <v>143.300003</v>
      </c>
      <c r="F1922">
        <v>134.676132</v>
      </c>
      <c r="G1922">
        <v>7162000</v>
      </c>
      <c r="I1922">
        <f t="shared" si="30"/>
        <v>2.2480183122179843E-5</v>
      </c>
    </row>
    <row r="1923" spans="1:9" x14ac:dyDescent="0.3">
      <c r="A1923" s="5">
        <v>44427</v>
      </c>
      <c r="B1923">
        <v>143.16000399999999</v>
      </c>
      <c r="C1923">
        <v>145.279999</v>
      </c>
      <c r="D1923">
        <v>143.16000399999999</v>
      </c>
      <c r="E1923">
        <v>144.990005</v>
      </c>
      <c r="F1923">
        <v>136.26443499999999</v>
      </c>
      <c r="G1923">
        <v>5787200</v>
      </c>
      <c r="I1923">
        <f t="shared" si="30"/>
        <v>2.937204297784541E-5</v>
      </c>
    </row>
    <row r="1924" spans="1:9" x14ac:dyDescent="0.3">
      <c r="A1924" s="5">
        <v>44428</v>
      </c>
      <c r="B1924">
        <v>145.25</v>
      </c>
      <c r="C1924">
        <v>145.979996</v>
      </c>
      <c r="D1924">
        <v>144.779999</v>
      </c>
      <c r="E1924">
        <v>145.08999600000001</v>
      </c>
      <c r="F1924">
        <v>136.358383</v>
      </c>
      <c r="G1924">
        <v>5273800</v>
      </c>
      <c r="I1924">
        <f t="shared" si="30"/>
        <v>3.7589866787508843E-5</v>
      </c>
    </row>
    <row r="1925" spans="1:9" x14ac:dyDescent="0.3">
      <c r="A1925" s="5">
        <v>44431</v>
      </c>
      <c r="B1925">
        <v>144.28999300000001</v>
      </c>
      <c r="C1925">
        <v>145.33999600000001</v>
      </c>
      <c r="D1925">
        <v>144.229996</v>
      </c>
      <c r="E1925">
        <v>144.35000600000001</v>
      </c>
      <c r="F1925">
        <v>135.66296399999999</v>
      </c>
      <c r="G1925">
        <v>4522200</v>
      </c>
      <c r="I1925">
        <f t="shared" si="30"/>
        <v>4.9903241148572004E-5</v>
      </c>
    </row>
    <row r="1926" spans="1:9" x14ac:dyDescent="0.3">
      <c r="A1926" s="5">
        <v>44432</v>
      </c>
      <c r="B1926">
        <v>144.009995</v>
      </c>
      <c r="C1926">
        <v>144.14999399999999</v>
      </c>
      <c r="D1926">
        <v>142.979996</v>
      </c>
      <c r="E1926">
        <v>143.179993</v>
      </c>
      <c r="F1926">
        <v>134.563354</v>
      </c>
      <c r="G1926">
        <v>4560400</v>
      </c>
      <c r="I1926">
        <f t="shared" si="30"/>
        <v>1.6593972626889265E-5</v>
      </c>
    </row>
    <row r="1927" spans="1:9" x14ac:dyDescent="0.3">
      <c r="A1927" s="5">
        <v>44433</v>
      </c>
      <c r="B1927">
        <v>143.070007</v>
      </c>
      <c r="C1927">
        <v>143.13000500000001</v>
      </c>
      <c r="D1927">
        <v>142.25</v>
      </c>
      <c r="E1927">
        <v>142.66999799999999</v>
      </c>
      <c r="F1927">
        <v>134.084045</v>
      </c>
      <c r="G1927">
        <v>3861500</v>
      </c>
      <c r="I1927">
        <f t="shared" si="30"/>
        <v>1.8295829649789716E-5</v>
      </c>
    </row>
    <row r="1928" spans="1:9" x14ac:dyDescent="0.3">
      <c r="A1928" s="5">
        <v>44434</v>
      </c>
      <c r="B1928">
        <v>142.55999800000001</v>
      </c>
      <c r="C1928">
        <v>142.71000699999999</v>
      </c>
      <c r="D1928">
        <v>141.470001</v>
      </c>
      <c r="E1928">
        <v>142.41999799999999</v>
      </c>
      <c r="F1928">
        <v>133.84910600000001</v>
      </c>
      <c r="G1928">
        <v>4749400</v>
      </c>
      <c r="I1928">
        <f t="shared" si="30"/>
        <v>5.3507900684404041E-5</v>
      </c>
    </row>
    <row r="1929" spans="1:9" x14ac:dyDescent="0.3">
      <c r="A1929" s="5">
        <v>44435</v>
      </c>
      <c r="B1929">
        <v>142.479996</v>
      </c>
      <c r="C1929">
        <v>142.770004</v>
      </c>
      <c r="D1929">
        <v>141.63999899999999</v>
      </c>
      <c r="E1929">
        <v>142.30999800000001</v>
      </c>
      <c r="F1929">
        <v>133.74569700000001</v>
      </c>
      <c r="G1929">
        <v>4741200</v>
      </c>
      <c r="I1929">
        <f t="shared" si="30"/>
        <v>3.4466326570132588E-5</v>
      </c>
    </row>
    <row r="1930" spans="1:9" x14ac:dyDescent="0.3">
      <c r="A1930" s="5">
        <v>44438</v>
      </c>
      <c r="B1930">
        <v>142.60000600000001</v>
      </c>
      <c r="C1930">
        <v>142.990005</v>
      </c>
      <c r="D1930">
        <v>142.050003</v>
      </c>
      <c r="E1930">
        <v>142.929993</v>
      </c>
      <c r="F1930">
        <v>134.32841500000001</v>
      </c>
      <c r="G1930">
        <v>3845800</v>
      </c>
      <c r="I1930">
        <f t="shared" si="30"/>
        <v>2.5012472833087002E-5</v>
      </c>
    </row>
    <row r="1931" spans="1:9" x14ac:dyDescent="0.3">
      <c r="A1931" s="5">
        <v>44439</v>
      </c>
      <c r="B1931">
        <v>143.03999300000001</v>
      </c>
      <c r="C1931">
        <v>143.529999</v>
      </c>
      <c r="D1931">
        <v>142.050003</v>
      </c>
      <c r="E1931">
        <v>142.38999899999999</v>
      </c>
      <c r="F1931">
        <v>133.82089199999999</v>
      </c>
      <c r="G1931">
        <v>9642400</v>
      </c>
      <c r="I1931">
        <f t="shared" si="30"/>
        <v>4.3873819605900189E-5</v>
      </c>
    </row>
    <row r="1932" spans="1:9" x14ac:dyDescent="0.3">
      <c r="A1932" s="5">
        <v>44440</v>
      </c>
      <c r="B1932">
        <v>142.33000200000001</v>
      </c>
      <c r="C1932">
        <v>144.19000199999999</v>
      </c>
      <c r="D1932">
        <v>142.229996</v>
      </c>
      <c r="E1932">
        <v>143.83999600000001</v>
      </c>
      <c r="F1932">
        <v>135.18364</v>
      </c>
      <c r="G1932">
        <v>6214200</v>
      </c>
      <c r="I1932">
        <f t="shared" ref="I1932:I1995" si="31">LN(C1932/B1932)*(LN(C1932/B1932)-LN(E1932/B1932))+LN(D1932/B1932)*(LN(D1932/B1932)-LN(E1932/B1932))</f>
        <v>3.9466265963359732E-5</v>
      </c>
    </row>
    <row r="1933" spans="1:9" x14ac:dyDescent="0.3">
      <c r="A1933" s="5">
        <v>44441</v>
      </c>
      <c r="B1933">
        <v>143.970001</v>
      </c>
      <c r="C1933">
        <v>144.729996</v>
      </c>
      <c r="D1933">
        <v>143.58000200000001</v>
      </c>
      <c r="E1933">
        <v>143.949997</v>
      </c>
      <c r="F1933">
        <v>135.287048</v>
      </c>
      <c r="G1933">
        <v>5392500</v>
      </c>
      <c r="I1933">
        <f t="shared" si="31"/>
        <v>3.5432473134407103E-5</v>
      </c>
    </row>
    <row r="1934" spans="1:9" x14ac:dyDescent="0.3">
      <c r="A1934" s="5">
        <v>44442</v>
      </c>
      <c r="B1934">
        <v>143.759995</v>
      </c>
      <c r="C1934">
        <v>144.36999499999999</v>
      </c>
      <c r="D1934">
        <v>143.520004</v>
      </c>
      <c r="E1934">
        <v>144.050003</v>
      </c>
      <c r="F1934">
        <v>135.381012</v>
      </c>
      <c r="G1934">
        <v>5466400</v>
      </c>
      <c r="I1934">
        <f t="shared" si="31"/>
        <v>1.5554008926562161E-5</v>
      </c>
    </row>
    <row r="1935" spans="1:9" x14ac:dyDescent="0.3">
      <c r="A1935" s="5">
        <v>44446</v>
      </c>
      <c r="B1935">
        <v>144.320007</v>
      </c>
      <c r="C1935">
        <v>144.5</v>
      </c>
      <c r="D1935">
        <v>143.28999300000001</v>
      </c>
      <c r="E1935">
        <v>143.509995</v>
      </c>
      <c r="F1935">
        <v>134.87350499999999</v>
      </c>
      <c r="G1935">
        <v>6520600</v>
      </c>
      <c r="I1935">
        <f t="shared" si="31"/>
        <v>1.9557555684450503E-5</v>
      </c>
    </row>
    <row r="1936" spans="1:9" x14ac:dyDescent="0.3">
      <c r="A1936" s="5">
        <v>44447</v>
      </c>
      <c r="B1936">
        <v>143.08000200000001</v>
      </c>
      <c r="C1936">
        <v>144.94000199999999</v>
      </c>
      <c r="D1936">
        <v>143.009995</v>
      </c>
      <c r="E1936">
        <v>144.60000600000001</v>
      </c>
      <c r="F1936">
        <v>135.897919</v>
      </c>
      <c r="G1936">
        <v>6897800</v>
      </c>
      <c r="I1936">
        <f t="shared" si="31"/>
        <v>3.5744717671368516E-5</v>
      </c>
    </row>
    <row r="1937" spans="1:9" x14ac:dyDescent="0.3">
      <c r="A1937" s="5">
        <v>44448</v>
      </c>
      <c r="B1937">
        <v>144.570007</v>
      </c>
      <c r="C1937">
        <v>144.88000500000001</v>
      </c>
      <c r="D1937">
        <v>143.64999399999999</v>
      </c>
      <c r="E1937">
        <v>143.990005</v>
      </c>
      <c r="F1937">
        <v>135.32463100000001</v>
      </c>
      <c r="G1937">
        <v>6354700</v>
      </c>
      <c r="I1937">
        <f t="shared" si="31"/>
        <v>2.8291785881444458E-5</v>
      </c>
    </row>
    <row r="1938" spans="1:9" x14ac:dyDescent="0.3">
      <c r="A1938" s="5">
        <v>44449</v>
      </c>
      <c r="B1938">
        <v>144.05999800000001</v>
      </c>
      <c r="C1938">
        <v>144.46000699999999</v>
      </c>
      <c r="D1938">
        <v>143.320007</v>
      </c>
      <c r="E1938">
        <v>144.13000500000001</v>
      </c>
      <c r="F1938">
        <v>135.45620700000001</v>
      </c>
      <c r="G1938">
        <v>5750000</v>
      </c>
      <c r="I1938">
        <f t="shared" si="31"/>
        <v>3.5365219945620071E-5</v>
      </c>
    </row>
    <row r="1939" spans="1:9" x14ac:dyDescent="0.3">
      <c r="A1939" s="5">
        <v>44452</v>
      </c>
      <c r="B1939">
        <v>144.85000600000001</v>
      </c>
      <c r="C1939">
        <v>147.229996</v>
      </c>
      <c r="D1939">
        <v>144.85000600000001</v>
      </c>
      <c r="E1939">
        <v>145.679993</v>
      </c>
      <c r="F1939">
        <v>136.91288800000001</v>
      </c>
      <c r="G1939">
        <v>9952500</v>
      </c>
      <c r="I1939">
        <f t="shared" si="31"/>
        <v>1.7248261303802473E-4</v>
      </c>
    </row>
    <row r="1940" spans="1:9" x14ac:dyDescent="0.3">
      <c r="A1940" s="5">
        <v>44453</v>
      </c>
      <c r="B1940">
        <v>146.13000500000001</v>
      </c>
      <c r="C1940">
        <v>146.36000100000001</v>
      </c>
      <c r="D1940">
        <v>144.949997</v>
      </c>
      <c r="E1940">
        <v>145.429993</v>
      </c>
      <c r="F1940">
        <v>136.67794799999999</v>
      </c>
      <c r="G1940">
        <v>5831800</v>
      </c>
      <c r="I1940">
        <f t="shared" si="31"/>
        <v>3.6829474335035946E-5</v>
      </c>
    </row>
    <row r="1941" spans="1:9" x14ac:dyDescent="0.3">
      <c r="A1941" s="5">
        <v>44454</v>
      </c>
      <c r="B1941">
        <v>145.35000600000001</v>
      </c>
      <c r="C1941">
        <v>145.770004</v>
      </c>
      <c r="D1941">
        <v>144.740005</v>
      </c>
      <c r="E1941">
        <v>145.11999499999999</v>
      </c>
      <c r="F1941">
        <v>136.38658100000001</v>
      </c>
      <c r="G1941">
        <v>6237100</v>
      </c>
      <c r="I1941">
        <f t="shared" si="31"/>
        <v>2.3921783897379751E-5</v>
      </c>
    </row>
    <row r="1942" spans="1:9" x14ac:dyDescent="0.3">
      <c r="A1942" s="5">
        <v>44455</v>
      </c>
      <c r="B1942">
        <v>144.83999600000001</v>
      </c>
      <c r="C1942">
        <v>145.19000199999999</v>
      </c>
      <c r="D1942">
        <v>142.820007</v>
      </c>
      <c r="E1942">
        <v>144.11000100000001</v>
      </c>
      <c r="F1942">
        <v>135.43742399999999</v>
      </c>
      <c r="G1942">
        <v>6142100</v>
      </c>
      <c r="I1942">
        <f t="shared" si="31"/>
        <v>1.4430551603113656E-4</v>
      </c>
    </row>
    <row r="1943" spans="1:9" x14ac:dyDescent="0.3">
      <c r="A1943" s="5">
        <v>44456</v>
      </c>
      <c r="B1943">
        <v>144.36999499999999</v>
      </c>
      <c r="C1943">
        <v>146.279999</v>
      </c>
      <c r="D1943">
        <v>144.229996</v>
      </c>
      <c r="E1943">
        <v>144.33999600000001</v>
      </c>
      <c r="F1943">
        <v>135.65356399999999</v>
      </c>
      <c r="G1943">
        <v>18737400</v>
      </c>
      <c r="I1943">
        <f t="shared" si="31"/>
        <v>1.7621397462134992E-4</v>
      </c>
    </row>
    <row r="1944" spans="1:9" x14ac:dyDescent="0.3">
      <c r="A1944" s="5">
        <v>44459</v>
      </c>
      <c r="B1944">
        <v>144.220001</v>
      </c>
      <c r="C1944">
        <v>144.85000600000001</v>
      </c>
      <c r="D1944">
        <v>141.970001</v>
      </c>
      <c r="E1944">
        <v>142.88999899999999</v>
      </c>
      <c r="F1944">
        <v>134.29083299999999</v>
      </c>
      <c r="G1944">
        <v>10238700</v>
      </c>
      <c r="I1944">
        <f t="shared" si="31"/>
        <v>1.6095079598626817E-4</v>
      </c>
    </row>
    <row r="1945" spans="1:9" x14ac:dyDescent="0.3">
      <c r="A1945" s="5">
        <v>44460</v>
      </c>
      <c r="B1945">
        <v>142.979996</v>
      </c>
      <c r="C1945">
        <v>144.529999</v>
      </c>
      <c r="D1945">
        <v>142.88000500000001</v>
      </c>
      <c r="E1945">
        <v>143.11000100000001</v>
      </c>
      <c r="F1945">
        <v>134.49757399999999</v>
      </c>
      <c r="G1945">
        <v>6651300</v>
      </c>
      <c r="I1945">
        <f t="shared" si="31"/>
        <v>1.07585049694612E-4</v>
      </c>
    </row>
    <row r="1946" spans="1:9" x14ac:dyDescent="0.3">
      <c r="A1946" s="5">
        <v>44461</v>
      </c>
      <c r="B1946">
        <v>143.820007</v>
      </c>
      <c r="C1946">
        <v>144.35000600000001</v>
      </c>
      <c r="D1946">
        <v>142.86000100000001</v>
      </c>
      <c r="E1946">
        <v>143.60000600000001</v>
      </c>
      <c r="F1946">
        <v>134.95808400000001</v>
      </c>
      <c r="G1946">
        <v>6332500</v>
      </c>
      <c r="I1946">
        <f t="shared" si="31"/>
        <v>5.3764288438900642E-5</v>
      </c>
    </row>
    <row r="1947" spans="1:9" x14ac:dyDescent="0.3">
      <c r="A1947" s="5">
        <v>44462</v>
      </c>
      <c r="B1947">
        <v>144.05999800000001</v>
      </c>
      <c r="C1947">
        <v>144.69000199999999</v>
      </c>
      <c r="D1947">
        <v>143.490005</v>
      </c>
      <c r="E1947">
        <v>144.19000199999999</v>
      </c>
      <c r="F1947">
        <v>135.51258899999999</v>
      </c>
      <c r="G1947">
        <v>5171200</v>
      </c>
      <c r="I1947">
        <f t="shared" si="31"/>
        <v>3.4398685518437349E-5</v>
      </c>
    </row>
    <row r="1948" spans="1:9" x14ac:dyDescent="0.3">
      <c r="A1948" s="5">
        <v>44463</v>
      </c>
      <c r="B1948">
        <v>143.800003</v>
      </c>
      <c r="C1948">
        <v>144.449997</v>
      </c>
      <c r="D1948">
        <v>143.08999600000001</v>
      </c>
      <c r="E1948">
        <v>143.550003</v>
      </c>
      <c r="F1948">
        <v>134.911102</v>
      </c>
      <c r="G1948">
        <v>5009400</v>
      </c>
      <c r="I1948">
        <f t="shared" si="31"/>
        <v>4.4073817499243907E-5</v>
      </c>
    </row>
    <row r="1949" spans="1:9" x14ac:dyDescent="0.3">
      <c r="A1949" s="5">
        <v>44466</v>
      </c>
      <c r="B1949">
        <v>143.14999399999999</v>
      </c>
      <c r="C1949">
        <v>143.16999799999999</v>
      </c>
      <c r="D1949">
        <v>141.520004</v>
      </c>
      <c r="E1949">
        <v>141.66000399999999</v>
      </c>
      <c r="F1949">
        <v>133.13485700000001</v>
      </c>
      <c r="G1949">
        <v>5749700</v>
      </c>
      <c r="I1949">
        <f t="shared" si="31"/>
        <v>1.2804869873980996E-5</v>
      </c>
    </row>
    <row r="1950" spans="1:9" x14ac:dyDescent="0.3">
      <c r="A1950" s="5">
        <v>44467</v>
      </c>
      <c r="B1950">
        <v>141.050003</v>
      </c>
      <c r="C1950">
        <v>141.36999499999999</v>
      </c>
      <c r="D1950">
        <v>139.55999800000001</v>
      </c>
      <c r="E1950">
        <v>140.58999600000001</v>
      </c>
      <c r="F1950">
        <v>132.12922699999999</v>
      </c>
      <c r="G1950">
        <v>7015300</v>
      </c>
      <c r="I1950">
        <f t="shared" si="31"/>
        <v>9.0627687582109912E-5</v>
      </c>
    </row>
    <row r="1951" spans="1:9" x14ac:dyDescent="0.3">
      <c r="A1951" s="5">
        <v>44468</v>
      </c>
      <c r="B1951">
        <v>140.270004</v>
      </c>
      <c r="C1951">
        <v>142.679993</v>
      </c>
      <c r="D1951">
        <v>140.179993</v>
      </c>
      <c r="E1951">
        <v>142.020004</v>
      </c>
      <c r="F1951">
        <v>133.47316000000001</v>
      </c>
      <c r="G1951">
        <v>5460000</v>
      </c>
      <c r="I1951">
        <f t="shared" si="31"/>
        <v>8.7352443241448888E-5</v>
      </c>
    </row>
    <row r="1952" spans="1:9" x14ac:dyDescent="0.3">
      <c r="A1952" s="5">
        <v>44469</v>
      </c>
      <c r="B1952">
        <v>142.63999899999999</v>
      </c>
      <c r="C1952">
        <v>142.740005</v>
      </c>
      <c r="D1952">
        <v>139.529999</v>
      </c>
      <c r="E1952">
        <v>139.800003</v>
      </c>
      <c r="F1952">
        <v>131.386765</v>
      </c>
      <c r="G1952">
        <v>6934900</v>
      </c>
      <c r="I1952">
        <f t="shared" si="31"/>
        <v>5.7203030849550902E-5</v>
      </c>
    </row>
    <row r="1953" spans="1:9" x14ac:dyDescent="0.3">
      <c r="A1953" s="5">
        <v>44470</v>
      </c>
      <c r="B1953">
        <v>139.929993</v>
      </c>
      <c r="C1953">
        <v>140.229996</v>
      </c>
      <c r="D1953">
        <v>138.320007</v>
      </c>
      <c r="E1953">
        <v>139.58000200000001</v>
      </c>
      <c r="F1953">
        <v>131.18000799999999</v>
      </c>
      <c r="G1953">
        <v>5587200</v>
      </c>
      <c r="I1953">
        <f t="shared" si="31"/>
        <v>1.1488861542013232E-4</v>
      </c>
    </row>
    <row r="1954" spans="1:9" x14ac:dyDescent="0.3">
      <c r="A1954" s="5">
        <v>44473</v>
      </c>
      <c r="B1954">
        <v>139.38999899999999</v>
      </c>
      <c r="C1954">
        <v>140.39999399999999</v>
      </c>
      <c r="D1954">
        <v>137.60000600000001</v>
      </c>
      <c r="E1954">
        <v>138.78999300000001</v>
      </c>
      <c r="F1954">
        <v>130.437546</v>
      </c>
      <c r="G1954">
        <v>5816000</v>
      </c>
      <c r="I1954">
        <f t="shared" si="31"/>
        <v>1.9456341629353185E-4</v>
      </c>
    </row>
    <row r="1955" spans="1:9" x14ac:dyDescent="0.3">
      <c r="A1955" s="5">
        <v>44474</v>
      </c>
      <c r="B1955">
        <v>138.800003</v>
      </c>
      <c r="C1955">
        <v>140.520004</v>
      </c>
      <c r="D1955">
        <v>138.720001</v>
      </c>
      <c r="E1955">
        <v>139.33000200000001</v>
      </c>
      <c r="F1955">
        <v>130.945053</v>
      </c>
      <c r="G1955">
        <v>6902700</v>
      </c>
      <c r="I1955">
        <f t="shared" si="31"/>
        <v>1.0727083268429767E-4</v>
      </c>
    </row>
    <row r="1956" spans="1:9" x14ac:dyDescent="0.3">
      <c r="A1956" s="5">
        <v>44475</v>
      </c>
      <c r="B1956">
        <v>138.990005</v>
      </c>
      <c r="C1956">
        <v>141.259995</v>
      </c>
      <c r="D1956">
        <v>138.61999499999999</v>
      </c>
      <c r="E1956">
        <v>141.19000199999999</v>
      </c>
      <c r="F1956">
        <v>132.69309999999999</v>
      </c>
      <c r="G1956">
        <v>5332900</v>
      </c>
      <c r="I1956">
        <f t="shared" si="31"/>
        <v>5.6998063383394154E-5</v>
      </c>
    </row>
    <row r="1957" spans="1:9" x14ac:dyDescent="0.3">
      <c r="A1957" s="5">
        <v>44476</v>
      </c>
      <c r="B1957">
        <v>141.75</v>
      </c>
      <c r="C1957">
        <v>143.029999</v>
      </c>
      <c r="D1957">
        <v>141.75</v>
      </c>
      <c r="E1957">
        <v>142.320007</v>
      </c>
      <c r="F1957">
        <v>133.75512699999999</v>
      </c>
      <c r="G1957">
        <v>5334600</v>
      </c>
      <c r="I1957">
        <f t="shared" si="31"/>
        <v>4.4734184804929093E-5</v>
      </c>
    </row>
    <row r="1958" spans="1:9" x14ac:dyDescent="0.3">
      <c r="A1958" s="5">
        <v>44477</v>
      </c>
      <c r="B1958">
        <v>142.28999300000001</v>
      </c>
      <c r="C1958">
        <v>142.61999499999999</v>
      </c>
      <c r="D1958">
        <v>141.03999300000001</v>
      </c>
      <c r="E1958">
        <v>141.729996</v>
      </c>
      <c r="F1958">
        <v>133.200638</v>
      </c>
      <c r="G1958">
        <v>6131800</v>
      </c>
      <c r="I1958">
        <f t="shared" si="31"/>
        <v>5.7563752686991244E-5</v>
      </c>
    </row>
    <row r="1959" spans="1:9" x14ac:dyDescent="0.3">
      <c r="A1959" s="5">
        <v>44480</v>
      </c>
      <c r="B1959">
        <v>142.36999499999999</v>
      </c>
      <c r="C1959">
        <v>142.770004</v>
      </c>
      <c r="D1959">
        <v>141.770004</v>
      </c>
      <c r="E1959">
        <v>142.320007</v>
      </c>
      <c r="F1959">
        <v>133.75512699999999</v>
      </c>
      <c r="G1959">
        <v>5995600</v>
      </c>
      <c r="I1959">
        <f t="shared" si="31"/>
        <v>2.5209712478601313E-5</v>
      </c>
    </row>
    <row r="1960" spans="1:9" x14ac:dyDescent="0.3">
      <c r="A1960" s="5">
        <v>44481</v>
      </c>
      <c r="B1960">
        <v>142.60000600000001</v>
      </c>
      <c r="C1960">
        <v>143.03999300000001</v>
      </c>
      <c r="D1960">
        <v>141.699997</v>
      </c>
      <c r="E1960">
        <v>142.11000100000001</v>
      </c>
      <c r="F1960">
        <v>133.557785</v>
      </c>
      <c r="G1960">
        <v>6734800</v>
      </c>
      <c r="I1960">
        <f t="shared" si="31"/>
        <v>3.8388327935077482E-5</v>
      </c>
    </row>
    <row r="1961" spans="1:9" x14ac:dyDescent="0.3">
      <c r="A1961" s="5">
        <v>44482</v>
      </c>
      <c r="B1961">
        <v>142.39999399999999</v>
      </c>
      <c r="C1961">
        <v>142.759995</v>
      </c>
      <c r="D1961">
        <v>141.029999</v>
      </c>
      <c r="E1961">
        <v>142.44000199999999</v>
      </c>
      <c r="F1961">
        <v>133.867874</v>
      </c>
      <c r="G1961">
        <v>5689800</v>
      </c>
      <c r="I1961">
        <f t="shared" si="31"/>
        <v>1.0183884611937726E-4</v>
      </c>
    </row>
    <row r="1962" spans="1:9" x14ac:dyDescent="0.3">
      <c r="A1962" s="5">
        <v>44483</v>
      </c>
      <c r="B1962">
        <v>142.83000200000001</v>
      </c>
      <c r="C1962">
        <v>144.30999800000001</v>
      </c>
      <c r="D1962">
        <v>142.80999800000001</v>
      </c>
      <c r="E1962">
        <v>144.050003</v>
      </c>
      <c r="F1962">
        <v>135.381012</v>
      </c>
      <c r="G1962">
        <v>6777800</v>
      </c>
      <c r="I1962">
        <f t="shared" si="31"/>
        <v>1.9800119186795958E-5</v>
      </c>
    </row>
    <row r="1963" spans="1:9" x14ac:dyDescent="0.3">
      <c r="A1963" s="5">
        <v>44484</v>
      </c>
      <c r="B1963">
        <v>144.520004</v>
      </c>
      <c r="C1963">
        <v>144.86999499999999</v>
      </c>
      <c r="D1963">
        <v>143.679993</v>
      </c>
      <c r="E1963">
        <v>144.41999799999999</v>
      </c>
      <c r="F1963">
        <v>135.72872899999999</v>
      </c>
      <c r="G1963">
        <v>6923700</v>
      </c>
      <c r="I1963">
        <f t="shared" si="31"/>
        <v>3.7471460270550562E-5</v>
      </c>
    </row>
    <row r="1964" spans="1:9" x14ac:dyDescent="0.3">
      <c r="A1964" s="5">
        <v>44487</v>
      </c>
      <c r="B1964">
        <v>143.550003</v>
      </c>
      <c r="C1964">
        <v>143.699997</v>
      </c>
      <c r="D1964">
        <v>142.10000600000001</v>
      </c>
      <c r="E1964">
        <v>142.33999600000001</v>
      </c>
      <c r="F1964">
        <v>133.773911</v>
      </c>
      <c r="G1964">
        <v>9119000</v>
      </c>
      <c r="I1964">
        <f t="shared" si="31"/>
        <v>2.7062571817034362E-5</v>
      </c>
    </row>
    <row r="1965" spans="1:9" x14ac:dyDescent="0.3">
      <c r="A1965" s="5">
        <v>44488</v>
      </c>
      <c r="B1965">
        <v>139.08000200000001</v>
      </c>
      <c r="C1965">
        <v>140.820007</v>
      </c>
      <c r="D1965">
        <v>138.800003</v>
      </c>
      <c r="E1965">
        <v>140.66000399999999</v>
      </c>
      <c r="F1965">
        <v>132.19502299999999</v>
      </c>
      <c r="G1965">
        <v>9555300</v>
      </c>
      <c r="I1965">
        <f t="shared" si="31"/>
        <v>4.0961139335268376E-5</v>
      </c>
    </row>
    <row r="1966" spans="1:9" x14ac:dyDescent="0.3">
      <c r="A1966" s="5">
        <v>44489</v>
      </c>
      <c r="B1966">
        <v>140.14999399999999</v>
      </c>
      <c r="C1966">
        <v>141.96000699999999</v>
      </c>
      <c r="D1966">
        <v>139.85000600000001</v>
      </c>
      <c r="E1966">
        <v>141.21000699999999</v>
      </c>
      <c r="F1966">
        <v>132.711929</v>
      </c>
      <c r="G1966">
        <v>7352700</v>
      </c>
      <c r="I1966">
        <f t="shared" si="31"/>
        <v>8.8711385201447452E-5</v>
      </c>
    </row>
    <row r="1967" spans="1:9" x14ac:dyDescent="0.3">
      <c r="A1967" s="5">
        <v>44490</v>
      </c>
      <c r="B1967">
        <v>140.86000100000001</v>
      </c>
      <c r="C1967">
        <v>141.16000399999999</v>
      </c>
      <c r="D1967">
        <v>139.179993</v>
      </c>
      <c r="E1967">
        <v>139.33000200000001</v>
      </c>
      <c r="F1967">
        <v>131.75680500000001</v>
      </c>
      <c r="G1967">
        <v>6545500</v>
      </c>
      <c r="I1967">
        <f t="shared" si="31"/>
        <v>4.0686782113687999E-5</v>
      </c>
    </row>
    <row r="1968" spans="1:9" x14ac:dyDescent="0.3">
      <c r="A1968" s="5">
        <v>44491</v>
      </c>
      <c r="B1968">
        <v>139.38999899999999</v>
      </c>
      <c r="C1968">
        <v>141.009995</v>
      </c>
      <c r="D1968">
        <v>139.320007</v>
      </c>
      <c r="E1968">
        <v>140.83000200000001</v>
      </c>
      <c r="F1968">
        <v>133.17529300000001</v>
      </c>
      <c r="G1968">
        <v>5265000</v>
      </c>
      <c r="I1968">
        <f t="shared" si="31"/>
        <v>2.0173226472958105E-5</v>
      </c>
    </row>
    <row r="1969" spans="1:9" x14ac:dyDescent="0.3">
      <c r="A1969" s="5">
        <v>44494</v>
      </c>
      <c r="B1969">
        <v>140.41000399999999</v>
      </c>
      <c r="C1969">
        <v>140.91999799999999</v>
      </c>
      <c r="D1969">
        <v>139.050003</v>
      </c>
      <c r="E1969">
        <v>140.85000600000001</v>
      </c>
      <c r="F1969">
        <v>133.194199</v>
      </c>
      <c r="G1969">
        <v>5382100</v>
      </c>
      <c r="I1969">
        <f t="shared" si="31"/>
        <v>1.269882203786683E-4</v>
      </c>
    </row>
    <row r="1970" spans="1:9" x14ac:dyDescent="0.3">
      <c r="A1970" s="5">
        <v>44495</v>
      </c>
      <c r="B1970">
        <v>141.61999499999999</v>
      </c>
      <c r="C1970">
        <v>143.179993</v>
      </c>
      <c r="D1970">
        <v>141.240005</v>
      </c>
      <c r="E1970">
        <v>142.85000600000001</v>
      </c>
      <c r="F1970">
        <v>135.08547999999999</v>
      </c>
      <c r="G1970">
        <v>6234900</v>
      </c>
      <c r="I1970">
        <f t="shared" si="31"/>
        <v>5.573087922002099E-5</v>
      </c>
    </row>
    <row r="1971" spans="1:9" x14ac:dyDescent="0.3">
      <c r="A1971" s="5">
        <v>44496</v>
      </c>
      <c r="B1971">
        <v>143.13999899999999</v>
      </c>
      <c r="C1971">
        <v>143.679993</v>
      </c>
      <c r="D1971">
        <v>141.69000199999999</v>
      </c>
      <c r="E1971">
        <v>141.83000200000001</v>
      </c>
      <c r="F1971">
        <v>134.12091100000001</v>
      </c>
      <c r="G1971">
        <v>9643500</v>
      </c>
      <c r="I1971">
        <f t="shared" si="31"/>
        <v>5.8852314585427706E-5</v>
      </c>
    </row>
    <row r="1972" spans="1:9" x14ac:dyDescent="0.3">
      <c r="A1972" s="5">
        <v>44497</v>
      </c>
      <c r="B1972">
        <v>141.88999899999999</v>
      </c>
      <c r="C1972">
        <v>142.88000500000001</v>
      </c>
      <c r="D1972">
        <v>141.71000699999999</v>
      </c>
      <c r="E1972">
        <v>142.679993</v>
      </c>
      <c r="F1972">
        <v>134.92472799999999</v>
      </c>
      <c r="G1972">
        <v>4538500</v>
      </c>
      <c r="I1972">
        <f t="shared" si="31"/>
        <v>1.8398957498215049E-5</v>
      </c>
    </row>
    <row r="1973" spans="1:9" x14ac:dyDescent="0.3">
      <c r="A1973" s="5">
        <v>44498</v>
      </c>
      <c r="B1973">
        <v>142.16000399999999</v>
      </c>
      <c r="C1973">
        <v>143.479996</v>
      </c>
      <c r="D1973">
        <v>142.020004</v>
      </c>
      <c r="E1973">
        <v>142.990005</v>
      </c>
      <c r="F1973">
        <v>135.217896</v>
      </c>
      <c r="G1973">
        <v>6239500</v>
      </c>
      <c r="I1973">
        <f t="shared" si="31"/>
        <v>3.8323987532213636E-5</v>
      </c>
    </row>
    <row r="1974" spans="1:9" x14ac:dyDescent="0.3">
      <c r="A1974" s="5">
        <v>44501</v>
      </c>
      <c r="B1974">
        <v>143.36000100000001</v>
      </c>
      <c r="C1974">
        <v>143.800003</v>
      </c>
      <c r="D1974">
        <v>142.490005</v>
      </c>
      <c r="E1974">
        <v>142.63999899999999</v>
      </c>
      <c r="F1974">
        <v>134.886887</v>
      </c>
      <c r="G1974">
        <v>5038900</v>
      </c>
      <c r="I1974">
        <f t="shared" si="31"/>
        <v>3.1225293003077049E-5</v>
      </c>
    </row>
    <row r="1975" spans="1:9" x14ac:dyDescent="0.3">
      <c r="A1975" s="5">
        <v>44502</v>
      </c>
      <c r="B1975">
        <v>142.720001</v>
      </c>
      <c r="C1975">
        <v>144.58000200000001</v>
      </c>
      <c r="D1975">
        <v>142.279999</v>
      </c>
      <c r="E1975">
        <v>144.05999800000001</v>
      </c>
      <c r="F1975">
        <v>136.22972100000001</v>
      </c>
      <c r="G1975">
        <v>9954300</v>
      </c>
      <c r="I1975">
        <f t="shared" si="31"/>
        <v>8.5044164831593857E-5</v>
      </c>
    </row>
    <row r="1976" spans="1:9" x14ac:dyDescent="0.3">
      <c r="A1976" s="5">
        <v>44503</v>
      </c>
      <c r="B1976">
        <v>144.13000500000001</v>
      </c>
      <c r="C1976">
        <v>145.11000100000001</v>
      </c>
      <c r="D1976">
        <v>143.520004</v>
      </c>
      <c r="E1976">
        <v>145.050003</v>
      </c>
      <c r="F1976">
        <v>137.165909</v>
      </c>
      <c r="G1976">
        <v>7620100</v>
      </c>
      <c r="I1976">
        <f t="shared" si="31"/>
        <v>4.7777342665460778E-5</v>
      </c>
    </row>
    <row r="1977" spans="1:9" x14ac:dyDescent="0.3">
      <c r="A1977" s="5">
        <v>44504</v>
      </c>
      <c r="B1977">
        <v>142.83999600000001</v>
      </c>
      <c r="C1977">
        <v>145.38999899999999</v>
      </c>
      <c r="D1977">
        <v>142.33999600000001</v>
      </c>
      <c r="E1977">
        <v>145.320007</v>
      </c>
      <c r="F1977">
        <v>137.421234</v>
      </c>
      <c r="G1977">
        <v>6402500</v>
      </c>
      <c r="I1977">
        <f t="shared" si="31"/>
        <v>8.1175392534978759E-5</v>
      </c>
    </row>
    <row r="1978" spans="1:9" x14ac:dyDescent="0.3">
      <c r="A1978" s="5">
        <v>44505</v>
      </c>
      <c r="B1978">
        <v>145.44000199999999</v>
      </c>
      <c r="C1978">
        <v>146.36999499999999</v>
      </c>
      <c r="D1978">
        <v>144.800003</v>
      </c>
      <c r="E1978">
        <v>146.03999300000001</v>
      </c>
      <c r="F1978">
        <v>138.10206600000001</v>
      </c>
      <c r="G1978">
        <v>6062700</v>
      </c>
      <c r="I1978">
        <f t="shared" si="31"/>
        <v>5.1992173620255915E-5</v>
      </c>
    </row>
    <row r="1979" spans="1:9" x14ac:dyDescent="0.3">
      <c r="A1979" s="5">
        <v>44508</v>
      </c>
      <c r="B1979">
        <v>145.5</v>
      </c>
      <c r="C1979">
        <v>146.10000600000001</v>
      </c>
      <c r="D1979">
        <v>144.020004</v>
      </c>
      <c r="E1979">
        <v>144.949997</v>
      </c>
      <c r="F1979">
        <v>137.071335</v>
      </c>
      <c r="G1979">
        <v>5854400</v>
      </c>
      <c r="I1979">
        <f t="shared" si="31"/>
        <v>9.8328363243230753E-5</v>
      </c>
    </row>
    <row r="1980" spans="1:9" x14ac:dyDescent="0.3">
      <c r="A1980" s="5">
        <v>44509</v>
      </c>
      <c r="B1980">
        <v>145.029999</v>
      </c>
      <c r="C1980">
        <v>145.83000200000001</v>
      </c>
      <c r="D1980">
        <v>144.58000200000001</v>
      </c>
      <c r="E1980">
        <v>145.38999899999999</v>
      </c>
      <c r="F1980">
        <v>137.48741100000001</v>
      </c>
      <c r="G1980">
        <v>4873100</v>
      </c>
      <c r="I1980">
        <f t="shared" si="31"/>
        <v>3.398429799500708E-5</v>
      </c>
    </row>
    <row r="1981" spans="1:9" x14ac:dyDescent="0.3">
      <c r="A1981" s="5">
        <v>44510</v>
      </c>
      <c r="B1981">
        <v>145.740005</v>
      </c>
      <c r="C1981">
        <v>147.30999800000001</v>
      </c>
      <c r="D1981">
        <v>145.58999600000001</v>
      </c>
      <c r="E1981">
        <v>146.820007</v>
      </c>
      <c r="F1981">
        <v>138.83972199999999</v>
      </c>
      <c r="G1981">
        <v>7334900</v>
      </c>
      <c r="I1981">
        <f t="shared" si="31"/>
        <v>4.4363950482002771E-5</v>
      </c>
    </row>
    <row r="1982" spans="1:9" x14ac:dyDescent="0.3">
      <c r="A1982" s="5">
        <v>44511</v>
      </c>
      <c r="B1982">
        <v>146.86000100000001</v>
      </c>
      <c r="C1982">
        <v>146.970001</v>
      </c>
      <c r="D1982">
        <v>146.21000699999999</v>
      </c>
      <c r="E1982">
        <v>146.39999399999999</v>
      </c>
      <c r="F1982">
        <v>138.44253499999999</v>
      </c>
      <c r="G1982">
        <v>4096300</v>
      </c>
      <c r="I1982">
        <f t="shared" si="31"/>
        <v>8.6696672241462333E-6</v>
      </c>
    </row>
    <row r="1983" spans="1:9" x14ac:dyDescent="0.3">
      <c r="A1983" s="5">
        <v>44512</v>
      </c>
      <c r="B1983">
        <v>146.740005</v>
      </c>
      <c r="C1983">
        <v>147.08000200000001</v>
      </c>
      <c r="D1983">
        <v>145.979996</v>
      </c>
      <c r="E1983">
        <v>146.55999800000001</v>
      </c>
      <c r="F1983">
        <v>138.59382600000001</v>
      </c>
      <c r="G1983">
        <v>5687400</v>
      </c>
      <c r="I1983">
        <f t="shared" si="31"/>
        <v>2.8787575785903867E-5</v>
      </c>
    </row>
    <row r="1984" spans="1:9" x14ac:dyDescent="0.3">
      <c r="A1984" s="5">
        <v>44515</v>
      </c>
      <c r="B1984">
        <v>147.029999</v>
      </c>
      <c r="C1984">
        <v>147.75</v>
      </c>
      <c r="D1984">
        <v>146.470001</v>
      </c>
      <c r="E1984">
        <v>147.39999399999999</v>
      </c>
      <c r="F1984">
        <v>139.38815299999999</v>
      </c>
      <c r="G1984">
        <v>5510200</v>
      </c>
      <c r="I1984">
        <f t="shared" si="31"/>
        <v>3.5738524602597991E-5</v>
      </c>
    </row>
    <row r="1985" spans="1:9" x14ac:dyDescent="0.3">
      <c r="A1985" s="5">
        <v>44516</v>
      </c>
      <c r="B1985">
        <v>147.38999899999999</v>
      </c>
      <c r="C1985">
        <v>148.58999600000001</v>
      </c>
      <c r="D1985">
        <v>147.009995</v>
      </c>
      <c r="E1985">
        <v>147.19000199999999</v>
      </c>
      <c r="F1985">
        <v>139.189606</v>
      </c>
      <c r="G1985">
        <v>7603900</v>
      </c>
      <c r="I1985">
        <f t="shared" si="31"/>
        <v>7.9920085602306284E-5</v>
      </c>
    </row>
    <row r="1986" spans="1:9" x14ac:dyDescent="0.3">
      <c r="A1986" s="5">
        <v>44517</v>
      </c>
      <c r="B1986">
        <v>146.970001</v>
      </c>
      <c r="C1986">
        <v>147.779999</v>
      </c>
      <c r="D1986">
        <v>146.41999799999999</v>
      </c>
      <c r="E1986">
        <v>147.10000600000001</v>
      </c>
      <c r="F1986">
        <v>139.104477</v>
      </c>
      <c r="G1986">
        <v>4900200</v>
      </c>
      <c r="I1986">
        <f t="shared" si="31"/>
        <v>4.272073329666924E-5</v>
      </c>
    </row>
    <row r="1987" spans="1:9" x14ac:dyDescent="0.3">
      <c r="A1987" s="5">
        <v>44518</v>
      </c>
      <c r="B1987">
        <v>147.03999300000001</v>
      </c>
      <c r="C1987">
        <v>148.08000200000001</v>
      </c>
      <c r="D1987">
        <v>146.509995</v>
      </c>
      <c r="E1987">
        <v>147.11999499999999</v>
      </c>
      <c r="F1987">
        <v>139.123367</v>
      </c>
      <c r="G1987">
        <v>5509300</v>
      </c>
      <c r="I1987">
        <f t="shared" si="31"/>
        <v>6.0844764807833989E-5</v>
      </c>
    </row>
    <row r="1988" spans="1:9" x14ac:dyDescent="0.3">
      <c r="A1988" s="5">
        <v>44519</v>
      </c>
      <c r="B1988">
        <v>147.949997</v>
      </c>
      <c r="C1988">
        <v>148.229996</v>
      </c>
      <c r="D1988">
        <v>146.78999300000001</v>
      </c>
      <c r="E1988">
        <v>146.820007</v>
      </c>
      <c r="F1988">
        <v>138.83972199999999</v>
      </c>
      <c r="G1988">
        <v>6274300</v>
      </c>
      <c r="I1988">
        <f t="shared" si="31"/>
        <v>1.9680382651045708E-5</v>
      </c>
    </row>
    <row r="1989" spans="1:9" x14ac:dyDescent="0.3">
      <c r="A1989" s="5">
        <v>44522</v>
      </c>
      <c r="B1989">
        <v>146.970001</v>
      </c>
      <c r="C1989">
        <v>148.94000199999999</v>
      </c>
      <c r="D1989">
        <v>146.83000200000001</v>
      </c>
      <c r="E1989">
        <v>147.800003</v>
      </c>
      <c r="F1989">
        <v>139.766434</v>
      </c>
      <c r="G1989">
        <v>6625400</v>
      </c>
      <c r="I1989">
        <f t="shared" si="31"/>
        <v>1.0858184913959431E-4</v>
      </c>
    </row>
    <row r="1990" spans="1:9" x14ac:dyDescent="0.3">
      <c r="A1990" s="5">
        <v>44523</v>
      </c>
      <c r="B1990">
        <v>147.83000200000001</v>
      </c>
      <c r="C1990">
        <v>149.5</v>
      </c>
      <c r="D1990">
        <v>147.66999799999999</v>
      </c>
      <c r="E1990">
        <v>149.44000199999999</v>
      </c>
      <c r="F1990">
        <v>141.31729100000001</v>
      </c>
      <c r="G1990">
        <v>7912800</v>
      </c>
      <c r="I1990">
        <f t="shared" si="31"/>
        <v>1.741229116416075E-5</v>
      </c>
    </row>
    <row r="1991" spans="1:9" x14ac:dyDescent="0.3">
      <c r="A1991" s="5">
        <v>44524</v>
      </c>
      <c r="B1991">
        <v>148.770004</v>
      </c>
      <c r="C1991">
        <v>148.88000500000001</v>
      </c>
      <c r="D1991">
        <v>147.679993</v>
      </c>
      <c r="E1991">
        <v>148.66000399999999</v>
      </c>
      <c r="F1991">
        <v>140.57969700000001</v>
      </c>
      <c r="G1991">
        <v>5665200</v>
      </c>
      <c r="I1991">
        <f t="shared" si="31"/>
        <v>4.9731913365328325E-5</v>
      </c>
    </row>
    <row r="1992" spans="1:9" x14ac:dyDescent="0.3">
      <c r="A1992" s="5">
        <v>44526</v>
      </c>
      <c r="B1992">
        <v>148.58000200000001</v>
      </c>
      <c r="C1992">
        <v>149.720001</v>
      </c>
      <c r="D1992">
        <v>147.30999800000001</v>
      </c>
      <c r="E1992">
        <v>147.470001</v>
      </c>
      <c r="F1992">
        <v>139.454376</v>
      </c>
      <c r="G1992">
        <v>6299800</v>
      </c>
      <c r="I1992">
        <f t="shared" si="31"/>
        <v>1.2505535558718665E-4</v>
      </c>
    </row>
    <row r="1993" spans="1:9" x14ac:dyDescent="0.3">
      <c r="A1993" s="5">
        <v>44529</v>
      </c>
      <c r="B1993">
        <v>147.78999300000001</v>
      </c>
      <c r="C1993">
        <v>149.66000399999999</v>
      </c>
      <c r="D1993">
        <v>146.78999300000001</v>
      </c>
      <c r="E1993">
        <v>149.020004</v>
      </c>
      <c r="F1993">
        <v>140.92012</v>
      </c>
      <c r="G1993">
        <v>7113300</v>
      </c>
      <c r="I1993">
        <f t="shared" si="31"/>
        <v>1.5625250665108164E-4</v>
      </c>
    </row>
    <row r="1994" spans="1:9" x14ac:dyDescent="0.3">
      <c r="A1994" s="5">
        <v>44530</v>
      </c>
      <c r="B1994">
        <v>147.80999800000001</v>
      </c>
      <c r="C1994">
        <v>148.53999300000001</v>
      </c>
      <c r="D1994">
        <v>144.11999499999999</v>
      </c>
      <c r="E1994">
        <v>144.58000200000001</v>
      </c>
      <c r="F1994">
        <v>136.72146599999999</v>
      </c>
      <c r="G1994">
        <v>11696400</v>
      </c>
      <c r="I1994">
        <f t="shared" si="31"/>
        <v>2.1368787065313897E-4</v>
      </c>
    </row>
    <row r="1995" spans="1:9" x14ac:dyDescent="0.3">
      <c r="A1995" s="5">
        <v>44531</v>
      </c>
      <c r="B1995">
        <v>144.85000600000001</v>
      </c>
      <c r="C1995">
        <v>147.86999499999999</v>
      </c>
      <c r="D1995">
        <v>144.85000600000001</v>
      </c>
      <c r="E1995">
        <v>146.39999399999999</v>
      </c>
      <c r="F1995">
        <v>138.44253499999999</v>
      </c>
      <c r="G1995">
        <v>8313500</v>
      </c>
      <c r="I1995">
        <f t="shared" si="31"/>
        <v>2.0615963358826172E-4</v>
      </c>
    </row>
    <row r="1996" spans="1:9" x14ac:dyDescent="0.3">
      <c r="A1996" s="5">
        <v>44532</v>
      </c>
      <c r="B1996">
        <v>147.009995</v>
      </c>
      <c r="C1996">
        <v>148.46000699999999</v>
      </c>
      <c r="D1996">
        <v>146.94000199999999</v>
      </c>
      <c r="E1996">
        <v>147.259995</v>
      </c>
      <c r="F1996">
        <v>139.25576799999999</v>
      </c>
      <c r="G1996">
        <v>9468800</v>
      </c>
      <c r="I1996">
        <f t="shared" ref="I1996:I2059" si="32">LN(C1996/B1996)*(LN(C1996/B1996)-LN(E1996/B1996))+LN(D1996/B1996)*(LN(D1996/B1996)-LN(E1996/B1996))</f>
        <v>8.0693868848806874E-5</v>
      </c>
    </row>
    <row r="1997" spans="1:9" x14ac:dyDescent="0.3">
      <c r="A1997" s="5">
        <v>44533</v>
      </c>
      <c r="B1997">
        <v>148.020004</v>
      </c>
      <c r="C1997">
        <v>150</v>
      </c>
      <c r="D1997">
        <v>147.66000399999999</v>
      </c>
      <c r="E1997">
        <v>149.88000500000001</v>
      </c>
      <c r="F1997">
        <v>141.733383</v>
      </c>
      <c r="G1997">
        <v>11200800</v>
      </c>
      <c r="I1997">
        <f t="shared" si="32"/>
        <v>4.6971735307672154E-5</v>
      </c>
    </row>
    <row r="1998" spans="1:9" x14ac:dyDescent="0.3">
      <c r="A1998" s="5">
        <v>44536</v>
      </c>
      <c r="B1998">
        <v>150.19000199999999</v>
      </c>
      <c r="C1998">
        <v>152.38999899999999</v>
      </c>
      <c r="D1998">
        <v>150.19000199999999</v>
      </c>
      <c r="E1998">
        <v>152.14999399999999</v>
      </c>
      <c r="F1998">
        <v>143.87998999999999</v>
      </c>
      <c r="G1998">
        <v>11935100</v>
      </c>
      <c r="I1998">
        <f t="shared" si="32"/>
        <v>2.2920577667113496E-5</v>
      </c>
    </row>
    <row r="1999" spans="1:9" x14ac:dyDescent="0.3">
      <c r="A1999" s="5">
        <v>44537</v>
      </c>
      <c r="B1999">
        <v>151.949997</v>
      </c>
      <c r="C1999">
        <v>152.58000200000001</v>
      </c>
      <c r="D1999">
        <v>151.270004</v>
      </c>
      <c r="E1999">
        <v>151.75</v>
      </c>
      <c r="F1999">
        <v>143.501724</v>
      </c>
      <c r="G1999">
        <v>7913400</v>
      </c>
      <c r="I1999">
        <f t="shared" si="32"/>
        <v>3.6778221225381946E-5</v>
      </c>
    </row>
    <row r="2000" spans="1:9" x14ac:dyDescent="0.3">
      <c r="A2000" s="5">
        <v>44538</v>
      </c>
      <c r="B2000">
        <v>151.66999799999999</v>
      </c>
      <c r="C2000">
        <v>152.66000399999999</v>
      </c>
      <c r="D2000">
        <v>150.279999</v>
      </c>
      <c r="E2000">
        <v>152.429993</v>
      </c>
      <c r="F2000">
        <v>144.14477500000001</v>
      </c>
      <c r="G2000">
        <v>8329300</v>
      </c>
      <c r="I2000">
        <f t="shared" si="32"/>
        <v>1.4059585731387162E-4</v>
      </c>
    </row>
    <row r="2001" spans="1:9" x14ac:dyDescent="0.3">
      <c r="A2001" s="5">
        <v>44539</v>
      </c>
      <c r="B2001">
        <v>152.30999800000001</v>
      </c>
      <c r="C2001">
        <v>154.19000199999999</v>
      </c>
      <c r="D2001">
        <v>151.60000600000001</v>
      </c>
      <c r="E2001">
        <v>153.320007</v>
      </c>
      <c r="F2001">
        <v>144.98642000000001</v>
      </c>
      <c r="G2001">
        <v>8334300</v>
      </c>
      <c r="I2001">
        <f t="shared" si="32"/>
        <v>1.2212771478950474E-4</v>
      </c>
    </row>
    <row r="2002" spans="1:9" x14ac:dyDescent="0.3">
      <c r="A2002" s="5">
        <v>44540</v>
      </c>
      <c r="B2002">
        <v>153.85000600000001</v>
      </c>
      <c r="C2002">
        <v>155.800003</v>
      </c>
      <c r="D2002">
        <v>153.429993</v>
      </c>
      <c r="E2002">
        <v>155.46000699999999</v>
      </c>
      <c r="F2002">
        <v>147.01010099999999</v>
      </c>
      <c r="G2002">
        <v>7172300</v>
      </c>
      <c r="I2002">
        <f t="shared" si="32"/>
        <v>6.344833925546757E-5</v>
      </c>
    </row>
    <row r="2003" spans="1:9" x14ac:dyDescent="0.3">
      <c r="A2003" s="5">
        <v>44543</v>
      </c>
      <c r="B2003">
        <v>155.300003</v>
      </c>
      <c r="C2003">
        <v>158.33000200000001</v>
      </c>
      <c r="D2003">
        <v>154.91000399999999</v>
      </c>
      <c r="E2003">
        <v>157.66999799999999</v>
      </c>
      <c r="F2003">
        <v>149.09994499999999</v>
      </c>
      <c r="G2003">
        <v>8944000</v>
      </c>
      <c r="I2003">
        <f t="shared" si="32"/>
        <v>1.2512020396091057E-4</v>
      </c>
    </row>
    <row r="2004" spans="1:9" x14ac:dyDescent="0.3">
      <c r="A2004" s="5">
        <v>44544</v>
      </c>
      <c r="B2004">
        <v>157.89999399999999</v>
      </c>
      <c r="C2004">
        <v>158.63000500000001</v>
      </c>
      <c r="D2004">
        <v>156.66000399999999</v>
      </c>
      <c r="E2004">
        <v>158.25</v>
      </c>
      <c r="F2004">
        <v>149.648438</v>
      </c>
      <c r="G2004">
        <v>8677500</v>
      </c>
      <c r="I2004">
        <f t="shared" si="32"/>
        <v>9.0677062702480902E-5</v>
      </c>
    </row>
    <row r="2005" spans="1:9" x14ac:dyDescent="0.3">
      <c r="A2005" s="5">
        <v>44545</v>
      </c>
      <c r="B2005">
        <v>157.63999899999999</v>
      </c>
      <c r="C2005">
        <v>159.63999899999999</v>
      </c>
      <c r="D2005">
        <v>157.63999899999999</v>
      </c>
      <c r="E2005">
        <v>158.86000100000001</v>
      </c>
      <c r="F2005">
        <v>150.22524999999999</v>
      </c>
      <c r="G2005">
        <v>9152600</v>
      </c>
      <c r="I2005">
        <f t="shared" si="32"/>
        <v>6.1750142746641611E-5</v>
      </c>
    </row>
    <row r="2006" spans="1:9" x14ac:dyDescent="0.3">
      <c r="A2006" s="5">
        <v>44546</v>
      </c>
      <c r="B2006">
        <v>158.729996</v>
      </c>
      <c r="C2006">
        <v>161.320007</v>
      </c>
      <c r="D2006">
        <v>158.41999799999999</v>
      </c>
      <c r="E2006">
        <v>161.11000100000001</v>
      </c>
      <c r="F2006">
        <v>152.352982</v>
      </c>
      <c r="G2006">
        <v>10852900</v>
      </c>
      <c r="I2006">
        <f t="shared" si="32"/>
        <v>5.3999729857176319E-5</v>
      </c>
    </row>
    <row r="2007" spans="1:9" x14ac:dyDescent="0.3">
      <c r="A2007" s="5">
        <v>44547</v>
      </c>
      <c r="B2007">
        <v>160.66000399999999</v>
      </c>
      <c r="C2007">
        <v>161.720001</v>
      </c>
      <c r="D2007">
        <v>157.30999800000001</v>
      </c>
      <c r="E2007">
        <v>157.46000699999999</v>
      </c>
      <c r="F2007">
        <v>148.90136699999999</v>
      </c>
      <c r="G2007">
        <v>24349400</v>
      </c>
      <c r="I2007">
        <f t="shared" si="32"/>
        <v>1.9563295700088847E-4</v>
      </c>
    </row>
    <row r="2008" spans="1:9" x14ac:dyDescent="0.3">
      <c r="A2008" s="5">
        <v>44550</v>
      </c>
      <c r="B2008">
        <v>156.60000600000001</v>
      </c>
      <c r="C2008">
        <v>158.46000699999999</v>
      </c>
      <c r="D2008">
        <v>156.570007</v>
      </c>
      <c r="E2008">
        <v>157.86000100000001</v>
      </c>
      <c r="F2008">
        <v>149.279617</v>
      </c>
      <c r="G2008">
        <v>9202600</v>
      </c>
      <c r="I2008">
        <f t="shared" si="32"/>
        <v>4.6365436903526121E-5</v>
      </c>
    </row>
    <row r="2009" spans="1:9" x14ac:dyDescent="0.3">
      <c r="A2009" s="5">
        <v>44551</v>
      </c>
      <c r="B2009">
        <v>157.64999399999999</v>
      </c>
      <c r="C2009">
        <v>158.14999399999999</v>
      </c>
      <c r="D2009">
        <v>156.78999300000001</v>
      </c>
      <c r="E2009">
        <v>157.759995</v>
      </c>
      <c r="F2009">
        <v>149.18502799999999</v>
      </c>
      <c r="G2009">
        <v>6946000</v>
      </c>
      <c r="I2009">
        <f t="shared" si="32"/>
        <v>4.1555423289371901E-5</v>
      </c>
    </row>
    <row r="2010" spans="1:9" x14ac:dyDescent="0.3">
      <c r="A2010" s="5">
        <v>44552</v>
      </c>
      <c r="B2010">
        <v>157.770004</v>
      </c>
      <c r="C2010">
        <v>159.58000200000001</v>
      </c>
      <c r="D2010">
        <v>157.270004</v>
      </c>
      <c r="E2010">
        <v>159.320007</v>
      </c>
      <c r="F2010">
        <v>150.660248</v>
      </c>
      <c r="G2010">
        <v>6626300</v>
      </c>
      <c r="I2010">
        <f t="shared" si="32"/>
        <v>5.970823867202584E-5</v>
      </c>
    </row>
    <row r="2011" spans="1:9" x14ac:dyDescent="0.3">
      <c r="A2011" s="5">
        <v>44553</v>
      </c>
      <c r="B2011">
        <v>159.5</v>
      </c>
      <c r="C2011">
        <v>160.91999799999999</v>
      </c>
      <c r="D2011">
        <v>159.44000199999999</v>
      </c>
      <c r="E2011">
        <v>160.10000600000001</v>
      </c>
      <c r="F2011">
        <v>151.397873</v>
      </c>
      <c r="G2011">
        <v>5640900</v>
      </c>
      <c r="I2011">
        <f t="shared" si="32"/>
        <v>4.6834522832612259E-5</v>
      </c>
    </row>
    <row r="2012" spans="1:9" x14ac:dyDescent="0.3">
      <c r="A2012" s="5">
        <v>44557</v>
      </c>
      <c r="B2012">
        <v>160.66999799999999</v>
      </c>
      <c r="C2012">
        <v>161.990005</v>
      </c>
      <c r="D2012">
        <v>160.61000100000001</v>
      </c>
      <c r="E2012">
        <v>161.970001</v>
      </c>
      <c r="F2012">
        <v>153.166245</v>
      </c>
      <c r="G2012">
        <v>4548600</v>
      </c>
      <c r="I2012">
        <f t="shared" si="32"/>
        <v>4.1597295252370706E-6</v>
      </c>
    </row>
    <row r="2013" spans="1:9" x14ac:dyDescent="0.3">
      <c r="A2013" s="5">
        <v>44558</v>
      </c>
      <c r="B2013">
        <v>161.96000699999999</v>
      </c>
      <c r="C2013">
        <v>163.38000500000001</v>
      </c>
      <c r="D2013">
        <v>161.94000199999999</v>
      </c>
      <c r="E2013">
        <v>162.83999600000001</v>
      </c>
      <c r="F2013">
        <v>153.98895300000001</v>
      </c>
      <c r="G2013">
        <v>5929400</v>
      </c>
      <c r="I2013">
        <f t="shared" si="32"/>
        <v>2.9585000701701594E-5</v>
      </c>
    </row>
    <row r="2014" spans="1:9" x14ac:dyDescent="0.3">
      <c r="A2014" s="5">
        <v>44559</v>
      </c>
      <c r="B2014">
        <v>163.21000699999999</v>
      </c>
      <c r="C2014">
        <v>164.979996</v>
      </c>
      <c r="D2014">
        <v>163.08000200000001</v>
      </c>
      <c r="E2014">
        <v>164.19000199999999</v>
      </c>
      <c r="F2014">
        <v>155.26556400000001</v>
      </c>
      <c r="G2014">
        <v>5346100</v>
      </c>
      <c r="I2014">
        <f t="shared" si="32"/>
        <v>5.7179734311777876E-5</v>
      </c>
    </row>
    <row r="2015" spans="1:9" x14ac:dyDescent="0.3">
      <c r="A2015" s="5">
        <v>44560</v>
      </c>
      <c r="B2015">
        <v>164.39999399999999</v>
      </c>
      <c r="C2015">
        <v>164.58999600000001</v>
      </c>
      <c r="D2015">
        <v>162.61000100000001</v>
      </c>
      <c r="E2015">
        <v>162.770004</v>
      </c>
      <c r="F2015">
        <v>153.92276000000001</v>
      </c>
      <c r="G2015">
        <v>5911500</v>
      </c>
      <c r="I2015">
        <f t="shared" si="32"/>
        <v>2.3610445273832962E-5</v>
      </c>
    </row>
    <row r="2016" spans="1:9" x14ac:dyDescent="0.3">
      <c r="A2016" s="5">
        <v>44561</v>
      </c>
      <c r="B2016">
        <v>162.86000100000001</v>
      </c>
      <c r="C2016">
        <v>163.729996</v>
      </c>
      <c r="D2016">
        <v>162.46000699999999</v>
      </c>
      <c r="E2016">
        <v>163.58000200000001</v>
      </c>
      <c r="F2016">
        <v>154.688751</v>
      </c>
      <c r="G2016">
        <v>5327000</v>
      </c>
      <c r="I2016">
        <f t="shared" si="32"/>
        <v>2.1777705388405955E-5</v>
      </c>
    </row>
    <row r="2017" spans="1:9" x14ac:dyDescent="0.3">
      <c r="A2017" s="5">
        <v>44564</v>
      </c>
      <c r="B2017">
        <v>161.69000199999999</v>
      </c>
      <c r="C2017">
        <v>162.94000199999999</v>
      </c>
      <c r="D2017">
        <v>159.88000500000001</v>
      </c>
      <c r="E2017">
        <v>162.89999399999999</v>
      </c>
      <c r="F2017">
        <v>154.04568499999999</v>
      </c>
      <c r="G2017">
        <v>9317300</v>
      </c>
      <c r="I2017">
        <f t="shared" si="32"/>
        <v>2.1254932407164623E-4</v>
      </c>
    </row>
    <row r="2018" spans="1:9" x14ac:dyDescent="0.3">
      <c r="A2018" s="5">
        <v>44565</v>
      </c>
      <c r="B2018">
        <v>162.28999300000001</v>
      </c>
      <c r="C2018">
        <v>164.38999899999999</v>
      </c>
      <c r="D2018">
        <v>162.179993</v>
      </c>
      <c r="E2018">
        <v>163.470001</v>
      </c>
      <c r="F2018">
        <v>154.58470199999999</v>
      </c>
      <c r="G2018">
        <v>9253800</v>
      </c>
      <c r="I2018">
        <f t="shared" si="32"/>
        <v>7.7526347104599379E-5</v>
      </c>
    </row>
    <row r="2019" spans="1:9" x14ac:dyDescent="0.3">
      <c r="A2019" s="5">
        <v>44566</v>
      </c>
      <c r="B2019">
        <v>163.44000199999999</v>
      </c>
      <c r="C2019">
        <v>165.320007</v>
      </c>
      <c r="D2019">
        <v>163.39999399999999</v>
      </c>
      <c r="E2019">
        <v>164.21000699999999</v>
      </c>
      <c r="F2019">
        <v>155.28448499999999</v>
      </c>
      <c r="G2019">
        <v>9330200</v>
      </c>
      <c r="I2019">
        <f t="shared" si="32"/>
        <v>7.8260928678286791E-5</v>
      </c>
    </row>
    <row r="2020" spans="1:9" x14ac:dyDescent="0.3">
      <c r="A2020" s="5">
        <v>44567</v>
      </c>
      <c r="B2020">
        <v>164.33999600000001</v>
      </c>
      <c r="C2020">
        <v>165.199997</v>
      </c>
      <c r="D2020">
        <v>162.61000100000001</v>
      </c>
      <c r="E2020">
        <v>162.83000200000001</v>
      </c>
      <c r="F2020">
        <v>153.979477</v>
      </c>
      <c r="G2020">
        <v>7556000</v>
      </c>
      <c r="I2020">
        <f t="shared" si="32"/>
        <v>8.9729243126688237E-5</v>
      </c>
    </row>
    <row r="2021" spans="1:9" x14ac:dyDescent="0.3">
      <c r="A2021" s="5">
        <v>44568</v>
      </c>
      <c r="B2021">
        <v>163.13000500000001</v>
      </c>
      <c r="C2021">
        <v>163.529999</v>
      </c>
      <c r="D2021">
        <v>161.949997</v>
      </c>
      <c r="E2021">
        <v>162.740005</v>
      </c>
      <c r="F2021">
        <v>153.89437899999999</v>
      </c>
      <c r="G2021">
        <v>6098500</v>
      </c>
      <c r="I2021">
        <f t="shared" si="32"/>
        <v>4.7187547555747753E-5</v>
      </c>
    </row>
    <row r="2022" spans="1:9" x14ac:dyDescent="0.3">
      <c r="A2022" s="5">
        <v>44571</v>
      </c>
      <c r="B2022">
        <v>162.509995</v>
      </c>
      <c r="C2022">
        <v>163.11999499999999</v>
      </c>
      <c r="D2022">
        <v>160.16999799999999</v>
      </c>
      <c r="E2022">
        <v>160.520004</v>
      </c>
      <c r="F2022">
        <v>151.79504399999999</v>
      </c>
      <c r="G2022">
        <v>8055000</v>
      </c>
      <c r="I2022">
        <f t="shared" si="32"/>
        <v>9.1857683536625465E-5</v>
      </c>
    </row>
    <row r="2023" spans="1:9" x14ac:dyDescent="0.3">
      <c r="A2023" s="5">
        <v>44572</v>
      </c>
      <c r="B2023">
        <v>160.220001</v>
      </c>
      <c r="C2023">
        <v>160.220001</v>
      </c>
      <c r="D2023">
        <v>156.91000399999999</v>
      </c>
      <c r="E2023">
        <v>158.66000399999999</v>
      </c>
      <c r="F2023">
        <v>150.03611799999999</v>
      </c>
      <c r="G2023">
        <v>11957900</v>
      </c>
      <c r="I2023">
        <f t="shared" si="32"/>
        <v>2.3153295153102997E-4</v>
      </c>
    </row>
    <row r="2024" spans="1:9" x14ac:dyDescent="0.3">
      <c r="A2024" s="5">
        <v>44573</v>
      </c>
      <c r="B2024">
        <v>158.259995</v>
      </c>
      <c r="C2024">
        <v>159.36000100000001</v>
      </c>
      <c r="D2024">
        <v>157.83000200000001</v>
      </c>
      <c r="E2024">
        <v>159.009995</v>
      </c>
      <c r="F2024">
        <v>150.36711099999999</v>
      </c>
      <c r="G2024">
        <v>7127500</v>
      </c>
      <c r="I2024">
        <f t="shared" si="32"/>
        <v>3.5495006649024516E-5</v>
      </c>
    </row>
    <row r="2025" spans="1:9" x14ac:dyDescent="0.3">
      <c r="A2025" s="5">
        <v>44574</v>
      </c>
      <c r="B2025">
        <v>159.30999800000001</v>
      </c>
      <c r="C2025">
        <v>159.449997</v>
      </c>
      <c r="D2025">
        <v>157.779999</v>
      </c>
      <c r="E2025">
        <v>158.28999300000001</v>
      </c>
      <c r="F2025">
        <v>149.686249</v>
      </c>
      <c r="G2025">
        <v>6551000</v>
      </c>
      <c r="I2025">
        <f t="shared" si="32"/>
        <v>3.7556278280805738E-5</v>
      </c>
    </row>
    <row r="2026" spans="1:9" x14ac:dyDescent="0.3">
      <c r="A2026" s="5">
        <v>44575</v>
      </c>
      <c r="B2026">
        <v>158.070007</v>
      </c>
      <c r="C2026">
        <v>160.490005</v>
      </c>
      <c r="D2026">
        <v>157.55999800000001</v>
      </c>
      <c r="E2026">
        <v>159.80999800000001</v>
      </c>
      <c r="F2026">
        <v>151.123627</v>
      </c>
      <c r="G2026">
        <v>10708000</v>
      </c>
      <c r="I2026">
        <f t="shared" si="32"/>
        <v>1.1033632500101169E-4</v>
      </c>
    </row>
    <row r="2027" spans="1:9" x14ac:dyDescent="0.3">
      <c r="A2027" s="5">
        <v>44579</v>
      </c>
      <c r="B2027">
        <v>158.529999</v>
      </c>
      <c r="C2027">
        <v>158.529999</v>
      </c>
      <c r="D2027">
        <v>156.03999300000001</v>
      </c>
      <c r="E2027">
        <v>156.729996</v>
      </c>
      <c r="F2027">
        <v>148.21104399999999</v>
      </c>
      <c r="G2027">
        <v>10988400</v>
      </c>
      <c r="I2027">
        <f t="shared" si="32"/>
        <v>6.985198836847412E-5</v>
      </c>
    </row>
    <row r="2028" spans="1:9" x14ac:dyDescent="0.3">
      <c r="A2028" s="5">
        <v>44580</v>
      </c>
      <c r="B2028">
        <v>157.61000100000001</v>
      </c>
      <c r="C2028">
        <v>164.19000199999999</v>
      </c>
      <c r="D2028">
        <v>156.970001</v>
      </c>
      <c r="E2028">
        <v>162</v>
      </c>
      <c r="F2028">
        <v>153.19461100000001</v>
      </c>
      <c r="G2028">
        <v>14088300</v>
      </c>
      <c r="I2028">
        <f t="shared" si="32"/>
        <v>6.7755347227131603E-4</v>
      </c>
    </row>
    <row r="2029" spans="1:9" x14ac:dyDescent="0.3">
      <c r="A2029" s="5">
        <v>44581</v>
      </c>
      <c r="B2029">
        <v>160.11999499999999</v>
      </c>
      <c r="C2029">
        <v>164.33000200000001</v>
      </c>
      <c r="D2029">
        <v>160.11999499999999</v>
      </c>
      <c r="E2029">
        <v>162</v>
      </c>
      <c r="F2029">
        <v>154.02177399999999</v>
      </c>
      <c r="G2029">
        <v>10799100</v>
      </c>
      <c r="I2029">
        <f t="shared" si="32"/>
        <v>3.7061763583119082E-4</v>
      </c>
    </row>
    <row r="2030" spans="1:9" x14ac:dyDescent="0.3">
      <c r="A2030" s="5">
        <v>44582</v>
      </c>
      <c r="B2030">
        <v>163</v>
      </c>
      <c r="C2030">
        <v>165.35000600000001</v>
      </c>
      <c r="D2030">
        <v>162.10000600000001</v>
      </c>
      <c r="E2030">
        <v>162.61999499999999</v>
      </c>
      <c r="F2030">
        <v>154.61123699999999</v>
      </c>
      <c r="G2030">
        <v>10900400</v>
      </c>
      <c r="I2030">
        <f t="shared" si="32"/>
        <v>2.560410370752065E-4</v>
      </c>
    </row>
    <row r="2031" spans="1:9" x14ac:dyDescent="0.3">
      <c r="A2031" s="5">
        <v>44585</v>
      </c>
      <c r="B2031">
        <v>163.429993</v>
      </c>
      <c r="C2031">
        <v>164.11999499999999</v>
      </c>
      <c r="D2031">
        <v>158.720001</v>
      </c>
      <c r="E2031">
        <v>161.300003</v>
      </c>
      <c r="F2031">
        <v>153.356247</v>
      </c>
      <c r="G2031">
        <v>14838100</v>
      </c>
      <c r="I2031">
        <f t="shared" si="32"/>
        <v>5.4454665441946255E-4</v>
      </c>
    </row>
    <row r="2032" spans="1:9" x14ac:dyDescent="0.3">
      <c r="A2032" s="5">
        <v>44586</v>
      </c>
      <c r="B2032">
        <v>160.449997</v>
      </c>
      <c r="C2032">
        <v>161.300003</v>
      </c>
      <c r="D2032">
        <v>157.88999899999999</v>
      </c>
      <c r="E2032">
        <v>159.53999300000001</v>
      </c>
      <c r="F2032">
        <v>151.68289200000001</v>
      </c>
      <c r="G2032">
        <v>9369600</v>
      </c>
      <c r="I2032">
        <f t="shared" si="32"/>
        <v>2.2517657902874723E-4</v>
      </c>
    </row>
    <row r="2033" spans="1:9" x14ac:dyDescent="0.3">
      <c r="A2033" s="5">
        <v>44587</v>
      </c>
      <c r="B2033">
        <v>157.33999600000001</v>
      </c>
      <c r="C2033">
        <v>159.570007</v>
      </c>
      <c r="D2033">
        <v>156.38000500000001</v>
      </c>
      <c r="E2033">
        <v>158.14999399999999</v>
      </c>
      <c r="F2033">
        <v>150.36132799999999</v>
      </c>
      <c r="G2033">
        <v>10707100</v>
      </c>
      <c r="I2033">
        <f t="shared" si="32"/>
        <v>1.9468337460763467E-4</v>
      </c>
    </row>
    <row r="2034" spans="1:9" x14ac:dyDescent="0.3">
      <c r="A2034" s="5">
        <v>44588</v>
      </c>
      <c r="B2034">
        <v>158.729996</v>
      </c>
      <c r="C2034">
        <v>161.35000600000001</v>
      </c>
      <c r="D2034">
        <v>158.58000200000001</v>
      </c>
      <c r="E2034">
        <v>159.13000500000001</v>
      </c>
      <c r="F2034">
        <v>151.293091</v>
      </c>
      <c r="G2034">
        <v>9083000</v>
      </c>
      <c r="I2034">
        <f t="shared" si="32"/>
        <v>2.3008907356322585E-4</v>
      </c>
    </row>
    <row r="2035" spans="1:9" x14ac:dyDescent="0.3">
      <c r="A2035" s="5">
        <v>44589</v>
      </c>
      <c r="B2035">
        <v>158.61000100000001</v>
      </c>
      <c r="C2035">
        <v>160.949997</v>
      </c>
      <c r="D2035">
        <v>157.320007</v>
      </c>
      <c r="E2035">
        <v>160.5</v>
      </c>
      <c r="F2035">
        <v>152.59562700000001</v>
      </c>
      <c r="G2035">
        <v>9494200</v>
      </c>
      <c r="I2035">
        <f t="shared" si="32"/>
        <v>2.0442912262420336E-4</v>
      </c>
    </row>
    <row r="2036" spans="1:9" x14ac:dyDescent="0.3">
      <c r="A2036" s="5">
        <v>44592</v>
      </c>
      <c r="B2036">
        <v>159.35000600000001</v>
      </c>
      <c r="C2036">
        <v>160.64999399999999</v>
      </c>
      <c r="D2036">
        <v>158.86999499999999</v>
      </c>
      <c r="E2036">
        <v>160.449997</v>
      </c>
      <c r="F2036">
        <v>152.54808</v>
      </c>
      <c r="G2036">
        <v>8950100</v>
      </c>
      <c r="I2036">
        <f t="shared" si="32"/>
        <v>3.997640930672277E-5</v>
      </c>
    </row>
    <row r="2037" spans="1:9" x14ac:dyDescent="0.3">
      <c r="A2037" s="5">
        <v>44593</v>
      </c>
      <c r="B2037">
        <v>160.78999300000001</v>
      </c>
      <c r="C2037">
        <v>161.300003</v>
      </c>
      <c r="D2037">
        <v>157.729996</v>
      </c>
      <c r="E2037">
        <v>159.740005</v>
      </c>
      <c r="F2037">
        <v>151.873062</v>
      </c>
      <c r="G2037">
        <v>6284100</v>
      </c>
      <c r="I2037">
        <f t="shared" si="32"/>
        <v>2.7408660698858916E-4</v>
      </c>
    </row>
    <row r="2038" spans="1:9" x14ac:dyDescent="0.3">
      <c r="A2038" s="5">
        <v>44594</v>
      </c>
      <c r="B2038">
        <v>160.13999899999999</v>
      </c>
      <c r="C2038">
        <v>162.83999600000001</v>
      </c>
      <c r="D2038">
        <v>159.470001</v>
      </c>
      <c r="E2038">
        <v>162.60000600000001</v>
      </c>
      <c r="F2038">
        <v>154.592209</v>
      </c>
      <c r="G2038">
        <v>7558800</v>
      </c>
      <c r="I2038">
        <f t="shared" si="32"/>
        <v>1.0615261576140926E-4</v>
      </c>
    </row>
    <row r="2039" spans="1:9" x14ac:dyDescent="0.3">
      <c r="A2039" s="5">
        <v>44595</v>
      </c>
      <c r="B2039">
        <v>161.979996</v>
      </c>
      <c r="C2039">
        <v>164.979996</v>
      </c>
      <c r="D2039">
        <v>161.61999499999999</v>
      </c>
      <c r="E2039">
        <v>164.13999899999999</v>
      </c>
      <c r="F2039">
        <v>156.05635100000001</v>
      </c>
      <c r="G2039">
        <v>10474500</v>
      </c>
      <c r="I2039">
        <f t="shared" si="32"/>
        <v>1.2809938884075827E-4</v>
      </c>
    </row>
    <row r="2040" spans="1:9" x14ac:dyDescent="0.3">
      <c r="A2040" s="5">
        <v>44596</v>
      </c>
      <c r="B2040">
        <v>163.13000500000001</v>
      </c>
      <c r="C2040">
        <v>164.490005</v>
      </c>
      <c r="D2040">
        <v>161.41000399999999</v>
      </c>
      <c r="E2040">
        <v>161.529999</v>
      </c>
      <c r="F2040">
        <v>153.57489000000001</v>
      </c>
      <c r="G2040">
        <v>8959900</v>
      </c>
      <c r="I2040">
        <f t="shared" si="32"/>
        <v>1.5863886894190577E-4</v>
      </c>
    </row>
    <row r="2041" spans="1:9" x14ac:dyDescent="0.3">
      <c r="A2041" s="5">
        <v>44599</v>
      </c>
      <c r="B2041">
        <v>161.86999499999999</v>
      </c>
      <c r="C2041">
        <v>162.259995</v>
      </c>
      <c r="D2041">
        <v>159.66999799999999</v>
      </c>
      <c r="E2041">
        <v>160.320007</v>
      </c>
      <c r="F2041">
        <v>152.42449999999999</v>
      </c>
      <c r="G2041">
        <v>6430500</v>
      </c>
      <c r="I2041">
        <f t="shared" si="32"/>
        <v>8.4540140063777173E-5</v>
      </c>
    </row>
    <row r="2042" spans="1:9" x14ac:dyDescent="0.3">
      <c r="A2042" s="5">
        <v>44600</v>
      </c>
      <c r="B2042">
        <v>161.11999499999999</v>
      </c>
      <c r="C2042">
        <v>161.270004</v>
      </c>
      <c r="D2042">
        <v>159.64999399999999</v>
      </c>
      <c r="E2042">
        <v>159.96000699999999</v>
      </c>
      <c r="F2042">
        <v>152.082245</v>
      </c>
      <c r="G2042">
        <v>5048700</v>
      </c>
      <c r="I2042">
        <f t="shared" si="32"/>
        <v>2.5370793490970693E-5</v>
      </c>
    </row>
    <row r="2043" spans="1:9" x14ac:dyDescent="0.3">
      <c r="A2043" s="5">
        <v>44601</v>
      </c>
      <c r="B2043">
        <v>160.36000100000001</v>
      </c>
      <c r="C2043">
        <v>160.63999899999999</v>
      </c>
      <c r="D2043">
        <v>159.270004</v>
      </c>
      <c r="E2043">
        <v>159.60000600000001</v>
      </c>
      <c r="F2043">
        <v>151.73994400000001</v>
      </c>
      <c r="G2043">
        <v>8077400</v>
      </c>
      <c r="I2043">
        <f t="shared" si="32"/>
        <v>2.5447953258855365E-5</v>
      </c>
    </row>
    <row r="2044" spans="1:9" x14ac:dyDescent="0.3">
      <c r="A2044" s="5">
        <v>44602</v>
      </c>
      <c r="B2044">
        <v>159.08999600000001</v>
      </c>
      <c r="C2044">
        <v>159.5</v>
      </c>
      <c r="D2044">
        <v>156.64999399999999</v>
      </c>
      <c r="E2044">
        <v>157.16999799999999</v>
      </c>
      <c r="F2044">
        <v>149.42962600000001</v>
      </c>
      <c r="G2044">
        <v>7033000</v>
      </c>
      <c r="I2044">
        <f t="shared" si="32"/>
        <v>8.9098712867308254E-5</v>
      </c>
    </row>
    <row r="2045" spans="1:9" x14ac:dyDescent="0.3">
      <c r="A2045" s="5">
        <v>44603</v>
      </c>
      <c r="B2045">
        <v>158.009995</v>
      </c>
      <c r="C2045">
        <v>158.58000200000001</v>
      </c>
      <c r="D2045">
        <v>155.58000200000001</v>
      </c>
      <c r="E2045">
        <v>156.28999300000001</v>
      </c>
      <c r="F2045">
        <v>148.59295700000001</v>
      </c>
      <c r="G2045">
        <v>9341400</v>
      </c>
      <c r="I2045">
        <f t="shared" si="32"/>
        <v>1.2294433021940146E-4</v>
      </c>
    </row>
    <row r="2046" spans="1:9" x14ac:dyDescent="0.3">
      <c r="A2046" s="5">
        <v>44606</v>
      </c>
      <c r="B2046">
        <v>156.13999899999999</v>
      </c>
      <c r="C2046">
        <v>157.05999800000001</v>
      </c>
      <c r="D2046">
        <v>153.36000100000001</v>
      </c>
      <c r="E2046">
        <v>156.740005</v>
      </c>
      <c r="F2046">
        <v>149.02079800000001</v>
      </c>
      <c r="G2046">
        <v>9472200</v>
      </c>
      <c r="I2046">
        <f t="shared" si="32"/>
        <v>4.0362258296865769E-4</v>
      </c>
    </row>
    <row r="2047" spans="1:9" x14ac:dyDescent="0.3">
      <c r="A2047" s="5">
        <v>44607</v>
      </c>
      <c r="B2047">
        <v>157.770004</v>
      </c>
      <c r="C2047">
        <v>159.320007</v>
      </c>
      <c r="D2047">
        <v>156.11000100000001</v>
      </c>
      <c r="E2047">
        <v>156.820007</v>
      </c>
      <c r="F2047">
        <v>149.09686300000001</v>
      </c>
      <c r="G2047">
        <v>6659200</v>
      </c>
      <c r="I2047">
        <f t="shared" si="32"/>
        <v>2.0262436315264458E-4</v>
      </c>
    </row>
    <row r="2048" spans="1:9" x14ac:dyDescent="0.3">
      <c r="A2048" s="5">
        <v>44608</v>
      </c>
      <c r="B2048">
        <v>156.83000200000001</v>
      </c>
      <c r="C2048">
        <v>158.779999</v>
      </c>
      <c r="D2048">
        <v>156.270004</v>
      </c>
      <c r="E2048">
        <v>158.009995</v>
      </c>
      <c r="F2048">
        <v>150.22825599999999</v>
      </c>
      <c r="G2048">
        <v>9315700</v>
      </c>
      <c r="I2048">
        <f t="shared" si="32"/>
        <v>9.9681286983215319E-5</v>
      </c>
    </row>
    <row r="2049" spans="1:9" x14ac:dyDescent="0.3">
      <c r="A2049" s="5">
        <v>44609</v>
      </c>
      <c r="B2049">
        <v>158.38000500000001</v>
      </c>
      <c r="C2049">
        <v>160.38000500000001</v>
      </c>
      <c r="D2049">
        <v>157.35000600000001</v>
      </c>
      <c r="E2049">
        <v>159.820007</v>
      </c>
      <c r="F2049">
        <v>151.94909699999999</v>
      </c>
      <c r="G2049">
        <v>7925500</v>
      </c>
      <c r="I2049">
        <f t="shared" si="32"/>
        <v>1.4551721266785548E-4</v>
      </c>
    </row>
    <row r="2050" spans="1:9" x14ac:dyDescent="0.3">
      <c r="A2050" s="5">
        <v>44610</v>
      </c>
      <c r="B2050">
        <v>159.5</v>
      </c>
      <c r="C2050">
        <v>161.05999800000001</v>
      </c>
      <c r="D2050">
        <v>158.820007</v>
      </c>
      <c r="E2050">
        <v>159.89999399999999</v>
      </c>
      <c r="F2050">
        <v>152.025192</v>
      </c>
      <c r="G2050">
        <v>8063200</v>
      </c>
      <c r="I2050">
        <f t="shared" si="32"/>
        <v>9.9308201108355072E-5</v>
      </c>
    </row>
    <row r="2051" spans="1:9" x14ac:dyDescent="0.3">
      <c r="A2051" s="5">
        <v>44614</v>
      </c>
      <c r="B2051">
        <v>160.11000100000001</v>
      </c>
      <c r="C2051">
        <v>160.88000500000001</v>
      </c>
      <c r="D2051">
        <v>156.66000399999999</v>
      </c>
      <c r="E2051">
        <v>157.929993</v>
      </c>
      <c r="F2051">
        <v>150.152176</v>
      </c>
      <c r="G2051">
        <v>8179500</v>
      </c>
      <c r="I2051">
        <f t="shared" si="32"/>
        <v>2.6466758487182453E-4</v>
      </c>
    </row>
    <row r="2052" spans="1:9" x14ac:dyDescent="0.3">
      <c r="A2052" s="5">
        <v>44615</v>
      </c>
      <c r="B2052">
        <v>158.300003</v>
      </c>
      <c r="C2052">
        <v>158.60000600000001</v>
      </c>
      <c r="D2052">
        <v>155.60000600000001</v>
      </c>
      <c r="E2052">
        <v>155.96000699999999</v>
      </c>
      <c r="F2052">
        <v>148.27922100000001</v>
      </c>
      <c r="G2052">
        <v>6273000</v>
      </c>
      <c r="I2052">
        <f t="shared" si="32"/>
        <v>7.1537662796992654E-5</v>
      </c>
    </row>
    <row r="2053" spans="1:9" x14ac:dyDescent="0.3">
      <c r="A2053" s="5">
        <v>44616</v>
      </c>
      <c r="B2053">
        <v>155.63999899999999</v>
      </c>
      <c r="C2053">
        <v>155.979996</v>
      </c>
      <c r="D2053">
        <v>150.55999800000001</v>
      </c>
      <c r="E2053">
        <v>151.759995</v>
      </c>
      <c r="F2053">
        <v>144.286057</v>
      </c>
      <c r="G2053">
        <v>13145100</v>
      </c>
      <c r="I2053">
        <f t="shared" si="32"/>
        <v>3.2328555962553545E-4</v>
      </c>
    </row>
    <row r="2054" spans="1:9" x14ac:dyDescent="0.3">
      <c r="A2054" s="5">
        <v>44617</v>
      </c>
      <c r="B2054">
        <v>152.33000200000001</v>
      </c>
      <c r="C2054">
        <v>158.94000199999999</v>
      </c>
      <c r="D2054">
        <v>152.25</v>
      </c>
      <c r="E2054">
        <v>158.240005</v>
      </c>
      <c r="F2054">
        <v>150.446945</v>
      </c>
      <c r="G2054">
        <v>8888800</v>
      </c>
      <c r="I2054">
        <f t="shared" si="32"/>
        <v>2.077628831087151E-4</v>
      </c>
    </row>
    <row r="2055" spans="1:9" x14ac:dyDescent="0.3">
      <c r="A2055" s="5">
        <v>44620</v>
      </c>
      <c r="B2055">
        <v>156.28999300000001</v>
      </c>
      <c r="C2055">
        <v>157.19000199999999</v>
      </c>
      <c r="D2055">
        <v>153.820007</v>
      </c>
      <c r="E2055">
        <v>155.88999899999999</v>
      </c>
      <c r="F2055">
        <v>148.21264600000001</v>
      </c>
      <c r="G2055">
        <v>8669200</v>
      </c>
      <c r="I2055">
        <f t="shared" si="32"/>
        <v>2.6063104184927279E-4</v>
      </c>
    </row>
    <row r="2056" spans="1:9" x14ac:dyDescent="0.3">
      <c r="A2056" s="5">
        <v>44621</v>
      </c>
      <c r="B2056">
        <v>154.30999800000001</v>
      </c>
      <c r="C2056">
        <v>155.39999399999999</v>
      </c>
      <c r="D2056">
        <v>152.33999600000001</v>
      </c>
      <c r="E2056">
        <v>153.30999800000001</v>
      </c>
      <c r="F2056">
        <v>145.75973500000001</v>
      </c>
      <c r="G2056">
        <v>8311900</v>
      </c>
      <c r="I2056">
        <f t="shared" si="32"/>
        <v>1.7686166474466768E-4</v>
      </c>
    </row>
    <row r="2057" spans="1:9" x14ac:dyDescent="0.3">
      <c r="A2057" s="5">
        <v>44622</v>
      </c>
      <c r="B2057">
        <v>152.96000699999999</v>
      </c>
      <c r="C2057">
        <v>155.08000200000001</v>
      </c>
      <c r="D2057">
        <v>152.60000600000001</v>
      </c>
      <c r="E2057">
        <v>153.78999300000001</v>
      </c>
      <c r="F2057">
        <v>146.216095</v>
      </c>
      <c r="G2057">
        <v>6111300</v>
      </c>
      <c r="I2057">
        <f t="shared" si="32"/>
        <v>1.3328145702404541E-4</v>
      </c>
    </row>
    <row r="2058" spans="1:9" x14ac:dyDescent="0.3">
      <c r="A2058" s="5">
        <v>44623</v>
      </c>
      <c r="B2058">
        <v>153.770004</v>
      </c>
      <c r="C2058">
        <v>155.86000100000001</v>
      </c>
      <c r="D2058">
        <v>153.770004</v>
      </c>
      <c r="E2058">
        <v>154.36000100000001</v>
      </c>
      <c r="F2058">
        <v>146.75801100000001</v>
      </c>
      <c r="G2058">
        <v>7451200</v>
      </c>
      <c r="I2058">
        <f t="shared" si="32"/>
        <v>1.3055516487970204E-4</v>
      </c>
    </row>
    <row r="2059" spans="1:9" x14ac:dyDescent="0.3">
      <c r="A2059" s="5">
        <v>44624</v>
      </c>
      <c r="B2059">
        <v>153.11999499999999</v>
      </c>
      <c r="C2059">
        <v>155.35000600000001</v>
      </c>
      <c r="D2059">
        <v>152.550003</v>
      </c>
      <c r="E2059">
        <v>155.13999899999999</v>
      </c>
      <c r="F2059">
        <v>147.49958799999999</v>
      </c>
      <c r="G2059">
        <v>8639100</v>
      </c>
      <c r="I2059">
        <f t="shared" si="32"/>
        <v>8.2346440430670356E-5</v>
      </c>
    </row>
    <row r="2060" spans="1:9" x14ac:dyDescent="0.3">
      <c r="A2060" s="5">
        <v>44627</v>
      </c>
      <c r="B2060">
        <v>154.490005</v>
      </c>
      <c r="C2060">
        <v>154.520004</v>
      </c>
      <c r="D2060">
        <v>151.13999899999999</v>
      </c>
      <c r="E2060">
        <v>152.83999600000001</v>
      </c>
      <c r="F2060">
        <v>145.31286600000001</v>
      </c>
      <c r="G2060">
        <v>8374500</v>
      </c>
      <c r="I2060">
        <f t="shared" ref="I2060:I2123" si="33">LN(C2060/B2060)*(LN(C2060/B2060)-LN(E2060/B2060))+LN(D2060/B2060)*(LN(D2060/B2060)-LN(E2060/B2060))</f>
        <v>2.4733058757493356E-4</v>
      </c>
    </row>
    <row r="2061" spans="1:9" x14ac:dyDescent="0.3">
      <c r="A2061" s="5">
        <v>44628</v>
      </c>
      <c r="B2061">
        <v>152.179993</v>
      </c>
      <c r="C2061">
        <v>152.949997</v>
      </c>
      <c r="D2061">
        <v>146.58000200000001</v>
      </c>
      <c r="E2061">
        <v>146.78999300000001</v>
      </c>
      <c r="F2061">
        <v>139.56080600000001</v>
      </c>
      <c r="G2061">
        <v>9517200</v>
      </c>
      <c r="I2061">
        <f t="shared" si="33"/>
        <v>2.611489374560884E-4</v>
      </c>
    </row>
    <row r="2062" spans="1:9" x14ac:dyDescent="0.3">
      <c r="A2062" s="5">
        <v>44629</v>
      </c>
      <c r="B2062">
        <v>148.83000200000001</v>
      </c>
      <c r="C2062">
        <v>150.470001</v>
      </c>
      <c r="D2062">
        <v>147.80999800000001</v>
      </c>
      <c r="E2062">
        <v>148.770004</v>
      </c>
      <c r="F2062">
        <v>141.44331399999999</v>
      </c>
      <c r="G2062">
        <v>7044100</v>
      </c>
      <c r="I2062">
        <f t="shared" si="33"/>
        <v>1.6903990341625145E-4</v>
      </c>
    </row>
    <row r="2063" spans="1:9" x14ac:dyDescent="0.3">
      <c r="A2063" s="5">
        <v>44630</v>
      </c>
      <c r="B2063">
        <v>147.800003</v>
      </c>
      <c r="C2063">
        <v>148.279999</v>
      </c>
      <c r="D2063">
        <v>143.94000199999999</v>
      </c>
      <c r="E2063">
        <v>144.94000199999999</v>
      </c>
      <c r="F2063">
        <v>137.80192600000001</v>
      </c>
      <c r="G2063">
        <v>9221000</v>
      </c>
      <c r="I2063">
        <f t="shared" si="33"/>
        <v>2.5708365096932518E-4</v>
      </c>
    </row>
    <row r="2064" spans="1:9" x14ac:dyDescent="0.3">
      <c r="A2064" s="5">
        <v>44631</v>
      </c>
      <c r="B2064">
        <v>145.39999399999999</v>
      </c>
      <c r="C2064">
        <v>146.16000399999999</v>
      </c>
      <c r="D2064">
        <v>143.029999</v>
      </c>
      <c r="E2064">
        <v>143.220001</v>
      </c>
      <c r="F2064">
        <v>136.166641</v>
      </c>
      <c r="G2064">
        <v>7086100</v>
      </c>
      <c r="I2064">
        <f t="shared" si="33"/>
        <v>1.2775344728573409E-4</v>
      </c>
    </row>
    <row r="2065" spans="1:9" x14ac:dyDescent="0.3">
      <c r="A2065" s="5">
        <v>44634</v>
      </c>
      <c r="B2065">
        <v>144.449997</v>
      </c>
      <c r="C2065">
        <v>146.03999300000001</v>
      </c>
      <c r="D2065">
        <v>143.35000600000001</v>
      </c>
      <c r="E2065">
        <v>145.050003</v>
      </c>
      <c r="F2065">
        <v>137.906509</v>
      </c>
      <c r="G2065">
        <v>7964600</v>
      </c>
      <c r="I2065">
        <f t="shared" si="33"/>
        <v>1.6458136152660329E-4</v>
      </c>
    </row>
    <row r="2066" spans="1:9" x14ac:dyDescent="0.3">
      <c r="A2066" s="5">
        <v>44635</v>
      </c>
      <c r="B2066">
        <v>147.009995</v>
      </c>
      <c r="C2066">
        <v>150.53999300000001</v>
      </c>
      <c r="D2066">
        <v>146.88999899999999</v>
      </c>
      <c r="E2066">
        <v>150.270004</v>
      </c>
      <c r="F2066">
        <v>142.86944600000001</v>
      </c>
      <c r="G2066">
        <v>9868400</v>
      </c>
      <c r="I2066">
        <f t="shared" si="33"/>
        <v>6.1170924165913812E-5</v>
      </c>
    </row>
    <row r="2067" spans="1:9" x14ac:dyDescent="0.3">
      <c r="A2067" s="5">
        <v>44636</v>
      </c>
      <c r="B2067">
        <v>150.63000500000001</v>
      </c>
      <c r="C2067">
        <v>151.78999300000001</v>
      </c>
      <c r="D2067">
        <v>148.03999300000001</v>
      </c>
      <c r="E2067">
        <v>149.759995</v>
      </c>
      <c r="F2067">
        <v>142.38453699999999</v>
      </c>
      <c r="G2067">
        <v>6908900</v>
      </c>
      <c r="I2067">
        <f t="shared" si="33"/>
        <v>3.0363792315663593E-4</v>
      </c>
    </row>
    <row r="2068" spans="1:9" x14ac:dyDescent="0.3">
      <c r="A2068" s="5">
        <v>44637</v>
      </c>
      <c r="B2068">
        <v>149.990005</v>
      </c>
      <c r="C2068">
        <v>150.470001</v>
      </c>
      <c r="D2068">
        <v>148.5</v>
      </c>
      <c r="E2068">
        <v>150.229996</v>
      </c>
      <c r="F2068">
        <v>142.83140599999999</v>
      </c>
      <c r="G2068">
        <v>6003800</v>
      </c>
      <c r="I2068">
        <f t="shared" si="33"/>
        <v>1.2073622116870678E-4</v>
      </c>
    </row>
    <row r="2069" spans="1:9" x14ac:dyDescent="0.3">
      <c r="A2069" s="5">
        <v>44638</v>
      </c>
      <c r="B2069">
        <v>150.86999499999999</v>
      </c>
      <c r="C2069">
        <v>150.86999499999999</v>
      </c>
      <c r="D2069">
        <v>148.240005</v>
      </c>
      <c r="E2069">
        <v>150.14999399999999</v>
      </c>
      <c r="F2069">
        <v>142.75531000000001</v>
      </c>
      <c r="G2069">
        <v>15570300</v>
      </c>
      <c r="I2069">
        <f t="shared" si="33"/>
        <v>2.2513700411259103E-4</v>
      </c>
    </row>
    <row r="2070" spans="1:9" x14ac:dyDescent="0.3">
      <c r="A2070" s="5">
        <v>44641</v>
      </c>
      <c r="B2070">
        <v>150.44000199999999</v>
      </c>
      <c r="C2070">
        <v>151.41999799999999</v>
      </c>
      <c r="D2070">
        <v>149.240005</v>
      </c>
      <c r="E2070">
        <v>150.720001</v>
      </c>
      <c r="F2070">
        <v>143.29728700000001</v>
      </c>
      <c r="G2070">
        <v>6937500</v>
      </c>
      <c r="I2070">
        <f t="shared" si="33"/>
        <v>1.0911511905288839E-4</v>
      </c>
    </row>
    <row r="2071" spans="1:9" x14ac:dyDescent="0.3">
      <c r="A2071" s="5">
        <v>44642</v>
      </c>
      <c r="B2071">
        <v>153.429993</v>
      </c>
      <c r="C2071">
        <v>153.60000600000001</v>
      </c>
      <c r="D2071">
        <v>150.520004</v>
      </c>
      <c r="E2071">
        <v>151.88000500000001</v>
      </c>
      <c r="F2071">
        <v>144.40014600000001</v>
      </c>
      <c r="G2071">
        <v>7292100</v>
      </c>
      <c r="I2071">
        <f t="shared" si="33"/>
        <v>1.8470686322666485E-4</v>
      </c>
    </row>
    <row r="2072" spans="1:9" x14ac:dyDescent="0.3">
      <c r="A2072" s="5">
        <v>44643</v>
      </c>
      <c r="B2072">
        <v>152.199997</v>
      </c>
      <c r="C2072">
        <v>153.009995</v>
      </c>
      <c r="D2072">
        <v>150.69000199999999</v>
      </c>
      <c r="E2072">
        <v>150.820007</v>
      </c>
      <c r="F2072">
        <v>143.392349</v>
      </c>
      <c r="G2072">
        <v>5531900</v>
      </c>
      <c r="I2072">
        <f t="shared" si="33"/>
        <v>8.5116509819725962E-5</v>
      </c>
    </row>
    <row r="2073" spans="1:9" x14ac:dyDescent="0.3">
      <c r="A2073" s="5">
        <v>44644</v>
      </c>
      <c r="B2073">
        <v>150.88999899999999</v>
      </c>
      <c r="C2073">
        <v>151.55999800000001</v>
      </c>
      <c r="D2073">
        <v>150.16000399999999</v>
      </c>
      <c r="E2073">
        <v>151.08000200000001</v>
      </c>
      <c r="F2073">
        <v>143.639557</v>
      </c>
      <c r="G2073">
        <v>4203100</v>
      </c>
      <c r="I2073">
        <f t="shared" si="33"/>
        <v>4.3675997834787289E-5</v>
      </c>
    </row>
    <row r="2074" spans="1:9" x14ac:dyDescent="0.3">
      <c r="A2074" s="5">
        <v>44645</v>
      </c>
      <c r="B2074">
        <v>151.63000500000001</v>
      </c>
      <c r="C2074">
        <v>153.91999799999999</v>
      </c>
      <c r="D2074">
        <v>151.509995</v>
      </c>
      <c r="E2074">
        <v>152.83000200000001</v>
      </c>
      <c r="F2074">
        <v>145.30337499999999</v>
      </c>
      <c r="G2074">
        <v>5047700</v>
      </c>
      <c r="I2074">
        <f t="shared" si="33"/>
        <v>1.1339597788399205E-4</v>
      </c>
    </row>
    <row r="2075" spans="1:9" x14ac:dyDescent="0.3">
      <c r="A2075" s="5">
        <v>44648</v>
      </c>
      <c r="B2075">
        <v>153.63999899999999</v>
      </c>
      <c r="C2075">
        <v>153.89999399999999</v>
      </c>
      <c r="D2075">
        <v>152.63000500000001</v>
      </c>
      <c r="E2075">
        <v>153.88000500000001</v>
      </c>
      <c r="F2075">
        <v>146.30165099999999</v>
      </c>
      <c r="G2075">
        <v>4234000</v>
      </c>
      <c r="I2075">
        <f t="shared" si="33"/>
        <v>5.4014836906173887E-5</v>
      </c>
    </row>
    <row r="2076" spans="1:9" x14ac:dyDescent="0.3">
      <c r="A2076" s="5">
        <v>44649</v>
      </c>
      <c r="B2076">
        <v>155.36999499999999</v>
      </c>
      <c r="C2076">
        <v>156.470001</v>
      </c>
      <c r="D2076">
        <v>154.020004</v>
      </c>
      <c r="E2076">
        <v>155.46000699999999</v>
      </c>
      <c r="F2076">
        <v>147.80384799999999</v>
      </c>
      <c r="G2076">
        <v>5643400</v>
      </c>
      <c r="I2076">
        <f t="shared" si="33"/>
        <v>1.2689873157674923E-4</v>
      </c>
    </row>
    <row r="2077" spans="1:9" x14ac:dyDescent="0.3">
      <c r="A2077" s="5">
        <v>44650</v>
      </c>
      <c r="B2077">
        <v>152.5</v>
      </c>
      <c r="C2077">
        <v>154.429993</v>
      </c>
      <c r="D2077">
        <v>151.94000199999999</v>
      </c>
      <c r="E2077">
        <v>154.38999899999999</v>
      </c>
      <c r="F2077">
        <v>146.78653</v>
      </c>
      <c r="G2077">
        <v>5779300</v>
      </c>
      <c r="I2077">
        <f t="shared" si="33"/>
        <v>6.2105242782751574E-5</v>
      </c>
    </row>
    <row r="2078" spans="1:9" x14ac:dyDescent="0.3">
      <c r="A2078" s="5">
        <v>44651</v>
      </c>
      <c r="B2078">
        <v>154.10000600000001</v>
      </c>
      <c r="C2078">
        <v>154.33999600000001</v>
      </c>
      <c r="D2078">
        <v>152.39999399999999</v>
      </c>
      <c r="E2078">
        <v>152.800003</v>
      </c>
      <c r="F2078">
        <v>145.27484100000001</v>
      </c>
      <c r="G2078">
        <v>7538600</v>
      </c>
      <c r="I2078">
        <f t="shared" si="33"/>
        <v>4.4683633594145234E-5</v>
      </c>
    </row>
    <row r="2079" spans="1:9" x14ac:dyDescent="0.3">
      <c r="A2079" s="5">
        <v>44652</v>
      </c>
      <c r="B2079">
        <v>153.520004</v>
      </c>
      <c r="C2079">
        <v>155.46000699999999</v>
      </c>
      <c r="D2079">
        <v>152.05999800000001</v>
      </c>
      <c r="E2079">
        <v>155.08999600000001</v>
      </c>
      <c r="F2079">
        <v>147.452057</v>
      </c>
      <c r="G2079">
        <v>5742600</v>
      </c>
      <c r="I2079">
        <f t="shared" si="33"/>
        <v>2.1846210782488443E-4</v>
      </c>
    </row>
    <row r="2080" spans="1:9" x14ac:dyDescent="0.3">
      <c r="A2080" s="5">
        <v>44655</v>
      </c>
      <c r="B2080">
        <v>153.80999800000001</v>
      </c>
      <c r="C2080">
        <v>154.35000600000001</v>
      </c>
      <c r="D2080">
        <v>151.259995</v>
      </c>
      <c r="E2080">
        <v>154.08000200000001</v>
      </c>
      <c r="F2080">
        <v>146.49182099999999</v>
      </c>
      <c r="G2080">
        <v>5992000</v>
      </c>
      <c r="I2080">
        <f t="shared" si="33"/>
        <v>3.1494531741596473E-4</v>
      </c>
    </row>
    <row r="2081" spans="1:9" x14ac:dyDescent="0.3">
      <c r="A2081" s="5">
        <v>44656</v>
      </c>
      <c r="B2081">
        <v>153.61000100000001</v>
      </c>
      <c r="C2081">
        <v>157.36999499999999</v>
      </c>
      <c r="D2081">
        <v>153.53999300000001</v>
      </c>
      <c r="E2081">
        <v>154.61999499999999</v>
      </c>
      <c r="F2081">
        <v>147.00521900000001</v>
      </c>
      <c r="G2081">
        <v>7653000</v>
      </c>
      <c r="I2081">
        <f t="shared" si="33"/>
        <v>4.295186325309356E-4</v>
      </c>
    </row>
    <row r="2082" spans="1:9" x14ac:dyDescent="0.3">
      <c r="A2082" s="5">
        <v>44657</v>
      </c>
      <c r="B2082">
        <v>154.41999799999999</v>
      </c>
      <c r="C2082">
        <v>157.28999300000001</v>
      </c>
      <c r="D2082">
        <v>153.94000199999999</v>
      </c>
      <c r="E2082">
        <v>156.83000200000001</v>
      </c>
      <c r="F2082">
        <v>149.10635400000001</v>
      </c>
      <c r="G2082">
        <v>8884700</v>
      </c>
      <c r="I2082">
        <f t="shared" si="33"/>
        <v>1.118376192359038E-4</v>
      </c>
    </row>
    <row r="2083" spans="1:9" x14ac:dyDescent="0.3">
      <c r="A2083" s="5">
        <v>44658</v>
      </c>
      <c r="B2083">
        <v>157.86999499999999</v>
      </c>
      <c r="C2083">
        <v>159.38999899999999</v>
      </c>
      <c r="D2083">
        <v>156.970001</v>
      </c>
      <c r="E2083">
        <v>158.86000100000001</v>
      </c>
      <c r="F2083">
        <v>151.03639200000001</v>
      </c>
      <c r="G2083">
        <v>6889700</v>
      </c>
      <c r="I2083">
        <f t="shared" si="33"/>
        <v>1.0034182827290851E-4</v>
      </c>
    </row>
    <row r="2084" spans="1:9" x14ac:dyDescent="0.3">
      <c r="A2084" s="5">
        <v>44659</v>
      </c>
      <c r="B2084">
        <v>159.699997</v>
      </c>
      <c r="C2084">
        <v>160.529999</v>
      </c>
      <c r="D2084">
        <v>158.91999799999999</v>
      </c>
      <c r="E2084">
        <v>160.10000600000001</v>
      </c>
      <c r="F2084">
        <v>152.21533199999999</v>
      </c>
      <c r="G2084">
        <v>6045400</v>
      </c>
      <c r="I2084">
        <f t="shared" si="33"/>
        <v>5.0124070312287978E-5</v>
      </c>
    </row>
    <row r="2085" spans="1:9" x14ac:dyDescent="0.3">
      <c r="A2085" s="5">
        <v>44662</v>
      </c>
      <c r="B2085">
        <v>159.949997</v>
      </c>
      <c r="C2085">
        <v>161.21000699999999</v>
      </c>
      <c r="D2085">
        <v>158.63000500000001</v>
      </c>
      <c r="E2085">
        <v>159.490005</v>
      </c>
      <c r="F2085">
        <v>151.63536099999999</v>
      </c>
      <c r="G2085">
        <v>6158400</v>
      </c>
      <c r="I2085">
        <f t="shared" si="33"/>
        <v>1.2897308810803264E-4</v>
      </c>
    </row>
    <row r="2086" spans="1:9" x14ac:dyDescent="0.3">
      <c r="A2086" s="5">
        <v>44663</v>
      </c>
      <c r="B2086">
        <v>159.30999800000001</v>
      </c>
      <c r="C2086">
        <v>160.63000500000001</v>
      </c>
      <c r="D2086">
        <v>158.699997</v>
      </c>
      <c r="E2086">
        <v>159.009995</v>
      </c>
      <c r="F2086">
        <v>151.17898600000001</v>
      </c>
      <c r="G2086">
        <v>7221500</v>
      </c>
      <c r="I2086">
        <f t="shared" si="33"/>
        <v>9.1129654625509793E-5</v>
      </c>
    </row>
    <row r="2087" spans="1:9" x14ac:dyDescent="0.3">
      <c r="A2087" s="5">
        <v>44664</v>
      </c>
      <c r="B2087">
        <v>159.08000200000001</v>
      </c>
      <c r="C2087">
        <v>160.41000399999999</v>
      </c>
      <c r="D2087">
        <v>158.71000699999999</v>
      </c>
      <c r="E2087">
        <v>159.46000699999999</v>
      </c>
      <c r="F2087">
        <v>151.606842</v>
      </c>
      <c r="G2087">
        <v>5247700</v>
      </c>
      <c r="I2087">
        <f t="shared" si="33"/>
        <v>6.043257573731557E-5</v>
      </c>
    </row>
    <row r="2088" spans="1:9" x14ac:dyDescent="0.3">
      <c r="A2088" s="5">
        <v>44665</v>
      </c>
      <c r="B2088">
        <v>159.979996</v>
      </c>
      <c r="C2088">
        <v>160.300003</v>
      </c>
      <c r="D2088">
        <v>158.449997</v>
      </c>
      <c r="E2088">
        <v>158.570007</v>
      </c>
      <c r="F2088">
        <v>150.76066599999999</v>
      </c>
      <c r="G2088">
        <v>7806500</v>
      </c>
      <c r="I2088">
        <f t="shared" si="33"/>
        <v>2.8958946777435595E-5</v>
      </c>
    </row>
    <row r="2089" spans="1:9" x14ac:dyDescent="0.3">
      <c r="A2089" s="5">
        <v>44669</v>
      </c>
      <c r="B2089">
        <v>158.479996</v>
      </c>
      <c r="C2089">
        <v>158.979996</v>
      </c>
      <c r="D2089">
        <v>156.529999</v>
      </c>
      <c r="E2089">
        <v>157.05999800000001</v>
      </c>
      <c r="F2089">
        <v>149.32505800000001</v>
      </c>
      <c r="G2089">
        <v>6034500</v>
      </c>
      <c r="I2089">
        <f t="shared" si="33"/>
        <v>8.012345937228433E-5</v>
      </c>
    </row>
    <row r="2090" spans="1:9" x14ac:dyDescent="0.3">
      <c r="A2090" s="5">
        <v>44670</v>
      </c>
      <c r="B2090">
        <v>156.770004</v>
      </c>
      <c r="C2090">
        <v>160.029999</v>
      </c>
      <c r="D2090">
        <v>156.300003</v>
      </c>
      <c r="E2090">
        <v>159.41000399999999</v>
      </c>
      <c r="F2090">
        <v>151.55931100000001</v>
      </c>
      <c r="G2090">
        <v>7897000</v>
      </c>
      <c r="I2090">
        <f t="shared" si="33"/>
        <v>1.3904928164609932E-4</v>
      </c>
    </row>
    <row r="2091" spans="1:9" x14ac:dyDescent="0.3">
      <c r="A2091" s="5">
        <v>44671</v>
      </c>
      <c r="B2091">
        <v>160.5</v>
      </c>
      <c r="C2091">
        <v>164.479996</v>
      </c>
      <c r="D2091">
        <v>160</v>
      </c>
      <c r="E2091">
        <v>163.64999399999999</v>
      </c>
      <c r="F2091">
        <v>155.590485</v>
      </c>
      <c r="G2091">
        <v>10196100</v>
      </c>
      <c r="I2091">
        <f t="shared" si="33"/>
        <v>1.9429818484952379E-4</v>
      </c>
    </row>
    <row r="2092" spans="1:9" x14ac:dyDescent="0.3">
      <c r="A2092" s="5">
        <v>44672</v>
      </c>
      <c r="B2092">
        <v>163.820007</v>
      </c>
      <c r="C2092">
        <v>164.89999399999999</v>
      </c>
      <c r="D2092">
        <v>162.429993</v>
      </c>
      <c r="E2092">
        <v>162.61000100000001</v>
      </c>
      <c r="F2092">
        <v>155.46906999999999</v>
      </c>
      <c r="G2092">
        <v>9365700</v>
      </c>
      <c r="I2092">
        <f t="shared" si="33"/>
        <v>1.0132864046303049E-4</v>
      </c>
    </row>
    <row r="2093" spans="1:9" x14ac:dyDescent="0.3">
      <c r="A2093" s="5">
        <v>44673</v>
      </c>
      <c r="B2093">
        <v>163.240005</v>
      </c>
      <c r="C2093">
        <v>163.520004</v>
      </c>
      <c r="D2093">
        <v>160.91000399999999</v>
      </c>
      <c r="E2093">
        <v>161.25</v>
      </c>
      <c r="F2093">
        <v>154.16880800000001</v>
      </c>
      <c r="G2093">
        <v>9394600</v>
      </c>
      <c r="I2093">
        <f t="shared" si="33"/>
        <v>5.4302211916839535E-5</v>
      </c>
    </row>
    <row r="2094" spans="1:9" x14ac:dyDescent="0.3">
      <c r="A2094" s="5">
        <v>44676</v>
      </c>
      <c r="B2094">
        <v>161.699997</v>
      </c>
      <c r="C2094">
        <v>163.28999300000001</v>
      </c>
      <c r="D2094">
        <v>159.800003</v>
      </c>
      <c r="E2094">
        <v>162.550003</v>
      </c>
      <c r="F2094">
        <v>155.411697</v>
      </c>
      <c r="G2094">
        <v>6986800</v>
      </c>
      <c r="I2094">
        <f t="shared" si="33"/>
        <v>2.4611875223470267E-4</v>
      </c>
    </row>
    <row r="2095" spans="1:9" x14ac:dyDescent="0.3">
      <c r="A2095" s="5">
        <v>44677</v>
      </c>
      <c r="B2095">
        <v>162.679993</v>
      </c>
      <c r="C2095">
        <v>163.63999899999999</v>
      </c>
      <c r="D2095">
        <v>159.75</v>
      </c>
      <c r="E2095">
        <v>159.78999300000001</v>
      </c>
      <c r="F2095">
        <v>152.77290300000001</v>
      </c>
      <c r="G2095">
        <v>7769500</v>
      </c>
      <c r="I2095">
        <f t="shared" si="33"/>
        <v>1.4463496677493968E-4</v>
      </c>
    </row>
    <row r="2096" spans="1:9" x14ac:dyDescent="0.3">
      <c r="A2096" s="5">
        <v>44678</v>
      </c>
      <c r="B2096">
        <v>160.21000699999999</v>
      </c>
      <c r="C2096">
        <v>161.449997</v>
      </c>
      <c r="D2096">
        <v>159.11000100000001</v>
      </c>
      <c r="E2096">
        <v>159.36000100000001</v>
      </c>
      <c r="F2096">
        <v>152.36180100000001</v>
      </c>
      <c r="G2096">
        <v>6754900</v>
      </c>
      <c r="I2096">
        <f t="shared" si="33"/>
        <v>1.1127544892975526E-4</v>
      </c>
    </row>
    <row r="2097" spans="1:9" x14ac:dyDescent="0.3">
      <c r="A2097" s="5">
        <v>44679</v>
      </c>
      <c r="B2097">
        <v>160.53999300000001</v>
      </c>
      <c r="C2097">
        <v>163.71000699999999</v>
      </c>
      <c r="D2097">
        <v>159.270004</v>
      </c>
      <c r="E2097">
        <v>163.41000399999999</v>
      </c>
      <c r="F2097">
        <v>156.23393200000001</v>
      </c>
      <c r="G2097">
        <v>9306800</v>
      </c>
      <c r="I2097">
        <f t="shared" si="33"/>
        <v>2.3967373986180846E-4</v>
      </c>
    </row>
    <row r="2098" spans="1:9" x14ac:dyDescent="0.3">
      <c r="A2098" s="5">
        <v>44680</v>
      </c>
      <c r="B2098">
        <v>162.470001</v>
      </c>
      <c r="C2098">
        <v>162.949997</v>
      </c>
      <c r="D2098">
        <v>160.199997</v>
      </c>
      <c r="E2098">
        <v>160.550003</v>
      </c>
      <c r="F2098">
        <v>153.49954199999999</v>
      </c>
      <c r="G2098">
        <v>10637000</v>
      </c>
      <c r="I2098">
        <f t="shared" si="33"/>
        <v>7.4479595172669059E-5</v>
      </c>
    </row>
    <row r="2099" spans="1:9" x14ac:dyDescent="0.3">
      <c r="A2099" s="5">
        <v>44683</v>
      </c>
      <c r="B2099">
        <v>161.60000600000001</v>
      </c>
      <c r="C2099">
        <v>162</v>
      </c>
      <c r="D2099">
        <v>156.19000199999999</v>
      </c>
      <c r="E2099">
        <v>158.38000500000001</v>
      </c>
      <c r="F2099">
        <v>151.42484999999999</v>
      </c>
      <c r="G2099">
        <v>10351600</v>
      </c>
      <c r="I2099">
        <f t="shared" si="33"/>
        <v>5.2999433461517768E-4</v>
      </c>
    </row>
    <row r="2100" spans="1:9" x14ac:dyDescent="0.3">
      <c r="A2100" s="5">
        <v>44684</v>
      </c>
      <c r="B2100">
        <v>158.220001</v>
      </c>
      <c r="C2100">
        <v>158.990005</v>
      </c>
      <c r="D2100">
        <v>155.009995</v>
      </c>
      <c r="E2100">
        <v>156.21000699999999</v>
      </c>
      <c r="F2100">
        <v>149.35012800000001</v>
      </c>
      <c r="G2100">
        <v>10344000</v>
      </c>
      <c r="I2100">
        <f t="shared" si="33"/>
        <v>2.4370576996520513E-4</v>
      </c>
    </row>
    <row r="2101" spans="1:9" x14ac:dyDescent="0.3">
      <c r="A2101" s="5">
        <v>44685</v>
      </c>
      <c r="B2101">
        <v>155.83000200000001</v>
      </c>
      <c r="C2101">
        <v>157.550003</v>
      </c>
      <c r="D2101">
        <v>155.14999399999999</v>
      </c>
      <c r="E2101">
        <v>157.36000100000001</v>
      </c>
      <c r="F2101">
        <v>150.4496</v>
      </c>
      <c r="G2101">
        <v>7771000</v>
      </c>
      <c r="I2101">
        <f t="shared" si="33"/>
        <v>7.5101897192066556E-5</v>
      </c>
    </row>
    <row r="2102" spans="1:9" x14ac:dyDescent="0.3">
      <c r="A2102" s="5">
        <v>44686</v>
      </c>
      <c r="B2102">
        <v>156.300003</v>
      </c>
      <c r="C2102">
        <v>157.28999300000001</v>
      </c>
      <c r="D2102">
        <v>153.13999899999999</v>
      </c>
      <c r="E2102">
        <v>154.46000699999999</v>
      </c>
      <c r="F2102">
        <v>147.67697100000001</v>
      </c>
      <c r="G2102">
        <v>8217100</v>
      </c>
      <c r="I2102">
        <f t="shared" si="33"/>
        <v>2.8993456193012444E-4</v>
      </c>
    </row>
    <row r="2103" spans="1:9" x14ac:dyDescent="0.3">
      <c r="A2103" s="5">
        <v>44687</v>
      </c>
      <c r="B2103">
        <v>154.770004</v>
      </c>
      <c r="C2103">
        <v>156.240005</v>
      </c>
      <c r="D2103">
        <v>153.86999499999999</v>
      </c>
      <c r="E2103">
        <v>156</v>
      </c>
      <c r="F2103">
        <v>149.14935299999999</v>
      </c>
      <c r="G2103">
        <v>7304800</v>
      </c>
      <c r="I2103">
        <f t="shared" si="33"/>
        <v>9.4712017629337508E-5</v>
      </c>
    </row>
    <row r="2104" spans="1:9" x14ac:dyDescent="0.3">
      <c r="A2104" s="5">
        <v>44690</v>
      </c>
      <c r="B2104">
        <v>153.96000699999999</v>
      </c>
      <c r="C2104">
        <v>156.759995</v>
      </c>
      <c r="D2104">
        <v>152.75</v>
      </c>
      <c r="E2104">
        <v>155.61000100000001</v>
      </c>
      <c r="F2104">
        <v>148.77647400000001</v>
      </c>
      <c r="G2104">
        <v>8540800</v>
      </c>
      <c r="I2104">
        <f t="shared" si="33"/>
        <v>2.7907175991766589E-4</v>
      </c>
    </row>
    <row r="2105" spans="1:9" x14ac:dyDescent="0.3">
      <c r="A2105" s="5">
        <v>44691</v>
      </c>
      <c r="B2105">
        <v>155.550003</v>
      </c>
      <c r="C2105">
        <v>156.61999499999999</v>
      </c>
      <c r="D2105">
        <v>153.94000199999999</v>
      </c>
      <c r="E2105">
        <v>154.78999300000001</v>
      </c>
      <c r="F2105">
        <v>147.99247700000001</v>
      </c>
      <c r="G2105">
        <v>7447400</v>
      </c>
      <c r="I2105">
        <f t="shared" si="33"/>
        <v>1.3786047843279258E-4</v>
      </c>
    </row>
    <row r="2106" spans="1:9" x14ac:dyDescent="0.3">
      <c r="A2106" s="5">
        <v>44692</v>
      </c>
      <c r="B2106">
        <v>154.029999</v>
      </c>
      <c r="C2106">
        <v>155.89999399999999</v>
      </c>
      <c r="D2106">
        <v>152.35000600000001</v>
      </c>
      <c r="E2106">
        <v>152.61000100000001</v>
      </c>
      <c r="F2106">
        <v>145.90821800000001</v>
      </c>
      <c r="G2106">
        <v>7692200</v>
      </c>
      <c r="I2106">
        <f t="shared" si="33"/>
        <v>2.7608528760143304E-4</v>
      </c>
    </row>
    <row r="2107" spans="1:9" x14ac:dyDescent="0.3">
      <c r="A2107" s="5">
        <v>44693</v>
      </c>
      <c r="B2107">
        <v>153.520004</v>
      </c>
      <c r="C2107">
        <v>153.61000100000001</v>
      </c>
      <c r="D2107">
        <v>149.88000500000001</v>
      </c>
      <c r="E2107">
        <v>151.990005</v>
      </c>
      <c r="F2107">
        <v>145.31544500000001</v>
      </c>
      <c r="G2107">
        <v>9600800</v>
      </c>
      <c r="I2107">
        <f t="shared" si="33"/>
        <v>3.4166980199010509E-4</v>
      </c>
    </row>
    <row r="2108" spans="1:9" x14ac:dyDescent="0.3">
      <c r="A2108" s="5">
        <v>44694</v>
      </c>
      <c r="B2108">
        <v>152.58000200000001</v>
      </c>
      <c r="C2108">
        <v>153.729996</v>
      </c>
      <c r="D2108">
        <v>150.41999799999999</v>
      </c>
      <c r="E2108">
        <v>153.61999499999999</v>
      </c>
      <c r="F2108">
        <v>146.87387100000001</v>
      </c>
      <c r="G2108">
        <v>5675500</v>
      </c>
      <c r="I2108">
        <f t="shared" si="33"/>
        <v>3.0550806030070482E-4</v>
      </c>
    </row>
    <row r="2109" spans="1:9" x14ac:dyDescent="0.3">
      <c r="A2109" s="5">
        <v>44697</v>
      </c>
      <c r="B2109">
        <v>153.470001</v>
      </c>
      <c r="C2109">
        <v>155.89999399999999</v>
      </c>
      <c r="D2109">
        <v>152.029999</v>
      </c>
      <c r="E2109">
        <v>155.11999499999999</v>
      </c>
      <c r="F2109">
        <v>148.30798300000001</v>
      </c>
      <c r="G2109">
        <v>5971000</v>
      </c>
      <c r="I2109">
        <f t="shared" si="33"/>
        <v>2.6848249627968782E-4</v>
      </c>
    </row>
    <row r="2110" spans="1:9" x14ac:dyDescent="0.3">
      <c r="A2110" s="5">
        <v>44698</v>
      </c>
      <c r="B2110">
        <v>155.13000500000001</v>
      </c>
      <c r="C2110">
        <v>156.75</v>
      </c>
      <c r="D2110">
        <v>153.070007</v>
      </c>
      <c r="E2110">
        <v>154.679993</v>
      </c>
      <c r="F2110">
        <v>147.887283</v>
      </c>
      <c r="G2110">
        <v>6509100</v>
      </c>
      <c r="I2110">
        <f t="shared" si="33"/>
        <v>2.7797579290613048E-4</v>
      </c>
    </row>
    <row r="2111" spans="1:9" x14ac:dyDescent="0.3">
      <c r="A2111" s="5">
        <v>44699</v>
      </c>
      <c r="B2111">
        <v>154.66999799999999</v>
      </c>
      <c r="C2111">
        <v>154.759995</v>
      </c>
      <c r="D2111">
        <v>144.53999300000001</v>
      </c>
      <c r="E2111">
        <v>145.03999300000001</v>
      </c>
      <c r="F2111">
        <v>138.67063899999999</v>
      </c>
      <c r="G2111">
        <v>9670700</v>
      </c>
      <c r="I2111">
        <f t="shared" si="33"/>
        <v>2.7164907091814088E-4</v>
      </c>
    </row>
    <row r="2112" spans="1:9" x14ac:dyDescent="0.3">
      <c r="A2112" s="5">
        <v>44700</v>
      </c>
      <c r="B2112">
        <v>143.41000399999999</v>
      </c>
      <c r="C2112">
        <v>143.41999799999999</v>
      </c>
      <c r="D2112">
        <v>140.60000600000001</v>
      </c>
      <c r="E2112">
        <v>141.699997</v>
      </c>
      <c r="F2112">
        <v>135.47730999999999</v>
      </c>
      <c r="G2112">
        <v>9694100</v>
      </c>
      <c r="I2112">
        <f t="shared" si="33"/>
        <v>1.5505590374229199E-4</v>
      </c>
    </row>
    <row r="2113" spans="1:9" x14ac:dyDescent="0.3">
      <c r="A2113" s="5">
        <v>44701</v>
      </c>
      <c r="B2113">
        <v>142.14999399999999</v>
      </c>
      <c r="C2113">
        <v>142.449997</v>
      </c>
      <c r="D2113">
        <v>139.179993</v>
      </c>
      <c r="E2113">
        <v>141.78999300000001</v>
      </c>
      <c r="F2113">
        <v>135.563354</v>
      </c>
      <c r="G2113">
        <v>7786900</v>
      </c>
      <c r="I2113">
        <f t="shared" si="33"/>
        <v>4.020829674117442E-4</v>
      </c>
    </row>
    <row r="2114" spans="1:9" x14ac:dyDescent="0.3">
      <c r="A2114" s="5">
        <v>44704</v>
      </c>
      <c r="B2114">
        <v>142.83999600000001</v>
      </c>
      <c r="C2114">
        <v>145.63000500000001</v>
      </c>
      <c r="D2114">
        <v>142.08000200000001</v>
      </c>
      <c r="E2114">
        <v>145.050003</v>
      </c>
      <c r="F2114">
        <v>138.68022199999999</v>
      </c>
      <c r="G2114">
        <v>7134500</v>
      </c>
      <c r="I2114">
        <f t="shared" si="33"/>
        <v>1.8756338979261178E-4</v>
      </c>
    </row>
    <row r="2115" spans="1:9" x14ac:dyDescent="0.3">
      <c r="A2115" s="5">
        <v>44705</v>
      </c>
      <c r="B2115">
        <v>144.88999899999999</v>
      </c>
      <c r="C2115">
        <v>147.94000199999999</v>
      </c>
      <c r="D2115">
        <v>144.820007</v>
      </c>
      <c r="E2115">
        <v>147.63000500000001</v>
      </c>
      <c r="F2115">
        <v>141.14692700000001</v>
      </c>
      <c r="G2115">
        <v>7207400</v>
      </c>
      <c r="I2115">
        <f t="shared" si="33"/>
        <v>5.2983266924115424E-5</v>
      </c>
    </row>
    <row r="2116" spans="1:9" x14ac:dyDescent="0.3">
      <c r="A2116" s="5">
        <v>44706</v>
      </c>
      <c r="B2116">
        <v>147.11000100000001</v>
      </c>
      <c r="C2116">
        <v>147.13999899999999</v>
      </c>
      <c r="D2116">
        <v>143.5</v>
      </c>
      <c r="E2116">
        <v>145.21000699999999</v>
      </c>
      <c r="F2116">
        <v>138.833191</v>
      </c>
      <c r="G2116">
        <v>8217800</v>
      </c>
      <c r="I2116">
        <f t="shared" si="33"/>
        <v>2.9701242733150025E-4</v>
      </c>
    </row>
    <row r="2117" spans="1:9" x14ac:dyDescent="0.3">
      <c r="A2117" s="5">
        <v>44707</v>
      </c>
      <c r="B2117">
        <v>146.479996</v>
      </c>
      <c r="C2117">
        <v>147.38000500000001</v>
      </c>
      <c r="D2117">
        <v>145.03999300000001</v>
      </c>
      <c r="E2117">
        <v>146.479996</v>
      </c>
      <c r="F2117">
        <v>140.04740899999999</v>
      </c>
      <c r="G2117">
        <v>5702600</v>
      </c>
      <c r="I2117">
        <f t="shared" si="33"/>
        <v>1.3512274396320818E-4</v>
      </c>
    </row>
    <row r="2118" spans="1:9" x14ac:dyDescent="0.3">
      <c r="A2118" s="5">
        <v>44708</v>
      </c>
      <c r="B2118">
        <v>146.970001</v>
      </c>
      <c r="C2118">
        <v>148.720001</v>
      </c>
      <c r="D2118">
        <v>146.63000500000001</v>
      </c>
      <c r="E2118">
        <v>148.720001</v>
      </c>
      <c r="F2118">
        <v>142.189041</v>
      </c>
      <c r="G2118">
        <v>6028800</v>
      </c>
      <c r="I2118">
        <f t="shared" si="33"/>
        <v>3.277884548768389E-5</v>
      </c>
    </row>
    <row r="2119" spans="1:9" x14ac:dyDescent="0.3">
      <c r="A2119" s="5">
        <v>44712</v>
      </c>
      <c r="B2119">
        <v>147.28999300000001</v>
      </c>
      <c r="C2119">
        <v>148.990005</v>
      </c>
      <c r="D2119">
        <v>146.16000399999999</v>
      </c>
      <c r="E2119">
        <v>147.88000500000001</v>
      </c>
      <c r="F2119">
        <v>141.385941</v>
      </c>
      <c r="G2119">
        <v>12416700</v>
      </c>
      <c r="I2119">
        <f t="shared" si="33"/>
        <v>1.7591792300052051E-4</v>
      </c>
    </row>
    <row r="2120" spans="1:9" x14ac:dyDescent="0.3">
      <c r="A2120" s="5">
        <v>44713</v>
      </c>
      <c r="B2120">
        <v>148</v>
      </c>
      <c r="C2120">
        <v>148.11999499999999</v>
      </c>
      <c r="D2120">
        <v>144.71000699999999</v>
      </c>
      <c r="E2120">
        <v>145.63999899999999</v>
      </c>
      <c r="F2120">
        <v>139.244293</v>
      </c>
      <c r="G2120">
        <v>7036000</v>
      </c>
      <c r="I2120">
        <f t="shared" si="33"/>
        <v>1.576949746706138E-4</v>
      </c>
    </row>
    <row r="2121" spans="1:9" x14ac:dyDescent="0.3">
      <c r="A2121" s="5">
        <v>44714</v>
      </c>
      <c r="B2121">
        <v>145.970001</v>
      </c>
      <c r="C2121">
        <v>147.259995</v>
      </c>
      <c r="D2121">
        <v>142.63000500000001</v>
      </c>
      <c r="E2121">
        <v>147.21000699999999</v>
      </c>
      <c r="F2121">
        <v>140.745361</v>
      </c>
      <c r="G2121">
        <v>6479800</v>
      </c>
      <c r="I2121">
        <f t="shared" si="33"/>
        <v>7.345851550389803E-4</v>
      </c>
    </row>
    <row r="2122" spans="1:9" x14ac:dyDescent="0.3">
      <c r="A2122" s="5">
        <v>44715</v>
      </c>
      <c r="B2122">
        <v>146.36000100000001</v>
      </c>
      <c r="C2122">
        <v>147.21000699999999</v>
      </c>
      <c r="D2122">
        <v>145.11999499999999</v>
      </c>
      <c r="E2122">
        <v>145.88999899999999</v>
      </c>
      <c r="F2122">
        <v>139.48332199999999</v>
      </c>
      <c r="G2122">
        <v>4720700</v>
      </c>
      <c r="I2122">
        <f t="shared" si="33"/>
        <v>9.7185749903522429E-5</v>
      </c>
    </row>
    <row r="2123" spans="1:9" x14ac:dyDescent="0.3">
      <c r="A2123" s="5">
        <v>44718</v>
      </c>
      <c r="B2123">
        <v>147.36999499999999</v>
      </c>
      <c r="C2123">
        <v>147.63999899999999</v>
      </c>
      <c r="D2123">
        <v>144.58999600000001</v>
      </c>
      <c r="E2123">
        <v>145.320007</v>
      </c>
      <c r="F2123">
        <v>138.93836999999999</v>
      </c>
      <c r="G2123">
        <v>4751100</v>
      </c>
      <c r="I2123">
        <f t="shared" si="33"/>
        <v>1.2490165610030293E-4</v>
      </c>
    </row>
    <row r="2124" spans="1:9" x14ac:dyDescent="0.3">
      <c r="A2124" s="5">
        <v>44719</v>
      </c>
      <c r="B2124">
        <v>143.66999799999999</v>
      </c>
      <c r="C2124">
        <v>147.179993</v>
      </c>
      <c r="D2124">
        <v>143.429993</v>
      </c>
      <c r="E2124">
        <v>146.94000199999999</v>
      </c>
      <c r="F2124">
        <v>140.48719800000001</v>
      </c>
      <c r="G2124">
        <v>4918600</v>
      </c>
      <c r="I2124">
        <f t="shared" ref="I2124:I2187" si="34">LN(C2124/B2124)*(LN(C2124/B2124)-LN(E2124/B2124))+LN(D2124/B2124)*(LN(D2124/B2124)-LN(E2124/B2124))</f>
        <v>7.9812932174157215E-5</v>
      </c>
    </row>
    <row r="2125" spans="1:9" x14ac:dyDescent="0.3">
      <c r="A2125" s="5">
        <v>44720</v>
      </c>
      <c r="B2125">
        <v>146.300003</v>
      </c>
      <c r="C2125">
        <v>146.429993</v>
      </c>
      <c r="D2125">
        <v>144.990005</v>
      </c>
      <c r="E2125">
        <v>145.11000100000001</v>
      </c>
      <c r="F2125">
        <v>138.737595</v>
      </c>
      <c r="G2125">
        <v>4369600</v>
      </c>
      <c r="I2125">
        <f t="shared" si="34"/>
        <v>1.5483200559576038E-5</v>
      </c>
    </row>
    <row r="2126" spans="1:9" x14ac:dyDescent="0.3">
      <c r="A2126" s="5">
        <v>44721</v>
      </c>
      <c r="B2126">
        <v>145.41000399999999</v>
      </c>
      <c r="C2126">
        <v>146.88999899999999</v>
      </c>
      <c r="D2126">
        <v>142.33999600000001</v>
      </c>
      <c r="E2126">
        <v>142.490005</v>
      </c>
      <c r="F2126">
        <v>136.232651</v>
      </c>
      <c r="G2126">
        <v>4625700</v>
      </c>
      <c r="I2126">
        <f t="shared" si="34"/>
        <v>3.3044934859008027E-4</v>
      </c>
    </row>
    <row r="2127" spans="1:9" x14ac:dyDescent="0.3">
      <c r="A2127" s="5">
        <v>44722</v>
      </c>
      <c r="B2127">
        <v>140.88999899999999</v>
      </c>
      <c r="C2127">
        <v>143.14999399999999</v>
      </c>
      <c r="D2127">
        <v>139.449997</v>
      </c>
      <c r="E2127">
        <v>141.949997</v>
      </c>
      <c r="F2127">
        <v>135.71632399999999</v>
      </c>
      <c r="G2127">
        <v>6630800</v>
      </c>
      <c r="I2127">
        <f t="shared" si="34"/>
        <v>3.1650700671729019E-4</v>
      </c>
    </row>
    <row r="2128" spans="1:9" x14ac:dyDescent="0.3">
      <c r="A2128" s="5">
        <v>44725</v>
      </c>
      <c r="B2128">
        <v>139.5</v>
      </c>
      <c r="C2128">
        <v>140.490005</v>
      </c>
      <c r="D2128">
        <v>137.63000500000001</v>
      </c>
      <c r="E2128">
        <v>138.14999399999999</v>
      </c>
      <c r="F2128">
        <v>132.083191</v>
      </c>
      <c r="G2128">
        <v>8549500</v>
      </c>
      <c r="I2128">
        <f t="shared" si="34"/>
        <v>1.6967213735302099E-4</v>
      </c>
    </row>
    <row r="2129" spans="1:9" x14ac:dyDescent="0.3">
      <c r="A2129" s="5">
        <v>44726</v>
      </c>
      <c r="B2129">
        <v>137.509995</v>
      </c>
      <c r="C2129">
        <v>137.58000200000001</v>
      </c>
      <c r="D2129">
        <v>132.53999300000001</v>
      </c>
      <c r="E2129">
        <v>133.83999600000001</v>
      </c>
      <c r="F2129">
        <v>127.962486</v>
      </c>
      <c r="G2129">
        <v>9980200</v>
      </c>
      <c r="I2129">
        <f t="shared" si="34"/>
        <v>3.7333626184001976E-4</v>
      </c>
    </row>
    <row r="2130" spans="1:9" x14ac:dyDescent="0.3">
      <c r="A2130" s="5">
        <v>44727</v>
      </c>
      <c r="B2130">
        <v>134.44000199999999</v>
      </c>
      <c r="C2130">
        <v>134.89999399999999</v>
      </c>
      <c r="D2130">
        <v>129.5</v>
      </c>
      <c r="E2130">
        <v>132.509995</v>
      </c>
      <c r="F2130">
        <v>126.690895</v>
      </c>
      <c r="G2130">
        <v>12178100</v>
      </c>
      <c r="I2130">
        <f t="shared" si="34"/>
        <v>9.2125825184612815E-4</v>
      </c>
    </row>
    <row r="2131" spans="1:9" x14ac:dyDescent="0.3">
      <c r="A2131" s="5">
        <v>44728</v>
      </c>
      <c r="B2131">
        <v>131.029999</v>
      </c>
      <c r="C2131">
        <v>135.070007</v>
      </c>
      <c r="D2131">
        <v>130.60000600000001</v>
      </c>
      <c r="E2131">
        <v>133.320007</v>
      </c>
      <c r="F2131">
        <v>127.465317</v>
      </c>
      <c r="G2131">
        <v>9683300</v>
      </c>
      <c r="I2131">
        <f t="shared" si="34"/>
        <v>4.6376796782434369E-4</v>
      </c>
    </row>
    <row r="2132" spans="1:9" x14ac:dyDescent="0.3">
      <c r="A2132" s="5">
        <v>44729</v>
      </c>
      <c r="B2132">
        <v>132.55999800000001</v>
      </c>
      <c r="C2132">
        <v>134.259995</v>
      </c>
      <c r="D2132">
        <v>131.429993</v>
      </c>
      <c r="E2132">
        <v>132.36000100000001</v>
      </c>
      <c r="F2132">
        <v>126.54748499999999</v>
      </c>
      <c r="G2132">
        <v>17113300</v>
      </c>
      <c r="I2132">
        <f t="shared" si="34"/>
        <v>2.4198458845324489E-4</v>
      </c>
    </row>
    <row r="2133" spans="1:9" x14ac:dyDescent="0.3">
      <c r="A2133" s="5">
        <v>44733</v>
      </c>
      <c r="B2133">
        <v>134.61999499999999</v>
      </c>
      <c r="C2133">
        <v>137</v>
      </c>
      <c r="D2133">
        <v>133.429993</v>
      </c>
      <c r="E2133">
        <v>136.36999499999999</v>
      </c>
      <c r="F2133">
        <v>130.381393</v>
      </c>
      <c r="G2133">
        <v>9017000</v>
      </c>
      <c r="I2133">
        <f t="shared" si="34"/>
        <v>2.7429211655332042E-4</v>
      </c>
    </row>
    <row r="2134" spans="1:9" x14ac:dyDescent="0.3">
      <c r="A2134" s="5">
        <v>44734</v>
      </c>
      <c r="B2134">
        <v>135.679993</v>
      </c>
      <c r="C2134">
        <v>139.69000199999999</v>
      </c>
      <c r="D2134">
        <v>135.66999799999999</v>
      </c>
      <c r="E2134">
        <v>138.5</v>
      </c>
      <c r="F2134">
        <v>132.41784699999999</v>
      </c>
      <c r="G2134">
        <v>8374500</v>
      </c>
      <c r="I2134">
        <f t="shared" si="34"/>
        <v>2.5070952458357623E-4</v>
      </c>
    </row>
    <row r="2135" spans="1:9" x14ac:dyDescent="0.3">
      <c r="A2135" s="5">
        <v>44735</v>
      </c>
      <c r="B2135">
        <v>139.050003</v>
      </c>
      <c r="C2135">
        <v>142.479996</v>
      </c>
      <c r="D2135">
        <v>138.89999399999999</v>
      </c>
      <c r="E2135">
        <v>142.300003</v>
      </c>
      <c r="F2135">
        <v>136.05096399999999</v>
      </c>
      <c r="G2135">
        <v>6418300</v>
      </c>
      <c r="I2135">
        <f t="shared" si="34"/>
        <v>5.6906598610388594E-5</v>
      </c>
    </row>
    <row r="2136" spans="1:9" x14ac:dyDescent="0.3">
      <c r="A2136" s="5">
        <v>44736</v>
      </c>
      <c r="B2136">
        <v>144.199997</v>
      </c>
      <c r="C2136">
        <v>145.240005</v>
      </c>
      <c r="D2136">
        <v>143.11999499999999</v>
      </c>
      <c r="E2136">
        <v>144.35000600000001</v>
      </c>
      <c r="F2136">
        <v>138.01095599999999</v>
      </c>
      <c r="G2136">
        <v>19440600</v>
      </c>
      <c r="I2136">
        <f t="shared" si="34"/>
        <v>1.0850592167552738E-4</v>
      </c>
    </row>
    <row r="2137" spans="1:9" x14ac:dyDescent="0.3">
      <c r="A2137" s="5">
        <v>44739</v>
      </c>
      <c r="B2137">
        <v>144.11999499999999</v>
      </c>
      <c r="C2137">
        <v>144.759995</v>
      </c>
      <c r="D2137">
        <v>142.71000699999999</v>
      </c>
      <c r="E2137">
        <v>143.25</v>
      </c>
      <c r="F2137">
        <v>136.95924400000001</v>
      </c>
      <c r="G2137">
        <v>5618500</v>
      </c>
      <c r="I2137">
        <f t="shared" si="34"/>
        <v>8.3592793351267488E-5</v>
      </c>
    </row>
    <row r="2138" spans="1:9" x14ac:dyDescent="0.3">
      <c r="A2138" s="5">
        <v>44740</v>
      </c>
      <c r="B2138">
        <v>143.53999300000001</v>
      </c>
      <c r="C2138">
        <v>144.08999600000001</v>
      </c>
      <c r="D2138">
        <v>140.58000200000001</v>
      </c>
      <c r="E2138">
        <v>140.91999799999999</v>
      </c>
      <c r="F2138">
        <v>134.731583</v>
      </c>
      <c r="G2138">
        <v>6077300</v>
      </c>
      <c r="I2138">
        <f t="shared" si="34"/>
        <v>1.3541005018607901E-4</v>
      </c>
    </row>
    <row r="2139" spans="1:9" x14ac:dyDescent="0.3">
      <c r="A2139" s="5">
        <v>44741</v>
      </c>
      <c r="B2139">
        <v>141.60000600000001</v>
      </c>
      <c r="C2139">
        <v>142.86000100000001</v>
      </c>
      <c r="D2139">
        <v>141.14999399999999</v>
      </c>
      <c r="E2139">
        <v>142.199997</v>
      </c>
      <c r="F2139">
        <v>135.95538300000001</v>
      </c>
      <c r="G2139">
        <v>5174600</v>
      </c>
      <c r="I2139">
        <f t="shared" si="34"/>
        <v>6.4613702817954482E-5</v>
      </c>
    </row>
    <row r="2140" spans="1:9" x14ac:dyDescent="0.3">
      <c r="A2140" s="5">
        <v>44742</v>
      </c>
      <c r="B2140">
        <v>141.69000199999999</v>
      </c>
      <c r="C2140">
        <v>144.44000199999999</v>
      </c>
      <c r="D2140">
        <v>141.229996</v>
      </c>
      <c r="E2140">
        <v>143.78999300000001</v>
      </c>
      <c r="F2140">
        <v>137.47554</v>
      </c>
      <c r="G2140">
        <v>7410100</v>
      </c>
      <c r="I2140">
        <f t="shared" si="34"/>
        <v>1.4511746491996795E-4</v>
      </c>
    </row>
    <row r="2141" spans="1:9" x14ac:dyDescent="0.3">
      <c r="A2141" s="5">
        <v>44743</v>
      </c>
      <c r="B2141">
        <v>144.240005</v>
      </c>
      <c r="C2141">
        <v>146.25</v>
      </c>
      <c r="D2141">
        <v>143.39999399999999</v>
      </c>
      <c r="E2141">
        <v>146.11000100000001</v>
      </c>
      <c r="F2141">
        <v>139.69364899999999</v>
      </c>
      <c r="G2141">
        <v>5937200</v>
      </c>
      <c r="I2141">
        <f t="shared" si="34"/>
        <v>1.2260313086264661E-4</v>
      </c>
    </row>
    <row r="2142" spans="1:9" x14ac:dyDescent="0.3">
      <c r="A2142" s="5">
        <v>44747</v>
      </c>
      <c r="B2142">
        <v>144.58000200000001</v>
      </c>
      <c r="C2142">
        <v>146.10000600000001</v>
      </c>
      <c r="D2142">
        <v>142.53999300000001</v>
      </c>
      <c r="E2142">
        <v>144.699997</v>
      </c>
      <c r="F2142">
        <v>138.34558100000001</v>
      </c>
      <c r="G2142">
        <v>5760900</v>
      </c>
      <c r="I2142">
        <f t="shared" si="34"/>
        <v>3.1442512770811211E-4</v>
      </c>
    </row>
    <row r="2143" spans="1:9" x14ac:dyDescent="0.3">
      <c r="A2143" s="5">
        <v>44748</v>
      </c>
      <c r="B2143">
        <v>145.509995</v>
      </c>
      <c r="C2143">
        <v>147.490005</v>
      </c>
      <c r="D2143">
        <v>144.970001</v>
      </c>
      <c r="E2143">
        <v>146.050003</v>
      </c>
      <c r="F2143">
        <v>139.63632200000001</v>
      </c>
      <c r="G2143">
        <v>5485200</v>
      </c>
      <c r="I2143">
        <f t="shared" si="34"/>
        <v>1.6020216718011488E-4</v>
      </c>
    </row>
    <row r="2144" spans="1:9" x14ac:dyDescent="0.3">
      <c r="A2144" s="5">
        <v>44749</v>
      </c>
      <c r="B2144">
        <v>145.28999300000001</v>
      </c>
      <c r="C2144">
        <v>146.19000199999999</v>
      </c>
      <c r="D2144">
        <v>144.60000600000001</v>
      </c>
      <c r="E2144">
        <v>146</v>
      </c>
      <c r="F2144">
        <v>139.58850100000001</v>
      </c>
      <c r="G2144">
        <v>6623400</v>
      </c>
      <c r="I2144">
        <f t="shared" si="34"/>
        <v>5.3898638580478784E-5</v>
      </c>
    </row>
    <row r="2145" spans="1:9" x14ac:dyDescent="0.3">
      <c r="A2145" s="5">
        <v>44750</v>
      </c>
      <c r="B2145">
        <v>145.990005</v>
      </c>
      <c r="C2145">
        <v>146.80999800000001</v>
      </c>
      <c r="D2145">
        <v>144.570007</v>
      </c>
      <c r="E2145">
        <v>145.020004</v>
      </c>
      <c r="F2145">
        <v>138.651535</v>
      </c>
      <c r="G2145">
        <v>4294200</v>
      </c>
      <c r="I2145">
        <f t="shared" si="34"/>
        <v>9.9087939085462789E-5</v>
      </c>
    </row>
    <row r="2146" spans="1:9" x14ac:dyDescent="0.3">
      <c r="A2146" s="5">
        <v>44753</v>
      </c>
      <c r="B2146">
        <v>145.14999399999999</v>
      </c>
      <c r="C2146">
        <v>146.58000200000001</v>
      </c>
      <c r="D2146">
        <v>144.679993</v>
      </c>
      <c r="E2146">
        <v>146.03999300000001</v>
      </c>
      <c r="F2146">
        <v>139.626755</v>
      </c>
      <c r="G2146">
        <v>5482900</v>
      </c>
      <c r="I2146">
        <f t="shared" si="34"/>
        <v>6.6528859628632421E-5</v>
      </c>
    </row>
    <row r="2147" spans="1:9" x14ac:dyDescent="0.3">
      <c r="A2147" s="5">
        <v>44754</v>
      </c>
      <c r="B2147">
        <v>145.86000100000001</v>
      </c>
      <c r="C2147">
        <v>146.91999799999999</v>
      </c>
      <c r="D2147">
        <v>144.36999499999999</v>
      </c>
      <c r="E2147">
        <v>144.75</v>
      </c>
      <c r="F2147">
        <v>138.39338699999999</v>
      </c>
      <c r="G2147">
        <v>5204400</v>
      </c>
      <c r="I2147">
        <f t="shared" si="34"/>
        <v>1.3473701230179953E-4</v>
      </c>
    </row>
    <row r="2148" spans="1:9" x14ac:dyDescent="0.3">
      <c r="A2148" s="5">
        <v>44755</v>
      </c>
      <c r="B2148">
        <v>144.41000399999999</v>
      </c>
      <c r="C2148">
        <v>146.96000699999999</v>
      </c>
      <c r="D2148">
        <v>144.21000699999999</v>
      </c>
      <c r="E2148">
        <v>145.699997</v>
      </c>
      <c r="F2148">
        <v>139.301682</v>
      </c>
      <c r="G2148">
        <v>5075600</v>
      </c>
      <c r="I2148">
        <f t="shared" si="34"/>
        <v>1.6496885111731726E-4</v>
      </c>
    </row>
    <row r="2149" spans="1:9" x14ac:dyDescent="0.3">
      <c r="A2149" s="5">
        <v>44756</v>
      </c>
      <c r="B2149">
        <v>143.759995</v>
      </c>
      <c r="C2149">
        <v>145.529999</v>
      </c>
      <c r="D2149">
        <v>143.470001</v>
      </c>
      <c r="E2149">
        <v>145.270004</v>
      </c>
      <c r="F2149">
        <v>138.89054899999999</v>
      </c>
      <c r="G2149">
        <v>4867000</v>
      </c>
      <c r="I2149">
        <f t="shared" si="34"/>
        <v>4.7057755292933489E-5</v>
      </c>
    </row>
    <row r="2150" spans="1:9" x14ac:dyDescent="0.3">
      <c r="A2150" s="5">
        <v>44757</v>
      </c>
      <c r="B2150">
        <v>145.33999600000001</v>
      </c>
      <c r="C2150">
        <v>145.699997</v>
      </c>
      <c r="D2150">
        <v>144.10000600000001</v>
      </c>
      <c r="E2150">
        <v>145.070007</v>
      </c>
      <c r="F2150">
        <v>138.69935599999999</v>
      </c>
      <c r="G2150">
        <v>6264600</v>
      </c>
      <c r="I2150">
        <f t="shared" si="34"/>
        <v>6.8203480792393011E-5</v>
      </c>
    </row>
    <row r="2151" spans="1:9" x14ac:dyDescent="0.3">
      <c r="A2151" s="5">
        <v>44760</v>
      </c>
      <c r="B2151">
        <v>144.94000199999999</v>
      </c>
      <c r="C2151">
        <v>145.08999600000001</v>
      </c>
      <c r="D2151">
        <v>143.16999799999999</v>
      </c>
      <c r="E2151">
        <v>143.30999800000001</v>
      </c>
      <c r="F2151">
        <v>137.01660200000001</v>
      </c>
      <c r="G2151">
        <v>6047500</v>
      </c>
      <c r="I2151">
        <f t="shared" si="34"/>
        <v>2.477716776657074E-5</v>
      </c>
    </row>
    <row r="2152" spans="1:9" x14ac:dyDescent="0.3">
      <c r="A2152" s="5">
        <v>44761</v>
      </c>
      <c r="B2152">
        <v>144.570007</v>
      </c>
      <c r="C2152">
        <v>145.009995</v>
      </c>
      <c r="D2152">
        <v>143.63999899999999</v>
      </c>
      <c r="E2152">
        <v>144.03999300000001</v>
      </c>
      <c r="F2152">
        <v>137.71455399999999</v>
      </c>
      <c r="G2152">
        <v>5943600</v>
      </c>
      <c r="I2152">
        <f t="shared" si="34"/>
        <v>3.8342121471582704E-5</v>
      </c>
    </row>
    <row r="2153" spans="1:9" x14ac:dyDescent="0.3">
      <c r="A2153" s="5">
        <v>44762</v>
      </c>
      <c r="B2153">
        <v>144</v>
      </c>
      <c r="C2153">
        <v>144.220001</v>
      </c>
      <c r="D2153">
        <v>140.63999899999999</v>
      </c>
      <c r="E2153">
        <v>141.550003</v>
      </c>
      <c r="F2153">
        <v>135.33390800000001</v>
      </c>
      <c r="G2153">
        <v>8635300</v>
      </c>
      <c r="I2153">
        <f t="shared" si="34"/>
        <v>1.8080212702761218E-4</v>
      </c>
    </row>
    <row r="2154" spans="1:9" x14ac:dyDescent="0.3">
      <c r="A2154" s="5">
        <v>44763</v>
      </c>
      <c r="B2154">
        <v>140.60000600000001</v>
      </c>
      <c r="C2154">
        <v>141.36000100000001</v>
      </c>
      <c r="D2154">
        <v>138.949997</v>
      </c>
      <c r="E2154">
        <v>140.770004</v>
      </c>
      <c r="F2154">
        <v>135.46189899999999</v>
      </c>
      <c r="G2154">
        <v>8310200</v>
      </c>
      <c r="I2154">
        <f t="shared" si="34"/>
        <v>1.7616673880861304E-4</v>
      </c>
    </row>
    <row r="2155" spans="1:9" x14ac:dyDescent="0.3">
      <c r="A2155" s="5">
        <v>44764</v>
      </c>
      <c r="B2155">
        <v>140.759995</v>
      </c>
      <c r="C2155">
        <v>143.16999799999999</v>
      </c>
      <c r="D2155">
        <v>140.66999799999999</v>
      </c>
      <c r="E2155">
        <v>143.020004</v>
      </c>
      <c r="F2155">
        <v>137.62704500000001</v>
      </c>
      <c r="G2155">
        <v>5292700</v>
      </c>
      <c r="I2155">
        <f t="shared" si="34"/>
        <v>2.839118487520509E-5</v>
      </c>
    </row>
    <row r="2156" spans="1:9" x14ac:dyDescent="0.3">
      <c r="A2156" s="5">
        <v>44767</v>
      </c>
      <c r="B2156">
        <v>142.800003</v>
      </c>
      <c r="C2156">
        <v>144.41999799999999</v>
      </c>
      <c r="D2156">
        <v>142.529999</v>
      </c>
      <c r="E2156">
        <v>143.990005</v>
      </c>
      <c r="F2156">
        <v>138.56045499999999</v>
      </c>
      <c r="G2156">
        <v>5262100</v>
      </c>
      <c r="I2156">
        <f t="shared" si="34"/>
        <v>5.2924785270008304E-5</v>
      </c>
    </row>
    <row r="2157" spans="1:9" x14ac:dyDescent="0.3">
      <c r="A2157" s="5">
        <v>44768</v>
      </c>
      <c r="B2157">
        <v>142.69000199999999</v>
      </c>
      <c r="C2157">
        <v>144.490005</v>
      </c>
      <c r="D2157">
        <v>141.71000699999999</v>
      </c>
      <c r="E2157">
        <v>144.270004</v>
      </c>
      <c r="F2157">
        <v>138.829926</v>
      </c>
      <c r="G2157">
        <v>5375700</v>
      </c>
      <c r="I2157">
        <f t="shared" si="34"/>
        <v>1.4248926720164155E-4</v>
      </c>
    </row>
    <row r="2158" spans="1:9" x14ac:dyDescent="0.3">
      <c r="A2158" s="5">
        <v>44769</v>
      </c>
      <c r="B2158">
        <v>143.88000500000001</v>
      </c>
      <c r="C2158">
        <v>146.21000699999999</v>
      </c>
      <c r="D2158">
        <v>143.529999</v>
      </c>
      <c r="E2158">
        <v>145.63999899999999</v>
      </c>
      <c r="F2158">
        <v>140.14823899999999</v>
      </c>
      <c r="G2158">
        <v>5500000</v>
      </c>
      <c r="I2158">
        <f t="shared" si="34"/>
        <v>9.8294496054913771E-5</v>
      </c>
    </row>
    <row r="2159" spans="1:9" x14ac:dyDescent="0.3">
      <c r="A2159" s="5">
        <v>44770</v>
      </c>
      <c r="B2159">
        <v>146.13999899999999</v>
      </c>
      <c r="C2159">
        <v>148.61000100000001</v>
      </c>
      <c r="D2159">
        <v>145.08000200000001</v>
      </c>
      <c r="E2159">
        <v>148.05999800000001</v>
      </c>
      <c r="F2159">
        <v>142.47700499999999</v>
      </c>
      <c r="G2159">
        <v>7115700</v>
      </c>
      <c r="I2159">
        <f t="shared" si="34"/>
        <v>2.1015826736294911E-4</v>
      </c>
    </row>
    <row r="2160" spans="1:9" x14ac:dyDescent="0.3">
      <c r="A2160" s="5">
        <v>44771</v>
      </c>
      <c r="B2160">
        <v>141.429993</v>
      </c>
      <c r="C2160">
        <v>142.5</v>
      </c>
      <c r="D2160">
        <v>138.229996</v>
      </c>
      <c r="E2160">
        <v>138.91000399999999</v>
      </c>
      <c r="F2160">
        <v>133.67202800000001</v>
      </c>
      <c r="G2160">
        <v>18694700</v>
      </c>
      <c r="I2160">
        <f t="shared" si="34"/>
        <v>3.0462480654850217E-4</v>
      </c>
    </row>
    <row r="2161" spans="1:9" x14ac:dyDescent="0.3">
      <c r="A2161" s="5">
        <v>44774</v>
      </c>
      <c r="B2161">
        <v>138.33999600000001</v>
      </c>
      <c r="C2161">
        <v>143.94000199999999</v>
      </c>
      <c r="D2161">
        <v>138.270004</v>
      </c>
      <c r="E2161">
        <v>142.89999399999999</v>
      </c>
      <c r="F2161">
        <v>137.51156599999999</v>
      </c>
      <c r="G2161">
        <v>12590000</v>
      </c>
      <c r="I2161">
        <f t="shared" si="34"/>
        <v>3.0442418316044202E-4</v>
      </c>
    </row>
    <row r="2162" spans="1:9" x14ac:dyDescent="0.3">
      <c r="A2162" s="5">
        <v>44775</v>
      </c>
      <c r="B2162">
        <v>143.11000100000001</v>
      </c>
      <c r="C2162">
        <v>143.720001</v>
      </c>
      <c r="D2162">
        <v>141.770004</v>
      </c>
      <c r="E2162">
        <v>141.949997</v>
      </c>
      <c r="F2162">
        <v>136.59738200000001</v>
      </c>
      <c r="G2162">
        <v>7495000</v>
      </c>
      <c r="I2162">
        <f t="shared" si="34"/>
        <v>6.4644879982417704E-5</v>
      </c>
    </row>
    <row r="2163" spans="1:9" x14ac:dyDescent="0.3">
      <c r="A2163" s="5">
        <v>44776</v>
      </c>
      <c r="B2163">
        <v>141.66000399999999</v>
      </c>
      <c r="C2163">
        <v>145.270004</v>
      </c>
      <c r="D2163">
        <v>140.91000399999999</v>
      </c>
      <c r="E2163">
        <v>144.88000500000001</v>
      </c>
      <c r="F2163">
        <v>139.41691599999999</v>
      </c>
      <c r="G2163">
        <v>6811000</v>
      </c>
      <c r="I2163">
        <f t="shared" si="34"/>
        <v>2.1513980154444959E-4</v>
      </c>
    </row>
    <row r="2164" spans="1:9" x14ac:dyDescent="0.3">
      <c r="A2164" s="5">
        <v>44777</v>
      </c>
      <c r="B2164">
        <v>144.85000600000001</v>
      </c>
      <c r="C2164">
        <v>146.46000699999999</v>
      </c>
      <c r="D2164">
        <v>144.009995</v>
      </c>
      <c r="E2164">
        <v>144.64999399999999</v>
      </c>
      <c r="F2164">
        <v>139.19558699999999</v>
      </c>
      <c r="G2164">
        <v>6124700</v>
      </c>
      <c r="I2164">
        <f t="shared" si="34"/>
        <v>1.6324656019542418E-4</v>
      </c>
    </row>
    <row r="2165" spans="1:9" x14ac:dyDescent="0.3">
      <c r="A2165" s="5">
        <v>44778</v>
      </c>
      <c r="B2165">
        <v>143.75</v>
      </c>
      <c r="C2165">
        <v>144.83999600000001</v>
      </c>
      <c r="D2165">
        <v>142.770004</v>
      </c>
      <c r="E2165">
        <v>144.720001</v>
      </c>
      <c r="F2165">
        <v>139.26293899999999</v>
      </c>
      <c r="G2165">
        <v>4580300</v>
      </c>
      <c r="I2165">
        <f t="shared" si="34"/>
        <v>9.9061002560653626E-5</v>
      </c>
    </row>
    <row r="2166" spans="1:9" x14ac:dyDescent="0.3">
      <c r="A2166" s="5">
        <v>44781</v>
      </c>
      <c r="B2166">
        <v>145.029999</v>
      </c>
      <c r="C2166">
        <v>146.470001</v>
      </c>
      <c r="D2166">
        <v>144.729996</v>
      </c>
      <c r="E2166">
        <v>145.270004</v>
      </c>
      <c r="F2166">
        <v>139.79220599999999</v>
      </c>
      <c r="G2166">
        <v>4486800</v>
      </c>
      <c r="I2166">
        <f t="shared" si="34"/>
        <v>8.8990011595744913E-5</v>
      </c>
    </row>
    <row r="2167" spans="1:9" x14ac:dyDescent="0.3">
      <c r="A2167" s="5">
        <v>44782</v>
      </c>
      <c r="B2167">
        <v>145.570007</v>
      </c>
      <c r="C2167">
        <v>145.94000199999999</v>
      </c>
      <c r="D2167">
        <v>144.490005</v>
      </c>
      <c r="E2167">
        <v>144.929993</v>
      </c>
      <c r="F2167">
        <v>139.46502699999999</v>
      </c>
      <c r="G2167">
        <v>3977300</v>
      </c>
      <c r="I2167">
        <f t="shared" si="34"/>
        <v>4.0270941350095901E-5</v>
      </c>
    </row>
    <row r="2168" spans="1:9" x14ac:dyDescent="0.3">
      <c r="A2168" s="5">
        <v>44783</v>
      </c>
      <c r="B2168">
        <v>145.88999899999999</v>
      </c>
      <c r="C2168">
        <v>146.5</v>
      </c>
      <c r="D2168">
        <v>145.38999899999999</v>
      </c>
      <c r="E2168">
        <v>146.300003</v>
      </c>
      <c r="F2168">
        <v>140.78338600000001</v>
      </c>
      <c r="G2168">
        <v>4641300</v>
      </c>
      <c r="I2168">
        <f t="shared" si="34"/>
        <v>2.7121239395948404E-5</v>
      </c>
    </row>
    <row r="2169" spans="1:9" x14ac:dyDescent="0.3">
      <c r="A2169" s="5">
        <v>44784</v>
      </c>
      <c r="B2169">
        <v>146.80999800000001</v>
      </c>
      <c r="C2169">
        <v>147.28999300000001</v>
      </c>
      <c r="D2169">
        <v>144.929993</v>
      </c>
      <c r="E2169">
        <v>145.259995</v>
      </c>
      <c r="F2169">
        <v>139.782578</v>
      </c>
      <c r="G2169">
        <v>5954300</v>
      </c>
      <c r="I2169">
        <f t="shared" si="34"/>
        <v>7.4613874586091034E-5</v>
      </c>
    </row>
    <row r="2170" spans="1:9" x14ac:dyDescent="0.3">
      <c r="A2170" s="5">
        <v>44785</v>
      </c>
      <c r="B2170">
        <v>145.91000399999999</v>
      </c>
      <c r="C2170">
        <v>146.729996</v>
      </c>
      <c r="D2170">
        <v>144.96000699999999</v>
      </c>
      <c r="E2170">
        <v>146.66999799999999</v>
      </c>
      <c r="F2170">
        <v>141.13943499999999</v>
      </c>
      <c r="G2170">
        <v>5038700</v>
      </c>
      <c r="I2170">
        <f t="shared" si="34"/>
        <v>7.8895990255816714E-5</v>
      </c>
    </row>
    <row r="2171" spans="1:9" x14ac:dyDescent="0.3">
      <c r="A2171" s="5">
        <v>44788</v>
      </c>
      <c r="B2171">
        <v>146.86999499999999</v>
      </c>
      <c r="C2171">
        <v>148.770004</v>
      </c>
      <c r="D2171">
        <v>146.75</v>
      </c>
      <c r="E2171">
        <v>148.55999800000001</v>
      </c>
      <c r="F2171">
        <v>142.95815999999999</v>
      </c>
      <c r="G2171">
        <v>6008000</v>
      </c>
      <c r="I2171">
        <f t="shared" si="34"/>
        <v>2.8176736564313759E-5</v>
      </c>
    </row>
    <row r="2172" spans="1:9" x14ac:dyDescent="0.3">
      <c r="A2172" s="5">
        <v>44789</v>
      </c>
      <c r="B2172">
        <v>148.36000100000001</v>
      </c>
      <c r="C2172">
        <v>150.60000600000001</v>
      </c>
      <c r="D2172">
        <v>148.36000100000001</v>
      </c>
      <c r="E2172">
        <v>149.929993</v>
      </c>
      <c r="F2172">
        <v>144.27647400000001</v>
      </c>
      <c r="G2172">
        <v>7093000</v>
      </c>
      <c r="I2172">
        <f t="shared" si="34"/>
        <v>6.6819024372223978E-5</v>
      </c>
    </row>
    <row r="2173" spans="1:9" x14ac:dyDescent="0.3">
      <c r="A2173" s="5">
        <v>44790</v>
      </c>
      <c r="B2173">
        <v>149.10000600000001</v>
      </c>
      <c r="C2173">
        <v>149.75</v>
      </c>
      <c r="D2173">
        <v>148.88000500000001</v>
      </c>
      <c r="E2173">
        <v>149.240005</v>
      </c>
      <c r="F2173">
        <v>143.61251799999999</v>
      </c>
      <c r="G2173">
        <v>4834600</v>
      </c>
      <c r="I2173">
        <f t="shared" si="34"/>
        <v>1.840597310926216E-5</v>
      </c>
    </row>
    <row r="2174" spans="1:9" x14ac:dyDescent="0.3">
      <c r="A2174" s="5">
        <v>44791</v>
      </c>
      <c r="B2174">
        <v>148.86999499999999</v>
      </c>
      <c r="C2174">
        <v>149.990005</v>
      </c>
      <c r="D2174">
        <v>148.520004</v>
      </c>
      <c r="E2174">
        <v>149.770004</v>
      </c>
      <c r="F2174">
        <v>144.12252799999999</v>
      </c>
      <c r="G2174">
        <v>3829000</v>
      </c>
      <c r="I2174">
        <f t="shared" si="34"/>
        <v>3.072904641880328E-5</v>
      </c>
    </row>
    <row r="2175" spans="1:9" x14ac:dyDescent="0.3">
      <c r="A2175" s="5">
        <v>44792</v>
      </c>
      <c r="B2175">
        <v>149.21000699999999</v>
      </c>
      <c r="C2175">
        <v>150.63000500000001</v>
      </c>
      <c r="D2175">
        <v>148.720001</v>
      </c>
      <c r="E2175">
        <v>149.729996</v>
      </c>
      <c r="F2175">
        <v>144.08403000000001</v>
      </c>
      <c r="G2175">
        <v>6502500</v>
      </c>
      <c r="I2175">
        <f t="shared" si="34"/>
        <v>7.9026948397395338E-5</v>
      </c>
    </row>
    <row r="2176" spans="1:9" x14ac:dyDescent="0.3">
      <c r="A2176" s="5">
        <v>44795</v>
      </c>
      <c r="B2176">
        <v>148.979996</v>
      </c>
      <c r="C2176">
        <v>150.13000500000001</v>
      </c>
      <c r="D2176">
        <v>148.83999600000001</v>
      </c>
      <c r="E2176">
        <v>149.33000200000001</v>
      </c>
      <c r="F2176">
        <v>143.69911200000001</v>
      </c>
      <c r="G2176">
        <v>6380700</v>
      </c>
      <c r="I2176">
        <f t="shared" si="34"/>
        <v>4.4175376938484924E-5</v>
      </c>
    </row>
    <row r="2177" spans="1:9" x14ac:dyDescent="0.3">
      <c r="A2177" s="5">
        <v>44796</v>
      </c>
      <c r="B2177">
        <v>148.429993</v>
      </c>
      <c r="C2177">
        <v>148.44000199999999</v>
      </c>
      <c r="D2177">
        <v>145.83000200000001</v>
      </c>
      <c r="E2177">
        <v>146.449997</v>
      </c>
      <c r="F2177">
        <v>140.927719</v>
      </c>
      <c r="G2177">
        <v>5268200</v>
      </c>
      <c r="I2177">
        <f t="shared" si="34"/>
        <v>7.5882533435870226E-5</v>
      </c>
    </row>
    <row r="2178" spans="1:9" x14ac:dyDescent="0.3">
      <c r="A2178" s="5">
        <v>44797</v>
      </c>
      <c r="B2178">
        <v>146.61000100000001</v>
      </c>
      <c r="C2178">
        <v>147.259995</v>
      </c>
      <c r="D2178">
        <v>145.11999499999999</v>
      </c>
      <c r="E2178">
        <v>145.820007</v>
      </c>
      <c r="F2178">
        <v>140.32148699999999</v>
      </c>
      <c r="G2178">
        <v>5903200</v>
      </c>
      <c r="I2178">
        <f t="shared" si="34"/>
        <v>9.2625800301856539E-5</v>
      </c>
    </row>
    <row r="2179" spans="1:9" x14ac:dyDescent="0.3">
      <c r="A2179" s="5">
        <v>44798</v>
      </c>
      <c r="B2179">
        <v>145.229996</v>
      </c>
      <c r="C2179">
        <v>145.779999</v>
      </c>
      <c r="D2179">
        <v>144.490005</v>
      </c>
      <c r="E2179">
        <v>145.699997</v>
      </c>
      <c r="F2179">
        <v>140.20600899999999</v>
      </c>
      <c r="G2179">
        <v>5097600</v>
      </c>
      <c r="I2179">
        <f t="shared" si="34"/>
        <v>4.4675143260711984E-5</v>
      </c>
    </row>
    <row r="2180" spans="1:9" x14ac:dyDescent="0.3">
      <c r="A2180" s="5">
        <v>44799</v>
      </c>
      <c r="B2180">
        <v>146</v>
      </c>
      <c r="C2180">
        <v>146.529999</v>
      </c>
      <c r="D2180">
        <v>142.020004</v>
      </c>
      <c r="E2180">
        <v>142.28999300000001</v>
      </c>
      <c r="F2180">
        <v>136.92454499999999</v>
      </c>
      <c r="G2180">
        <v>6086600</v>
      </c>
      <c r="I2180">
        <f t="shared" si="34"/>
        <v>1.5889154151860945E-4</v>
      </c>
    </row>
    <row r="2181" spans="1:9" x14ac:dyDescent="0.3">
      <c r="A2181" s="5">
        <v>44802</v>
      </c>
      <c r="B2181">
        <v>141.300003</v>
      </c>
      <c r="C2181">
        <v>142.69000199999999</v>
      </c>
      <c r="D2181">
        <v>141.020004</v>
      </c>
      <c r="E2181">
        <v>141.69000199999999</v>
      </c>
      <c r="F2181">
        <v>136.34721400000001</v>
      </c>
      <c r="G2181">
        <v>5272100</v>
      </c>
      <c r="I2181">
        <f t="shared" si="34"/>
        <v>7.8247564733288275E-5</v>
      </c>
    </row>
    <row r="2182" spans="1:9" x14ac:dyDescent="0.3">
      <c r="A2182" s="5">
        <v>44803</v>
      </c>
      <c r="B2182">
        <v>142.41000399999999</v>
      </c>
      <c r="C2182">
        <v>142.41000399999999</v>
      </c>
      <c r="D2182">
        <v>139.91000399999999</v>
      </c>
      <c r="E2182">
        <v>140.179993</v>
      </c>
      <c r="F2182">
        <v>134.89413500000001</v>
      </c>
      <c r="G2182">
        <v>5203700</v>
      </c>
      <c r="I2182">
        <f t="shared" si="34"/>
        <v>3.4144306819269329E-5</v>
      </c>
    </row>
    <row r="2183" spans="1:9" x14ac:dyDescent="0.3">
      <c r="A2183" s="5">
        <v>44804</v>
      </c>
      <c r="B2183">
        <v>140.39999399999999</v>
      </c>
      <c r="C2183">
        <v>140.88000500000001</v>
      </c>
      <c r="D2183">
        <v>137.86000100000001</v>
      </c>
      <c r="E2183">
        <v>137.94000199999999</v>
      </c>
      <c r="F2183">
        <v>132.738617</v>
      </c>
      <c r="G2183">
        <v>8406900</v>
      </c>
      <c r="I2183">
        <f t="shared" si="34"/>
        <v>8.2571578856068038E-5</v>
      </c>
    </row>
    <row r="2184" spans="1:9" x14ac:dyDescent="0.3">
      <c r="A2184" s="5">
        <v>44805</v>
      </c>
      <c r="B2184">
        <v>137.83000200000001</v>
      </c>
      <c r="C2184">
        <v>139.759995</v>
      </c>
      <c r="D2184">
        <v>136.759995</v>
      </c>
      <c r="E2184">
        <v>139.63999899999999</v>
      </c>
      <c r="F2184">
        <v>134.37451200000001</v>
      </c>
      <c r="G2184">
        <v>7446500</v>
      </c>
      <c r="I2184">
        <f t="shared" si="34"/>
        <v>1.7436253006517105E-4</v>
      </c>
    </row>
    <row r="2185" spans="1:9" x14ac:dyDescent="0.3">
      <c r="A2185" s="5">
        <v>44806</v>
      </c>
      <c r="B2185">
        <v>140.41999799999999</v>
      </c>
      <c r="C2185">
        <v>141.14999399999999</v>
      </c>
      <c r="D2185">
        <v>136.550003</v>
      </c>
      <c r="E2185">
        <v>137.16000399999999</v>
      </c>
      <c r="F2185">
        <v>131.98800700000001</v>
      </c>
      <c r="G2185">
        <v>7077800</v>
      </c>
      <c r="I2185">
        <f t="shared" si="34"/>
        <v>2.7325323873599944E-4</v>
      </c>
    </row>
    <row r="2186" spans="1:9" x14ac:dyDescent="0.3">
      <c r="A2186" s="5">
        <v>44810</v>
      </c>
      <c r="B2186">
        <v>135.88000500000001</v>
      </c>
      <c r="C2186">
        <v>137.94000199999999</v>
      </c>
      <c r="D2186">
        <v>135.28999300000001</v>
      </c>
      <c r="E2186">
        <v>135.63000500000001</v>
      </c>
      <c r="F2186">
        <v>130.515717</v>
      </c>
      <c r="G2186">
        <v>8217200</v>
      </c>
      <c r="I2186">
        <f t="shared" si="34"/>
        <v>2.6503342379734148E-4</v>
      </c>
    </row>
    <row r="2187" spans="1:9" x14ac:dyDescent="0.3">
      <c r="A2187" s="5">
        <v>44811</v>
      </c>
      <c r="B2187">
        <v>136.029999</v>
      </c>
      <c r="C2187">
        <v>137.759995</v>
      </c>
      <c r="D2187">
        <v>136.020004</v>
      </c>
      <c r="E2187">
        <v>137.679993</v>
      </c>
      <c r="F2187">
        <v>132.48840300000001</v>
      </c>
      <c r="G2187">
        <v>6609400</v>
      </c>
      <c r="I2187">
        <f t="shared" si="34"/>
        <v>8.2325139116546816E-6</v>
      </c>
    </row>
    <row r="2188" spans="1:9" x14ac:dyDescent="0.3">
      <c r="A2188" s="5">
        <v>44812</v>
      </c>
      <c r="B2188">
        <v>137.009995</v>
      </c>
      <c r="C2188">
        <v>138.490005</v>
      </c>
      <c r="D2188">
        <v>136.05999800000001</v>
      </c>
      <c r="E2188">
        <v>137.86000100000001</v>
      </c>
      <c r="F2188">
        <v>132.66160600000001</v>
      </c>
      <c r="G2188">
        <v>7380500</v>
      </c>
      <c r="I2188">
        <f t="shared" ref="I2188:I2251" si="35">LN(C2188/B2188)*(LN(C2188/B2188)-LN(E2188/B2188))+LN(D2188/B2188)*(LN(D2188/B2188)-LN(E2188/B2188))</f>
        <v>1.4043445096742236E-4</v>
      </c>
    </row>
    <row r="2189" spans="1:9" x14ac:dyDescent="0.3">
      <c r="A2189" s="5">
        <v>44813</v>
      </c>
      <c r="B2189">
        <v>137.949997</v>
      </c>
      <c r="C2189">
        <v>141.08999600000001</v>
      </c>
      <c r="D2189">
        <v>137.300003</v>
      </c>
      <c r="E2189">
        <v>139.96000699999999</v>
      </c>
      <c r="F2189">
        <v>134.68244899999999</v>
      </c>
      <c r="G2189">
        <v>6434300</v>
      </c>
      <c r="I2189">
        <f t="shared" si="35"/>
        <v>2.7160722979406154E-4</v>
      </c>
    </row>
    <row r="2190" spans="1:9" x14ac:dyDescent="0.3">
      <c r="A2190" s="5">
        <v>44816</v>
      </c>
      <c r="B2190">
        <v>139.41000399999999</v>
      </c>
      <c r="C2190">
        <v>141.800003</v>
      </c>
      <c r="D2190">
        <v>139.11000100000001</v>
      </c>
      <c r="E2190">
        <v>141.10000600000001</v>
      </c>
      <c r="F2190">
        <v>135.779449</v>
      </c>
      <c r="G2190">
        <v>5818700</v>
      </c>
      <c r="I2190">
        <f t="shared" si="35"/>
        <v>1.1471943012352048E-4</v>
      </c>
    </row>
    <row r="2191" spans="1:9" x14ac:dyDescent="0.3">
      <c r="A2191" s="5">
        <v>44817</v>
      </c>
      <c r="B2191">
        <v>140.779999</v>
      </c>
      <c r="C2191">
        <v>141.429993</v>
      </c>
      <c r="D2191">
        <v>137.86000100000001</v>
      </c>
      <c r="E2191">
        <v>138.179993</v>
      </c>
      <c r="F2191">
        <v>132.969559</v>
      </c>
      <c r="G2191">
        <v>6350200</v>
      </c>
      <c r="I2191">
        <f t="shared" si="35"/>
        <v>1.5568372400513172E-4</v>
      </c>
    </row>
    <row r="2192" spans="1:9" x14ac:dyDescent="0.3">
      <c r="A2192" s="5">
        <v>44818</v>
      </c>
      <c r="B2192">
        <v>138.66000399999999</v>
      </c>
      <c r="C2192">
        <v>139.66000399999999</v>
      </c>
      <c r="D2192">
        <v>137.66999799999999</v>
      </c>
      <c r="E2192">
        <v>138.509995</v>
      </c>
      <c r="F2192">
        <v>133.28710899999999</v>
      </c>
      <c r="G2192">
        <v>6137800</v>
      </c>
      <c r="I2192">
        <f t="shared" si="35"/>
        <v>1.0300417093082087E-4</v>
      </c>
    </row>
    <row r="2193" spans="1:9" x14ac:dyDescent="0.3">
      <c r="A2193" s="5">
        <v>44819</v>
      </c>
      <c r="B2193">
        <v>138.779999</v>
      </c>
      <c r="C2193">
        <v>138.88999899999999</v>
      </c>
      <c r="D2193">
        <v>136.63999899999999</v>
      </c>
      <c r="E2193">
        <v>137.44000199999999</v>
      </c>
      <c r="F2193">
        <v>132.25744599999999</v>
      </c>
      <c r="G2193">
        <v>5320700</v>
      </c>
      <c r="I2193">
        <f t="shared" si="35"/>
        <v>9.9034981234706376E-5</v>
      </c>
    </row>
    <row r="2194" spans="1:9" x14ac:dyDescent="0.3">
      <c r="A2194" s="5">
        <v>44820</v>
      </c>
      <c r="B2194">
        <v>137.44000199999999</v>
      </c>
      <c r="C2194">
        <v>139.05999800000001</v>
      </c>
      <c r="D2194">
        <v>137.11000100000001</v>
      </c>
      <c r="E2194">
        <v>138.279999</v>
      </c>
      <c r="F2194">
        <v>133.06579600000001</v>
      </c>
      <c r="G2194">
        <v>9321500</v>
      </c>
      <c r="I2194">
        <f t="shared" si="35"/>
        <v>8.6338779488303059E-5</v>
      </c>
    </row>
    <row r="2195" spans="1:9" x14ac:dyDescent="0.3">
      <c r="A2195" s="5">
        <v>44823</v>
      </c>
      <c r="B2195">
        <v>138.199997</v>
      </c>
      <c r="C2195">
        <v>138.46000699999999</v>
      </c>
      <c r="D2195">
        <v>137.229996</v>
      </c>
      <c r="E2195">
        <v>137.990005</v>
      </c>
      <c r="F2195">
        <v>132.78671299999999</v>
      </c>
      <c r="G2195">
        <v>6056000</v>
      </c>
      <c r="I2195">
        <f t="shared" si="35"/>
        <v>4.5292434987593999E-5</v>
      </c>
    </row>
    <row r="2196" spans="1:9" x14ac:dyDescent="0.3">
      <c r="A2196" s="5">
        <v>44824</v>
      </c>
      <c r="B2196">
        <v>137.41000399999999</v>
      </c>
      <c r="C2196">
        <v>137.970001</v>
      </c>
      <c r="D2196">
        <v>136.529999</v>
      </c>
      <c r="E2196">
        <v>137.5</v>
      </c>
      <c r="F2196">
        <v>132.315201</v>
      </c>
      <c r="G2196">
        <v>5589800</v>
      </c>
      <c r="I2196">
        <f t="shared" si="35"/>
        <v>5.9363260401122039E-5</v>
      </c>
    </row>
    <row r="2197" spans="1:9" x14ac:dyDescent="0.3">
      <c r="A2197" s="5">
        <v>44825</v>
      </c>
      <c r="B2197">
        <v>138.08000200000001</v>
      </c>
      <c r="C2197">
        <v>138.199997</v>
      </c>
      <c r="D2197">
        <v>135.71000699999999</v>
      </c>
      <c r="E2197">
        <v>135.729996</v>
      </c>
      <c r="F2197">
        <v>130.61193800000001</v>
      </c>
      <c r="G2197">
        <v>6413900</v>
      </c>
      <c r="I2197">
        <f t="shared" si="35"/>
        <v>1.8215324941892323E-5</v>
      </c>
    </row>
    <row r="2198" spans="1:9" x14ac:dyDescent="0.3">
      <c r="A2198" s="5">
        <v>44826</v>
      </c>
      <c r="B2198">
        <v>135.740005</v>
      </c>
      <c r="C2198">
        <v>137.070007</v>
      </c>
      <c r="D2198">
        <v>135.240005</v>
      </c>
      <c r="E2198">
        <v>136.21000699999999</v>
      </c>
      <c r="F2198">
        <v>131.073837</v>
      </c>
      <c r="G2198">
        <v>5061600</v>
      </c>
      <c r="I2198">
        <f t="shared" si="35"/>
        <v>8.7742884345563441E-5</v>
      </c>
    </row>
    <row r="2199" spans="1:9" x14ac:dyDescent="0.3">
      <c r="A2199" s="5">
        <v>44827</v>
      </c>
      <c r="B2199">
        <v>135.679993</v>
      </c>
      <c r="C2199">
        <v>136.5</v>
      </c>
      <c r="D2199">
        <v>133.949997</v>
      </c>
      <c r="E2199">
        <v>135.58000200000001</v>
      </c>
      <c r="F2199">
        <v>130.46757500000001</v>
      </c>
      <c r="G2199">
        <v>6523600</v>
      </c>
      <c r="I2199">
        <f t="shared" si="35"/>
        <v>1.9596245026303445E-4</v>
      </c>
    </row>
    <row r="2200" spans="1:9" x14ac:dyDescent="0.3">
      <c r="A2200" s="5">
        <v>44830</v>
      </c>
      <c r="B2200">
        <v>135.58000200000001</v>
      </c>
      <c r="C2200">
        <v>136.820007</v>
      </c>
      <c r="D2200">
        <v>134.990005</v>
      </c>
      <c r="E2200">
        <v>135.71000699999999</v>
      </c>
      <c r="F2200">
        <v>130.59269699999999</v>
      </c>
      <c r="G2200">
        <v>7396400</v>
      </c>
      <c r="I2200">
        <f t="shared" si="35"/>
        <v>9.7362951214583737E-5</v>
      </c>
    </row>
    <row r="2201" spans="1:9" x14ac:dyDescent="0.3">
      <c r="A2201" s="5">
        <v>44831</v>
      </c>
      <c r="B2201">
        <v>135.96000699999999</v>
      </c>
      <c r="C2201">
        <v>136.94000199999999</v>
      </c>
      <c r="D2201">
        <v>131.71000699999999</v>
      </c>
      <c r="E2201">
        <v>131.979996</v>
      </c>
      <c r="F2201">
        <v>127.003334</v>
      </c>
      <c r="G2201">
        <v>7722200</v>
      </c>
      <c r="I2201">
        <f t="shared" si="35"/>
        <v>3.2999989806434759E-4</v>
      </c>
    </row>
    <row r="2202" spans="1:9" x14ac:dyDescent="0.3">
      <c r="A2202" s="5">
        <v>44832</v>
      </c>
      <c r="B2202">
        <v>133.020004</v>
      </c>
      <c r="C2202">
        <v>133.020004</v>
      </c>
      <c r="D2202">
        <v>131.19000199999999</v>
      </c>
      <c r="E2202">
        <v>131.979996</v>
      </c>
      <c r="F2202">
        <v>127.003334</v>
      </c>
      <c r="G2202">
        <v>10455100</v>
      </c>
      <c r="I2202">
        <f t="shared" si="35"/>
        <v>8.3168325970020562E-5</v>
      </c>
    </row>
    <row r="2203" spans="1:9" x14ac:dyDescent="0.3">
      <c r="A2203" s="5">
        <v>44833</v>
      </c>
      <c r="B2203">
        <v>131.86999499999999</v>
      </c>
      <c r="C2203">
        <v>131.86999499999999</v>
      </c>
      <c r="D2203">
        <v>128.259995</v>
      </c>
      <c r="E2203">
        <v>128.699997</v>
      </c>
      <c r="F2203">
        <v>123.847015</v>
      </c>
      <c r="G2203">
        <v>7128500</v>
      </c>
      <c r="I2203">
        <f t="shared" si="35"/>
        <v>9.505921345236944E-5</v>
      </c>
    </row>
    <row r="2204" spans="1:9" x14ac:dyDescent="0.3">
      <c r="A2204" s="5">
        <v>44834</v>
      </c>
      <c r="B2204">
        <v>129</v>
      </c>
      <c r="C2204">
        <v>129.03999300000001</v>
      </c>
      <c r="D2204">
        <v>126.209999</v>
      </c>
      <c r="E2204">
        <v>126.25</v>
      </c>
      <c r="F2204">
        <v>121.489403</v>
      </c>
      <c r="G2204">
        <v>9431900</v>
      </c>
      <c r="I2204">
        <f t="shared" si="35"/>
        <v>1.3704401917672381E-5</v>
      </c>
    </row>
    <row r="2205" spans="1:9" x14ac:dyDescent="0.3">
      <c r="A2205" s="5">
        <v>44837</v>
      </c>
      <c r="B2205">
        <v>127.25</v>
      </c>
      <c r="C2205">
        <v>129.10000600000001</v>
      </c>
      <c r="D2205">
        <v>126.68</v>
      </c>
      <c r="E2205">
        <v>128.509995</v>
      </c>
      <c r="F2205">
        <v>123.664185</v>
      </c>
      <c r="G2205">
        <v>8477700</v>
      </c>
      <c r="I2205">
        <f t="shared" si="35"/>
        <v>1.3050536656070805E-4</v>
      </c>
    </row>
    <row r="2206" spans="1:9" x14ac:dyDescent="0.3">
      <c r="A2206" s="5">
        <v>44838</v>
      </c>
      <c r="B2206">
        <v>129.10000600000001</v>
      </c>
      <c r="C2206">
        <v>130.86999499999999</v>
      </c>
      <c r="D2206">
        <v>128.699997</v>
      </c>
      <c r="E2206">
        <v>130.10000600000001</v>
      </c>
      <c r="F2206">
        <v>125.194237</v>
      </c>
      <c r="G2206">
        <v>7211600</v>
      </c>
      <c r="I2206">
        <f t="shared" si="35"/>
        <v>1.1392947025952013E-4</v>
      </c>
    </row>
    <row r="2207" spans="1:9" x14ac:dyDescent="0.3">
      <c r="A2207" s="5">
        <v>44839</v>
      </c>
      <c r="B2207">
        <v>129.199997</v>
      </c>
      <c r="C2207">
        <v>130.08999600000001</v>
      </c>
      <c r="D2207">
        <v>128.08999600000001</v>
      </c>
      <c r="E2207">
        <v>129.199997</v>
      </c>
      <c r="F2207">
        <v>124.328171</v>
      </c>
      <c r="G2207">
        <v>5071100</v>
      </c>
      <c r="I2207">
        <f t="shared" si="35"/>
        <v>1.2157740205868175E-4</v>
      </c>
    </row>
    <row r="2208" spans="1:9" x14ac:dyDescent="0.3">
      <c r="A2208" s="5">
        <v>44840</v>
      </c>
      <c r="B2208">
        <v>128.88999899999999</v>
      </c>
      <c r="C2208">
        <v>129.05999800000001</v>
      </c>
      <c r="D2208">
        <v>126.349998</v>
      </c>
      <c r="E2208">
        <v>126.480003</v>
      </c>
      <c r="F2208">
        <v>121.71073199999999</v>
      </c>
      <c r="G2208">
        <v>5530800</v>
      </c>
      <c r="I2208">
        <f t="shared" si="35"/>
        <v>4.708490729379375E-5</v>
      </c>
    </row>
    <row r="2209" spans="1:9" x14ac:dyDescent="0.3">
      <c r="A2209" s="5">
        <v>44841</v>
      </c>
      <c r="B2209">
        <v>126.5</v>
      </c>
      <c r="C2209">
        <v>126.58000199999999</v>
      </c>
      <c r="D2209">
        <v>123.760002</v>
      </c>
      <c r="E2209">
        <v>124.269997</v>
      </c>
      <c r="F2209">
        <v>119.58406100000001</v>
      </c>
      <c r="G2209">
        <v>6095400</v>
      </c>
      <c r="I2209">
        <f t="shared" si="35"/>
        <v>1.0169737778799688E-4</v>
      </c>
    </row>
    <row r="2210" spans="1:9" x14ac:dyDescent="0.3">
      <c r="A2210" s="5">
        <v>44844</v>
      </c>
      <c r="B2210">
        <v>123.370003</v>
      </c>
      <c r="C2210">
        <v>124.25</v>
      </c>
      <c r="D2210">
        <v>122.18</v>
      </c>
      <c r="E2210">
        <v>123.760002</v>
      </c>
      <c r="F2210">
        <v>119.093307</v>
      </c>
      <c r="G2210">
        <v>6923300</v>
      </c>
      <c r="I2210">
        <f t="shared" si="35"/>
        <v>1.5262471512046303E-4</v>
      </c>
    </row>
    <row r="2211" spans="1:9" x14ac:dyDescent="0.3">
      <c r="A2211" s="5">
        <v>44845</v>
      </c>
      <c r="B2211">
        <v>123.69000200000001</v>
      </c>
      <c r="C2211">
        <v>125.699997</v>
      </c>
      <c r="D2211">
        <v>123.599998</v>
      </c>
      <c r="E2211">
        <v>124.230003</v>
      </c>
      <c r="F2211">
        <v>119.54557800000001</v>
      </c>
      <c r="G2211">
        <v>5516200</v>
      </c>
      <c r="I2211">
        <f t="shared" si="35"/>
        <v>1.9332236589355236E-4</v>
      </c>
    </row>
    <row r="2212" spans="1:9" x14ac:dyDescent="0.3">
      <c r="A2212" s="5">
        <v>44846</v>
      </c>
      <c r="B2212">
        <v>124.839996</v>
      </c>
      <c r="C2212">
        <v>125.80999799999999</v>
      </c>
      <c r="D2212">
        <v>124.410004</v>
      </c>
      <c r="E2212">
        <v>124.43</v>
      </c>
      <c r="F2212">
        <v>119.73803700000001</v>
      </c>
      <c r="G2212">
        <v>6823500</v>
      </c>
      <c r="I2212">
        <f t="shared" si="35"/>
        <v>8.5922138497984465E-5</v>
      </c>
    </row>
    <row r="2213" spans="1:9" x14ac:dyDescent="0.3">
      <c r="A2213" s="5">
        <v>44847</v>
      </c>
      <c r="B2213">
        <v>123.510002</v>
      </c>
      <c r="C2213">
        <v>126.75</v>
      </c>
      <c r="D2213">
        <v>122.91999800000001</v>
      </c>
      <c r="E2213">
        <v>126.30999799999999</v>
      </c>
      <c r="F2213">
        <v>121.54714199999999</v>
      </c>
      <c r="G2213">
        <v>6910500</v>
      </c>
      <c r="I2213">
        <f t="shared" si="35"/>
        <v>2.2031816613672764E-4</v>
      </c>
    </row>
    <row r="2214" spans="1:9" x14ac:dyDescent="0.3">
      <c r="A2214" s="5">
        <v>44848</v>
      </c>
      <c r="B2214">
        <v>126.75</v>
      </c>
      <c r="C2214">
        <v>127.019997</v>
      </c>
      <c r="D2214">
        <v>124.769997</v>
      </c>
      <c r="E2214">
        <v>125.08000199999999</v>
      </c>
      <c r="F2214">
        <v>120.363518</v>
      </c>
      <c r="G2214">
        <v>5516800</v>
      </c>
      <c r="I2214">
        <f t="shared" si="35"/>
        <v>7.1821050857241936E-5</v>
      </c>
    </row>
    <row r="2215" spans="1:9" x14ac:dyDescent="0.3">
      <c r="A2215" s="5">
        <v>44851</v>
      </c>
      <c r="B2215">
        <v>126.010002</v>
      </c>
      <c r="C2215">
        <v>128.279999</v>
      </c>
      <c r="D2215">
        <v>125.860001</v>
      </c>
      <c r="E2215">
        <v>127.339996</v>
      </c>
      <c r="F2215">
        <v>122.538307</v>
      </c>
      <c r="G2215">
        <v>6664600</v>
      </c>
      <c r="I2215">
        <f t="shared" si="35"/>
        <v>1.4523633318382225E-4</v>
      </c>
    </row>
    <row r="2216" spans="1:9" x14ac:dyDescent="0.3">
      <c r="A2216" s="5">
        <v>44852</v>
      </c>
      <c r="B2216">
        <v>129.33000200000001</v>
      </c>
      <c r="C2216">
        <v>130.070007</v>
      </c>
      <c r="D2216">
        <v>127.660004</v>
      </c>
      <c r="E2216">
        <v>128.36999499999999</v>
      </c>
      <c r="F2216">
        <v>123.529465</v>
      </c>
      <c r="G2216">
        <v>7114200</v>
      </c>
      <c r="I2216">
        <f t="shared" si="35"/>
        <v>1.4714507716324915E-4</v>
      </c>
    </row>
    <row r="2217" spans="1:9" x14ac:dyDescent="0.3">
      <c r="A2217" s="5">
        <v>44853</v>
      </c>
      <c r="B2217">
        <v>131.63999899999999</v>
      </c>
      <c r="C2217">
        <v>133</v>
      </c>
      <c r="D2217">
        <v>129.509995</v>
      </c>
      <c r="E2217">
        <v>129.55999800000001</v>
      </c>
      <c r="F2217">
        <v>124.674599</v>
      </c>
      <c r="G2217">
        <v>9993700</v>
      </c>
      <c r="I2217">
        <f t="shared" si="35"/>
        <v>2.7563812258195027E-4</v>
      </c>
    </row>
    <row r="2218" spans="1:9" x14ac:dyDescent="0.3">
      <c r="A2218" s="5">
        <v>44854</v>
      </c>
      <c r="B2218">
        <v>128.61999499999999</v>
      </c>
      <c r="C2218">
        <v>129.770004</v>
      </c>
      <c r="D2218">
        <v>126.68</v>
      </c>
      <c r="E2218">
        <v>126.989998</v>
      </c>
      <c r="F2218">
        <v>123.06875599999999</v>
      </c>
      <c r="G2218">
        <v>8168000</v>
      </c>
      <c r="I2218">
        <f t="shared" si="35"/>
        <v>2.2990869137195363E-4</v>
      </c>
    </row>
    <row r="2219" spans="1:9" x14ac:dyDescent="0.3">
      <c r="A2219" s="5">
        <v>44855</v>
      </c>
      <c r="B2219">
        <v>126.540001</v>
      </c>
      <c r="C2219">
        <v>128.949997</v>
      </c>
      <c r="D2219">
        <v>126.480003</v>
      </c>
      <c r="E2219">
        <v>128.58000200000001</v>
      </c>
      <c r="F2219">
        <v>124.60966500000001</v>
      </c>
      <c r="G2219">
        <v>6394600</v>
      </c>
      <c r="I2219">
        <f t="shared" si="35"/>
        <v>6.202011970544573E-5</v>
      </c>
    </row>
    <row r="2220" spans="1:9" x14ac:dyDescent="0.3">
      <c r="A2220" s="5">
        <v>44858</v>
      </c>
      <c r="B2220">
        <v>129.490005</v>
      </c>
      <c r="C2220">
        <v>130.44000199999999</v>
      </c>
      <c r="D2220">
        <v>128.35000600000001</v>
      </c>
      <c r="E2220">
        <v>129.36999499999999</v>
      </c>
      <c r="F2220">
        <v>125.375259</v>
      </c>
      <c r="G2220">
        <v>6946000</v>
      </c>
      <c r="I2220">
        <f t="shared" si="35"/>
        <v>1.3020387117684658E-4</v>
      </c>
    </row>
    <row r="2221" spans="1:9" x14ac:dyDescent="0.3">
      <c r="A2221" s="5">
        <v>44859</v>
      </c>
      <c r="B2221">
        <v>129.60000600000001</v>
      </c>
      <c r="C2221">
        <v>131.179993</v>
      </c>
      <c r="D2221">
        <v>128.470001</v>
      </c>
      <c r="E2221">
        <v>130.86000100000001</v>
      </c>
      <c r="F2221">
        <v>126.81926</v>
      </c>
      <c r="G2221">
        <v>6776000</v>
      </c>
      <c r="I2221">
        <f t="shared" si="35"/>
        <v>1.910169749763755E-4</v>
      </c>
    </row>
    <row r="2222" spans="1:9" x14ac:dyDescent="0.3">
      <c r="A2222" s="5">
        <v>44860</v>
      </c>
      <c r="B2222">
        <v>130.64999399999999</v>
      </c>
      <c r="C2222">
        <v>132.570007</v>
      </c>
      <c r="D2222">
        <v>130.39999399999999</v>
      </c>
      <c r="E2222">
        <v>131.779999</v>
      </c>
      <c r="F2222">
        <v>127.71086099999999</v>
      </c>
      <c r="G2222">
        <v>6612800</v>
      </c>
      <c r="I2222">
        <f t="shared" si="35"/>
        <v>1.0736128045615975E-4</v>
      </c>
    </row>
    <row r="2223" spans="1:9" x14ac:dyDescent="0.3">
      <c r="A2223" s="5">
        <v>44861</v>
      </c>
      <c r="B2223">
        <v>132</v>
      </c>
      <c r="C2223">
        <v>133.11999499999999</v>
      </c>
      <c r="D2223">
        <v>131.5</v>
      </c>
      <c r="E2223">
        <v>131.88000500000001</v>
      </c>
      <c r="F2223">
        <v>127.807762</v>
      </c>
      <c r="G2223">
        <v>6676700</v>
      </c>
      <c r="I2223">
        <f t="shared" si="35"/>
        <v>9.0021058479413312E-5</v>
      </c>
    </row>
    <row r="2224" spans="1:9" x14ac:dyDescent="0.3">
      <c r="A2224" s="5">
        <v>44862</v>
      </c>
      <c r="B2224">
        <v>133.16999799999999</v>
      </c>
      <c r="C2224">
        <v>135.509995</v>
      </c>
      <c r="D2224">
        <v>132.91999799999999</v>
      </c>
      <c r="E2224">
        <v>135.220001</v>
      </c>
      <c r="F2224">
        <v>131.04463200000001</v>
      </c>
      <c r="G2224">
        <v>6996400</v>
      </c>
      <c r="I2224">
        <f t="shared" si="35"/>
        <v>6.955332947809165E-5</v>
      </c>
    </row>
    <row r="2225" spans="1:9" x14ac:dyDescent="0.3">
      <c r="A2225" s="5">
        <v>44865</v>
      </c>
      <c r="B2225">
        <v>135.199997</v>
      </c>
      <c r="C2225">
        <v>135.66999799999999</v>
      </c>
      <c r="D2225">
        <v>134.259995</v>
      </c>
      <c r="E2225">
        <v>134.66999799999999</v>
      </c>
      <c r="F2225">
        <v>130.51161200000001</v>
      </c>
      <c r="G2225">
        <v>8346300</v>
      </c>
      <c r="I2225">
        <f t="shared" si="35"/>
        <v>4.694755569592696E-5</v>
      </c>
    </row>
    <row r="2226" spans="1:9" x14ac:dyDescent="0.3">
      <c r="A2226" s="5">
        <v>44866</v>
      </c>
      <c r="B2226">
        <v>134.699997</v>
      </c>
      <c r="C2226">
        <v>136.279999</v>
      </c>
      <c r="D2226">
        <v>133.83999600000001</v>
      </c>
      <c r="E2226">
        <v>134.88000500000001</v>
      </c>
      <c r="F2226">
        <v>130.715149</v>
      </c>
      <c r="G2226">
        <v>6428300</v>
      </c>
      <c r="I2226">
        <f t="shared" si="35"/>
        <v>1.6999572871209838E-4</v>
      </c>
    </row>
    <row r="2227" spans="1:9" x14ac:dyDescent="0.3">
      <c r="A2227" s="5">
        <v>44867</v>
      </c>
      <c r="B2227">
        <v>134.720001</v>
      </c>
      <c r="C2227">
        <v>136.53999300000001</v>
      </c>
      <c r="D2227">
        <v>132.80999800000001</v>
      </c>
      <c r="E2227">
        <v>132.94000199999999</v>
      </c>
      <c r="F2227">
        <v>128.835037</v>
      </c>
      <c r="G2227">
        <v>7318100</v>
      </c>
      <c r="I2227">
        <f t="shared" si="35"/>
        <v>3.7252153370293087E-4</v>
      </c>
    </row>
    <row r="2228" spans="1:9" x14ac:dyDescent="0.3">
      <c r="A2228" s="5">
        <v>44868</v>
      </c>
      <c r="B2228">
        <v>131.729996</v>
      </c>
      <c r="C2228">
        <v>132.63999899999999</v>
      </c>
      <c r="D2228">
        <v>130.96000699999999</v>
      </c>
      <c r="E2228">
        <v>132.029999</v>
      </c>
      <c r="F2228">
        <v>127.95311700000001</v>
      </c>
      <c r="G2228">
        <v>5204000</v>
      </c>
      <c r="I2228">
        <f t="shared" si="35"/>
        <v>7.9436542678518554E-5</v>
      </c>
    </row>
    <row r="2229" spans="1:9" x14ac:dyDescent="0.3">
      <c r="A2229" s="5">
        <v>44869</v>
      </c>
      <c r="B2229">
        <v>133.320007</v>
      </c>
      <c r="C2229">
        <v>135</v>
      </c>
      <c r="D2229">
        <v>132.520004</v>
      </c>
      <c r="E2229">
        <v>134.44000199999999</v>
      </c>
      <c r="F2229">
        <v>130.288712</v>
      </c>
      <c r="G2229">
        <v>5555400</v>
      </c>
      <c r="I2229">
        <f t="shared" si="35"/>
        <v>1.3862834672910519E-4</v>
      </c>
    </row>
    <row r="2230" spans="1:9" x14ac:dyDescent="0.3">
      <c r="A2230" s="5">
        <v>44872</v>
      </c>
      <c r="B2230">
        <v>135.35000600000001</v>
      </c>
      <c r="C2230">
        <v>137.19000199999999</v>
      </c>
      <c r="D2230">
        <v>135.05999800000001</v>
      </c>
      <c r="E2230">
        <v>136.5</v>
      </c>
      <c r="F2230">
        <v>132.28511</v>
      </c>
      <c r="G2230">
        <v>6746800</v>
      </c>
      <c r="I2230">
        <f t="shared" si="35"/>
        <v>9.083236469244157E-5</v>
      </c>
    </row>
    <row r="2231" spans="1:9" x14ac:dyDescent="0.3">
      <c r="A2231" s="5">
        <v>44873</v>
      </c>
      <c r="B2231">
        <v>136.820007</v>
      </c>
      <c r="C2231">
        <v>137.520004</v>
      </c>
      <c r="D2231">
        <v>135.800003</v>
      </c>
      <c r="E2231">
        <v>136.80999800000001</v>
      </c>
      <c r="F2231">
        <v>132.58554100000001</v>
      </c>
      <c r="G2231">
        <v>5266200</v>
      </c>
      <c r="I2231">
        <f t="shared" si="35"/>
        <v>8.1863389661420981E-5</v>
      </c>
    </row>
    <row r="2232" spans="1:9" x14ac:dyDescent="0.3">
      <c r="A2232" s="5">
        <v>44874</v>
      </c>
      <c r="B2232">
        <v>136.86999499999999</v>
      </c>
      <c r="C2232">
        <v>137.970001</v>
      </c>
      <c r="D2232">
        <v>136.33999600000001</v>
      </c>
      <c r="E2232">
        <v>136.479996</v>
      </c>
      <c r="F2232">
        <v>132.265717</v>
      </c>
      <c r="G2232">
        <v>5690700</v>
      </c>
      <c r="I2232">
        <f t="shared" si="35"/>
        <v>9.0899198208328871E-5</v>
      </c>
    </row>
    <row r="2233" spans="1:9" x14ac:dyDescent="0.3">
      <c r="A2233" s="5">
        <v>44875</v>
      </c>
      <c r="B2233">
        <v>139.46000699999999</v>
      </c>
      <c r="C2233">
        <v>141.63000500000001</v>
      </c>
      <c r="D2233">
        <v>138.199997</v>
      </c>
      <c r="E2233">
        <v>141.179993</v>
      </c>
      <c r="F2233">
        <v>136.82058699999999</v>
      </c>
      <c r="G2233">
        <v>8068700</v>
      </c>
      <c r="I2233">
        <f t="shared" si="35"/>
        <v>2.4276198993867932E-4</v>
      </c>
    </row>
    <row r="2234" spans="1:9" x14ac:dyDescent="0.3">
      <c r="A2234" s="5">
        <v>44876</v>
      </c>
      <c r="B2234">
        <v>141.199997</v>
      </c>
      <c r="C2234">
        <v>141.63000500000001</v>
      </c>
      <c r="D2234">
        <v>139.11000100000001</v>
      </c>
      <c r="E2234">
        <v>140.970001</v>
      </c>
      <c r="F2234">
        <v>136.617096</v>
      </c>
      <c r="G2234">
        <v>7175200</v>
      </c>
      <c r="I2234">
        <f t="shared" si="35"/>
        <v>2.1227021686480153E-4</v>
      </c>
    </row>
    <row r="2235" spans="1:9" x14ac:dyDescent="0.3">
      <c r="A2235" s="5">
        <v>44879</v>
      </c>
      <c r="B2235">
        <v>140.509995</v>
      </c>
      <c r="C2235">
        <v>143.55999800000001</v>
      </c>
      <c r="D2235">
        <v>140.259995</v>
      </c>
      <c r="E2235">
        <v>140.979996</v>
      </c>
      <c r="F2235">
        <v>136.62678500000001</v>
      </c>
      <c r="G2235">
        <v>8516200</v>
      </c>
      <c r="I2235">
        <f t="shared" si="35"/>
        <v>3.9855783532341657E-4</v>
      </c>
    </row>
    <row r="2236" spans="1:9" x14ac:dyDescent="0.3">
      <c r="A2236" s="5">
        <v>44880</v>
      </c>
      <c r="B2236">
        <v>142.08999600000001</v>
      </c>
      <c r="C2236">
        <v>143.199997</v>
      </c>
      <c r="D2236">
        <v>139.699997</v>
      </c>
      <c r="E2236">
        <v>140.490005</v>
      </c>
      <c r="F2236">
        <v>136.15190100000001</v>
      </c>
      <c r="G2236">
        <v>7732400</v>
      </c>
      <c r="I2236">
        <f t="shared" si="35"/>
        <v>2.4433268236696522E-4</v>
      </c>
    </row>
    <row r="2237" spans="1:9" x14ac:dyDescent="0.3">
      <c r="A2237" s="5">
        <v>44881</v>
      </c>
      <c r="B2237">
        <v>141.5</v>
      </c>
      <c r="C2237">
        <v>142.91000399999999</v>
      </c>
      <c r="D2237">
        <v>140.979996</v>
      </c>
      <c r="E2237">
        <v>141.740005</v>
      </c>
      <c r="F2237">
        <v>137.36331200000001</v>
      </c>
      <c r="G2237">
        <v>6193700</v>
      </c>
      <c r="I2237">
        <f t="shared" si="35"/>
        <v>1.0130533047560057E-4</v>
      </c>
    </row>
    <row r="2238" spans="1:9" x14ac:dyDescent="0.3">
      <c r="A2238" s="5">
        <v>44882</v>
      </c>
      <c r="B2238">
        <v>141.11000100000001</v>
      </c>
      <c r="C2238">
        <v>141.69000199999999</v>
      </c>
      <c r="D2238">
        <v>139.86000100000001</v>
      </c>
      <c r="E2238">
        <v>140.86999499999999</v>
      </c>
      <c r="F2238">
        <v>136.52015700000001</v>
      </c>
      <c r="G2238">
        <v>5186300</v>
      </c>
      <c r="I2238">
        <f t="shared" si="35"/>
        <v>8.7832021360337905E-5</v>
      </c>
    </row>
    <row r="2239" spans="1:9" x14ac:dyDescent="0.3">
      <c r="A2239" s="5">
        <v>44883</v>
      </c>
      <c r="B2239">
        <v>141.91999799999999</v>
      </c>
      <c r="C2239">
        <v>142.759995</v>
      </c>
      <c r="D2239">
        <v>141.270004</v>
      </c>
      <c r="E2239">
        <v>142.570007</v>
      </c>
      <c r="F2239">
        <v>138.16769400000001</v>
      </c>
      <c r="G2239">
        <v>5671400</v>
      </c>
      <c r="I2239">
        <f t="shared" si="35"/>
        <v>4.9908879486425145E-5</v>
      </c>
    </row>
    <row r="2240" spans="1:9" x14ac:dyDescent="0.3">
      <c r="A2240" s="5">
        <v>44886</v>
      </c>
      <c r="B2240">
        <v>143.05999800000001</v>
      </c>
      <c r="C2240">
        <v>145.19000199999999</v>
      </c>
      <c r="D2240">
        <v>142.83000200000001</v>
      </c>
      <c r="E2240">
        <v>144.38000500000001</v>
      </c>
      <c r="F2240">
        <v>139.92179899999999</v>
      </c>
      <c r="G2240">
        <v>6377200</v>
      </c>
      <c r="I2240">
        <f t="shared" si="35"/>
        <v>1.000485597196061E-4</v>
      </c>
    </row>
    <row r="2241" spans="1:9" x14ac:dyDescent="0.3">
      <c r="A2241" s="5">
        <v>44887</v>
      </c>
      <c r="B2241">
        <v>145.429993</v>
      </c>
      <c r="C2241">
        <v>145.78999300000001</v>
      </c>
      <c r="D2241">
        <v>144.83999600000001</v>
      </c>
      <c r="E2241">
        <v>145.61999499999999</v>
      </c>
      <c r="F2241">
        <v>141.12347399999999</v>
      </c>
      <c r="G2241">
        <v>5372900</v>
      </c>
      <c r="I2241">
        <f t="shared" si="35"/>
        <v>2.4717750794252985E-5</v>
      </c>
    </row>
    <row r="2242" spans="1:9" x14ac:dyDescent="0.3">
      <c r="A2242" s="5">
        <v>44888</v>
      </c>
      <c r="B2242">
        <v>145.89999399999999</v>
      </c>
      <c r="C2242">
        <v>146.63000500000001</v>
      </c>
      <c r="D2242">
        <v>145.570007</v>
      </c>
      <c r="E2242">
        <v>146.449997</v>
      </c>
      <c r="F2242">
        <v>141.92785599999999</v>
      </c>
      <c r="G2242">
        <v>4296000</v>
      </c>
      <c r="I2242">
        <f t="shared" si="35"/>
        <v>1.9777680054166629E-5</v>
      </c>
    </row>
    <row r="2243" spans="1:9" x14ac:dyDescent="0.3">
      <c r="A2243" s="5">
        <v>44890</v>
      </c>
      <c r="B2243">
        <v>146.78999300000001</v>
      </c>
      <c r="C2243">
        <v>147.199997</v>
      </c>
      <c r="D2243">
        <v>146.39999399999999</v>
      </c>
      <c r="E2243">
        <v>146.720001</v>
      </c>
      <c r="F2243">
        <v>142.18952899999999</v>
      </c>
      <c r="G2243">
        <v>2411100</v>
      </c>
      <c r="I2243">
        <f t="shared" si="35"/>
        <v>1.4918964414815957E-5</v>
      </c>
    </row>
    <row r="2244" spans="1:9" x14ac:dyDescent="0.3">
      <c r="A2244" s="5">
        <v>44893</v>
      </c>
      <c r="B2244">
        <v>146.38999899999999</v>
      </c>
      <c r="C2244">
        <v>147.33999600000001</v>
      </c>
      <c r="D2244">
        <v>146.13999899999999</v>
      </c>
      <c r="E2244">
        <v>146.60000600000001</v>
      </c>
      <c r="F2244">
        <v>142.07325700000001</v>
      </c>
      <c r="G2244">
        <v>6628200</v>
      </c>
      <c r="I2244">
        <f t="shared" si="35"/>
        <v>3.794064025672974E-5</v>
      </c>
    </row>
    <row r="2245" spans="1:9" x14ac:dyDescent="0.3">
      <c r="A2245" s="5">
        <v>44894</v>
      </c>
      <c r="B2245">
        <v>145.75</v>
      </c>
      <c r="C2245">
        <v>146.05999800000001</v>
      </c>
      <c r="D2245">
        <v>144.529999</v>
      </c>
      <c r="E2245">
        <v>145.479996</v>
      </c>
      <c r="F2245">
        <v>140.987808</v>
      </c>
      <c r="G2245">
        <v>5634200</v>
      </c>
      <c r="I2245">
        <f t="shared" si="35"/>
        <v>6.3523950649611285E-5</v>
      </c>
    </row>
    <row r="2246" spans="1:9" x14ac:dyDescent="0.3">
      <c r="A2246" s="5">
        <v>44895</v>
      </c>
      <c r="B2246">
        <v>145.64999399999999</v>
      </c>
      <c r="C2246">
        <v>149.16000399999999</v>
      </c>
      <c r="D2246">
        <v>145.13000500000001</v>
      </c>
      <c r="E2246">
        <v>149.16000399999999</v>
      </c>
      <c r="F2246">
        <v>144.55419900000001</v>
      </c>
      <c r="G2246">
        <v>12396800</v>
      </c>
      <c r="I2246">
        <f t="shared" si="35"/>
        <v>9.7959520221254409E-5</v>
      </c>
    </row>
    <row r="2247" spans="1:9" x14ac:dyDescent="0.3">
      <c r="A2247" s="5">
        <v>44896</v>
      </c>
      <c r="B2247">
        <v>149.529999</v>
      </c>
      <c r="C2247">
        <v>150.36000100000001</v>
      </c>
      <c r="D2247">
        <v>148.570007</v>
      </c>
      <c r="E2247">
        <v>149.25</v>
      </c>
      <c r="F2247">
        <v>144.64141799999999</v>
      </c>
      <c r="G2247">
        <v>6927400</v>
      </c>
      <c r="I2247">
        <f t="shared" si="35"/>
        <v>7.042701981154018E-5</v>
      </c>
    </row>
    <row r="2248" spans="1:9" x14ac:dyDescent="0.3">
      <c r="A2248" s="5">
        <v>44897</v>
      </c>
      <c r="B2248">
        <v>148.470001</v>
      </c>
      <c r="C2248">
        <v>150.770004</v>
      </c>
      <c r="D2248">
        <v>148.08000200000001</v>
      </c>
      <c r="E2248">
        <v>150.61000100000001</v>
      </c>
      <c r="F2248">
        <v>145.95942700000001</v>
      </c>
      <c r="G2248">
        <v>4938300</v>
      </c>
      <c r="I2248">
        <f t="shared" si="35"/>
        <v>6.0881705990502592E-5</v>
      </c>
    </row>
    <row r="2249" spans="1:9" x14ac:dyDescent="0.3">
      <c r="A2249" s="5">
        <v>44900</v>
      </c>
      <c r="B2249">
        <v>148.71000699999999</v>
      </c>
      <c r="C2249">
        <v>149.66999799999999</v>
      </c>
      <c r="D2249">
        <v>148.270004</v>
      </c>
      <c r="E2249">
        <v>149.08999600000001</v>
      </c>
      <c r="F2249">
        <v>144.48634300000001</v>
      </c>
      <c r="G2249">
        <v>5402500</v>
      </c>
      <c r="I2249">
        <f t="shared" si="35"/>
        <v>4.1326702080446233E-5</v>
      </c>
    </row>
    <row r="2250" spans="1:9" x14ac:dyDescent="0.3">
      <c r="A2250" s="5">
        <v>44901</v>
      </c>
      <c r="B2250">
        <v>149.720001</v>
      </c>
      <c r="C2250">
        <v>150.08000200000001</v>
      </c>
      <c r="D2250">
        <v>148.279999</v>
      </c>
      <c r="E2250">
        <v>149.279999</v>
      </c>
      <c r="F2250">
        <v>144.670502</v>
      </c>
      <c r="G2250">
        <v>6866700</v>
      </c>
      <c r="I2250">
        <f t="shared" si="35"/>
        <v>7.7794737563768775E-5</v>
      </c>
    </row>
    <row r="2251" spans="1:9" x14ac:dyDescent="0.3">
      <c r="A2251" s="5">
        <v>44902</v>
      </c>
      <c r="B2251">
        <v>149.009995</v>
      </c>
      <c r="C2251">
        <v>150.429993</v>
      </c>
      <c r="D2251">
        <v>149.009995</v>
      </c>
      <c r="E2251">
        <v>150.240005</v>
      </c>
      <c r="F2251">
        <v>145.60084499999999</v>
      </c>
      <c r="G2251">
        <v>6175500</v>
      </c>
      <c r="I2251">
        <f t="shared" si="35"/>
        <v>1.1986083999060347E-5</v>
      </c>
    </row>
    <row r="2252" spans="1:9" x14ac:dyDescent="0.3">
      <c r="A2252" s="5">
        <v>44903</v>
      </c>
      <c r="B2252">
        <v>149.46000699999999</v>
      </c>
      <c r="C2252">
        <v>151.38000500000001</v>
      </c>
      <c r="D2252">
        <v>149.009995</v>
      </c>
      <c r="E2252">
        <v>151.320007</v>
      </c>
      <c r="F2252">
        <v>146.647491</v>
      </c>
      <c r="G2252">
        <v>5187100</v>
      </c>
      <c r="I2252">
        <f t="shared" ref="I2252:I2315" si="36">LN(C2252/B2252)*(LN(C2252/B2252)-LN(E2252/B2252))+LN(D2252/B2252)*(LN(D2252/B2252)-LN(E2252/B2252))</f>
        <v>5.1448287679655481E-5</v>
      </c>
    </row>
    <row r="2253" spans="1:9" x14ac:dyDescent="0.3">
      <c r="A2253" s="5">
        <v>44904</v>
      </c>
      <c r="B2253">
        <v>150.699997</v>
      </c>
      <c r="C2253">
        <v>151.949997</v>
      </c>
      <c r="D2253">
        <v>150.220001</v>
      </c>
      <c r="E2253">
        <v>150.91999799999999</v>
      </c>
      <c r="F2253">
        <v>146.25984199999999</v>
      </c>
      <c r="G2253">
        <v>5868200</v>
      </c>
      <c r="I2253">
        <f t="shared" si="36"/>
        <v>7.1015349033139871E-5</v>
      </c>
    </row>
    <row r="2254" spans="1:9" x14ac:dyDescent="0.3">
      <c r="A2254" s="5">
        <v>44907</v>
      </c>
      <c r="B2254">
        <v>151.220001</v>
      </c>
      <c r="C2254">
        <v>152.55999800000001</v>
      </c>
      <c r="D2254">
        <v>151.03999300000001</v>
      </c>
      <c r="E2254">
        <v>152.470001</v>
      </c>
      <c r="F2254">
        <v>147.761978</v>
      </c>
      <c r="G2254">
        <v>6142400</v>
      </c>
      <c r="I2254">
        <f t="shared" si="36"/>
        <v>1.6429664162711087E-5</v>
      </c>
    </row>
    <row r="2255" spans="1:9" x14ac:dyDescent="0.3">
      <c r="A2255" s="5">
        <v>44908</v>
      </c>
      <c r="B2255">
        <v>153.41000399999999</v>
      </c>
      <c r="C2255">
        <v>154.229996</v>
      </c>
      <c r="D2255">
        <v>150.78999300000001</v>
      </c>
      <c r="E2255">
        <v>152.240005</v>
      </c>
      <c r="F2255">
        <v>147.53909300000001</v>
      </c>
      <c r="G2255">
        <v>7680600</v>
      </c>
      <c r="I2255">
        <f t="shared" si="36"/>
        <v>2.3408612270002738E-4</v>
      </c>
    </row>
    <row r="2256" spans="1:9" x14ac:dyDescent="0.3">
      <c r="A2256" s="5">
        <v>44909</v>
      </c>
      <c r="B2256">
        <v>152.78999300000001</v>
      </c>
      <c r="C2256">
        <v>154.44000199999999</v>
      </c>
      <c r="D2256">
        <v>152.16999799999999</v>
      </c>
      <c r="E2256">
        <v>152.83999600000001</v>
      </c>
      <c r="F2256">
        <v>148.12056000000001</v>
      </c>
      <c r="G2256">
        <v>7385600</v>
      </c>
      <c r="I2256">
        <f t="shared" si="36"/>
        <v>1.2972432806108265E-4</v>
      </c>
    </row>
    <row r="2257" spans="1:9" x14ac:dyDescent="0.3">
      <c r="A2257" s="5">
        <v>44910</v>
      </c>
      <c r="B2257">
        <v>151.720001</v>
      </c>
      <c r="C2257">
        <v>152</v>
      </c>
      <c r="D2257">
        <v>149.740005</v>
      </c>
      <c r="E2257">
        <v>151.11000100000001</v>
      </c>
      <c r="F2257">
        <v>146.443985</v>
      </c>
      <c r="G2257">
        <v>7117200</v>
      </c>
      <c r="I2257">
        <f t="shared" si="36"/>
        <v>1.3046673329446989E-4</v>
      </c>
    </row>
    <row r="2258" spans="1:9" x14ac:dyDescent="0.3">
      <c r="A2258" s="5">
        <v>44911</v>
      </c>
      <c r="B2258">
        <v>150.36000100000001</v>
      </c>
      <c r="C2258">
        <v>151.070007</v>
      </c>
      <c r="D2258">
        <v>149.020004</v>
      </c>
      <c r="E2258">
        <v>150.44000199999999</v>
      </c>
      <c r="F2258">
        <v>145.794678</v>
      </c>
      <c r="G2258">
        <v>19966400</v>
      </c>
      <c r="I2258">
        <f t="shared" si="36"/>
        <v>1.0458471692054288E-4</v>
      </c>
    </row>
    <row r="2259" spans="1:9" x14ac:dyDescent="0.3">
      <c r="A2259" s="5">
        <v>44914</v>
      </c>
      <c r="B2259">
        <v>150.220001</v>
      </c>
      <c r="C2259">
        <v>151.38000500000001</v>
      </c>
      <c r="D2259">
        <v>149.240005</v>
      </c>
      <c r="E2259">
        <v>150.39999399999999</v>
      </c>
      <c r="F2259">
        <v>145.75590500000001</v>
      </c>
      <c r="G2259">
        <v>5881800</v>
      </c>
      <c r="I2259">
        <f t="shared" si="36"/>
        <v>1.0063724514774407E-4</v>
      </c>
    </row>
    <row r="2260" spans="1:9" x14ac:dyDescent="0.3">
      <c r="A2260" s="5">
        <v>44915</v>
      </c>
      <c r="B2260">
        <v>149.320007</v>
      </c>
      <c r="C2260">
        <v>150.89999399999999</v>
      </c>
      <c r="D2260">
        <v>149.270004</v>
      </c>
      <c r="E2260">
        <v>150.46000699999999</v>
      </c>
      <c r="F2260">
        <v>145.81405599999999</v>
      </c>
      <c r="G2260">
        <v>5646100</v>
      </c>
      <c r="I2260">
        <f t="shared" si="36"/>
        <v>3.3394450270773872E-5</v>
      </c>
    </row>
    <row r="2261" spans="1:9" x14ac:dyDescent="0.3">
      <c r="A2261" s="5">
        <v>44916</v>
      </c>
      <c r="B2261">
        <v>150.75</v>
      </c>
      <c r="C2261">
        <v>152.63000500000001</v>
      </c>
      <c r="D2261">
        <v>150.720001</v>
      </c>
      <c r="E2261">
        <v>151.83999600000001</v>
      </c>
      <c r="F2261">
        <v>147.15142800000001</v>
      </c>
      <c r="G2261">
        <v>5024700</v>
      </c>
      <c r="I2261">
        <f t="shared" si="36"/>
        <v>6.5790477420093278E-5</v>
      </c>
    </row>
    <row r="2262" spans="1:9" x14ac:dyDescent="0.3">
      <c r="A2262" s="5">
        <v>44917</v>
      </c>
      <c r="B2262">
        <v>151.13000500000001</v>
      </c>
      <c r="C2262">
        <v>152.41000399999999</v>
      </c>
      <c r="D2262">
        <v>150.88000500000001</v>
      </c>
      <c r="E2262">
        <v>152.19000199999999</v>
      </c>
      <c r="F2262">
        <v>147.490646</v>
      </c>
      <c r="G2262">
        <v>5904900</v>
      </c>
      <c r="I2262">
        <f t="shared" si="36"/>
        <v>2.6495245986281874E-5</v>
      </c>
    </row>
    <row r="2263" spans="1:9" x14ac:dyDescent="0.3">
      <c r="A2263" s="5">
        <v>44918</v>
      </c>
      <c r="B2263">
        <v>152.30999800000001</v>
      </c>
      <c r="C2263">
        <v>152.91999799999999</v>
      </c>
      <c r="D2263">
        <v>151.66999799999999</v>
      </c>
      <c r="E2263">
        <v>152.61999499999999</v>
      </c>
      <c r="F2263">
        <v>147.90734900000001</v>
      </c>
      <c r="G2263">
        <v>3401800</v>
      </c>
      <c r="I2263">
        <f t="shared" si="36"/>
        <v>3.4141599631229155E-5</v>
      </c>
    </row>
    <row r="2264" spans="1:9" x14ac:dyDescent="0.3">
      <c r="A2264" s="5">
        <v>44922</v>
      </c>
      <c r="B2264">
        <v>152.699997</v>
      </c>
      <c r="C2264">
        <v>154.320007</v>
      </c>
      <c r="D2264">
        <v>152.66000399999999</v>
      </c>
      <c r="E2264">
        <v>153.949997</v>
      </c>
      <c r="F2264">
        <v>149.196259</v>
      </c>
      <c r="G2264">
        <v>4215100</v>
      </c>
      <c r="I2264">
        <f t="shared" si="36"/>
        <v>2.7537752322547922E-5</v>
      </c>
    </row>
    <row r="2265" spans="1:9" x14ac:dyDescent="0.3">
      <c r="A2265" s="5">
        <v>44923</v>
      </c>
      <c r="B2265">
        <v>154.279999</v>
      </c>
      <c r="C2265">
        <v>154.64999399999999</v>
      </c>
      <c r="D2265">
        <v>151.89999399999999</v>
      </c>
      <c r="E2265">
        <v>151.96000699999999</v>
      </c>
      <c r="F2265">
        <v>147.267731</v>
      </c>
      <c r="G2265">
        <v>4197500</v>
      </c>
      <c r="I2265">
        <f t="shared" si="36"/>
        <v>4.8172157864211387E-5</v>
      </c>
    </row>
    <row r="2266" spans="1:9" x14ac:dyDescent="0.3">
      <c r="A2266" s="5">
        <v>44924</v>
      </c>
      <c r="B2266">
        <v>152.80999800000001</v>
      </c>
      <c r="C2266">
        <v>153.240005</v>
      </c>
      <c r="D2266">
        <v>152.13999899999999</v>
      </c>
      <c r="E2266">
        <v>152.58999600000001</v>
      </c>
      <c r="F2266">
        <v>147.878265</v>
      </c>
      <c r="G2266">
        <v>3809100</v>
      </c>
      <c r="I2266">
        <f t="shared" si="36"/>
        <v>2.4922718865913054E-5</v>
      </c>
    </row>
    <row r="2267" spans="1:9" x14ac:dyDescent="0.3">
      <c r="A2267" s="5">
        <v>44925</v>
      </c>
      <c r="B2267">
        <v>152.429993</v>
      </c>
      <c r="C2267">
        <v>152.679993</v>
      </c>
      <c r="D2267">
        <v>150.44000199999999</v>
      </c>
      <c r="E2267">
        <v>151.55999800000001</v>
      </c>
      <c r="F2267">
        <v>146.88008099999999</v>
      </c>
      <c r="G2267">
        <v>4532000</v>
      </c>
      <c r="I2267">
        <f t="shared" si="36"/>
        <v>1.0953587449801037E-4</v>
      </c>
    </row>
    <row r="2268" spans="1:9" x14ac:dyDescent="0.3">
      <c r="A2268" s="5">
        <v>44929</v>
      </c>
      <c r="B2268">
        <v>150.949997</v>
      </c>
      <c r="C2268">
        <v>151.71000699999999</v>
      </c>
      <c r="D2268">
        <v>149.11999499999999</v>
      </c>
      <c r="E2268">
        <v>151.570007</v>
      </c>
      <c r="F2268">
        <v>146.88978599999999</v>
      </c>
      <c r="G2268">
        <v>6447300</v>
      </c>
      <c r="I2268">
        <f t="shared" si="36"/>
        <v>2.0340778967997951E-4</v>
      </c>
    </row>
    <row r="2269" spans="1:9" x14ac:dyDescent="0.3">
      <c r="A2269" s="5">
        <v>44930</v>
      </c>
      <c r="B2269">
        <v>151.990005</v>
      </c>
      <c r="C2269">
        <v>153.38999899999999</v>
      </c>
      <c r="D2269">
        <v>151.229996</v>
      </c>
      <c r="E2269">
        <v>152.229996</v>
      </c>
      <c r="F2269">
        <v>147.52938800000001</v>
      </c>
      <c r="G2269">
        <v>7313400</v>
      </c>
      <c r="I2269">
        <f t="shared" si="36"/>
        <v>1.0264163559453902E-4</v>
      </c>
    </row>
    <row r="2270" spans="1:9" x14ac:dyDescent="0.3">
      <c r="A2270" s="5">
        <v>44931</v>
      </c>
      <c r="B2270">
        <v>152.21000699999999</v>
      </c>
      <c r="C2270">
        <v>152.479996</v>
      </c>
      <c r="D2270">
        <v>150.13000500000001</v>
      </c>
      <c r="E2270">
        <v>150.33999600000001</v>
      </c>
      <c r="F2270">
        <v>145.69773900000001</v>
      </c>
      <c r="G2270">
        <v>5373800</v>
      </c>
      <c r="I2270">
        <f t="shared" si="36"/>
        <v>4.4281105708010926E-5</v>
      </c>
    </row>
    <row r="2271" spans="1:9" x14ac:dyDescent="0.3">
      <c r="A2271" s="5">
        <v>44932</v>
      </c>
      <c r="B2271">
        <v>151.85000600000001</v>
      </c>
      <c r="C2271">
        <v>154.46000699999999</v>
      </c>
      <c r="D2271">
        <v>151.75</v>
      </c>
      <c r="E2271">
        <v>153.91999799999999</v>
      </c>
      <c r="F2271">
        <v>149.16720599999999</v>
      </c>
      <c r="G2271">
        <v>7882200</v>
      </c>
      <c r="I2271">
        <f t="shared" si="36"/>
        <v>6.903901791455153E-5</v>
      </c>
    </row>
    <row r="2272" spans="1:9" x14ac:dyDescent="0.3">
      <c r="A2272" s="5">
        <v>44935</v>
      </c>
      <c r="B2272">
        <v>153.44000199999999</v>
      </c>
      <c r="C2272">
        <v>154.800003</v>
      </c>
      <c r="D2272">
        <v>152</v>
      </c>
      <c r="E2272">
        <v>152.03999300000001</v>
      </c>
      <c r="F2272">
        <v>147.34524500000001</v>
      </c>
      <c r="G2272">
        <v>5727000</v>
      </c>
      <c r="I2272">
        <f t="shared" si="36"/>
        <v>1.6123412836560163E-4</v>
      </c>
    </row>
    <row r="2273" spans="1:9" x14ac:dyDescent="0.3">
      <c r="A2273" s="5">
        <v>44936</v>
      </c>
      <c r="B2273">
        <v>152.10000600000001</v>
      </c>
      <c r="C2273">
        <v>152.699997</v>
      </c>
      <c r="D2273">
        <v>150.94000199999999</v>
      </c>
      <c r="E2273">
        <v>151.88999899999999</v>
      </c>
      <c r="F2273">
        <v>147.19989000000001</v>
      </c>
      <c r="G2273">
        <v>4716400</v>
      </c>
      <c r="I2273">
        <f t="shared" si="36"/>
        <v>6.8972918012854729E-5</v>
      </c>
    </row>
    <row r="2274" spans="1:9" x14ac:dyDescent="0.3">
      <c r="A2274" s="5">
        <v>44937</v>
      </c>
      <c r="B2274">
        <v>152.320007</v>
      </c>
      <c r="C2274">
        <v>152.55999800000001</v>
      </c>
      <c r="D2274">
        <v>149.35000600000001</v>
      </c>
      <c r="E2274">
        <v>150.66000399999999</v>
      </c>
      <c r="F2274">
        <v>146.00788900000001</v>
      </c>
      <c r="G2274">
        <v>8691300</v>
      </c>
      <c r="I2274">
        <f t="shared" si="36"/>
        <v>1.9169339811517041E-4</v>
      </c>
    </row>
    <row r="2275" spans="1:9" x14ac:dyDescent="0.3">
      <c r="A2275" s="5">
        <v>44938</v>
      </c>
      <c r="B2275">
        <v>151.699997</v>
      </c>
      <c r="C2275">
        <v>151.729996</v>
      </c>
      <c r="D2275">
        <v>149.520004</v>
      </c>
      <c r="E2275">
        <v>149.80999800000001</v>
      </c>
      <c r="F2275">
        <v>145.184113</v>
      </c>
      <c r="G2275">
        <v>7801600</v>
      </c>
      <c r="I2275">
        <f t="shared" si="36"/>
        <v>3.0564524235502394E-5</v>
      </c>
    </row>
    <row r="2276" spans="1:9" x14ac:dyDescent="0.3">
      <c r="A2276" s="5">
        <v>44939</v>
      </c>
      <c r="B2276">
        <v>149.61000100000001</v>
      </c>
      <c r="C2276">
        <v>151.050003</v>
      </c>
      <c r="D2276">
        <v>149.41999799999999</v>
      </c>
      <c r="E2276">
        <v>150.88000500000001</v>
      </c>
      <c r="F2276">
        <v>146.221069</v>
      </c>
      <c r="G2276">
        <v>5535800</v>
      </c>
      <c r="I2276">
        <f t="shared" si="36"/>
        <v>2.3143571605530024E-5</v>
      </c>
    </row>
    <row r="2277" spans="1:9" x14ac:dyDescent="0.3">
      <c r="A2277" s="5">
        <v>44943</v>
      </c>
      <c r="B2277">
        <v>150.78999300000001</v>
      </c>
      <c r="C2277">
        <v>152.13000500000001</v>
      </c>
      <c r="D2277">
        <v>150.39999399999999</v>
      </c>
      <c r="E2277">
        <v>150.44000199999999</v>
      </c>
      <c r="F2277">
        <v>145.794678</v>
      </c>
      <c r="G2277">
        <v>9611800</v>
      </c>
      <c r="I2277">
        <f t="shared" si="36"/>
        <v>9.9523555532600921E-5</v>
      </c>
    </row>
    <row r="2278" spans="1:9" x14ac:dyDescent="0.3">
      <c r="A2278" s="5">
        <v>44944</v>
      </c>
      <c r="B2278">
        <v>149.66000399999999</v>
      </c>
      <c r="C2278">
        <v>149.929993</v>
      </c>
      <c r="D2278">
        <v>146.03999300000001</v>
      </c>
      <c r="E2278">
        <v>146.41000399999999</v>
      </c>
      <c r="F2278">
        <v>141.88911400000001</v>
      </c>
      <c r="G2278">
        <v>10461200</v>
      </c>
      <c r="I2278">
        <f t="shared" si="36"/>
        <v>1.0477923397472471E-4</v>
      </c>
    </row>
    <row r="2279" spans="1:9" x14ac:dyDescent="0.3">
      <c r="A2279" s="5">
        <v>44945</v>
      </c>
      <c r="B2279">
        <v>143.30999800000001</v>
      </c>
      <c r="C2279">
        <v>146.220001</v>
      </c>
      <c r="D2279">
        <v>142.240005</v>
      </c>
      <c r="E2279">
        <v>142.41999799999999</v>
      </c>
      <c r="F2279">
        <v>138.888397</v>
      </c>
      <c r="G2279">
        <v>12683700</v>
      </c>
      <c r="I2279">
        <f t="shared" si="36"/>
        <v>5.3880801870559187E-4</v>
      </c>
    </row>
    <row r="2280" spans="1:9" x14ac:dyDescent="0.3">
      <c r="A2280" s="5">
        <v>44946</v>
      </c>
      <c r="B2280">
        <v>142.320007</v>
      </c>
      <c r="C2280">
        <v>143.14999399999999</v>
      </c>
      <c r="D2280">
        <v>140.14999399999999</v>
      </c>
      <c r="E2280">
        <v>142.970001</v>
      </c>
      <c r="F2280">
        <v>139.424789</v>
      </c>
      <c r="G2280">
        <v>8603300</v>
      </c>
      <c r="I2280">
        <f t="shared" si="36"/>
        <v>3.134084976268708E-4</v>
      </c>
    </row>
    <row r="2281" spans="1:9" x14ac:dyDescent="0.3">
      <c r="A2281" s="5">
        <v>44949</v>
      </c>
      <c r="B2281">
        <v>143.36000100000001</v>
      </c>
      <c r="C2281">
        <v>143.699997</v>
      </c>
      <c r="D2281">
        <v>140.69000199999999</v>
      </c>
      <c r="E2281">
        <v>141.050003</v>
      </c>
      <c r="F2281">
        <v>137.55238299999999</v>
      </c>
      <c r="G2281">
        <v>7473100</v>
      </c>
      <c r="I2281">
        <f t="shared" si="36"/>
        <v>9.213610680584928E-5</v>
      </c>
    </row>
    <row r="2282" spans="1:9" x14ac:dyDescent="0.3">
      <c r="A2282" s="5">
        <v>44950</v>
      </c>
      <c r="B2282">
        <v>140.69000199999999</v>
      </c>
      <c r="C2282">
        <v>142.38000500000001</v>
      </c>
      <c r="D2282">
        <v>139.80999800000001</v>
      </c>
      <c r="E2282">
        <v>141.820007</v>
      </c>
      <c r="F2282">
        <v>138.30328399999999</v>
      </c>
      <c r="G2282">
        <v>6822500</v>
      </c>
      <c r="I2282">
        <f t="shared" si="36"/>
        <v>1.3662199925267498E-4</v>
      </c>
    </row>
    <row r="2283" spans="1:9" x14ac:dyDescent="0.3">
      <c r="A2283" s="5">
        <v>44951</v>
      </c>
      <c r="B2283">
        <v>140.38999899999999</v>
      </c>
      <c r="C2283">
        <v>141.75</v>
      </c>
      <c r="D2283">
        <v>138.729996</v>
      </c>
      <c r="E2283">
        <v>141.720001</v>
      </c>
      <c r="F2283">
        <v>138.20576500000001</v>
      </c>
      <c r="G2283">
        <v>6902600</v>
      </c>
      <c r="I2283">
        <f t="shared" si="36"/>
        <v>2.5567946634000478E-4</v>
      </c>
    </row>
    <row r="2284" spans="1:9" x14ac:dyDescent="0.3">
      <c r="A2284" s="5">
        <v>44952</v>
      </c>
      <c r="B2284">
        <v>141.729996</v>
      </c>
      <c r="C2284">
        <v>141.740005</v>
      </c>
      <c r="D2284">
        <v>140.740005</v>
      </c>
      <c r="E2284">
        <v>141.14999399999999</v>
      </c>
      <c r="F2284">
        <v>137.64988700000001</v>
      </c>
      <c r="G2284">
        <v>5398600</v>
      </c>
      <c r="I2284">
        <f t="shared" si="36"/>
        <v>2.0684395146378729E-5</v>
      </c>
    </row>
    <row r="2285" spans="1:9" x14ac:dyDescent="0.3">
      <c r="A2285" s="5">
        <v>44953</v>
      </c>
      <c r="B2285">
        <v>141.070007</v>
      </c>
      <c r="C2285">
        <v>141.36000100000001</v>
      </c>
      <c r="D2285">
        <v>139.28999300000001</v>
      </c>
      <c r="E2285">
        <v>140.570007</v>
      </c>
      <c r="F2285">
        <v>137.08429000000001</v>
      </c>
      <c r="G2285">
        <v>6870800</v>
      </c>
      <c r="I2285">
        <f t="shared" si="36"/>
        <v>1.276668491680478E-4</v>
      </c>
    </row>
    <row r="2286" spans="1:9" x14ac:dyDescent="0.3">
      <c r="A2286" s="5">
        <v>44956</v>
      </c>
      <c r="B2286">
        <v>140.96000699999999</v>
      </c>
      <c r="C2286">
        <v>142.11999499999999</v>
      </c>
      <c r="D2286">
        <v>140.279999</v>
      </c>
      <c r="E2286">
        <v>141.009995</v>
      </c>
      <c r="F2286">
        <v>137.51336699999999</v>
      </c>
      <c r="G2286">
        <v>6369300</v>
      </c>
      <c r="I2286">
        <f t="shared" si="36"/>
        <v>8.9360281850917766E-5</v>
      </c>
    </row>
    <row r="2287" spans="1:9" x14ac:dyDescent="0.3">
      <c r="A2287" s="5">
        <v>44957</v>
      </c>
      <c r="B2287">
        <v>141.229996</v>
      </c>
      <c r="C2287">
        <v>142.470001</v>
      </c>
      <c r="D2287">
        <v>140.759995</v>
      </c>
      <c r="E2287">
        <v>142.38000500000001</v>
      </c>
      <c r="F2287">
        <v>138.84939600000001</v>
      </c>
      <c r="G2287">
        <v>9373400</v>
      </c>
      <c r="I2287">
        <f t="shared" si="36"/>
        <v>4.3669544503723622E-5</v>
      </c>
    </row>
    <row r="2288" spans="1:9" x14ac:dyDescent="0.3">
      <c r="A2288" s="5">
        <v>44958</v>
      </c>
      <c r="B2288">
        <v>142.08000200000001</v>
      </c>
      <c r="C2288">
        <v>144.10000600000001</v>
      </c>
      <c r="D2288">
        <v>141.35000600000001</v>
      </c>
      <c r="E2288">
        <v>143.19000199999999</v>
      </c>
      <c r="F2288">
        <v>139.639297</v>
      </c>
      <c r="G2288">
        <v>7207900</v>
      </c>
      <c r="I2288">
        <f t="shared" si="36"/>
        <v>1.5605597510753475E-4</v>
      </c>
    </row>
    <row r="2289" spans="1:9" x14ac:dyDescent="0.3">
      <c r="A2289" s="5">
        <v>44959</v>
      </c>
      <c r="B2289">
        <v>142.16999799999999</v>
      </c>
      <c r="C2289">
        <v>142.71000699999999</v>
      </c>
      <c r="D2289">
        <v>141.21000699999999</v>
      </c>
      <c r="E2289">
        <v>142.16999799999999</v>
      </c>
      <c r="F2289">
        <v>138.64460800000001</v>
      </c>
      <c r="G2289">
        <v>6444300</v>
      </c>
      <c r="I2289">
        <f t="shared" si="36"/>
        <v>6.0277643636616131E-5</v>
      </c>
    </row>
    <row r="2290" spans="1:9" x14ac:dyDescent="0.3">
      <c r="A2290" s="5">
        <v>44960</v>
      </c>
      <c r="B2290">
        <v>142.779999</v>
      </c>
      <c r="C2290">
        <v>143.38000500000001</v>
      </c>
      <c r="D2290">
        <v>141.16999799999999</v>
      </c>
      <c r="E2290">
        <v>142.61000100000001</v>
      </c>
      <c r="F2290">
        <v>139.0737</v>
      </c>
      <c r="G2290">
        <v>5993100</v>
      </c>
      <c r="I2290">
        <f t="shared" si="36"/>
        <v>1.3767049779197856E-4</v>
      </c>
    </row>
    <row r="2291" spans="1:9" x14ac:dyDescent="0.3">
      <c r="A2291" s="5">
        <v>44963</v>
      </c>
      <c r="B2291">
        <v>142.009995</v>
      </c>
      <c r="C2291">
        <v>142.63999899999999</v>
      </c>
      <c r="D2291">
        <v>141.009995</v>
      </c>
      <c r="E2291">
        <v>141.39999399999999</v>
      </c>
      <c r="F2291">
        <v>137.89370700000001</v>
      </c>
      <c r="G2291">
        <v>6108100</v>
      </c>
      <c r="I2291">
        <f t="shared" si="36"/>
        <v>5.8166802347983658E-5</v>
      </c>
    </row>
    <row r="2292" spans="1:9" x14ac:dyDescent="0.3">
      <c r="A2292" s="5">
        <v>44964</v>
      </c>
      <c r="B2292">
        <v>139.970001</v>
      </c>
      <c r="C2292">
        <v>140.78999300000001</v>
      </c>
      <c r="D2292">
        <v>138.779999</v>
      </c>
      <c r="E2292">
        <v>140.020004</v>
      </c>
      <c r="F2292">
        <v>136.54791299999999</v>
      </c>
      <c r="G2292">
        <v>6278300</v>
      </c>
      <c r="I2292">
        <f t="shared" si="36"/>
        <v>1.0798402346009014E-4</v>
      </c>
    </row>
    <row r="2293" spans="1:9" x14ac:dyDescent="0.3">
      <c r="A2293" s="5">
        <v>44965</v>
      </c>
      <c r="B2293">
        <v>139.05999800000001</v>
      </c>
      <c r="C2293">
        <v>139.53999300000001</v>
      </c>
      <c r="D2293">
        <v>138.41000399999999</v>
      </c>
      <c r="E2293">
        <v>138.570007</v>
      </c>
      <c r="F2293">
        <v>135.13386499999999</v>
      </c>
      <c r="G2293">
        <v>7123800</v>
      </c>
      <c r="I2293">
        <f t="shared" si="36"/>
        <v>2.9449194847504354E-5</v>
      </c>
    </row>
    <row r="2294" spans="1:9" x14ac:dyDescent="0.3">
      <c r="A2294" s="5">
        <v>44966</v>
      </c>
      <c r="B2294">
        <v>138.88000500000001</v>
      </c>
      <c r="C2294">
        <v>139.33000200000001</v>
      </c>
      <c r="D2294">
        <v>137</v>
      </c>
      <c r="E2294">
        <v>137.050003</v>
      </c>
      <c r="F2294">
        <v>133.65154999999999</v>
      </c>
      <c r="G2294">
        <v>6547400</v>
      </c>
      <c r="I2294">
        <f t="shared" si="36"/>
        <v>5.8348271235776045E-5</v>
      </c>
    </row>
    <row r="2295" spans="1:9" x14ac:dyDescent="0.3">
      <c r="A2295" s="5">
        <v>44967</v>
      </c>
      <c r="B2295">
        <v>136.949997</v>
      </c>
      <c r="C2295">
        <v>138.300003</v>
      </c>
      <c r="D2295">
        <v>135.83000200000001</v>
      </c>
      <c r="E2295">
        <v>138.259995</v>
      </c>
      <c r="F2295">
        <v>134.831558</v>
      </c>
      <c r="G2295">
        <v>8108900</v>
      </c>
      <c r="I2295">
        <f t="shared" si="36"/>
        <v>1.4844744201525264E-4</v>
      </c>
    </row>
    <row r="2296" spans="1:9" x14ac:dyDescent="0.3">
      <c r="A2296" s="5">
        <v>44970</v>
      </c>
      <c r="B2296">
        <v>138.94000199999999</v>
      </c>
      <c r="C2296">
        <v>140.449997</v>
      </c>
      <c r="D2296">
        <v>138.740005</v>
      </c>
      <c r="E2296">
        <v>140.070007</v>
      </c>
      <c r="F2296">
        <v>136.59669500000001</v>
      </c>
      <c r="G2296">
        <v>5081600</v>
      </c>
      <c r="I2296">
        <f t="shared" si="36"/>
        <v>4.3027622810276577E-5</v>
      </c>
    </row>
    <row r="2297" spans="1:9" x14ac:dyDescent="0.3">
      <c r="A2297" s="5">
        <v>44971</v>
      </c>
      <c r="B2297">
        <v>140.13999899999999</v>
      </c>
      <c r="C2297">
        <v>140.240005</v>
      </c>
      <c r="D2297">
        <v>138.61999499999999</v>
      </c>
      <c r="E2297">
        <v>139.279999</v>
      </c>
      <c r="F2297">
        <v>135.82626300000001</v>
      </c>
      <c r="G2297">
        <v>5253500</v>
      </c>
      <c r="I2297">
        <f t="shared" si="36"/>
        <v>5.6700978897353777E-5</v>
      </c>
    </row>
    <row r="2298" spans="1:9" x14ac:dyDescent="0.3">
      <c r="A2298" s="5">
        <v>44972</v>
      </c>
      <c r="B2298">
        <v>139.11000100000001</v>
      </c>
      <c r="C2298">
        <v>139.320007</v>
      </c>
      <c r="D2298">
        <v>138.070007</v>
      </c>
      <c r="E2298">
        <v>138.96000699999999</v>
      </c>
      <c r="F2298">
        <v>135.514206</v>
      </c>
      <c r="G2298">
        <v>5530300</v>
      </c>
      <c r="I2298">
        <f t="shared" si="36"/>
        <v>5.2119476222767777E-5</v>
      </c>
    </row>
    <row r="2299" spans="1:9" x14ac:dyDescent="0.3">
      <c r="A2299" s="5">
        <v>44973</v>
      </c>
      <c r="B2299">
        <v>137.38999899999999</v>
      </c>
      <c r="C2299">
        <v>138.199997</v>
      </c>
      <c r="D2299">
        <v>136.550003</v>
      </c>
      <c r="E2299">
        <v>137.13999899999999</v>
      </c>
      <c r="F2299">
        <v>133.73933400000001</v>
      </c>
      <c r="G2299">
        <v>7595700</v>
      </c>
      <c r="I2299">
        <f t="shared" si="36"/>
        <v>7.1701288737389436E-5</v>
      </c>
    </row>
    <row r="2300" spans="1:9" x14ac:dyDescent="0.3">
      <c r="A2300" s="5">
        <v>44974</v>
      </c>
      <c r="B2300">
        <v>136.58999600000001</v>
      </c>
      <c r="C2300">
        <v>140.03999300000001</v>
      </c>
      <c r="D2300">
        <v>136.58999600000001</v>
      </c>
      <c r="E2300">
        <v>140.009995</v>
      </c>
      <c r="F2300">
        <v>136.53814700000001</v>
      </c>
      <c r="G2300">
        <v>8034700</v>
      </c>
      <c r="I2300">
        <f t="shared" si="36"/>
        <v>5.3439047839379305E-6</v>
      </c>
    </row>
    <row r="2301" spans="1:9" x14ac:dyDescent="0.3">
      <c r="A2301" s="5">
        <v>44978</v>
      </c>
      <c r="B2301">
        <v>138.86999499999999</v>
      </c>
      <c r="C2301">
        <v>140.88999899999999</v>
      </c>
      <c r="D2301">
        <v>138.86999499999999</v>
      </c>
      <c r="E2301">
        <v>139.91000399999999</v>
      </c>
      <c r="F2301">
        <v>136.44064299999999</v>
      </c>
      <c r="G2301">
        <v>6899500</v>
      </c>
      <c r="I2301">
        <f t="shared" si="36"/>
        <v>1.0080049699574137E-4</v>
      </c>
    </row>
    <row r="2302" spans="1:9" x14ac:dyDescent="0.3">
      <c r="A2302" s="5">
        <v>44979</v>
      </c>
      <c r="B2302">
        <v>139.979996</v>
      </c>
      <c r="C2302">
        <v>141.58000200000001</v>
      </c>
      <c r="D2302">
        <v>139.88000500000001</v>
      </c>
      <c r="E2302">
        <v>140.5</v>
      </c>
      <c r="F2302">
        <v>137.016006</v>
      </c>
      <c r="G2302">
        <v>6126300</v>
      </c>
      <c r="I2302">
        <f t="shared" si="36"/>
        <v>9.0190398831424431E-5</v>
      </c>
    </row>
    <row r="2303" spans="1:9" x14ac:dyDescent="0.3">
      <c r="A2303" s="5">
        <v>44980</v>
      </c>
      <c r="B2303">
        <v>140.229996</v>
      </c>
      <c r="C2303">
        <v>141.13999899999999</v>
      </c>
      <c r="D2303">
        <v>139.10000600000001</v>
      </c>
      <c r="E2303">
        <v>140.050003</v>
      </c>
      <c r="F2303">
        <v>136.577179</v>
      </c>
      <c r="G2303">
        <v>5835400</v>
      </c>
      <c r="I2303">
        <f t="shared" si="36"/>
        <v>1.0521681897784354E-4</v>
      </c>
    </row>
    <row r="2304" spans="1:9" x14ac:dyDescent="0.3">
      <c r="A2304" s="5">
        <v>44981</v>
      </c>
      <c r="B2304">
        <v>138.929993</v>
      </c>
      <c r="C2304">
        <v>139.429993</v>
      </c>
      <c r="D2304">
        <v>138.08000200000001</v>
      </c>
      <c r="E2304">
        <v>139.259995</v>
      </c>
      <c r="F2304">
        <v>135.80676299999999</v>
      </c>
      <c r="G2304">
        <v>5260700</v>
      </c>
      <c r="I2304">
        <f t="shared" si="36"/>
        <v>5.6604298030410574E-5</v>
      </c>
    </row>
    <row r="2305" spans="1:9" x14ac:dyDescent="0.3">
      <c r="A2305" s="5">
        <v>44984</v>
      </c>
      <c r="B2305">
        <v>139.61000100000001</v>
      </c>
      <c r="C2305">
        <v>140.470001</v>
      </c>
      <c r="D2305">
        <v>138.529999</v>
      </c>
      <c r="E2305">
        <v>139.13999899999999</v>
      </c>
      <c r="F2305">
        <v>135.689728</v>
      </c>
      <c r="G2305">
        <v>5820900</v>
      </c>
      <c r="I2305">
        <f t="shared" si="36"/>
        <v>9.2543803375986285E-5</v>
      </c>
    </row>
    <row r="2306" spans="1:9" x14ac:dyDescent="0.3">
      <c r="A2306" s="5">
        <v>44985</v>
      </c>
      <c r="B2306">
        <v>138.449997</v>
      </c>
      <c r="C2306">
        <v>138.58999600000001</v>
      </c>
      <c r="D2306">
        <v>137.279999</v>
      </c>
      <c r="E2306">
        <v>137.55999800000001</v>
      </c>
      <c r="F2306">
        <v>134.148911</v>
      </c>
      <c r="G2306">
        <v>6709900</v>
      </c>
      <c r="I2306">
        <f t="shared" si="36"/>
        <v>2.4831191529836204E-5</v>
      </c>
    </row>
    <row r="2307" spans="1:9" x14ac:dyDescent="0.3">
      <c r="A2307" s="5">
        <v>44986</v>
      </c>
      <c r="B2307">
        <v>138.050003</v>
      </c>
      <c r="C2307">
        <v>138.33000200000001</v>
      </c>
      <c r="D2307">
        <v>136.509995</v>
      </c>
      <c r="E2307">
        <v>137.66000399999999</v>
      </c>
      <c r="F2307">
        <v>134.24644499999999</v>
      </c>
      <c r="G2307">
        <v>7101800</v>
      </c>
      <c r="I2307">
        <f t="shared" si="36"/>
        <v>1.0394728247648719E-4</v>
      </c>
    </row>
    <row r="2308" spans="1:9" x14ac:dyDescent="0.3">
      <c r="A2308" s="5">
        <v>44987</v>
      </c>
      <c r="B2308">
        <v>138</v>
      </c>
      <c r="C2308">
        <v>140.429993</v>
      </c>
      <c r="D2308">
        <v>137.779999</v>
      </c>
      <c r="E2308">
        <v>139.929993</v>
      </c>
      <c r="F2308">
        <v>136.46014400000001</v>
      </c>
      <c r="G2308">
        <v>5924600</v>
      </c>
      <c r="I2308">
        <f t="shared" si="36"/>
        <v>8.6965284368921821E-5</v>
      </c>
    </row>
    <row r="2309" spans="1:9" x14ac:dyDescent="0.3">
      <c r="A2309" s="5">
        <v>44988</v>
      </c>
      <c r="B2309">
        <v>141.19000199999999</v>
      </c>
      <c r="C2309">
        <v>141.240005</v>
      </c>
      <c r="D2309">
        <v>139.970001</v>
      </c>
      <c r="E2309">
        <v>140.949997</v>
      </c>
      <c r="F2309">
        <v>137.454849</v>
      </c>
      <c r="G2309">
        <v>5259400</v>
      </c>
      <c r="I2309">
        <f t="shared" si="36"/>
        <v>6.1277611122288384E-5</v>
      </c>
    </row>
    <row r="2310" spans="1:9" x14ac:dyDescent="0.3">
      <c r="A2310" s="5">
        <v>44991</v>
      </c>
      <c r="B2310">
        <v>140.729996</v>
      </c>
      <c r="C2310">
        <v>141.13999899999999</v>
      </c>
      <c r="D2310">
        <v>139.94000199999999</v>
      </c>
      <c r="E2310">
        <v>140.35000600000001</v>
      </c>
      <c r="F2310">
        <v>136.86975100000001</v>
      </c>
      <c r="G2310">
        <v>4943100</v>
      </c>
      <c r="I2310">
        <f t="shared" si="36"/>
        <v>3.2798105980748666E-5</v>
      </c>
    </row>
    <row r="2311" spans="1:9" x14ac:dyDescent="0.3">
      <c r="A2311" s="5">
        <v>44992</v>
      </c>
      <c r="B2311">
        <v>140.429993</v>
      </c>
      <c r="C2311">
        <v>140.61999499999999</v>
      </c>
      <c r="D2311">
        <v>137.33999600000001</v>
      </c>
      <c r="E2311">
        <v>137.55999800000001</v>
      </c>
      <c r="F2311">
        <v>134.148911</v>
      </c>
      <c r="G2311">
        <v>5606800</v>
      </c>
      <c r="I2311">
        <f t="shared" si="36"/>
        <v>6.5359795762440245E-5</v>
      </c>
    </row>
    <row r="2312" spans="1:9" x14ac:dyDescent="0.3">
      <c r="A2312" s="5">
        <v>44993</v>
      </c>
      <c r="B2312">
        <v>137.199997</v>
      </c>
      <c r="C2312">
        <v>137.69000199999999</v>
      </c>
      <c r="D2312">
        <v>136.60000600000001</v>
      </c>
      <c r="E2312">
        <v>137.58000200000001</v>
      </c>
      <c r="F2312">
        <v>134.16842700000001</v>
      </c>
      <c r="G2312">
        <v>5518800</v>
      </c>
      <c r="I2312">
        <f t="shared" si="36"/>
        <v>3.4179425111668861E-5</v>
      </c>
    </row>
    <row r="2313" spans="1:9" x14ac:dyDescent="0.3">
      <c r="A2313" s="5">
        <v>44994</v>
      </c>
      <c r="B2313">
        <v>138.14999399999999</v>
      </c>
      <c r="C2313">
        <v>138.55999800000001</v>
      </c>
      <c r="D2313">
        <v>136.10000600000001</v>
      </c>
      <c r="E2313">
        <v>136.570007</v>
      </c>
      <c r="F2313">
        <v>133.18347199999999</v>
      </c>
      <c r="G2313">
        <v>4467200</v>
      </c>
      <c r="I2313">
        <f t="shared" si="36"/>
        <v>9.4407927408084904E-5</v>
      </c>
    </row>
    <row r="2314" spans="1:9" x14ac:dyDescent="0.3">
      <c r="A2314" s="5">
        <v>44995</v>
      </c>
      <c r="B2314">
        <v>136.949997</v>
      </c>
      <c r="C2314">
        <v>137.990005</v>
      </c>
      <c r="D2314">
        <v>136.35000600000001</v>
      </c>
      <c r="E2314">
        <v>137.19000199999999</v>
      </c>
      <c r="F2314">
        <v>133.78808599999999</v>
      </c>
      <c r="G2314">
        <v>5928000</v>
      </c>
      <c r="I2314">
        <f t="shared" si="36"/>
        <v>7.0954692735122654E-5</v>
      </c>
    </row>
    <row r="2315" spans="1:9" x14ac:dyDescent="0.3">
      <c r="A2315" s="5">
        <v>44998</v>
      </c>
      <c r="B2315">
        <v>137.03999300000001</v>
      </c>
      <c r="C2315">
        <v>141.320007</v>
      </c>
      <c r="D2315">
        <v>137.03999300000001</v>
      </c>
      <c r="E2315">
        <v>138.13999899999999</v>
      </c>
      <c r="F2315">
        <v>134.714539</v>
      </c>
      <c r="G2315">
        <v>8337100</v>
      </c>
      <c r="I2315">
        <f t="shared" si="36"/>
        <v>6.9993848901713483E-4</v>
      </c>
    </row>
    <row r="2316" spans="1:9" x14ac:dyDescent="0.3">
      <c r="A2316" s="5">
        <v>44999</v>
      </c>
      <c r="B2316">
        <v>138.28999300000001</v>
      </c>
      <c r="C2316">
        <v>140.11000100000001</v>
      </c>
      <c r="D2316">
        <v>137.39999399999999</v>
      </c>
      <c r="E2316">
        <v>139.85000600000001</v>
      </c>
      <c r="F2316">
        <v>136.38214099999999</v>
      </c>
      <c r="G2316">
        <v>9219700</v>
      </c>
      <c r="I2316">
        <f t="shared" ref="I2316:I2379" si="37">LN(C2316/B2316)*(LN(C2316/B2316)-LN(E2316/B2316))+LN(D2316/B2316)*(LN(D2316/B2316)-LN(E2316/B2316))</f>
        <v>1.3839882374041897E-4</v>
      </c>
    </row>
    <row r="2317" spans="1:9" x14ac:dyDescent="0.3">
      <c r="A2317" s="5">
        <v>45000</v>
      </c>
      <c r="B2317">
        <v>138.80999800000001</v>
      </c>
      <c r="C2317">
        <v>142.14999399999999</v>
      </c>
      <c r="D2317">
        <v>138.80999800000001</v>
      </c>
      <c r="E2317">
        <v>141.83000200000001</v>
      </c>
      <c r="F2317">
        <v>138.31303399999999</v>
      </c>
      <c r="G2317">
        <v>8823500</v>
      </c>
      <c r="I2317">
        <f t="shared" si="37"/>
        <v>5.3583795341218928E-5</v>
      </c>
    </row>
    <row r="2318" spans="1:9" x14ac:dyDescent="0.3">
      <c r="A2318" s="5">
        <v>45001</v>
      </c>
      <c r="B2318">
        <v>141.94000199999999</v>
      </c>
      <c r="C2318">
        <v>143.11999499999999</v>
      </c>
      <c r="D2318">
        <v>141.61000100000001</v>
      </c>
      <c r="E2318">
        <v>142.88999899999999</v>
      </c>
      <c r="F2318">
        <v>139.346756</v>
      </c>
      <c r="G2318">
        <v>7063400</v>
      </c>
      <c r="I2318">
        <f t="shared" si="37"/>
        <v>3.4259887953553132E-5</v>
      </c>
    </row>
    <row r="2319" spans="1:9" x14ac:dyDescent="0.3">
      <c r="A2319" s="5">
        <v>45002</v>
      </c>
      <c r="B2319">
        <v>142.5</v>
      </c>
      <c r="C2319">
        <v>143.38999899999999</v>
      </c>
      <c r="D2319">
        <v>141.529999</v>
      </c>
      <c r="E2319">
        <v>142.929993</v>
      </c>
      <c r="F2319">
        <v>139.38575700000001</v>
      </c>
      <c r="G2319">
        <v>16018800</v>
      </c>
      <c r="I2319">
        <f t="shared" si="37"/>
        <v>8.7238504888994674E-5</v>
      </c>
    </row>
    <row r="2320" spans="1:9" x14ac:dyDescent="0.3">
      <c r="A2320" s="5">
        <v>45005</v>
      </c>
      <c r="B2320">
        <v>143.5</v>
      </c>
      <c r="C2320">
        <v>145.39999399999999</v>
      </c>
      <c r="D2320">
        <v>143.229996</v>
      </c>
      <c r="E2320">
        <v>145.13000500000001</v>
      </c>
      <c r="F2320">
        <v>141.531204</v>
      </c>
      <c r="G2320">
        <v>8379200</v>
      </c>
      <c r="I2320">
        <f t="shared" si="37"/>
        <v>4.9266023766879387E-5</v>
      </c>
    </row>
    <row r="2321" spans="1:9" x14ac:dyDescent="0.3">
      <c r="A2321" s="5">
        <v>45006</v>
      </c>
      <c r="B2321">
        <v>144.91000399999999</v>
      </c>
      <c r="C2321">
        <v>145.229996</v>
      </c>
      <c r="D2321">
        <v>142.83999600000001</v>
      </c>
      <c r="E2321">
        <v>144.08000200000001</v>
      </c>
      <c r="F2321">
        <v>140.507248</v>
      </c>
      <c r="G2321">
        <v>7753200</v>
      </c>
      <c r="I2321">
        <f t="shared" si="37"/>
        <v>1.4189843606386102E-4</v>
      </c>
    </row>
    <row r="2322" spans="1:9" x14ac:dyDescent="0.3">
      <c r="A2322" s="5">
        <v>45007</v>
      </c>
      <c r="B2322">
        <v>144.03999300000001</v>
      </c>
      <c r="C2322">
        <v>145.75</v>
      </c>
      <c r="D2322">
        <v>143.83000200000001</v>
      </c>
      <c r="E2322">
        <v>143.990005</v>
      </c>
      <c r="F2322">
        <v>140.419479</v>
      </c>
      <c r="G2322">
        <v>5729100</v>
      </c>
      <c r="I2322">
        <f t="shared" si="37"/>
        <v>1.4500183702868E-4</v>
      </c>
    </row>
    <row r="2323" spans="1:9" x14ac:dyDescent="0.3">
      <c r="A2323" s="5">
        <v>45008</v>
      </c>
      <c r="B2323">
        <v>144.240005</v>
      </c>
      <c r="C2323">
        <v>145.11999499999999</v>
      </c>
      <c r="D2323">
        <v>143.19000199999999</v>
      </c>
      <c r="E2323">
        <v>143.78999300000001</v>
      </c>
      <c r="F2323">
        <v>140.22442599999999</v>
      </c>
      <c r="G2323">
        <v>5788400</v>
      </c>
      <c r="I2323">
        <f t="shared" si="37"/>
        <v>8.6550893038808677E-5</v>
      </c>
    </row>
    <row r="2324" spans="1:9" x14ac:dyDescent="0.3">
      <c r="A2324" s="5">
        <v>45009</v>
      </c>
      <c r="B2324">
        <v>144.300003</v>
      </c>
      <c r="C2324">
        <v>146.759995</v>
      </c>
      <c r="D2324">
        <v>144.300003</v>
      </c>
      <c r="E2324">
        <v>146.720001</v>
      </c>
      <c r="F2324">
        <v>143.081772</v>
      </c>
      <c r="G2324">
        <v>6144800</v>
      </c>
      <c r="I2324">
        <f t="shared" si="37"/>
        <v>4.6072082789090589E-6</v>
      </c>
    </row>
    <row r="2325" spans="1:9" x14ac:dyDescent="0.3">
      <c r="A2325" s="5">
        <v>45012</v>
      </c>
      <c r="B2325">
        <v>146.88999899999999</v>
      </c>
      <c r="C2325">
        <v>147.41999799999999</v>
      </c>
      <c r="D2325">
        <v>145.86999499999999</v>
      </c>
      <c r="E2325">
        <v>145.949997</v>
      </c>
      <c r="F2325">
        <v>142.330872</v>
      </c>
      <c r="G2325">
        <v>5917200</v>
      </c>
      <c r="I2325">
        <f t="shared" si="37"/>
        <v>3.9914741594519034E-5</v>
      </c>
    </row>
    <row r="2326" spans="1:9" x14ac:dyDescent="0.3">
      <c r="A2326" s="5">
        <v>45013</v>
      </c>
      <c r="B2326">
        <v>146.550003</v>
      </c>
      <c r="C2326">
        <v>146.820007</v>
      </c>
      <c r="D2326">
        <v>145.800003</v>
      </c>
      <c r="E2326">
        <v>146.36000100000001</v>
      </c>
      <c r="F2326">
        <v>142.73069799999999</v>
      </c>
      <c r="G2326">
        <v>4213800</v>
      </c>
      <c r="I2326">
        <f t="shared" si="37"/>
        <v>2.5445363793676384E-5</v>
      </c>
    </row>
    <row r="2327" spans="1:9" x14ac:dyDescent="0.3">
      <c r="A2327" s="5">
        <v>45014</v>
      </c>
      <c r="B2327">
        <v>147.08000200000001</v>
      </c>
      <c r="C2327">
        <v>147.28999300000001</v>
      </c>
      <c r="D2327">
        <v>146.259995</v>
      </c>
      <c r="E2327">
        <v>146.80999800000001</v>
      </c>
      <c r="F2327">
        <v>143.16954000000001</v>
      </c>
      <c r="G2327">
        <v>4987700</v>
      </c>
      <c r="I2327">
        <f t="shared" si="37"/>
        <v>2.5641677134304249E-5</v>
      </c>
    </row>
    <row r="2328" spans="1:9" x14ac:dyDescent="0.3">
      <c r="A2328" s="5">
        <v>45015</v>
      </c>
      <c r="B2328">
        <v>146.91999799999999</v>
      </c>
      <c r="C2328">
        <v>147.53999300000001</v>
      </c>
      <c r="D2328">
        <v>146.300003</v>
      </c>
      <c r="E2328">
        <v>147.449997</v>
      </c>
      <c r="F2328">
        <v>143.79367099999999</v>
      </c>
      <c r="G2328">
        <v>4117700</v>
      </c>
      <c r="I2328">
        <f t="shared" si="37"/>
        <v>3.5680657617588847E-5</v>
      </c>
    </row>
    <row r="2329" spans="1:9" x14ac:dyDescent="0.3">
      <c r="A2329" s="5">
        <v>45016</v>
      </c>
      <c r="B2329">
        <v>147.740005</v>
      </c>
      <c r="C2329">
        <v>148.69000199999999</v>
      </c>
      <c r="D2329">
        <v>147.570007</v>
      </c>
      <c r="E2329">
        <v>148.69000199999999</v>
      </c>
      <c r="F2329">
        <v>145.00292999999999</v>
      </c>
      <c r="G2329">
        <v>7685900</v>
      </c>
      <c r="I2329">
        <f t="shared" si="37"/>
        <v>8.7050406034506508E-6</v>
      </c>
    </row>
    <row r="2330" spans="1:9" x14ac:dyDescent="0.3">
      <c r="A2330" s="5">
        <v>45019</v>
      </c>
      <c r="B2330">
        <v>148.429993</v>
      </c>
      <c r="C2330">
        <v>150.070007</v>
      </c>
      <c r="D2330">
        <v>147.08999600000001</v>
      </c>
      <c r="E2330">
        <v>149.509995</v>
      </c>
      <c r="F2330">
        <v>145.802582</v>
      </c>
      <c r="G2330">
        <v>5721700</v>
      </c>
      <c r="I2330">
        <f t="shared" si="37"/>
        <v>1.8907252345480975E-4</v>
      </c>
    </row>
    <row r="2331" spans="1:9" x14ac:dyDescent="0.3">
      <c r="A2331" s="5">
        <v>45020</v>
      </c>
      <c r="B2331">
        <v>150.08000200000001</v>
      </c>
      <c r="C2331">
        <v>151.71000699999999</v>
      </c>
      <c r="D2331">
        <v>150.08000200000001</v>
      </c>
      <c r="E2331">
        <v>150.229996</v>
      </c>
      <c r="F2331">
        <v>146.50473</v>
      </c>
      <c r="G2331">
        <v>6714300</v>
      </c>
      <c r="I2331">
        <f t="shared" si="37"/>
        <v>1.0590002423499804E-4</v>
      </c>
    </row>
    <row r="2332" spans="1:9" x14ac:dyDescent="0.3">
      <c r="A2332" s="5">
        <v>45021</v>
      </c>
      <c r="B2332">
        <v>151.33000200000001</v>
      </c>
      <c r="C2332">
        <v>152.35000600000001</v>
      </c>
      <c r="D2332">
        <v>151.14999399999999</v>
      </c>
      <c r="E2332">
        <v>151.259995</v>
      </c>
      <c r="F2332">
        <v>147.509186</v>
      </c>
      <c r="G2332">
        <v>6094800</v>
      </c>
      <c r="I2332">
        <f t="shared" si="37"/>
        <v>4.910106346594422E-5</v>
      </c>
    </row>
    <row r="2333" spans="1:9" x14ac:dyDescent="0.3">
      <c r="A2333" s="5">
        <v>45022</v>
      </c>
      <c r="B2333">
        <v>151.86999499999999</v>
      </c>
      <c r="C2333">
        <v>152.96000699999999</v>
      </c>
      <c r="D2333">
        <v>151.41999799999999</v>
      </c>
      <c r="E2333">
        <v>152.220001</v>
      </c>
      <c r="F2333">
        <v>148.44538900000001</v>
      </c>
      <c r="G2333">
        <v>5399700</v>
      </c>
      <c r="I2333">
        <f t="shared" si="37"/>
        <v>5.0319615449011989E-5</v>
      </c>
    </row>
    <row r="2334" spans="1:9" x14ac:dyDescent="0.3">
      <c r="A2334" s="5">
        <v>45026</v>
      </c>
      <c r="B2334">
        <v>151.64999399999999</v>
      </c>
      <c r="C2334">
        <v>151.66999799999999</v>
      </c>
      <c r="D2334">
        <v>149.509995</v>
      </c>
      <c r="E2334">
        <v>150.96000699999999</v>
      </c>
      <c r="F2334">
        <v>147.216644</v>
      </c>
      <c r="G2334">
        <v>4891800</v>
      </c>
      <c r="I2334">
        <f t="shared" si="37"/>
        <v>1.3778836133422148E-4</v>
      </c>
    </row>
    <row r="2335" spans="1:9" x14ac:dyDescent="0.3">
      <c r="A2335" s="5">
        <v>45027</v>
      </c>
      <c r="B2335">
        <v>151.259995</v>
      </c>
      <c r="C2335">
        <v>151.44000199999999</v>
      </c>
      <c r="D2335">
        <v>150.520004</v>
      </c>
      <c r="E2335">
        <v>150.66000399999999</v>
      </c>
      <c r="F2335">
        <v>146.92408800000001</v>
      </c>
      <c r="G2335">
        <v>6311800</v>
      </c>
      <c r="I2335">
        <f t="shared" si="37"/>
        <v>1.0700895201542216E-5</v>
      </c>
    </row>
    <row r="2336" spans="1:9" x14ac:dyDescent="0.3">
      <c r="A2336" s="5">
        <v>45028</v>
      </c>
      <c r="B2336">
        <v>150.30999800000001</v>
      </c>
      <c r="C2336">
        <v>152.41000399999999</v>
      </c>
      <c r="D2336">
        <v>149.929993</v>
      </c>
      <c r="E2336">
        <v>151.070007</v>
      </c>
      <c r="F2336">
        <v>147.323914</v>
      </c>
      <c r="G2336">
        <v>6137900</v>
      </c>
      <c r="I2336">
        <f t="shared" si="37"/>
        <v>1.4169911824552265E-4</v>
      </c>
    </row>
    <row r="2337" spans="1:9" x14ac:dyDescent="0.3">
      <c r="A2337" s="5">
        <v>45029</v>
      </c>
      <c r="B2337">
        <v>150.89999399999999</v>
      </c>
      <c r="C2337">
        <v>151.86999499999999</v>
      </c>
      <c r="D2337">
        <v>149.820007</v>
      </c>
      <c r="E2337">
        <v>151.770004</v>
      </c>
      <c r="F2337">
        <v>148.006561</v>
      </c>
      <c r="G2337">
        <v>5489500</v>
      </c>
      <c r="I2337">
        <f t="shared" si="37"/>
        <v>9.7104144117873896E-5</v>
      </c>
    </row>
    <row r="2338" spans="1:9" x14ac:dyDescent="0.3">
      <c r="A2338" s="5">
        <v>45030</v>
      </c>
      <c r="B2338">
        <v>151.35000600000001</v>
      </c>
      <c r="C2338">
        <v>151.58999600000001</v>
      </c>
      <c r="D2338">
        <v>150.509995</v>
      </c>
      <c r="E2338">
        <v>151</v>
      </c>
      <c r="F2338">
        <v>147.25564600000001</v>
      </c>
      <c r="G2338">
        <v>4478800</v>
      </c>
      <c r="I2338">
        <f t="shared" si="37"/>
        <v>2.4268669489547044E-5</v>
      </c>
    </row>
    <row r="2339" spans="1:9" x14ac:dyDescent="0.3">
      <c r="A2339" s="5">
        <v>45033</v>
      </c>
      <c r="B2339">
        <v>151.16999799999999</v>
      </c>
      <c r="C2339">
        <v>151.470001</v>
      </c>
      <c r="D2339">
        <v>150.33999600000001</v>
      </c>
      <c r="E2339">
        <v>151.050003</v>
      </c>
      <c r="F2339">
        <v>147.30439799999999</v>
      </c>
      <c r="G2339">
        <v>4296400</v>
      </c>
      <c r="I2339">
        <f t="shared" si="37"/>
        <v>3.1445130333002022E-5</v>
      </c>
    </row>
    <row r="2340" spans="1:9" x14ac:dyDescent="0.3">
      <c r="A2340" s="5">
        <v>45034</v>
      </c>
      <c r="B2340">
        <v>150.979996</v>
      </c>
      <c r="C2340">
        <v>151.58999600000001</v>
      </c>
      <c r="D2340">
        <v>150.10000600000001</v>
      </c>
      <c r="E2340">
        <v>151.21000699999999</v>
      </c>
      <c r="F2340">
        <v>147.46044900000001</v>
      </c>
      <c r="G2340">
        <v>4158400</v>
      </c>
      <c r="I2340">
        <f t="shared" si="37"/>
        <v>5.3189386979773619E-5</v>
      </c>
    </row>
    <row r="2341" spans="1:9" x14ac:dyDescent="0.3">
      <c r="A2341" s="5">
        <v>45035</v>
      </c>
      <c r="B2341">
        <v>151.16999799999999</v>
      </c>
      <c r="C2341">
        <v>151.89999399999999</v>
      </c>
      <c r="D2341">
        <v>150.71000699999999</v>
      </c>
      <c r="E2341">
        <v>151.240005</v>
      </c>
      <c r="F2341">
        <v>147.4897</v>
      </c>
      <c r="G2341">
        <v>3837600</v>
      </c>
      <c r="I2341">
        <f t="shared" si="37"/>
        <v>3.1674779299943155E-5</v>
      </c>
    </row>
    <row r="2342" spans="1:9" x14ac:dyDescent="0.3">
      <c r="A2342" s="5">
        <v>45036</v>
      </c>
      <c r="B2342">
        <v>150.36999499999999</v>
      </c>
      <c r="C2342">
        <v>151.36000100000001</v>
      </c>
      <c r="D2342">
        <v>150.36999499999999</v>
      </c>
      <c r="E2342">
        <v>150.85000600000001</v>
      </c>
      <c r="F2342">
        <v>148.03041099999999</v>
      </c>
      <c r="G2342">
        <v>5370900</v>
      </c>
      <c r="I2342">
        <f t="shared" si="37"/>
        <v>2.2148197070297667E-5</v>
      </c>
    </row>
    <row r="2343" spans="1:9" x14ac:dyDescent="0.3">
      <c r="A2343" s="5">
        <v>45037</v>
      </c>
      <c r="B2343">
        <v>154.94000199999999</v>
      </c>
      <c r="C2343">
        <v>158.11000100000001</v>
      </c>
      <c r="D2343">
        <v>154.5</v>
      </c>
      <c r="E2343">
        <v>156.070007</v>
      </c>
      <c r="F2343">
        <v>153.15283199999999</v>
      </c>
      <c r="G2343">
        <v>14876900</v>
      </c>
      <c r="I2343">
        <f t="shared" si="37"/>
        <v>2.9176575801207025E-4</v>
      </c>
    </row>
    <row r="2344" spans="1:9" x14ac:dyDescent="0.3">
      <c r="A2344" s="5">
        <v>45040</v>
      </c>
      <c r="B2344">
        <v>155.220001</v>
      </c>
      <c r="C2344">
        <v>157.25</v>
      </c>
      <c r="D2344">
        <v>155.220001</v>
      </c>
      <c r="E2344">
        <v>156.35000600000001</v>
      </c>
      <c r="F2344">
        <v>153.42759699999999</v>
      </c>
      <c r="G2344">
        <v>8109800</v>
      </c>
      <c r="I2344">
        <f t="shared" si="37"/>
        <v>7.4579306514613853E-5</v>
      </c>
    </row>
    <row r="2345" spans="1:9" x14ac:dyDescent="0.3">
      <c r="A2345" s="5">
        <v>45041</v>
      </c>
      <c r="B2345">
        <v>156.509995</v>
      </c>
      <c r="C2345">
        <v>157.94000199999999</v>
      </c>
      <c r="D2345">
        <v>155.78999300000001</v>
      </c>
      <c r="E2345">
        <v>156.38999899999999</v>
      </c>
      <c r="F2345">
        <v>153.46682699999999</v>
      </c>
      <c r="G2345">
        <v>8341800</v>
      </c>
      <c r="I2345">
        <f t="shared" si="37"/>
        <v>1.0742599742271614E-4</v>
      </c>
    </row>
    <row r="2346" spans="1:9" x14ac:dyDescent="0.3">
      <c r="A2346" s="5">
        <v>45042</v>
      </c>
      <c r="B2346">
        <v>155.300003</v>
      </c>
      <c r="C2346">
        <v>156</v>
      </c>
      <c r="D2346">
        <v>154.33999600000001</v>
      </c>
      <c r="E2346">
        <v>154.58000200000001</v>
      </c>
      <c r="F2346">
        <v>151.690674</v>
      </c>
      <c r="G2346">
        <v>4843700</v>
      </c>
      <c r="I2346">
        <f t="shared" si="37"/>
        <v>5.0759041636309898E-5</v>
      </c>
    </row>
    <row r="2347" spans="1:9" x14ac:dyDescent="0.3">
      <c r="A2347" s="5">
        <v>45043</v>
      </c>
      <c r="B2347">
        <v>155.300003</v>
      </c>
      <c r="C2347">
        <v>156.61000100000001</v>
      </c>
      <c r="D2347">
        <v>155.009995</v>
      </c>
      <c r="E2347">
        <v>156.470001</v>
      </c>
      <c r="F2347">
        <v>153.54534899999999</v>
      </c>
      <c r="G2347">
        <v>4805600</v>
      </c>
      <c r="I2347">
        <f t="shared" si="37"/>
        <v>2.5035102618397375E-5</v>
      </c>
    </row>
    <row r="2348" spans="1:9" x14ac:dyDescent="0.3">
      <c r="A2348" s="5">
        <v>45044</v>
      </c>
      <c r="B2348">
        <v>156.279999</v>
      </c>
      <c r="C2348">
        <v>157.36999499999999</v>
      </c>
      <c r="D2348">
        <v>155.759995</v>
      </c>
      <c r="E2348">
        <v>156.38000500000001</v>
      </c>
      <c r="F2348">
        <v>153.45701600000001</v>
      </c>
      <c r="G2348">
        <v>5754000</v>
      </c>
      <c r="I2348">
        <f t="shared" si="37"/>
        <v>5.7102715092869626E-5</v>
      </c>
    </row>
    <row r="2349" spans="1:9" x14ac:dyDescent="0.3">
      <c r="A2349" s="5">
        <v>45047</v>
      </c>
      <c r="B2349">
        <v>156.029999</v>
      </c>
      <c r="C2349">
        <v>157.39999399999999</v>
      </c>
      <c r="D2349">
        <v>155.800003</v>
      </c>
      <c r="E2349">
        <v>156.570007</v>
      </c>
      <c r="F2349">
        <v>153.64347799999999</v>
      </c>
      <c r="G2349">
        <v>3844600</v>
      </c>
      <c r="I2349">
        <f t="shared" si="37"/>
        <v>5.3492064161190387E-5</v>
      </c>
    </row>
    <row r="2350" spans="1:9" x14ac:dyDescent="0.3">
      <c r="A2350" s="5">
        <v>45048</v>
      </c>
      <c r="B2350">
        <v>156.58999600000001</v>
      </c>
      <c r="C2350">
        <v>156.929993</v>
      </c>
      <c r="D2350">
        <v>155.66999799999999</v>
      </c>
      <c r="E2350">
        <v>156.429993</v>
      </c>
      <c r="F2350">
        <v>153.50608800000001</v>
      </c>
      <c r="G2350">
        <v>5262900</v>
      </c>
      <c r="I2350">
        <f t="shared" si="37"/>
        <v>3.5619313358394312E-5</v>
      </c>
    </row>
    <row r="2351" spans="1:9" x14ac:dyDescent="0.3">
      <c r="A2351" s="5">
        <v>45049</v>
      </c>
      <c r="B2351">
        <v>156.63999899999999</v>
      </c>
      <c r="C2351">
        <v>157.570007</v>
      </c>
      <c r="D2351">
        <v>155.429993</v>
      </c>
      <c r="E2351">
        <v>156.229996</v>
      </c>
      <c r="F2351">
        <v>153.30983000000001</v>
      </c>
      <c r="G2351">
        <v>5775000</v>
      </c>
      <c r="I2351">
        <f t="shared" si="37"/>
        <v>9.0369107257578092E-5</v>
      </c>
    </row>
    <row r="2352" spans="1:9" x14ac:dyDescent="0.3">
      <c r="A2352" s="5">
        <v>45050</v>
      </c>
      <c r="B2352">
        <v>156.10000600000001</v>
      </c>
      <c r="C2352">
        <v>156.60000600000001</v>
      </c>
      <c r="D2352">
        <v>155.08999600000001</v>
      </c>
      <c r="E2352">
        <v>155.509995</v>
      </c>
      <c r="F2352">
        <v>152.60328699999999</v>
      </c>
      <c r="G2352">
        <v>4892600</v>
      </c>
      <c r="I2352">
        <f t="shared" si="37"/>
        <v>3.9892448371145635E-5</v>
      </c>
    </row>
    <row r="2353" spans="1:9" x14ac:dyDescent="0.3">
      <c r="A2353" s="5">
        <v>45051</v>
      </c>
      <c r="B2353">
        <v>155.39999399999999</v>
      </c>
      <c r="C2353">
        <v>156.30999800000001</v>
      </c>
      <c r="D2353">
        <v>154.69000199999999</v>
      </c>
      <c r="E2353">
        <v>156.029999</v>
      </c>
      <c r="F2353">
        <v>153.11355599999999</v>
      </c>
      <c r="G2353">
        <v>3988200</v>
      </c>
      <c r="I2353">
        <f t="shared" si="37"/>
        <v>4.9965428051578849E-5</v>
      </c>
    </row>
    <row r="2354" spans="1:9" x14ac:dyDescent="0.3">
      <c r="A2354" s="5">
        <v>45054</v>
      </c>
      <c r="B2354">
        <v>155.35000600000001</v>
      </c>
      <c r="C2354">
        <v>155.729996</v>
      </c>
      <c r="D2354">
        <v>154.86999499999999</v>
      </c>
      <c r="E2354">
        <v>155.300003</v>
      </c>
      <c r="F2354">
        <v>152.39721700000001</v>
      </c>
      <c r="G2354">
        <v>4950700</v>
      </c>
      <c r="I2354">
        <f t="shared" si="37"/>
        <v>1.5335533305235366E-5</v>
      </c>
    </row>
    <row r="2355" spans="1:9" x14ac:dyDescent="0.3">
      <c r="A2355" s="5">
        <v>45055</v>
      </c>
      <c r="B2355">
        <v>155.85000600000001</v>
      </c>
      <c r="C2355">
        <v>155.979996</v>
      </c>
      <c r="D2355">
        <v>153.58000200000001</v>
      </c>
      <c r="E2355">
        <v>153.71000699999999</v>
      </c>
      <c r="F2355">
        <v>150.83694499999999</v>
      </c>
      <c r="G2355">
        <v>4472100</v>
      </c>
      <c r="I2355">
        <f t="shared" si="37"/>
        <v>2.4637308798878796E-5</v>
      </c>
    </row>
    <row r="2356" spans="1:9" x14ac:dyDescent="0.3">
      <c r="A2356" s="5">
        <v>45056</v>
      </c>
      <c r="B2356">
        <v>153.449997</v>
      </c>
      <c r="C2356">
        <v>154.320007</v>
      </c>
      <c r="D2356">
        <v>152.44000199999999</v>
      </c>
      <c r="E2356">
        <v>154.029999</v>
      </c>
      <c r="F2356">
        <v>151.15095500000001</v>
      </c>
      <c r="G2356">
        <v>4754900</v>
      </c>
      <c r="I2356">
        <f t="shared" si="37"/>
        <v>7.9156339822687431E-5</v>
      </c>
    </row>
    <row r="2357" spans="1:9" x14ac:dyDescent="0.3">
      <c r="A2357" s="5">
        <v>45057</v>
      </c>
      <c r="B2357">
        <v>154.80999800000001</v>
      </c>
      <c r="C2357">
        <v>154.88999899999999</v>
      </c>
      <c r="D2357">
        <v>153.38999899999999</v>
      </c>
      <c r="E2357">
        <v>154.38999899999999</v>
      </c>
      <c r="F2357">
        <v>151.50422699999999</v>
      </c>
      <c r="G2357">
        <v>3495300</v>
      </c>
      <c r="I2357">
        <f t="shared" si="37"/>
        <v>6.1550146237926654E-5</v>
      </c>
    </row>
    <row r="2358" spans="1:9" x14ac:dyDescent="0.3">
      <c r="A2358" s="5">
        <v>45058</v>
      </c>
      <c r="B2358">
        <v>154.699997</v>
      </c>
      <c r="C2358">
        <v>156.050003</v>
      </c>
      <c r="D2358">
        <v>154.38999899999999</v>
      </c>
      <c r="E2358">
        <v>155.96000699999999</v>
      </c>
      <c r="F2358">
        <v>153.04489100000001</v>
      </c>
      <c r="G2358">
        <v>5252200</v>
      </c>
      <c r="I2358">
        <f t="shared" si="37"/>
        <v>2.530730240314798E-5</v>
      </c>
    </row>
    <row r="2359" spans="1:9" x14ac:dyDescent="0.3">
      <c r="A2359" s="5">
        <v>45061</v>
      </c>
      <c r="B2359">
        <v>156.61000100000001</v>
      </c>
      <c r="C2359">
        <v>156.75</v>
      </c>
      <c r="D2359">
        <v>154.63999899999999</v>
      </c>
      <c r="E2359">
        <v>156.009995</v>
      </c>
      <c r="F2359">
        <v>153.09394800000001</v>
      </c>
      <c r="G2359">
        <v>5414900</v>
      </c>
      <c r="I2359">
        <f t="shared" si="37"/>
        <v>1.1588218985453112E-4</v>
      </c>
    </row>
    <row r="2360" spans="1:9" x14ac:dyDescent="0.3">
      <c r="A2360" s="5">
        <v>45062</v>
      </c>
      <c r="B2360">
        <v>155.86999499999999</v>
      </c>
      <c r="C2360">
        <v>156.91999799999999</v>
      </c>
      <c r="D2360">
        <v>154.929993</v>
      </c>
      <c r="E2360">
        <v>155.740005</v>
      </c>
      <c r="F2360">
        <v>152.82901000000001</v>
      </c>
      <c r="G2360">
        <v>5591500</v>
      </c>
      <c r="I2360">
        <f t="shared" si="37"/>
        <v>8.2219661414961002E-5</v>
      </c>
    </row>
    <row r="2361" spans="1:9" x14ac:dyDescent="0.3">
      <c r="A2361" s="5">
        <v>45063</v>
      </c>
      <c r="B2361">
        <v>156.259995</v>
      </c>
      <c r="C2361">
        <v>156.55999800000001</v>
      </c>
      <c r="D2361">
        <v>153.89999399999999</v>
      </c>
      <c r="E2361">
        <v>155.08000200000001</v>
      </c>
      <c r="F2361">
        <v>152.18133499999999</v>
      </c>
      <c r="G2361">
        <v>4286900</v>
      </c>
      <c r="I2361">
        <f t="shared" si="37"/>
        <v>1.3445694639857339E-4</v>
      </c>
    </row>
    <row r="2362" spans="1:9" x14ac:dyDescent="0.3">
      <c r="A2362" s="5">
        <v>45064</v>
      </c>
      <c r="B2362">
        <v>153.30999800000001</v>
      </c>
      <c r="C2362">
        <v>153.64999399999999</v>
      </c>
      <c r="D2362">
        <v>151.60000600000001</v>
      </c>
      <c r="E2362">
        <v>152.529999</v>
      </c>
      <c r="F2362">
        <v>149.67898600000001</v>
      </c>
      <c r="G2362">
        <v>6997600</v>
      </c>
      <c r="I2362">
        <f t="shared" si="37"/>
        <v>8.480422317247415E-5</v>
      </c>
    </row>
    <row r="2363" spans="1:9" x14ac:dyDescent="0.3">
      <c r="A2363" s="5">
        <v>45065</v>
      </c>
      <c r="B2363">
        <v>152.470001</v>
      </c>
      <c r="C2363">
        <v>153.320007</v>
      </c>
      <c r="D2363">
        <v>151.83999600000001</v>
      </c>
      <c r="E2363">
        <v>153.16999799999999</v>
      </c>
      <c r="F2363">
        <v>150.30702199999999</v>
      </c>
      <c r="G2363">
        <v>4752700</v>
      </c>
      <c r="I2363">
        <f t="shared" si="37"/>
        <v>4.1552184963287929E-5</v>
      </c>
    </row>
    <row r="2364" spans="1:9" x14ac:dyDescent="0.3">
      <c r="A2364" s="5">
        <v>45068</v>
      </c>
      <c r="B2364">
        <v>152.5</v>
      </c>
      <c r="C2364">
        <v>152.60000600000001</v>
      </c>
      <c r="D2364">
        <v>148.83000200000001</v>
      </c>
      <c r="E2364">
        <v>149.16000399999999</v>
      </c>
      <c r="F2364">
        <v>146.37197900000001</v>
      </c>
      <c r="G2364">
        <v>7876200</v>
      </c>
      <c r="I2364">
        <f t="shared" si="37"/>
        <v>6.8900737146848059E-5</v>
      </c>
    </row>
    <row r="2365" spans="1:9" x14ac:dyDescent="0.3">
      <c r="A2365" s="5">
        <v>45069</v>
      </c>
      <c r="B2365">
        <v>148.78999300000001</v>
      </c>
      <c r="C2365">
        <v>148.88000500000001</v>
      </c>
      <c r="D2365">
        <v>147.070007</v>
      </c>
      <c r="E2365">
        <v>147.550003</v>
      </c>
      <c r="F2365">
        <v>144.792068</v>
      </c>
      <c r="G2365">
        <v>6116000</v>
      </c>
      <c r="I2365">
        <f t="shared" si="37"/>
        <v>4.3313030200406097E-5</v>
      </c>
    </row>
    <row r="2366" spans="1:9" x14ac:dyDescent="0.3">
      <c r="A2366" s="5">
        <v>45070</v>
      </c>
      <c r="B2366">
        <v>147.58999600000001</v>
      </c>
      <c r="C2366">
        <v>148.199997</v>
      </c>
      <c r="D2366">
        <v>146.08999600000001</v>
      </c>
      <c r="E2366">
        <v>146.33000200000001</v>
      </c>
      <c r="F2366">
        <v>143.59489400000001</v>
      </c>
      <c r="G2366">
        <v>5755400</v>
      </c>
      <c r="I2366">
        <f t="shared" si="37"/>
        <v>6.914360750810369E-5</v>
      </c>
    </row>
    <row r="2367" spans="1:9" x14ac:dyDescent="0.3">
      <c r="A2367" s="5">
        <v>45071</v>
      </c>
      <c r="B2367">
        <v>145.490005</v>
      </c>
      <c r="C2367">
        <v>146.21000699999999</v>
      </c>
      <c r="D2367">
        <v>144.35000600000001</v>
      </c>
      <c r="E2367">
        <v>145.38999899999999</v>
      </c>
      <c r="F2367">
        <v>142.67245500000001</v>
      </c>
      <c r="G2367">
        <v>6510300</v>
      </c>
      <c r="I2367">
        <f t="shared" si="37"/>
        <v>8.42363702249525E-5</v>
      </c>
    </row>
    <row r="2368" spans="1:9" x14ac:dyDescent="0.3">
      <c r="A2368" s="5">
        <v>45072</v>
      </c>
      <c r="B2368">
        <v>145.33000200000001</v>
      </c>
      <c r="C2368">
        <v>146.009995</v>
      </c>
      <c r="D2368">
        <v>144.729996</v>
      </c>
      <c r="E2368">
        <v>145.39999399999999</v>
      </c>
      <c r="F2368">
        <v>142.68225100000001</v>
      </c>
      <c r="G2368">
        <v>4716400</v>
      </c>
      <c r="I2368">
        <f t="shared" si="37"/>
        <v>3.865079878366129E-5</v>
      </c>
    </row>
    <row r="2369" spans="1:9" x14ac:dyDescent="0.3">
      <c r="A2369" s="5">
        <v>45076</v>
      </c>
      <c r="B2369">
        <v>143.86000100000001</v>
      </c>
      <c r="C2369">
        <v>144.03999300000001</v>
      </c>
      <c r="D2369">
        <v>142.35000600000001</v>
      </c>
      <c r="E2369">
        <v>143.179993</v>
      </c>
      <c r="F2369">
        <v>140.503738</v>
      </c>
      <c r="G2369">
        <v>5561000</v>
      </c>
      <c r="I2369">
        <f t="shared" si="37"/>
        <v>6.883232168025304E-5</v>
      </c>
    </row>
    <row r="2370" spans="1:9" x14ac:dyDescent="0.3">
      <c r="A2370" s="5">
        <v>45077</v>
      </c>
      <c r="B2370">
        <v>143.16000399999999</v>
      </c>
      <c r="C2370">
        <v>143.979996</v>
      </c>
      <c r="D2370">
        <v>141.89999399999999</v>
      </c>
      <c r="E2370">
        <v>142.5</v>
      </c>
      <c r="F2370">
        <v>139.83647199999999</v>
      </c>
      <c r="G2370">
        <v>19854800</v>
      </c>
      <c r="I2370">
        <f t="shared" si="37"/>
        <v>9.6314508891474953E-5</v>
      </c>
    </row>
    <row r="2371" spans="1:9" x14ac:dyDescent="0.3">
      <c r="A2371" s="5">
        <v>45078</v>
      </c>
      <c r="B2371">
        <v>143.25</v>
      </c>
      <c r="C2371">
        <v>144.11999499999999</v>
      </c>
      <c r="D2371">
        <v>142.449997</v>
      </c>
      <c r="E2371">
        <v>143.96000699999999</v>
      </c>
      <c r="F2371">
        <v>141.26919599999999</v>
      </c>
      <c r="G2371">
        <v>6091100</v>
      </c>
      <c r="I2371">
        <f t="shared" si="37"/>
        <v>6.5777773643118349E-5</v>
      </c>
    </row>
    <row r="2372" spans="1:9" x14ac:dyDescent="0.3">
      <c r="A2372" s="5">
        <v>45079</v>
      </c>
      <c r="B2372">
        <v>144.509995</v>
      </c>
      <c r="C2372">
        <v>146.679993</v>
      </c>
      <c r="D2372">
        <v>144.38999899999999</v>
      </c>
      <c r="E2372">
        <v>146.520004</v>
      </c>
      <c r="F2372">
        <v>143.78132600000001</v>
      </c>
      <c r="G2372">
        <v>6123500</v>
      </c>
      <c r="I2372">
        <f t="shared" si="37"/>
        <v>2.8430776089557996E-5</v>
      </c>
    </row>
    <row r="2373" spans="1:9" x14ac:dyDescent="0.3">
      <c r="A2373" s="5">
        <v>45082</v>
      </c>
      <c r="B2373">
        <v>146.050003</v>
      </c>
      <c r="C2373">
        <v>147.85000600000001</v>
      </c>
      <c r="D2373">
        <v>145.729996</v>
      </c>
      <c r="E2373">
        <v>145.94000199999999</v>
      </c>
      <c r="F2373">
        <v>143.21217300000001</v>
      </c>
      <c r="G2373">
        <v>4753700</v>
      </c>
      <c r="I2373">
        <f t="shared" si="37"/>
        <v>1.6243176648083599E-4</v>
      </c>
    </row>
    <row r="2374" spans="1:9" x14ac:dyDescent="0.3">
      <c r="A2374" s="5">
        <v>45083</v>
      </c>
      <c r="B2374">
        <v>146.070007</v>
      </c>
      <c r="C2374">
        <v>146.30999800000001</v>
      </c>
      <c r="D2374">
        <v>143.550003</v>
      </c>
      <c r="E2374">
        <v>144.490005</v>
      </c>
      <c r="F2374">
        <v>141.789276</v>
      </c>
      <c r="G2374">
        <v>4635900</v>
      </c>
      <c r="I2374">
        <f t="shared" si="37"/>
        <v>1.3413392617647041E-4</v>
      </c>
    </row>
    <row r="2375" spans="1:9" x14ac:dyDescent="0.3">
      <c r="A2375" s="5">
        <v>45084</v>
      </c>
      <c r="B2375">
        <v>144.009995</v>
      </c>
      <c r="C2375">
        <v>145.11999499999999</v>
      </c>
      <c r="D2375">
        <v>143.470001</v>
      </c>
      <c r="E2375">
        <v>144.800003</v>
      </c>
      <c r="F2375">
        <v>142.09347500000001</v>
      </c>
      <c r="G2375">
        <v>6194400</v>
      </c>
      <c r="I2375">
        <f t="shared" si="37"/>
        <v>5.161487219906953E-5</v>
      </c>
    </row>
    <row r="2376" spans="1:9" x14ac:dyDescent="0.3">
      <c r="A2376" s="5">
        <v>45085</v>
      </c>
      <c r="B2376">
        <v>145.33999600000001</v>
      </c>
      <c r="C2376">
        <v>146.64999399999999</v>
      </c>
      <c r="D2376">
        <v>144.91999799999999</v>
      </c>
      <c r="E2376">
        <v>146.44000199999999</v>
      </c>
      <c r="F2376">
        <v>143.70282</v>
      </c>
      <c r="G2376">
        <v>4863700</v>
      </c>
      <c r="I2376">
        <f t="shared" si="37"/>
        <v>4.3053102953810478E-5</v>
      </c>
    </row>
    <row r="2377" spans="1:9" x14ac:dyDescent="0.3">
      <c r="A2377" s="5">
        <v>45086</v>
      </c>
      <c r="B2377">
        <v>145.679993</v>
      </c>
      <c r="C2377">
        <v>146.779999</v>
      </c>
      <c r="D2377">
        <v>144.729996</v>
      </c>
      <c r="E2377">
        <v>146.55999800000001</v>
      </c>
      <c r="F2377">
        <v>143.820572</v>
      </c>
      <c r="G2377">
        <v>5569500</v>
      </c>
      <c r="I2377">
        <f t="shared" si="37"/>
        <v>9.3489585744955834E-5</v>
      </c>
    </row>
    <row r="2378" spans="1:9" x14ac:dyDescent="0.3">
      <c r="A2378" s="5">
        <v>45089</v>
      </c>
      <c r="B2378">
        <v>147</v>
      </c>
      <c r="C2378">
        <v>147.009995</v>
      </c>
      <c r="D2378">
        <v>144.550003</v>
      </c>
      <c r="E2378">
        <v>145.41000399999999</v>
      </c>
      <c r="F2378">
        <v>142.69207800000001</v>
      </c>
      <c r="G2378">
        <v>5354000</v>
      </c>
      <c r="I2378">
        <f t="shared" si="37"/>
        <v>1.0044167105045169E-4</v>
      </c>
    </row>
    <row r="2379" spans="1:9" x14ac:dyDescent="0.3">
      <c r="A2379" s="5">
        <v>45090</v>
      </c>
      <c r="B2379">
        <v>144.509995</v>
      </c>
      <c r="C2379">
        <v>145.679993</v>
      </c>
      <c r="D2379">
        <v>144.279999</v>
      </c>
      <c r="E2379">
        <v>145.05999800000001</v>
      </c>
      <c r="F2379">
        <v>142.34861799999999</v>
      </c>
      <c r="G2379">
        <v>5321200</v>
      </c>
      <c r="I2379">
        <f t="shared" si="37"/>
        <v>4.2979199048250142E-5</v>
      </c>
    </row>
    <row r="2380" spans="1:9" x14ac:dyDescent="0.3">
      <c r="A2380" s="5">
        <v>45091</v>
      </c>
      <c r="B2380">
        <v>145.30999800000001</v>
      </c>
      <c r="C2380">
        <v>146.88999899999999</v>
      </c>
      <c r="D2380">
        <v>144.83000200000001</v>
      </c>
      <c r="E2380">
        <v>146.41999799999999</v>
      </c>
      <c r="F2380">
        <v>143.68319700000001</v>
      </c>
      <c r="G2380">
        <v>5693300</v>
      </c>
      <c r="I2380">
        <f t="shared" ref="I2380:I2443" si="38">LN(C2380/B2380)*(LN(C2380/B2380)-LN(E2380/B2380))+LN(D2380/B2380)*(LN(D2380/B2380)-LN(E2380/B2380))</f>
        <v>7.0785221975029917E-5</v>
      </c>
    </row>
    <row r="2381" spans="1:9" x14ac:dyDescent="0.3">
      <c r="A2381" s="5">
        <v>45092</v>
      </c>
      <c r="B2381">
        <v>147.16999799999999</v>
      </c>
      <c r="C2381">
        <v>148.970001</v>
      </c>
      <c r="D2381">
        <v>146.53999300000001</v>
      </c>
      <c r="E2381">
        <v>148.449997</v>
      </c>
      <c r="F2381">
        <v>145.675262</v>
      </c>
      <c r="G2381">
        <v>5863000</v>
      </c>
      <c r="I2381">
        <f t="shared" si="38"/>
        <v>9.8063231082907E-5</v>
      </c>
    </row>
    <row r="2382" spans="1:9" x14ac:dyDescent="0.3">
      <c r="A2382" s="5">
        <v>45093</v>
      </c>
      <c r="B2382">
        <v>148.91999799999999</v>
      </c>
      <c r="C2382">
        <v>150.08999600000001</v>
      </c>
      <c r="D2382">
        <v>148.89999399999999</v>
      </c>
      <c r="E2382">
        <v>149.53999300000001</v>
      </c>
      <c r="F2382">
        <v>146.74487300000001</v>
      </c>
      <c r="G2382">
        <v>11243900</v>
      </c>
      <c r="I2382">
        <f t="shared" si="38"/>
        <v>2.9306578196031117E-5</v>
      </c>
    </row>
    <row r="2383" spans="1:9" x14ac:dyDescent="0.3">
      <c r="A2383" s="5">
        <v>45097</v>
      </c>
      <c r="B2383">
        <v>149.75</v>
      </c>
      <c r="C2383">
        <v>150.279999</v>
      </c>
      <c r="D2383">
        <v>148.11000100000001</v>
      </c>
      <c r="E2383">
        <v>148.16000399999999</v>
      </c>
      <c r="F2383">
        <v>145.390671</v>
      </c>
      <c r="G2383">
        <v>5340700</v>
      </c>
      <c r="I2383">
        <f t="shared" si="38"/>
        <v>5.3911574551344218E-5</v>
      </c>
    </row>
    <row r="2384" spans="1:9" x14ac:dyDescent="0.3">
      <c r="A2384" s="5">
        <v>45098</v>
      </c>
      <c r="B2384">
        <v>148.259995</v>
      </c>
      <c r="C2384">
        <v>149.60000600000001</v>
      </c>
      <c r="D2384">
        <v>147.86999499999999</v>
      </c>
      <c r="E2384">
        <v>149.44000199999999</v>
      </c>
      <c r="F2384">
        <v>146.64674400000001</v>
      </c>
      <c r="G2384">
        <v>4649700</v>
      </c>
      <c r="I2384">
        <f t="shared" si="38"/>
        <v>3.7447356857832871E-5</v>
      </c>
    </row>
    <row r="2385" spans="1:9" x14ac:dyDescent="0.3">
      <c r="A2385" s="5">
        <v>45099</v>
      </c>
      <c r="B2385">
        <v>150.35000600000001</v>
      </c>
      <c r="C2385">
        <v>151.10000600000001</v>
      </c>
      <c r="D2385">
        <v>149.479996</v>
      </c>
      <c r="E2385">
        <v>149.949997</v>
      </c>
      <c r="F2385">
        <v>147.14721700000001</v>
      </c>
      <c r="G2385">
        <v>6666800</v>
      </c>
      <c r="I2385">
        <f t="shared" si="38"/>
        <v>5.6235016759578378E-5</v>
      </c>
    </row>
    <row r="2386" spans="1:9" x14ac:dyDescent="0.3">
      <c r="A2386" s="5">
        <v>45100</v>
      </c>
      <c r="B2386">
        <v>150.25</v>
      </c>
      <c r="C2386">
        <v>150.529999</v>
      </c>
      <c r="D2386">
        <v>147.96000699999999</v>
      </c>
      <c r="E2386">
        <v>148.46000699999999</v>
      </c>
      <c r="F2386">
        <v>145.68507399999999</v>
      </c>
      <c r="G2386">
        <v>13843300</v>
      </c>
      <c r="I2386">
        <f t="shared" si="38"/>
        <v>7.759376919110297E-5</v>
      </c>
    </row>
    <row r="2387" spans="1:9" x14ac:dyDescent="0.3">
      <c r="A2387" s="5">
        <v>45103</v>
      </c>
      <c r="B2387">
        <v>148.10000600000001</v>
      </c>
      <c r="C2387">
        <v>148.970001</v>
      </c>
      <c r="D2387">
        <v>146.720001</v>
      </c>
      <c r="E2387">
        <v>148.61000100000001</v>
      </c>
      <c r="F2387">
        <v>145.83225999999999</v>
      </c>
      <c r="G2387">
        <v>4353100</v>
      </c>
      <c r="I2387">
        <f t="shared" si="38"/>
        <v>1.3399646521697212E-4</v>
      </c>
    </row>
    <row r="2388" spans="1:9" x14ac:dyDescent="0.3">
      <c r="A2388" s="5">
        <v>45104</v>
      </c>
      <c r="B2388">
        <v>148.44000199999999</v>
      </c>
      <c r="C2388">
        <v>150.16999799999999</v>
      </c>
      <c r="D2388">
        <v>148.38999899999999</v>
      </c>
      <c r="E2388">
        <v>150.020004</v>
      </c>
      <c r="F2388">
        <v>147.215912</v>
      </c>
      <c r="G2388">
        <v>5445400</v>
      </c>
      <c r="I2388">
        <f t="shared" si="38"/>
        <v>1.5260007220882651E-5</v>
      </c>
    </row>
    <row r="2389" spans="1:9" x14ac:dyDescent="0.3">
      <c r="A2389" s="5">
        <v>45105</v>
      </c>
      <c r="B2389">
        <v>149.33000200000001</v>
      </c>
      <c r="C2389">
        <v>150.300003</v>
      </c>
      <c r="D2389">
        <v>147.96000699999999</v>
      </c>
      <c r="E2389">
        <v>149.990005</v>
      </c>
      <c r="F2389">
        <v>147.18647799999999</v>
      </c>
      <c r="G2389">
        <v>6733300</v>
      </c>
      <c r="I2389">
        <f t="shared" si="38"/>
        <v>1.3895962188103316E-4</v>
      </c>
    </row>
    <row r="2390" spans="1:9" x14ac:dyDescent="0.3">
      <c r="A2390" s="5">
        <v>45106</v>
      </c>
      <c r="B2390">
        <v>148.479996</v>
      </c>
      <c r="C2390">
        <v>149.699997</v>
      </c>
      <c r="D2390">
        <v>147.10000600000001</v>
      </c>
      <c r="E2390">
        <v>149.38000500000001</v>
      </c>
      <c r="F2390">
        <v>146.587875</v>
      </c>
      <c r="G2390">
        <v>7343000</v>
      </c>
      <c r="I2390">
        <f t="shared" si="38"/>
        <v>1.6112937795568613E-4</v>
      </c>
    </row>
    <row r="2391" spans="1:9" x14ac:dyDescent="0.3">
      <c r="A2391" s="5">
        <v>45107</v>
      </c>
      <c r="B2391">
        <v>149.83000200000001</v>
      </c>
      <c r="C2391">
        <v>152.070007</v>
      </c>
      <c r="D2391">
        <v>149.78999300000001</v>
      </c>
      <c r="E2391">
        <v>151.740005</v>
      </c>
      <c r="F2391">
        <v>148.903763</v>
      </c>
      <c r="G2391">
        <v>7055600</v>
      </c>
      <c r="I2391">
        <f t="shared" si="38"/>
        <v>3.5692326447727245E-5</v>
      </c>
    </row>
    <row r="2392" spans="1:9" x14ac:dyDescent="0.3">
      <c r="A2392" s="5">
        <v>45110</v>
      </c>
      <c r="B2392">
        <v>151.479996</v>
      </c>
      <c r="C2392">
        <v>152.529999</v>
      </c>
      <c r="D2392">
        <v>150.470001</v>
      </c>
      <c r="E2392">
        <v>152.5</v>
      </c>
      <c r="F2392">
        <v>149.649551</v>
      </c>
      <c r="G2392">
        <v>3996100</v>
      </c>
      <c r="I2392">
        <f t="shared" si="38"/>
        <v>9.1008345497352102E-5</v>
      </c>
    </row>
    <row r="2393" spans="1:9" x14ac:dyDescent="0.3">
      <c r="A2393" s="5">
        <v>45112</v>
      </c>
      <c r="B2393">
        <v>151.63000500000001</v>
      </c>
      <c r="C2393">
        <v>152.46000699999999</v>
      </c>
      <c r="D2393">
        <v>151.44000199999999</v>
      </c>
      <c r="E2393">
        <v>152.240005</v>
      </c>
      <c r="F2393">
        <v>149.394409</v>
      </c>
      <c r="G2393">
        <v>8279800</v>
      </c>
      <c r="I2393">
        <f t="shared" si="38"/>
        <v>1.4489247999400326E-5</v>
      </c>
    </row>
    <row r="2394" spans="1:9" x14ac:dyDescent="0.3">
      <c r="A2394" s="5">
        <v>45113</v>
      </c>
      <c r="B2394">
        <v>151.199997</v>
      </c>
      <c r="C2394">
        <v>152.19000199999999</v>
      </c>
      <c r="D2394">
        <v>150.759995</v>
      </c>
      <c r="E2394">
        <v>151.990005</v>
      </c>
      <c r="F2394">
        <v>149.14909399999999</v>
      </c>
      <c r="G2394">
        <v>7958300</v>
      </c>
      <c r="I2394">
        <f t="shared" si="38"/>
        <v>3.2262624926465824E-5</v>
      </c>
    </row>
    <row r="2395" spans="1:9" x14ac:dyDescent="0.3">
      <c r="A2395" s="5">
        <v>45114</v>
      </c>
      <c r="B2395">
        <v>151.71000699999999</v>
      </c>
      <c r="C2395">
        <v>151.91999799999999</v>
      </c>
      <c r="D2395">
        <v>148.75</v>
      </c>
      <c r="E2395">
        <v>148.800003</v>
      </c>
      <c r="F2395">
        <v>146.01870700000001</v>
      </c>
      <c r="G2395">
        <v>9163500</v>
      </c>
      <c r="I2395">
        <f t="shared" si="38"/>
        <v>3.5325143405824086E-5</v>
      </c>
    </row>
    <row r="2396" spans="1:9" x14ac:dyDescent="0.3">
      <c r="A2396" s="5">
        <v>45117</v>
      </c>
      <c r="B2396">
        <v>148.94000199999999</v>
      </c>
      <c r="C2396">
        <v>150.320007</v>
      </c>
      <c r="D2396">
        <v>148.740005</v>
      </c>
      <c r="E2396">
        <v>148.86000100000001</v>
      </c>
      <c r="F2396">
        <v>146.07759100000001</v>
      </c>
      <c r="G2396">
        <v>5529200</v>
      </c>
      <c r="I2396">
        <f t="shared" si="38"/>
        <v>9.1099773679345067E-5</v>
      </c>
    </row>
    <row r="2397" spans="1:9" x14ac:dyDescent="0.3">
      <c r="A2397" s="5">
        <v>45118</v>
      </c>
      <c r="B2397">
        <v>148.729996</v>
      </c>
      <c r="C2397">
        <v>149.050003</v>
      </c>
      <c r="D2397">
        <v>146.96000699999999</v>
      </c>
      <c r="E2397">
        <v>148.08000200000001</v>
      </c>
      <c r="F2397">
        <v>145.31218000000001</v>
      </c>
      <c r="G2397">
        <v>5150300</v>
      </c>
      <c r="I2397">
        <f t="shared" si="38"/>
        <v>1.0492726568429787E-4</v>
      </c>
    </row>
    <row r="2398" spans="1:9" x14ac:dyDescent="0.3">
      <c r="A2398" s="5">
        <v>45119</v>
      </c>
      <c r="B2398">
        <v>148.029999</v>
      </c>
      <c r="C2398">
        <v>149.39999399999999</v>
      </c>
      <c r="D2398">
        <v>147.63999899999999</v>
      </c>
      <c r="E2398">
        <v>148.85000600000001</v>
      </c>
      <c r="F2398">
        <v>146.06778</v>
      </c>
      <c r="G2398">
        <v>6764600</v>
      </c>
      <c r="I2398">
        <f t="shared" si="38"/>
        <v>5.5508533415536043E-5</v>
      </c>
    </row>
    <row r="2399" spans="1:9" x14ac:dyDescent="0.3">
      <c r="A2399" s="5">
        <v>45120</v>
      </c>
      <c r="B2399">
        <v>149</v>
      </c>
      <c r="C2399">
        <v>149.520004</v>
      </c>
      <c r="D2399">
        <v>148.199997</v>
      </c>
      <c r="E2399">
        <v>148.949997</v>
      </c>
      <c r="F2399">
        <v>146.165909</v>
      </c>
      <c r="G2399">
        <v>5561400</v>
      </c>
      <c r="I2399">
        <f t="shared" si="38"/>
        <v>4.0483101527621073E-5</v>
      </c>
    </row>
    <row r="2400" spans="1:9" x14ac:dyDescent="0.3">
      <c r="A2400" s="5">
        <v>45121</v>
      </c>
      <c r="B2400">
        <v>149.270004</v>
      </c>
      <c r="C2400">
        <v>150.63000500000001</v>
      </c>
      <c r="D2400">
        <v>148.729996</v>
      </c>
      <c r="E2400">
        <v>150.050003</v>
      </c>
      <c r="F2400">
        <v>147.24534600000001</v>
      </c>
      <c r="G2400">
        <v>6128500</v>
      </c>
      <c r="I2400">
        <f t="shared" si="38"/>
        <v>6.7014315667771686E-5</v>
      </c>
    </row>
    <row r="2401" spans="1:9" x14ac:dyDescent="0.3">
      <c r="A2401" s="5">
        <v>45124</v>
      </c>
      <c r="B2401">
        <v>149.64999399999999</v>
      </c>
      <c r="C2401">
        <v>150.16000399999999</v>
      </c>
      <c r="D2401">
        <v>148.970001</v>
      </c>
      <c r="E2401">
        <v>148.990005</v>
      </c>
      <c r="F2401">
        <v>146.20517000000001</v>
      </c>
      <c r="G2401">
        <v>4625300</v>
      </c>
      <c r="I2401">
        <f t="shared" si="38"/>
        <v>2.7224379970126891E-5</v>
      </c>
    </row>
    <row r="2402" spans="1:9" x14ac:dyDescent="0.3">
      <c r="A2402" s="5">
        <v>45125</v>
      </c>
      <c r="B2402">
        <v>148.63999899999999</v>
      </c>
      <c r="C2402">
        <v>150.479996</v>
      </c>
      <c r="D2402">
        <v>148.38000500000001</v>
      </c>
      <c r="E2402">
        <v>149.270004</v>
      </c>
      <c r="F2402">
        <v>146.479919</v>
      </c>
      <c r="G2402">
        <v>5355200</v>
      </c>
      <c r="I2402">
        <f t="shared" si="38"/>
        <v>1.0979538824062136E-4</v>
      </c>
    </row>
    <row r="2403" spans="1:9" x14ac:dyDescent="0.3">
      <c r="A2403" s="5">
        <v>45126</v>
      </c>
      <c r="B2403">
        <v>149.550003</v>
      </c>
      <c r="C2403">
        <v>150.820007</v>
      </c>
      <c r="D2403">
        <v>148.86000100000001</v>
      </c>
      <c r="E2403">
        <v>150.28999300000001</v>
      </c>
      <c r="F2403">
        <v>147.48085</v>
      </c>
      <c r="G2403">
        <v>6203600</v>
      </c>
      <c r="I2403">
        <f t="shared" si="38"/>
        <v>7.3982207864665284E-5</v>
      </c>
    </row>
    <row r="2404" spans="1:9" x14ac:dyDescent="0.3">
      <c r="A2404" s="5">
        <v>45127</v>
      </c>
      <c r="B2404">
        <v>149.550003</v>
      </c>
      <c r="C2404">
        <v>150.75</v>
      </c>
      <c r="D2404">
        <v>148.13999899999999</v>
      </c>
      <c r="E2404">
        <v>150.55999800000001</v>
      </c>
      <c r="F2404">
        <v>148.67671200000001</v>
      </c>
      <c r="G2404">
        <v>6445400</v>
      </c>
      <c r="I2404">
        <f t="shared" si="38"/>
        <v>1.6357948392686032E-4</v>
      </c>
    </row>
    <row r="2405" spans="1:9" x14ac:dyDescent="0.3">
      <c r="A2405" s="5">
        <v>45128</v>
      </c>
      <c r="B2405">
        <v>151.14999399999999</v>
      </c>
      <c r="C2405">
        <v>153.66999799999999</v>
      </c>
      <c r="D2405">
        <v>150.699997</v>
      </c>
      <c r="E2405">
        <v>152.929993</v>
      </c>
      <c r="F2405">
        <v>151.01705899999999</v>
      </c>
      <c r="G2405">
        <v>9938100</v>
      </c>
      <c r="I2405">
        <f t="shared" si="38"/>
        <v>1.2361336072191903E-4</v>
      </c>
    </row>
    <row r="2406" spans="1:9" x14ac:dyDescent="0.3">
      <c r="A2406" s="5">
        <v>45131</v>
      </c>
      <c r="B2406">
        <v>152.83999600000001</v>
      </c>
      <c r="C2406">
        <v>153.949997</v>
      </c>
      <c r="D2406">
        <v>152.300003</v>
      </c>
      <c r="E2406">
        <v>153.41999799999999</v>
      </c>
      <c r="F2406">
        <v>151.50093100000001</v>
      </c>
      <c r="G2406">
        <v>5549500</v>
      </c>
      <c r="I2406">
        <f t="shared" si="38"/>
        <v>5.0887482469834276E-5</v>
      </c>
    </row>
    <row r="2407" spans="1:9" x14ac:dyDescent="0.3">
      <c r="A2407" s="5">
        <v>45132</v>
      </c>
      <c r="B2407">
        <v>153.479996</v>
      </c>
      <c r="C2407">
        <v>153.86000100000001</v>
      </c>
      <c r="D2407">
        <v>152.449997</v>
      </c>
      <c r="E2407">
        <v>153.779999</v>
      </c>
      <c r="F2407">
        <v>151.85642999999999</v>
      </c>
      <c r="G2407">
        <v>5883800</v>
      </c>
      <c r="I2407">
        <f t="shared" si="38"/>
        <v>5.9776417262595852E-5</v>
      </c>
    </row>
    <row r="2408" spans="1:9" x14ac:dyDescent="0.3">
      <c r="A2408" s="5">
        <v>45133</v>
      </c>
      <c r="B2408">
        <v>153.11999499999999</v>
      </c>
      <c r="C2408">
        <v>154.83999600000001</v>
      </c>
      <c r="D2408">
        <v>152.88999899999999</v>
      </c>
      <c r="E2408">
        <v>153.94000199999999</v>
      </c>
      <c r="F2408">
        <v>152.01443499999999</v>
      </c>
      <c r="G2408">
        <v>7013800</v>
      </c>
      <c r="I2408">
        <f t="shared" si="38"/>
        <v>7.5404625815140363E-5</v>
      </c>
    </row>
    <row r="2409" spans="1:9" x14ac:dyDescent="0.3">
      <c r="A2409" s="5">
        <v>45134</v>
      </c>
      <c r="B2409">
        <v>154.16000399999999</v>
      </c>
      <c r="C2409">
        <v>154.60000600000001</v>
      </c>
      <c r="D2409">
        <v>151.91999799999999</v>
      </c>
      <c r="E2409">
        <v>152.11000100000001</v>
      </c>
      <c r="F2409">
        <v>150.207336</v>
      </c>
      <c r="G2409">
        <v>7191600</v>
      </c>
      <c r="I2409">
        <f t="shared" si="38"/>
        <v>6.4572851449041485E-5</v>
      </c>
    </row>
    <row r="2410" spans="1:9" x14ac:dyDescent="0.3">
      <c r="A2410" s="5">
        <v>45135</v>
      </c>
      <c r="B2410">
        <v>154.66000399999999</v>
      </c>
      <c r="C2410">
        <v>157.479996</v>
      </c>
      <c r="D2410">
        <v>154.60000600000001</v>
      </c>
      <c r="E2410">
        <v>156.41000399999999</v>
      </c>
      <c r="F2410">
        <v>154.45353700000001</v>
      </c>
      <c r="G2410">
        <v>9397300</v>
      </c>
      <c r="I2410">
        <f t="shared" si="38"/>
        <v>1.2770615623689674E-4</v>
      </c>
    </row>
    <row r="2411" spans="1:9" x14ac:dyDescent="0.3">
      <c r="A2411" s="5">
        <v>45138</v>
      </c>
      <c r="B2411">
        <v>156.39999399999999</v>
      </c>
      <c r="C2411">
        <v>157.679993</v>
      </c>
      <c r="D2411">
        <v>155.05999800000001</v>
      </c>
      <c r="E2411">
        <v>156.300003</v>
      </c>
      <c r="F2411">
        <v>154.34491</v>
      </c>
      <c r="G2411">
        <v>7955200</v>
      </c>
      <c r="I2411">
        <f t="shared" si="38"/>
        <v>1.4018600599219715E-4</v>
      </c>
    </row>
    <row r="2412" spans="1:9" x14ac:dyDescent="0.3">
      <c r="A2412" s="5">
        <v>45139</v>
      </c>
      <c r="B2412">
        <v>155.88000500000001</v>
      </c>
      <c r="C2412">
        <v>157.16999799999999</v>
      </c>
      <c r="D2412">
        <v>155.86999499999999</v>
      </c>
      <c r="E2412">
        <v>156.25</v>
      </c>
      <c r="F2412">
        <v>154.295547</v>
      </c>
      <c r="G2412">
        <v>5718800</v>
      </c>
      <c r="I2412">
        <f t="shared" si="38"/>
        <v>4.8539897103153683E-5</v>
      </c>
    </row>
    <row r="2413" spans="1:9" x14ac:dyDescent="0.3">
      <c r="A2413" s="5">
        <v>45140</v>
      </c>
      <c r="B2413">
        <v>155.970001</v>
      </c>
      <c r="C2413">
        <v>157.729996</v>
      </c>
      <c r="D2413">
        <v>155.970001</v>
      </c>
      <c r="E2413">
        <v>156.58999600000001</v>
      </c>
      <c r="F2413">
        <v>154.63128699999999</v>
      </c>
      <c r="G2413">
        <v>5636000</v>
      </c>
      <c r="I2413">
        <f t="shared" si="38"/>
        <v>8.1394717185004744E-5</v>
      </c>
    </row>
    <row r="2414" spans="1:9" x14ac:dyDescent="0.3">
      <c r="A2414" s="5">
        <v>45141</v>
      </c>
      <c r="B2414">
        <v>156.759995</v>
      </c>
      <c r="C2414">
        <v>157.699997</v>
      </c>
      <c r="D2414">
        <v>156.21000699999999</v>
      </c>
      <c r="E2414">
        <v>157</v>
      </c>
      <c r="F2414">
        <v>155.03616299999999</v>
      </c>
      <c r="G2414">
        <v>5792700</v>
      </c>
      <c r="I2414">
        <f t="shared" si="38"/>
        <v>4.4326142179830161E-5</v>
      </c>
    </row>
    <row r="2415" spans="1:9" x14ac:dyDescent="0.3">
      <c r="A2415" s="5">
        <v>45142</v>
      </c>
      <c r="B2415">
        <v>157.429993</v>
      </c>
      <c r="C2415">
        <v>157.729996</v>
      </c>
      <c r="D2415">
        <v>155.14999399999999</v>
      </c>
      <c r="E2415">
        <v>155.279999</v>
      </c>
      <c r="F2415">
        <v>153.33767700000001</v>
      </c>
      <c r="G2415">
        <v>4782800</v>
      </c>
      <c r="I2415">
        <f t="shared" si="38"/>
        <v>4.2022800518721114E-5</v>
      </c>
    </row>
    <row r="2416" spans="1:9" x14ac:dyDescent="0.3">
      <c r="A2416" s="5">
        <v>45145</v>
      </c>
      <c r="B2416">
        <v>155.66999799999999</v>
      </c>
      <c r="C2416">
        <v>157.14999399999999</v>
      </c>
      <c r="D2416">
        <v>155.490005</v>
      </c>
      <c r="E2416">
        <v>156.91999799999999</v>
      </c>
      <c r="F2416">
        <v>154.95716899999999</v>
      </c>
      <c r="G2416">
        <v>4107400</v>
      </c>
      <c r="I2416">
        <f t="shared" si="38"/>
        <v>2.4449891314396986E-5</v>
      </c>
    </row>
    <row r="2417" spans="1:9" x14ac:dyDescent="0.3">
      <c r="A2417" s="5">
        <v>45146</v>
      </c>
      <c r="B2417">
        <v>157.279999</v>
      </c>
      <c r="C2417">
        <v>157.63000500000001</v>
      </c>
      <c r="D2417">
        <v>156.529999</v>
      </c>
      <c r="E2417">
        <v>157.08999600000001</v>
      </c>
      <c r="F2417">
        <v>155.12503100000001</v>
      </c>
      <c r="G2417">
        <v>4625500</v>
      </c>
      <c r="I2417">
        <f t="shared" si="38"/>
        <v>2.4698439161935058E-5</v>
      </c>
    </row>
    <row r="2418" spans="1:9" x14ac:dyDescent="0.3">
      <c r="A2418" s="5">
        <v>45147</v>
      </c>
      <c r="B2418">
        <v>157.30999800000001</v>
      </c>
      <c r="C2418">
        <v>158.08999600000001</v>
      </c>
      <c r="D2418">
        <v>156.770004</v>
      </c>
      <c r="E2418">
        <v>156.88999899999999</v>
      </c>
      <c r="F2418">
        <v>154.927536</v>
      </c>
      <c r="G2418">
        <v>4293200</v>
      </c>
      <c r="I2418">
        <f t="shared" si="38"/>
        <v>4.0317988376581148E-5</v>
      </c>
    </row>
    <row r="2419" spans="1:9" x14ac:dyDescent="0.3">
      <c r="A2419" s="5">
        <v>45148</v>
      </c>
      <c r="B2419">
        <v>157.16999799999999</v>
      </c>
      <c r="C2419">
        <v>158.38000500000001</v>
      </c>
      <c r="D2419">
        <v>155.800003</v>
      </c>
      <c r="E2419">
        <v>156.11000100000001</v>
      </c>
      <c r="F2419">
        <v>154.15728799999999</v>
      </c>
      <c r="G2419">
        <v>4307800</v>
      </c>
      <c r="I2419">
        <f t="shared" si="38"/>
        <v>1.2811806437684097E-4</v>
      </c>
    </row>
    <row r="2420" spans="1:9" x14ac:dyDescent="0.3">
      <c r="A2420" s="5">
        <v>45149</v>
      </c>
      <c r="B2420">
        <v>156.429993</v>
      </c>
      <c r="C2420">
        <v>157.46000699999999</v>
      </c>
      <c r="D2420">
        <v>155.78999300000001</v>
      </c>
      <c r="E2420">
        <v>157.020004</v>
      </c>
      <c r="F2420">
        <v>155.05590799999999</v>
      </c>
      <c r="G2420">
        <v>3861200</v>
      </c>
      <c r="I2420">
        <f t="shared" si="38"/>
        <v>5.0606110602718359E-5</v>
      </c>
    </row>
    <row r="2421" spans="1:9" x14ac:dyDescent="0.3">
      <c r="A2421" s="5">
        <v>45152</v>
      </c>
      <c r="B2421">
        <v>157.13000500000001</v>
      </c>
      <c r="C2421">
        <v>157.529999</v>
      </c>
      <c r="D2421">
        <v>155.5</v>
      </c>
      <c r="E2421">
        <v>155.78999300000001</v>
      </c>
      <c r="F2421">
        <v>153.84129300000001</v>
      </c>
      <c r="G2421">
        <v>4297600</v>
      </c>
      <c r="I2421">
        <f t="shared" si="38"/>
        <v>4.7667088677473367E-5</v>
      </c>
    </row>
    <row r="2422" spans="1:9" x14ac:dyDescent="0.3">
      <c r="A2422" s="5">
        <v>45153</v>
      </c>
      <c r="B2422">
        <v>155.78999300000001</v>
      </c>
      <c r="C2422">
        <v>155.970001</v>
      </c>
      <c r="D2422">
        <v>154.46000699999999</v>
      </c>
      <c r="E2422">
        <v>154.78999300000001</v>
      </c>
      <c r="F2422">
        <v>152.85379</v>
      </c>
      <c r="G2422">
        <v>6921100</v>
      </c>
      <c r="I2422">
        <f t="shared" si="38"/>
        <v>2.7067043983668186E-5</v>
      </c>
    </row>
    <row r="2423" spans="1:9" x14ac:dyDescent="0.3">
      <c r="A2423" s="5">
        <v>45154</v>
      </c>
      <c r="B2423">
        <v>154.759995</v>
      </c>
      <c r="C2423">
        <v>155.729996</v>
      </c>
      <c r="D2423">
        <v>152.86999499999999</v>
      </c>
      <c r="E2423">
        <v>153.21000699999999</v>
      </c>
      <c r="F2423">
        <v>151.29357899999999</v>
      </c>
      <c r="G2423">
        <v>6356800</v>
      </c>
      <c r="I2423">
        <f t="shared" si="38"/>
        <v>1.2923395683129361E-4</v>
      </c>
    </row>
    <row r="2424" spans="1:9" x14ac:dyDescent="0.3">
      <c r="A2424" s="5">
        <v>45155</v>
      </c>
      <c r="B2424">
        <v>153.21000699999999</v>
      </c>
      <c r="C2424">
        <v>153.55999800000001</v>
      </c>
      <c r="D2424">
        <v>151.78999300000001</v>
      </c>
      <c r="E2424">
        <v>152.11000100000001</v>
      </c>
      <c r="F2424">
        <v>150.207336</v>
      </c>
      <c r="G2424">
        <v>6419500</v>
      </c>
      <c r="I2424">
        <f t="shared" si="38"/>
        <v>4.1258585415666481E-5</v>
      </c>
    </row>
    <row r="2425" spans="1:9" x14ac:dyDescent="0.3">
      <c r="A2425" s="5">
        <v>45156</v>
      </c>
      <c r="B2425">
        <v>151.61999499999999</v>
      </c>
      <c r="C2425">
        <v>152.88999899999999</v>
      </c>
      <c r="D2425">
        <v>151.16999799999999</v>
      </c>
      <c r="E2425">
        <v>152.53999300000001</v>
      </c>
      <c r="F2425">
        <v>150.63194300000001</v>
      </c>
      <c r="G2425">
        <v>5448200</v>
      </c>
      <c r="I2425">
        <f t="shared" si="38"/>
        <v>4.5933284696372944E-5</v>
      </c>
    </row>
    <row r="2426" spans="1:9" x14ac:dyDescent="0.3">
      <c r="A2426" s="5">
        <v>45159</v>
      </c>
      <c r="B2426">
        <v>152.08999600000001</v>
      </c>
      <c r="C2426">
        <v>152.779999</v>
      </c>
      <c r="D2426">
        <v>151.259995</v>
      </c>
      <c r="E2426">
        <v>151.770004</v>
      </c>
      <c r="F2426">
        <v>149.87158199999999</v>
      </c>
      <c r="G2426">
        <v>4504700</v>
      </c>
      <c r="I2426">
        <f t="shared" si="38"/>
        <v>4.8443301049494195E-5</v>
      </c>
    </row>
    <row r="2427" spans="1:9" x14ac:dyDescent="0.3">
      <c r="A2427" s="5">
        <v>45160</v>
      </c>
      <c r="B2427">
        <v>151.41999799999999</v>
      </c>
      <c r="C2427">
        <v>152.14999399999999</v>
      </c>
      <c r="D2427">
        <v>150.929993</v>
      </c>
      <c r="E2427">
        <v>151.83000200000001</v>
      </c>
      <c r="F2427">
        <v>149.93083200000001</v>
      </c>
      <c r="G2427">
        <v>4196000</v>
      </c>
      <c r="I2427">
        <f t="shared" si="38"/>
        <v>2.9396342687122963E-5</v>
      </c>
    </row>
    <row r="2428" spans="1:9" x14ac:dyDescent="0.3">
      <c r="A2428" s="5">
        <v>45161</v>
      </c>
      <c r="B2428">
        <v>152.470001</v>
      </c>
      <c r="C2428">
        <v>153.479996</v>
      </c>
      <c r="D2428">
        <v>152.470001</v>
      </c>
      <c r="E2428">
        <v>153.25</v>
      </c>
      <c r="F2428">
        <v>151.33306899999999</v>
      </c>
      <c r="G2428">
        <v>4522500</v>
      </c>
      <c r="I2428">
        <f t="shared" si="38"/>
        <v>9.9013509664130708E-6</v>
      </c>
    </row>
    <row r="2429" spans="1:9" x14ac:dyDescent="0.3">
      <c r="A2429" s="5">
        <v>45162</v>
      </c>
      <c r="B2429">
        <v>152.550003</v>
      </c>
      <c r="C2429">
        <v>154.679993</v>
      </c>
      <c r="D2429">
        <v>152.479996</v>
      </c>
      <c r="E2429">
        <v>152.53999300000001</v>
      </c>
      <c r="F2429">
        <v>150.63194300000001</v>
      </c>
      <c r="G2429">
        <v>4088900</v>
      </c>
      <c r="I2429">
        <f t="shared" si="38"/>
        <v>1.9335615897971912E-4</v>
      </c>
    </row>
    <row r="2430" spans="1:9" x14ac:dyDescent="0.3">
      <c r="A2430" s="5">
        <v>45163</v>
      </c>
      <c r="B2430">
        <v>153.39999399999999</v>
      </c>
      <c r="C2430">
        <v>154.08000200000001</v>
      </c>
      <c r="D2430">
        <v>152.46000699999999</v>
      </c>
      <c r="E2430">
        <v>153.53999300000001</v>
      </c>
      <c r="F2430">
        <v>151.61943099999999</v>
      </c>
      <c r="G2430">
        <v>3541500</v>
      </c>
      <c r="I2430">
        <f t="shared" si="38"/>
        <v>5.8915984788604465E-5</v>
      </c>
    </row>
    <row r="2431" spans="1:9" x14ac:dyDescent="0.3">
      <c r="A2431" s="5">
        <v>45166</v>
      </c>
      <c r="B2431">
        <v>153.71000699999999</v>
      </c>
      <c r="C2431">
        <v>154.36999499999999</v>
      </c>
      <c r="D2431">
        <v>153.050003</v>
      </c>
      <c r="E2431">
        <v>153.779999</v>
      </c>
      <c r="F2431">
        <v>151.85642999999999</v>
      </c>
      <c r="G2431">
        <v>3614700</v>
      </c>
      <c r="I2431">
        <f t="shared" si="38"/>
        <v>3.6882056356098923E-5</v>
      </c>
    </row>
    <row r="2432" spans="1:9" x14ac:dyDescent="0.3">
      <c r="A2432" s="5">
        <v>45167</v>
      </c>
      <c r="B2432">
        <v>153.949997</v>
      </c>
      <c r="C2432">
        <v>154.03999300000001</v>
      </c>
      <c r="D2432">
        <v>152.029999</v>
      </c>
      <c r="E2432">
        <v>153.86999499999999</v>
      </c>
      <c r="F2432">
        <v>151.94529700000001</v>
      </c>
      <c r="G2432">
        <v>4034600</v>
      </c>
      <c r="I2432">
        <f t="shared" si="38"/>
        <v>1.5162414644342246E-4</v>
      </c>
    </row>
    <row r="2433" spans="1:9" x14ac:dyDescent="0.3">
      <c r="A2433" s="5">
        <v>45168</v>
      </c>
      <c r="B2433">
        <v>154.10000600000001</v>
      </c>
      <c r="C2433">
        <v>154.86999499999999</v>
      </c>
      <c r="D2433">
        <v>153.71000699999999</v>
      </c>
      <c r="E2433">
        <v>154.03999300000001</v>
      </c>
      <c r="F2433">
        <v>152.11317399999999</v>
      </c>
      <c r="G2433">
        <v>3712200</v>
      </c>
      <c r="I2433">
        <f t="shared" si="38"/>
        <v>3.2218354047688833E-5</v>
      </c>
    </row>
    <row r="2434" spans="1:9" x14ac:dyDescent="0.3">
      <c r="A2434" s="5">
        <v>45169</v>
      </c>
      <c r="B2434">
        <v>154.11999499999999</v>
      </c>
      <c r="C2434">
        <v>155.16000399999999</v>
      </c>
      <c r="D2434">
        <v>153.83000200000001</v>
      </c>
      <c r="E2434">
        <v>154.33999600000001</v>
      </c>
      <c r="F2434">
        <v>152.409424</v>
      </c>
      <c r="G2434">
        <v>5451400</v>
      </c>
      <c r="I2434">
        <f t="shared" si="38"/>
        <v>4.1870996890043656E-5</v>
      </c>
    </row>
    <row r="2435" spans="1:9" x14ac:dyDescent="0.3">
      <c r="A2435" s="5">
        <v>45170</v>
      </c>
      <c r="B2435">
        <v>154.89999399999999</v>
      </c>
      <c r="C2435">
        <v>155.279999</v>
      </c>
      <c r="D2435">
        <v>153.55999800000001</v>
      </c>
      <c r="E2435">
        <v>154.509995</v>
      </c>
      <c r="F2435">
        <v>152.57730100000001</v>
      </c>
      <c r="G2435">
        <v>4126300</v>
      </c>
      <c r="I2435">
        <f t="shared" si="38"/>
        <v>6.5765216495030078E-5</v>
      </c>
    </row>
    <row r="2436" spans="1:9" x14ac:dyDescent="0.3">
      <c r="A2436" s="5">
        <v>45174</v>
      </c>
      <c r="B2436">
        <v>153.800003</v>
      </c>
      <c r="C2436">
        <v>154.85000600000001</v>
      </c>
      <c r="D2436">
        <v>152.39999399999999</v>
      </c>
      <c r="E2436">
        <v>152.44000199999999</v>
      </c>
      <c r="F2436">
        <v>150.53320299999999</v>
      </c>
      <c r="G2436">
        <v>5097000</v>
      </c>
      <c r="I2436">
        <f t="shared" si="38"/>
        <v>1.0912479234592866E-4</v>
      </c>
    </row>
    <row r="2437" spans="1:9" x14ac:dyDescent="0.3">
      <c r="A2437" s="5">
        <v>45175</v>
      </c>
      <c r="B2437">
        <v>152.28999300000001</v>
      </c>
      <c r="C2437">
        <v>152.449997</v>
      </c>
      <c r="D2437">
        <v>151.53999300000001</v>
      </c>
      <c r="E2437">
        <v>152.13999899999999</v>
      </c>
      <c r="F2437">
        <v>150.23693800000001</v>
      </c>
      <c r="G2437">
        <v>3877400</v>
      </c>
      <c r="I2437">
        <f t="shared" si="38"/>
        <v>2.1646335219655496E-5</v>
      </c>
    </row>
    <row r="2438" spans="1:9" x14ac:dyDescent="0.3">
      <c r="A2438" s="5">
        <v>45176</v>
      </c>
      <c r="B2438">
        <v>152.490005</v>
      </c>
      <c r="C2438">
        <v>154.19000199999999</v>
      </c>
      <c r="D2438">
        <v>152.36999499999999</v>
      </c>
      <c r="E2438">
        <v>153.58999600000001</v>
      </c>
      <c r="F2438">
        <v>151.66880800000001</v>
      </c>
      <c r="G2438">
        <v>4824800</v>
      </c>
      <c r="I2438">
        <f t="shared" si="38"/>
        <v>4.9504558240011047E-5</v>
      </c>
    </row>
    <row r="2439" spans="1:9" x14ac:dyDescent="0.3">
      <c r="A2439" s="5">
        <v>45177</v>
      </c>
      <c r="B2439">
        <v>153.41999799999999</v>
      </c>
      <c r="C2439">
        <v>153.46000699999999</v>
      </c>
      <c r="D2439">
        <v>152.35000600000001</v>
      </c>
      <c r="E2439">
        <v>152.929993</v>
      </c>
      <c r="F2439">
        <v>151.01705899999999</v>
      </c>
      <c r="G2439">
        <v>3384700</v>
      </c>
      <c r="I2439">
        <f t="shared" si="38"/>
        <v>2.7495147164189181E-5</v>
      </c>
    </row>
    <row r="2440" spans="1:9" x14ac:dyDescent="0.3">
      <c r="A2440" s="5">
        <v>45180</v>
      </c>
      <c r="B2440">
        <v>153.33000200000001</v>
      </c>
      <c r="C2440">
        <v>155.10000600000001</v>
      </c>
      <c r="D2440">
        <v>153.08000200000001</v>
      </c>
      <c r="E2440">
        <v>154.75</v>
      </c>
      <c r="F2440">
        <v>152.814301</v>
      </c>
      <c r="G2440">
        <v>4288500</v>
      </c>
      <c r="I2440">
        <f t="shared" si="38"/>
        <v>4.3635668327704009E-5</v>
      </c>
    </row>
    <row r="2441" spans="1:9" x14ac:dyDescent="0.3">
      <c r="A2441" s="5">
        <v>45181</v>
      </c>
      <c r="B2441">
        <v>154.990005</v>
      </c>
      <c r="C2441">
        <v>155.14999399999999</v>
      </c>
      <c r="D2441">
        <v>151.570007</v>
      </c>
      <c r="E2441">
        <v>152.029999</v>
      </c>
      <c r="F2441">
        <v>150.12832599999999</v>
      </c>
      <c r="G2441">
        <v>4537800</v>
      </c>
      <c r="I2441">
        <f t="shared" si="38"/>
        <v>8.8572977696818394E-5</v>
      </c>
    </row>
    <row r="2442" spans="1:9" x14ac:dyDescent="0.3">
      <c r="A2442" s="5">
        <v>45182</v>
      </c>
      <c r="B2442">
        <v>151.979996</v>
      </c>
      <c r="C2442">
        <v>153.58999600000001</v>
      </c>
      <c r="D2442">
        <v>151.66000399999999</v>
      </c>
      <c r="E2442">
        <v>153.08999600000001</v>
      </c>
      <c r="F2442">
        <v>151.17506399999999</v>
      </c>
      <c r="G2442">
        <v>4040600</v>
      </c>
      <c r="I2442">
        <f t="shared" si="38"/>
        <v>5.4141190886783386E-5</v>
      </c>
    </row>
    <row r="2443" spans="1:9" x14ac:dyDescent="0.3">
      <c r="A2443" s="5">
        <v>45183</v>
      </c>
      <c r="B2443">
        <v>153.85000600000001</v>
      </c>
      <c r="C2443">
        <v>154.91999799999999</v>
      </c>
      <c r="D2443">
        <v>153.36999499999999</v>
      </c>
      <c r="E2443">
        <v>154.770004</v>
      </c>
      <c r="F2443">
        <v>152.834045</v>
      </c>
      <c r="G2443">
        <v>4606800</v>
      </c>
      <c r="I2443">
        <f t="shared" si="38"/>
        <v>3.5108962440649594E-5</v>
      </c>
    </row>
    <row r="2444" spans="1:9" x14ac:dyDescent="0.3">
      <c r="A2444" s="5">
        <v>45184</v>
      </c>
      <c r="B2444">
        <v>154.029999</v>
      </c>
      <c r="C2444">
        <v>155.320007</v>
      </c>
      <c r="D2444">
        <v>153.229996</v>
      </c>
      <c r="E2444">
        <v>153.470001</v>
      </c>
      <c r="F2444">
        <v>151.55032299999999</v>
      </c>
      <c r="G2444">
        <v>10255600</v>
      </c>
      <c r="I2444">
        <f t="shared" ref="I2444:I2507" si="39">LN(C2444/B2444)*(LN(C2444/B2444)-LN(E2444/B2444))+LN(D2444/B2444)*(LN(D2444/B2444)-LN(E2444/B2444))</f>
        <v>1.0808543711747143E-4</v>
      </c>
    </row>
    <row r="2445" spans="1:9" x14ac:dyDescent="0.3">
      <c r="A2445" s="5">
        <v>45187</v>
      </c>
      <c r="B2445">
        <v>154.449997</v>
      </c>
      <c r="C2445">
        <v>154.479996</v>
      </c>
      <c r="D2445">
        <v>153.509995</v>
      </c>
      <c r="E2445">
        <v>154.050003</v>
      </c>
      <c r="F2445">
        <v>152.123062</v>
      </c>
      <c r="G2445">
        <v>3536500</v>
      </c>
      <c r="I2445">
        <f t="shared" si="39"/>
        <v>2.1978469428712897E-5</v>
      </c>
    </row>
    <row r="2446" spans="1:9" x14ac:dyDescent="0.3">
      <c r="A2446" s="5">
        <v>45188</v>
      </c>
      <c r="B2446">
        <v>153.75</v>
      </c>
      <c r="C2446">
        <v>154.05999800000001</v>
      </c>
      <c r="D2446">
        <v>151.740005</v>
      </c>
      <c r="E2446">
        <v>153.60000600000001</v>
      </c>
      <c r="F2446">
        <v>151.678696</v>
      </c>
      <c r="G2446">
        <v>4704200</v>
      </c>
      <c r="I2446">
        <f t="shared" si="39"/>
        <v>1.6634723471985779E-4</v>
      </c>
    </row>
    <row r="2447" spans="1:9" x14ac:dyDescent="0.3">
      <c r="A2447" s="5">
        <v>45189</v>
      </c>
      <c r="B2447">
        <v>153.770004</v>
      </c>
      <c r="C2447">
        <v>154.779999</v>
      </c>
      <c r="D2447">
        <v>153.36000100000001</v>
      </c>
      <c r="E2447">
        <v>153.470001</v>
      </c>
      <c r="F2447">
        <v>151.55032299999999</v>
      </c>
      <c r="G2447">
        <v>5446400</v>
      </c>
      <c r="I2447">
        <f t="shared" si="39"/>
        <v>5.7559244610125628E-5</v>
      </c>
    </row>
    <row r="2448" spans="1:9" x14ac:dyDescent="0.3">
      <c r="A2448" s="5">
        <v>45190</v>
      </c>
      <c r="B2448">
        <v>153.449997</v>
      </c>
      <c r="C2448">
        <v>153.71000699999999</v>
      </c>
      <c r="D2448">
        <v>152.070007</v>
      </c>
      <c r="E2448">
        <v>152.13999899999999</v>
      </c>
      <c r="F2448">
        <v>150.23693800000001</v>
      </c>
      <c r="G2448">
        <v>5096400</v>
      </c>
      <c r="I2448">
        <f t="shared" si="39"/>
        <v>2.1538260292696871E-5</v>
      </c>
    </row>
    <row r="2449" spans="1:9" x14ac:dyDescent="0.3">
      <c r="A2449" s="5">
        <v>45191</v>
      </c>
      <c r="B2449">
        <v>152.44000199999999</v>
      </c>
      <c r="C2449">
        <v>153.33999600000001</v>
      </c>
      <c r="D2449">
        <v>151.38000500000001</v>
      </c>
      <c r="E2449">
        <v>151.58000200000001</v>
      </c>
      <c r="F2449">
        <v>149.68396000000001</v>
      </c>
      <c r="G2449">
        <v>6327000</v>
      </c>
      <c r="I2449">
        <f t="shared" si="39"/>
        <v>7.7167802025580716E-5</v>
      </c>
    </row>
    <row r="2450" spans="1:9" x14ac:dyDescent="0.3">
      <c r="A2450" s="5">
        <v>45194</v>
      </c>
      <c r="B2450">
        <v>151.179993</v>
      </c>
      <c r="C2450">
        <v>151.279999</v>
      </c>
      <c r="D2450">
        <v>150.020004</v>
      </c>
      <c r="E2450">
        <v>150.66000399999999</v>
      </c>
      <c r="F2450">
        <v>148.77546699999999</v>
      </c>
      <c r="G2450">
        <v>5527000</v>
      </c>
      <c r="I2450">
        <f t="shared" si="39"/>
        <v>3.5505403815279765E-5</v>
      </c>
    </row>
    <row r="2451" spans="1:9" x14ac:dyDescent="0.3">
      <c r="A2451" s="5">
        <v>45195</v>
      </c>
      <c r="B2451">
        <v>149.979996</v>
      </c>
      <c r="C2451">
        <v>150.36000100000001</v>
      </c>
      <c r="D2451">
        <v>148.78999300000001</v>
      </c>
      <c r="E2451">
        <v>149.320007</v>
      </c>
      <c r="F2451">
        <v>147.452225</v>
      </c>
      <c r="G2451">
        <v>6366500</v>
      </c>
      <c r="I2451">
        <f t="shared" si="39"/>
        <v>4.5889463492362106E-5</v>
      </c>
    </row>
    <row r="2452" spans="1:9" x14ac:dyDescent="0.3">
      <c r="A2452" s="5">
        <v>45196</v>
      </c>
      <c r="B2452">
        <v>149.41999799999999</v>
      </c>
      <c r="C2452">
        <v>149.699997</v>
      </c>
      <c r="D2452">
        <v>146.63000500000001</v>
      </c>
      <c r="E2452">
        <v>147.33999600000001</v>
      </c>
      <c r="F2452">
        <v>145.49697900000001</v>
      </c>
      <c r="G2452">
        <v>5403700</v>
      </c>
      <c r="I2452">
        <f t="shared" si="39"/>
        <v>1.2079550091542005E-4</v>
      </c>
    </row>
    <row r="2453" spans="1:9" x14ac:dyDescent="0.3">
      <c r="A2453" s="5">
        <v>45197</v>
      </c>
      <c r="B2453">
        <v>147.820007</v>
      </c>
      <c r="C2453">
        <v>147.979996</v>
      </c>
      <c r="D2453">
        <v>145.679993</v>
      </c>
      <c r="E2453">
        <v>146.33999600000001</v>
      </c>
      <c r="F2453">
        <v>144.509491</v>
      </c>
      <c r="G2453">
        <v>6237100</v>
      </c>
      <c r="I2453">
        <f t="shared" si="39"/>
        <v>7.7974318182823672E-5</v>
      </c>
    </row>
    <row r="2454" spans="1:9" x14ac:dyDescent="0.3">
      <c r="A2454" s="5">
        <v>45198</v>
      </c>
      <c r="B2454">
        <v>146.53999300000001</v>
      </c>
      <c r="C2454">
        <v>146.770004</v>
      </c>
      <c r="D2454">
        <v>144.820007</v>
      </c>
      <c r="E2454">
        <v>145.86000100000001</v>
      </c>
      <c r="F2454">
        <v>144.035507</v>
      </c>
      <c r="G2454">
        <v>6675100</v>
      </c>
      <c r="I2454">
        <f t="shared" si="39"/>
        <v>9.42391471417537E-5</v>
      </c>
    </row>
    <row r="2455" spans="1:9" x14ac:dyDescent="0.3">
      <c r="A2455" s="5">
        <v>45201</v>
      </c>
      <c r="B2455">
        <v>144.779999</v>
      </c>
      <c r="C2455">
        <v>145.60000600000001</v>
      </c>
      <c r="D2455">
        <v>143.89999399999999</v>
      </c>
      <c r="E2455">
        <v>145.19000199999999</v>
      </c>
      <c r="F2455">
        <v>143.373886</v>
      </c>
      <c r="G2455">
        <v>5153800</v>
      </c>
      <c r="I2455">
        <f t="shared" si="39"/>
        <v>7.0338185008336345E-5</v>
      </c>
    </row>
    <row r="2456" spans="1:9" x14ac:dyDescent="0.3">
      <c r="A2456" s="5">
        <v>45202</v>
      </c>
      <c r="B2456">
        <v>145.16999799999999</v>
      </c>
      <c r="C2456">
        <v>146.490005</v>
      </c>
      <c r="D2456">
        <v>145.009995</v>
      </c>
      <c r="E2456">
        <v>145.490005</v>
      </c>
      <c r="F2456">
        <v>143.67013499999999</v>
      </c>
      <c r="G2456">
        <v>4670600</v>
      </c>
      <c r="I2456">
        <f t="shared" si="39"/>
        <v>6.5647134983971744E-5</v>
      </c>
    </row>
    <row r="2457" spans="1:9" x14ac:dyDescent="0.3">
      <c r="A2457" s="5">
        <v>45203</v>
      </c>
      <c r="B2457">
        <v>145.58999600000001</v>
      </c>
      <c r="C2457">
        <v>146.30999800000001</v>
      </c>
      <c r="D2457">
        <v>144.929993</v>
      </c>
      <c r="E2457">
        <v>145.970001</v>
      </c>
      <c r="F2457">
        <v>144.14411899999999</v>
      </c>
      <c r="G2457">
        <v>4727800</v>
      </c>
      <c r="I2457">
        <f t="shared" si="39"/>
        <v>4.3965403922207256E-5</v>
      </c>
    </row>
    <row r="2458" spans="1:9" x14ac:dyDescent="0.3">
      <c r="A2458" s="5">
        <v>45204</v>
      </c>
      <c r="B2458">
        <v>145.679993</v>
      </c>
      <c r="C2458">
        <v>146.08999600000001</v>
      </c>
      <c r="D2458">
        <v>143.69000199999999</v>
      </c>
      <c r="E2458">
        <v>143.800003</v>
      </c>
      <c r="F2458">
        <v>142.00126599999999</v>
      </c>
      <c r="G2458">
        <v>5205700</v>
      </c>
      <c r="I2458">
        <f t="shared" si="39"/>
        <v>5.492883713764184E-5</v>
      </c>
    </row>
    <row r="2459" spans="1:9" x14ac:dyDescent="0.3">
      <c r="A2459" s="5">
        <v>45205</v>
      </c>
      <c r="B2459">
        <v>143.60000600000001</v>
      </c>
      <c r="C2459">
        <v>144.55999800000001</v>
      </c>
      <c r="D2459">
        <v>141.449997</v>
      </c>
      <c r="E2459">
        <v>144.08999600000001</v>
      </c>
      <c r="F2459">
        <v>142.287643</v>
      </c>
      <c r="G2459">
        <v>7406300</v>
      </c>
      <c r="I2459">
        <f t="shared" si="39"/>
        <v>3.0065482156903196E-4</v>
      </c>
    </row>
    <row r="2460" spans="1:9" x14ac:dyDescent="0.3">
      <c r="A2460" s="5">
        <v>45208</v>
      </c>
      <c r="B2460">
        <v>143.36000100000001</v>
      </c>
      <c r="C2460">
        <v>143.970001</v>
      </c>
      <c r="D2460">
        <v>141.60000600000001</v>
      </c>
      <c r="E2460">
        <v>143.36000100000001</v>
      </c>
      <c r="F2460">
        <v>141.56677199999999</v>
      </c>
      <c r="G2460">
        <v>5062200</v>
      </c>
      <c r="I2460">
        <f t="shared" si="39"/>
        <v>1.7061847787075584E-4</v>
      </c>
    </row>
    <row r="2461" spans="1:9" x14ac:dyDescent="0.3">
      <c r="A2461" s="5">
        <v>45209</v>
      </c>
      <c r="B2461">
        <v>143.979996</v>
      </c>
      <c r="C2461">
        <v>145.220001</v>
      </c>
      <c r="D2461">
        <v>143.720001</v>
      </c>
      <c r="E2461">
        <v>144.779999</v>
      </c>
      <c r="F2461">
        <v>142.969009</v>
      </c>
      <c r="G2461">
        <v>5988900</v>
      </c>
      <c r="I2461">
        <f t="shared" si="39"/>
        <v>3.930372548852902E-5</v>
      </c>
    </row>
    <row r="2462" spans="1:9" x14ac:dyDescent="0.3">
      <c r="A2462" s="5">
        <v>45210</v>
      </c>
      <c r="B2462">
        <v>145.13999899999999</v>
      </c>
      <c r="C2462">
        <v>145.55999800000001</v>
      </c>
      <c r="D2462">
        <v>142.55999800000001</v>
      </c>
      <c r="E2462">
        <v>143</v>
      </c>
      <c r="F2462">
        <v>141.21127300000001</v>
      </c>
      <c r="G2462">
        <v>5469100</v>
      </c>
      <c r="I2462">
        <f t="shared" si="39"/>
        <v>1.0654430368250441E-4</v>
      </c>
    </row>
    <row r="2463" spans="1:9" x14ac:dyDescent="0.3">
      <c r="A2463" s="5">
        <v>45211</v>
      </c>
      <c r="B2463">
        <v>142.78999300000001</v>
      </c>
      <c r="C2463">
        <v>143.929993</v>
      </c>
      <c r="D2463">
        <v>141.66000399999999</v>
      </c>
      <c r="E2463">
        <v>143.320007</v>
      </c>
      <c r="F2463">
        <v>141.52728300000001</v>
      </c>
      <c r="G2463">
        <v>5965600</v>
      </c>
      <c r="I2463">
        <f t="shared" si="39"/>
        <v>1.2633440684941825E-4</v>
      </c>
    </row>
    <row r="2464" spans="1:9" x14ac:dyDescent="0.3">
      <c r="A2464" s="5">
        <v>45212</v>
      </c>
      <c r="B2464">
        <v>143.19000199999999</v>
      </c>
      <c r="C2464">
        <v>145.029999</v>
      </c>
      <c r="D2464">
        <v>143.19000199999999</v>
      </c>
      <c r="E2464">
        <v>144.69000199999999</v>
      </c>
      <c r="F2464">
        <v>142.88014200000001</v>
      </c>
      <c r="G2464">
        <v>7078900</v>
      </c>
      <c r="I2464">
        <f t="shared" si="39"/>
        <v>2.9967857665251685E-5</v>
      </c>
    </row>
    <row r="2465" spans="1:9" x14ac:dyDescent="0.3">
      <c r="A2465" s="5">
        <v>45215</v>
      </c>
      <c r="B2465">
        <v>145.86000100000001</v>
      </c>
      <c r="C2465">
        <v>147.05999800000001</v>
      </c>
      <c r="D2465">
        <v>145.46000699999999</v>
      </c>
      <c r="E2465">
        <v>146.070007</v>
      </c>
      <c r="F2465">
        <v>144.242874</v>
      </c>
      <c r="G2465">
        <v>6509800</v>
      </c>
      <c r="I2465">
        <f t="shared" si="39"/>
        <v>6.6835311579310455E-5</v>
      </c>
    </row>
    <row r="2466" spans="1:9" x14ac:dyDescent="0.3">
      <c r="A2466" s="5">
        <v>45216</v>
      </c>
      <c r="B2466">
        <v>146.11000100000001</v>
      </c>
      <c r="C2466">
        <v>146.820007</v>
      </c>
      <c r="D2466">
        <v>145.240005</v>
      </c>
      <c r="E2466">
        <v>146.259995</v>
      </c>
      <c r="F2466">
        <v>144.43049600000001</v>
      </c>
      <c r="G2466">
        <v>6160100</v>
      </c>
      <c r="I2466">
        <f t="shared" si="39"/>
        <v>6.0320368163981308E-5</v>
      </c>
    </row>
    <row r="2467" spans="1:9" x14ac:dyDescent="0.3">
      <c r="A2467" s="5">
        <v>45217</v>
      </c>
      <c r="B2467">
        <v>150.05999800000001</v>
      </c>
      <c r="C2467">
        <v>151.300003</v>
      </c>
      <c r="D2467">
        <v>148.770004</v>
      </c>
      <c r="E2467">
        <v>150.029999</v>
      </c>
      <c r="F2467">
        <v>148.15335099999999</v>
      </c>
      <c r="G2467">
        <v>10508500</v>
      </c>
      <c r="I2467">
        <f t="shared" si="39"/>
        <v>1.4218336999730473E-4</v>
      </c>
    </row>
    <row r="2468" spans="1:9" x14ac:dyDescent="0.3">
      <c r="A2468" s="5">
        <v>45218</v>
      </c>
      <c r="B2468">
        <v>149.61000100000001</v>
      </c>
      <c r="C2468">
        <v>150.279999</v>
      </c>
      <c r="D2468">
        <v>147.179993</v>
      </c>
      <c r="E2468">
        <v>148.25</v>
      </c>
      <c r="F2468">
        <v>147.31961100000001</v>
      </c>
      <c r="G2468">
        <v>8146000</v>
      </c>
      <c r="I2468">
        <f t="shared" si="39"/>
        <v>1.7939079137698453E-4</v>
      </c>
    </row>
    <row r="2469" spans="1:9" x14ac:dyDescent="0.3">
      <c r="A2469" s="5">
        <v>45219</v>
      </c>
      <c r="B2469">
        <v>149.050003</v>
      </c>
      <c r="C2469">
        <v>149.88000500000001</v>
      </c>
      <c r="D2469">
        <v>147.91999799999999</v>
      </c>
      <c r="E2469">
        <v>148.050003</v>
      </c>
      <c r="F2469">
        <v>147.12086500000001</v>
      </c>
      <c r="G2469">
        <v>7283900</v>
      </c>
      <c r="I2469">
        <f t="shared" si="39"/>
        <v>7.4905910857378687E-5</v>
      </c>
    </row>
    <row r="2470" spans="1:9" x14ac:dyDescent="0.3">
      <c r="A2470" s="5">
        <v>45222</v>
      </c>
      <c r="B2470">
        <v>147.86000100000001</v>
      </c>
      <c r="C2470">
        <v>149.5</v>
      </c>
      <c r="D2470">
        <v>147.55999800000001</v>
      </c>
      <c r="E2470">
        <v>148.14999399999999</v>
      </c>
      <c r="F2470">
        <v>147.22022999999999</v>
      </c>
      <c r="G2470">
        <v>5981800</v>
      </c>
      <c r="I2470">
        <f t="shared" si="39"/>
        <v>1.0816403754504233E-4</v>
      </c>
    </row>
    <row r="2471" spans="1:9" x14ac:dyDescent="0.3">
      <c r="A2471" s="5">
        <v>45223</v>
      </c>
      <c r="B2471">
        <v>148.11999499999999</v>
      </c>
      <c r="C2471">
        <v>150.070007</v>
      </c>
      <c r="D2471">
        <v>148.070007</v>
      </c>
      <c r="E2471">
        <v>149.89999399999999</v>
      </c>
      <c r="F2471">
        <v>148.95924400000001</v>
      </c>
      <c r="G2471">
        <v>6322000</v>
      </c>
      <c r="I2471">
        <f t="shared" si="39"/>
        <v>1.897175076630697E-5</v>
      </c>
    </row>
    <row r="2472" spans="1:9" x14ac:dyDescent="0.3">
      <c r="A2472" s="5">
        <v>45224</v>
      </c>
      <c r="B2472">
        <v>149.63999899999999</v>
      </c>
      <c r="C2472">
        <v>151.19000199999999</v>
      </c>
      <c r="D2472">
        <v>149.11999499999999</v>
      </c>
      <c r="E2472">
        <v>150.60000600000001</v>
      </c>
      <c r="F2472">
        <v>149.65486100000001</v>
      </c>
      <c r="G2472">
        <v>6172900</v>
      </c>
      <c r="I2472">
        <f t="shared" si="39"/>
        <v>7.4671439144967166E-5</v>
      </c>
    </row>
    <row r="2473" spans="1:9" x14ac:dyDescent="0.3">
      <c r="A2473" s="5">
        <v>45225</v>
      </c>
      <c r="B2473">
        <v>151.050003</v>
      </c>
      <c r="C2473">
        <v>151.38000500000001</v>
      </c>
      <c r="D2473">
        <v>149.740005</v>
      </c>
      <c r="E2473">
        <v>149.800003</v>
      </c>
      <c r="F2473">
        <v>148.85987900000001</v>
      </c>
      <c r="G2473">
        <v>7582100</v>
      </c>
      <c r="I2473">
        <f t="shared" si="39"/>
        <v>2.6386870612468282E-5</v>
      </c>
    </row>
    <row r="2474" spans="1:9" x14ac:dyDescent="0.3">
      <c r="A2474" s="5">
        <v>45226</v>
      </c>
      <c r="B2474">
        <v>148.979996</v>
      </c>
      <c r="C2474">
        <v>149.949997</v>
      </c>
      <c r="D2474">
        <v>146.279999</v>
      </c>
      <c r="E2474">
        <v>147.16000399999999</v>
      </c>
      <c r="F2474">
        <v>146.23644999999999</v>
      </c>
      <c r="G2474">
        <v>8131800</v>
      </c>
      <c r="I2474">
        <f t="shared" si="39"/>
        <v>2.3158631695982066E-4</v>
      </c>
    </row>
    <row r="2475" spans="1:9" x14ac:dyDescent="0.3">
      <c r="A2475" s="5">
        <v>45229</v>
      </c>
      <c r="B2475">
        <v>147.89999399999999</v>
      </c>
      <c r="C2475">
        <v>149.550003</v>
      </c>
      <c r="D2475">
        <v>147.53999300000001</v>
      </c>
      <c r="E2475">
        <v>149.259995</v>
      </c>
      <c r="F2475">
        <v>148.32325700000001</v>
      </c>
      <c r="G2475">
        <v>5412800</v>
      </c>
      <c r="I2475">
        <f t="shared" si="39"/>
        <v>4.9781837806765278E-5</v>
      </c>
    </row>
    <row r="2476" spans="1:9" x14ac:dyDescent="0.3">
      <c r="A2476" s="5">
        <v>45230</v>
      </c>
      <c r="B2476">
        <v>149.46000699999999</v>
      </c>
      <c r="C2476">
        <v>150.259995</v>
      </c>
      <c r="D2476">
        <v>148.63999899999999</v>
      </c>
      <c r="E2476">
        <v>150.029999</v>
      </c>
      <c r="F2476">
        <v>149.08843999999999</v>
      </c>
      <c r="G2476">
        <v>6762100</v>
      </c>
      <c r="I2476">
        <f t="shared" si="39"/>
        <v>5.9385942557335799E-5</v>
      </c>
    </row>
    <row r="2477" spans="1:9" x14ac:dyDescent="0.3">
      <c r="A2477" s="5">
        <v>45231</v>
      </c>
      <c r="B2477">
        <v>150.679993</v>
      </c>
      <c r="C2477">
        <v>150.679993</v>
      </c>
      <c r="D2477">
        <v>149.21000699999999</v>
      </c>
      <c r="E2477">
        <v>149.61000100000001</v>
      </c>
      <c r="F2477">
        <v>148.671066</v>
      </c>
      <c r="G2477">
        <v>5896900</v>
      </c>
      <c r="I2477">
        <f t="shared" si="39"/>
        <v>2.6245735468278093E-5</v>
      </c>
    </row>
    <row r="2478" spans="1:9" x14ac:dyDescent="0.3">
      <c r="A2478" s="5">
        <v>45232</v>
      </c>
      <c r="B2478">
        <v>149.53999300000001</v>
      </c>
      <c r="C2478">
        <v>151.64999399999999</v>
      </c>
      <c r="D2478">
        <v>148.91000399999999</v>
      </c>
      <c r="E2478">
        <v>151.44000199999999</v>
      </c>
      <c r="F2478">
        <v>150.48959400000001</v>
      </c>
      <c r="G2478">
        <v>5859200</v>
      </c>
      <c r="I2478">
        <f t="shared" si="39"/>
        <v>9.054055391050016E-5</v>
      </c>
    </row>
    <row r="2479" spans="1:9" x14ac:dyDescent="0.3">
      <c r="A2479" s="5">
        <v>45233</v>
      </c>
      <c r="B2479">
        <v>151.78999300000001</v>
      </c>
      <c r="C2479">
        <v>152.28999300000001</v>
      </c>
      <c r="D2479">
        <v>149.61999499999999</v>
      </c>
      <c r="E2479">
        <v>150.070007</v>
      </c>
      <c r="F2479">
        <v>149.12818899999999</v>
      </c>
      <c r="G2479">
        <v>6587700</v>
      </c>
      <c r="I2479">
        <f t="shared" si="39"/>
        <v>9.1535669659051908E-5</v>
      </c>
    </row>
    <row r="2480" spans="1:9" x14ac:dyDescent="0.3">
      <c r="A2480" s="5">
        <v>45236</v>
      </c>
      <c r="B2480">
        <v>150.36000100000001</v>
      </c>
      <c r="C2480">
        <v>151.25</v>
      </c>
      <c r="D2480">
        <v>150.10000600000001</v>
      </c>
      <c r="E2480">
        <v>150.94000199999999</v>
      </c>
      <c r="F2480">
        <v>149.99272199999999</v>
      </c>
      <c r="G2480">
        <v>6480800</v>
      </c>
      <c r="I2480">
        <f t="shared" si="39"/>
        <v>2.1766441628010232E-5</v>
      </c>
    </row>
    <row r="2481" spans="1:9" x14ac:dyDescent="0.3">
      <c r="A2481" s="5">
        <v>45237</v>
      </c>
      <c r="B2481">
        <v>150.91999799999999</v>
      </c>
      <c r="C2481">
        <v>151.25</v>
      </c>
      <c r="D2481">
        <v>150.11999499999999</v>
      </c>
      <c r="E2481">
        <v>150.58999600000001</v>
      </c>
      <c r="F2481">
        <v>149.644913</v>
      </c>
      <c r="G2481">
        <v>6003800</v>
      </c>
      <c r="I2481">
        <f t="shared" si="39"/>
        <v>2.616624480473751E-5</v>
      </c>
    </row>
    <row r="2482" spans="1:9" x14ac:dyDescent="0.3">
      <c r="A2482" s="5">
        <v>45238</v>
      </c>
      <c r="B2482">
        <v>150.96000699999999</v>
      </c>
      <c r="C2482">
        <v>151.199997</v>
      </c>
      <c r="D2482">
        <v>149.509995</v>
      </c>
      <c r="E2482">
        <v>150.009995</v>
      </c>
      <c r="F2482">
        <v>149.068558</v>
      </c>
      <c r="G2482">
        <v>4832600</v>
      </c>
      <c r="I2482">
        <f t="shared" si="39"/>
        <v>4.4775459313468387E-5</v>
      </c>
    </row>
    <row r="2483" spans="1:9" x14ac:dyDescent="0.3">
      <c r="A2483" s="5">
        <v>45239</v>
      </c>
      <c r="B2483">
        <v>149.740005</v>
      </c>
      <c r="C2483">
        <v>150.35000600000001</v>
      </c>
      <c r="D2483">
        <v>149.11999499999999</v>
      </c>
      <c r="E2483">
        <v>150.35000600000001</v>
      </c>
      <c r="F2483">
        <v>149.40643299999999</v>
      </c>
      <c r="G2483">
        <v>6581500</v>
      </c>
      <c r="I2483">
        <f t="shared" si="39"/>
        <v>3.408392727253193E-5</v>
      </c>
    </row>
    <row r="2484" spans="1:9" x14ac:dyDescent="0.3">
      <c r="A2484" s="5">
        <v>45240</v>
      </c>
      <c r="B2484">
        <v>150.83999600000001</v>
      </c>
      <c r="C2484">
        <v>151.44000199999999</v>
      </c>
      <c r="D2484">
        <v>149.91999799999999</v>
      </c>
      <c r="E2484">
        <v>151.41000399999999</v>
      </c>
      <c r="F2484">
        <v>150.459778</v>
      </c>
      <c r="G2484">
        <v>5387200</v>
      </c>
      <c r="I2484">
        <f t="shared" si="39"/>
        <v>6.1289511175125207E-5</v>
      </c>
    </row>
    <row r="2485" spans="1:9" x14ac:dyDescent="0.3">
      <c r="A2485" s="5">
        <v>45243</v>
      </c>
      <c r="B2485">
        <v>151.449997</v>
      </c>
      <c r="C2485">
        <v>152.89999399999999</v>
      </c>
      <c r="D2485">
        <v>151.449997</v>
      </c>
      <c r="E2485">
        <v>152.46000699999999</v>
      </c>
      <c r="F2485">
        <v>151.50318899999999</v>
      </c>
      <c r="G2485">
        <v>6297500</v>
      </c>
      <c r="I2485">
        <f t="shared" si="39"/>
        <v>2.7459023245620966E-5</v>
      </c>
    </row>
    <row r="2486" spans="1:9" x14ac:dyDescent="0.3">
      <c r="A2486" s="5">
        <v>45244</v>
      </c>
      <c r="B2486">
        <v>152.550003</v>
      </c>
      <c r="C2486">
        <v>153.5</v>
      </c>
      <c r="D2486">
        <v>151.679993</v>
      </c>
      <c r="E2486">
        <v>152.11999499999999</v>
      </c>
      <c r="F2486">
        <v>151.165314</v>
      </c>
      <c r="G2486">
        <v>7982600</v>
      </c>
      <c r="I2486">
        <f t="shared" si="39"/>
        <v>7.2632417974996999E-5</v>
      </c>
    </row>
    <row r="2487" spans="1:9" x14ac:dyDescent="0.3">
      <c r="A2487" s="5">
        <v>45245</v>
      </c>
      <c r="B2487">
        <v>152.05999800000001</v>
      </c>
      <c r="C2487">
        <v>152.38999899999999</v>
      </c>
      <c r="D2487">
        <v>150.38000500000001</v>
      </c>
      <c r="E2487">
        <v>151.41999799999999</v>
      </c>
      <c r="F2487">
        <v>150.46971099999999</v>
      </c>
      <c r="G2487">
        <v>7672600</v>
      </c>
      <c r="I2487">
        <f t="shared" si="39"/>
        <v>9.0410724516130572E-5</v>
      </c>
    </row>
    <row r="2488" spans="1:9" x14ac:dyDescent="0.3">
      <c r="A2488" s="5">
        <v>45246</v>
      </c>
      <c r="B2488">
        <v>151.990005</v>
      </c>
      <c r="C2488">
        <v>152.88999899999999</v>
      </c>
      <c r="D2488">
        <v>151.30999800000001</v>
      </c>
      <c r="E2488">
        <v>152.83000200000001</v>
      </c>
      <c r="F2488">
        <v>151.87086500000001</v>
      </c>
      <c r="G2488">
        <v>7590500</v>
      </c>
      <c r="I2488">
        <f t="shared" si="39"/>
        <v>4.7137754125624949E-5</v>
      </c>
    </row>
    <row r="2489" spans="1:9" x14ac:dyDescent="0.3">
      <c r="A2489" s="5">
        <v>45247</v>
      </c>
      <c r="B2489">
        <v>152.720001</v>
      </c>
      <c r="C2489">
        <v>152.83999600000001</v>
      </c>
      <c r="D2489">
        <v>150.88999899999999</v>
      </c>
      <c r="E2489">
        <v>151.070007</v>
      </c>
      <c r="F2489">
        <v>150.12191799999999</v>
      </c>
      <c r="G2489">
        <v>8495600</v>
      </c>
      <c r="I2489">
        <f t="shared" si="39"/>
        <v>2.3521512239291559E-5</v>
      </c>
    </row>
    <row r="2490" spans="1:9" x14ac:dyDescent="0.3">
      <c r="A2490" s="5">
        <v>45250</v>
      </c>
      <c r="B2490">
        <v>150.21000699999999</v>
      </c>
      <c r="C2490">
        <v>151.029999</v>
      </c>
      <c r="D2490">
        <v>149.66000399999999</v>
      </c>
      <c r="E2490">
        <v>150.270004</v>
      </c>
      <c r="F2490">
        <v>149.32693499999999</v>
      </c>
      <c r="G2490">
        <v>6856500</v>
      </c>
      <c r="I2490">
        <f t="shared" si="39"/>
        <v>4.2385602306838507E-5</v>
      </c>
    </row>
    <row r="2491" spans="1:9" x14ac:dyDescent="0.3">
      <c r="A2491" s="5">
        <v>45251</v>
      </c>
      <c r="B2491">
        <v>149.85000600000001</v>
      </c>
      <c r="C2491">
        <v>150.009995</v>
      </c>
      <c r="D2491">
        <v>148.83000200000001</v>
      </c>
      <c r="E2491">
        <v>149.61000100000001</v>
      </c>
      <c r="F2491">
        <v>148.671066</v>
      </c>
      <c r="G2491">
        <v>7310400</v>
      </c>
      <c r="I2491">
        <f t="shared" si="39"/>
        <v>3.8551379639619421E-5</v>
      </c>
    </row>
    <row r="2492" spans="1:9" x14ac:dyDescent="0.3">
      <c r="A2492" s="5">
        <v>45252</v>
      </c>
      <c r="B2492">
        <v>150.10000600000001</v>
      </c>
      <c r="C2492">
        <v>151.479996</v>
      </c>
      <c r="D2492">
        <v>150.10000600000001</v>
      </c>
      <c r="E2492">
        <v>151.020004</v>
      </c>
      <c r="F2492">
        <v>150.07223500000001</v>
      </c>
      <c r="G2492">
        <v>4372700</v>
      </c>
      <c r="I2492">
        <f t="shared" si="39"/>
        <v>2.783310490685984E-5</v>
      </c>
    </row>
    <row r="2493" spans="1:9" x14ac:dyDescent="0.3">
      <c r="A2493" s="5">
        <v>45254</v>
      </c>
      <c r="B2493">
        <v>151.179993</v>
      </c>
      <c r="C2493">
        <v>151.740005</v>
      </c>
      <c r="D2493">
        <v>151.029999</v>
      </c>
      <c r="E2493">
        <v>151.38000500000001</v>
      </c>
      <c r="F2493">
        <v>150.42996199999999</v>
      </c>
      <c r="G2493">
        <v>2132500</v>
      </c>
      <c r="I2493">
        <f t="shared" si="39"/>
        <v>1.1080256020410485E-5</v>
      </c>
    </row>
    <row r="2494" spans="1:9" x14ac:dyDescent="0.3">
      <c r="A2494" s="5">
        <v>45257</v>
      </c>
      <c r="B2494">
        <v>151.520004</v>
      </c>
      <c r="C2494">
        <v>151.63999899999999</v>
      </c>
      <c r="D2494">
        <v>150.740005</v>
      </c>
      <c r="E2494">
        <v>151.240005</v>
      </c>
      <c r="F2494">
        <v>150.29084800000001</v>
      </c>
      <c r="G2494">
        <v>6021300</v>
      </c>
      <c r="I2494">
        <f t="shared" si="39"/>
        <v>1.9181867726557323E-5</v>
      </c>
    </row>
    <row r="2495" spans="1:9" x14ac:dyDescent="0.3">
      <c r="A2495" s="5">
        <v>45258</v>
      </c>
      <c r="B2495">
        <v>151.14999399999999</v>
      </c>
      <c r="C2495">
        <v>152.770004</v>
      </c>
      <c r="D2495">
        <v>151.14999399999999</v>
      </c>
      <c r="E2495">
        <v>152.28999300000001</v>
      </c>
      <c r="F2495">
        <v>151.33424400000001</v>
      </c>
      <c r="G2495">
        <v>6110400</v>
      </c>
      <c r="I2495">
        <f t="shared" si="39"/>
        <v>3.3549712961797619E-5</v>
      </c>
    </row>
    <row r="2496" spans="1:9" x14ac:dyDescent="0.3">
      <c r="A2496" s="5">
        <v>45259</v>
      </c>
      <c r="B2496">
        <v>152.28999300000001</v>
      </c>
      <c r="C2496">
        <v>152.449997</v>
      </c>
      <c r="D2496">
        <v>150.990005</v>
      </c>
      <c r="E2496">
        <v>151.13000500000001</v>
      </c>
      <c r="F2496">
        <v>150.181534</v>
      </c>
      <c r="G2496">
        <v>5342700</v>
      </c>
      <c r="I2496">
        <f t="shared" si="39"/>
        <v>1.7077160228182162E-5</v>
      </c>
    </row>
    <row r="2497" spans="1:9" x14ac:dyDescent="0.3">
      <c r="A2497" s="5">
        <v>45260</v>
      </c>
      <c r="B2497">
        <v>150.89999399999999</v>
      </c>
      <c r="C2497">
        <v>153.63000500000001</v>
      </c>
      <c r="D2497">
        <v>150.08000200000001</v>
      </c>
      <c r="E2497">
        <v>153.520004</v>
      </c>
      <c r="F2497">
        <v>152.556534</v>
      </c>
      <c r="G2497">
        <v>9771300</v>
      </c>
      <c r="I2497">
        <f t="shared" si="39"/>
        <v>1.3632596674882587E-4</v>
      </c>
    </row>
    <row r="2498" spans="1:9" x14ac:dyDescent="0.3">
      <c r="A2498" s="5">
        <v>45261</v>
      </c>
      <c r="B2498">
        <v>153.33000200000001</v>
      </c>
      <c r="C2498">
        <v>153.490005</v>
      </c>
      <c r="D2498">
        <v>152.229996</v>
      </c>
      <c r="E2498">
        <v>152.66000399999999</v>
      </c>
      <c r="F2498">
        <v>151.70193499999999</v>
      </c>
      <c r="G2498">
        <v>5684600</v>
      </c>
      <c r="I2498">
        <f t="shared" si="39"/>
        <v>2.5964483375352322E-5</v>
      </c>
    </row>
    <row r="2499" spans="1:9" x14ac:dyDescent="0.3">
      <c r="A2499" s="5">
        <v>45264</v>
      </c>
      <c r="B2499">
        <v>151.770004</v>
      </c>
      <c r="C2499">
        <v>152.529999</v>
      </c>
      <c r="D2499">
        <v>151.66000399999999</v>
      </c>
      <c r="E2499">
        <v>152.05999800000001</v>
      </c>
      <c r="F2499">
        <v>151.10569799999999</v>
      </c>
      <c r="G2499">
        <v>6578300</v>
      </c>
      <c r="I2499">
        <f t="shared" si="39"/>
        <v>1.7325083073028793E-5</v>
      </c>
    </row>
    <row r="2500" spans="1:9" x14ac:dyDescent="0.3">
      <c r="A2500" s="5">
        <v>45265</v>
      </c>
      <c r="B2500">
        <v>152.13999899999999</v>
      </c>
      <c r="C2500">
        <v>152.61000100000001</v>
      </c>
      <c r="D2500">
        <v>146.179993</v>
      </c>
      <c r="E2500">
        <v>146.759995</v>
      </c>
      <c r="F2500">
        <v>145.83895899999999</v>
      </c>
      <c r="G2500">
        <v>11895800</v>
      </c>
      <c r="I2500">
        <f t="shared" si="39"/>
        <v>2.7881084121363499E-4</v>
      </c>
    </row>
    <row r="2501" spans="1:9" x14ac:dyDescent="0.3">
      <c r="A2501" s="5">
        <v>45266</v>
      </c>
      <c r="B2501">
        <v>147.009995</v>
      </c>
      <c r="C2501">
        <v>147.16000399999999</v>
      </c>
      <c r="D2501">
        <v>145.63999899999999</v>
      </c>
      <c r="E2501">
        <v>146.64999399999999</v>
      </c>
      <c r="F2501">
        <v>145.729645</v>
      </c>
      <c r="G2501">
        <v>7610000</v>
      </c>
      <c r="I2501">
        <f t="shared" si="39"/>
        <v>6.8246182474056844E-5</v>
      </c>
    </row>
    <row r="2502" spans="1:9" x14ac:dyDescent="0.3">
      <c r="A2502" s="5">
        <v>45267</v>
      </c>
      <c r="B2502">
        <v>146.570007</v>
      </c>
      <c r="C2502">
        <v>147.10000600000001</v>
      </c>
      <c r="D2502">
        <v>146.020004</v>
      </c>
      <c r="E2502">
        <v>146.5</v>
      </c>
      <c r="F2502">
        <v>145.58059700000001</v>
      </c>
      <c r="G2502">
        <v>6119600</v>
      </c>
      <c r="I2502">
        <f t="shared" si="39"/>
        <v>2.7090960308292033E-5</v>
      </c>
    </row>
    <row r="2503" spans="1:9" x14ac:dyDescent="0.3">
      <c r="A2503" s="5">
        <v>45268</v>
      </c>
      <c r="B2503">
        <v>145.91999799999999</v>
      </c>
      <c r="C2503">
        <v>146.240005</v>
      </c>
      <c r="D2503">
        <v>144.520004</v>
      </c>
      <c r="E2503">
        <v>145.14999399999999</v>
      </c>
      <c r="F2503">
        <v>144.239059</v>
      </c>
      <c r="G2503">
        <v>6384000</v>
      </c>
      <c r="I2503">
        <f t="shared" si="39"/>
        <v>5.8322948397450839E-5</v>
      </c>
    </row>
    <row r="2504" spans="1:9" x14ac:dyDescent="0.3">
      <c r="A2504" s="5">
        <v>45271</v>
      </c>
      <c r="B2504">
        <v>144.800003</v>
      </c>
      <c r="C2504">
        <v>145.86999499999999</v>
      </c>
      <c r="D2504">
        <v>144.64999399999999</v>
      </c>
      <c r="E2504">
        <v>145.820007</v>
      </c>
      <c r="F2504">
        <v>144.90486100000001</v>
      </c>
      <c r="G2504">
        <v>8471200</v>
      </c>
      <c r="I2504">
        <f t="shared" si="39"/>
        <v>1.0873576726802756E-5</v>
      </c>
    </row>
    <row r="2505" spans="1:9" x14ac:dyDescent="0.3">
      <c r="A2505" s="5">
        <v>45272</v>
      </c>
      <c r="B2505">
        <v>145.86000100000001</v>
      </c>
      <c r="C2505">
        <v>146.229996</v>
      </c>
      <c r="D2505">
        <v>145.08000200000001</v>
      </c>
      <c r="E2505">
        <v>145.94000199999999</v>
      </c>
      <c r="F2505">
        <v>145.02410900000001</v>
      </c>
      <c r="G2505">
        <v>6069200</v>
      </c>
      <c r="I2505">
        <f t="shared" si="39"/>
        <v>3.6719588523291128E-5</v>
      </c>
    </row>
    <row r="2506" spans="1:9" x14ac:dyDescent="0.3">
      <c r="A2506" s="5">
        <v>45273</v>
      </c>
      <c r="B2506">
        <v>145.86000100000001</v>
      </c>
      <c r="C2506">
        <v>148.64999399999999</v>
      </c>
      <c r="D2506">
        <v>145.449997</v>
      </c>
      <c r="E2506">
        <v>148.58000200000001</v>
      </c>
      <c r="F2506">
        <v>147.647537</v>
      </c>
      <c r="G2506">
        <v>9055500</v>
      </c>
      <c r="I2506">
        <f t="shared" si="39"/>
        <v>6.8855982991305396E-5</v>
      </c>
    </row>
    <row r="2507" spans="1:9" x14ac:dyDescent="0.3">
      <c r="A2507" s="5">
        <v>45274</v>
      </c>
      <c r="B2507">
        <v>148.46000699999999</v>
      </c>
      <c r="C2507">
        <v>148.550003</v>
      </c>
      <c r="D2507">
        <v>144.38000500000001</v>
      </c>
      <c r="E2507">
        <v>144.66000399999999</v>
      </c>
      <c r="F2507">
        <v>143.75213600000001</v>
      </c>
      <c r="G2507">
        <v>10565200</v>
      </c>
      <c r="I2507">
        <f t="shared" si="39"/>
        <v>7.0071244735011337E-5</v>
      </c>
    </row>
    <row r="2508" spans="1:9" x14ac:dyDescent="0.3">
      <c r="A2508" s="5">
        <v>45275</v>
      </c>
      <c r="B2508">
        <v>143.179993</v>
      </c>
      <c r="C2508">
        <v>144.25</v>
      </c>
      <c r="D2508">
        <v>142.5</v>
      </c>
      <c r="E2508">
        <v>143.96000699999999</v>
      </c>
      <c r="F2508">
        <v>143.056534</v>
      </c>
      <c r="G2508">
        <v>14549700</v>
      </c>
      <c r="I2508">
        <f t="shared" ref="I2508:I2566" si="40">LN(C2508/B2508)*(LN(C2508/B2508)-LN(E2508/B2508))+LN(D2508/B2508)*(LN(D2508/B2508)-LN(E2508/B2508))</f>
        <v>6.3509503809867311E-5</v>
      </c>
    </row>
    <row r="2509" spans="1:9" x14ac:dyDescent="0.3">
      <c r="A2509" s="5">
        <v>45278</v>
      </c>
      <c r="B2509">
        <v>144.16999799999999</v>
      </c>
      <c r="C2509">
        <v>147.490005</v>
      </c>
      <c r="D2509">
        <v>144.14999399999999</v>
      </c>
      <c r="E2509">
        <v>146.16999799999999</v>
      </c>
      <c r="F2509">
        <v>145.252655</v>
      </c>
      <c r="G2509">
        <v>8421800</v>
      </c>
      <c r="I2509">
        <f t="shared" si="40"/>
        <v>2.0661092733175991E-4</v>
      </c>
    </row>
    <row r="2510" spans="1:9" x14ac:dyDescent="0.3">
      <c r="A2510" s="5">
        <v>45279</v>
      </c>
      <c r="B2510">
        <v>145.66999799999999</v>
      </c>
      <c r="C2510">
        <v>146.33999600000001</v>
      </c>
      <c r="D2510">
        <v>145.38999899999999</v>
      </c>
      <c r="E2510">
        <v>146.16999799999999</v>
      </c>
      <c r="F2510">
        <v>145.252655</v>
      </c>
      <c r="G2510">
        <v>5233600</v>
      </c>
      <c r="I2510">
        <f t="shared" si="40"/>
        <v>1.5628240988629395E-5</v>
      </c>
    </row>
    <row r="2511" spans="1:9" x14ac:dyDescent="0.3">
      <c r="A2511" s="5">
        <v>45280</v>
      </c>
      <c r="B2511">
        <v>145.570007</v>
      </c>
      <c r="C2511">
        <v>146.070007</v>
      </c>
      <c r="D2511">
        <v>143.83999600000001</v>
      </c>
      <c r="E2511">
        <v>143.91000399999999</v>
      </c>
      <c r="F2511">
        <v>143.00685100000001</v>
      </c>
      <c r="G2511">
        <v>7663800</v>
      </c>
      <c r="I2511">
        <f t="shared" si="40"/>
        <v>5.6900598360892661E-5</v>
      </c>
    </row>
    <row r="2512" spans="1:9" x14ac:dyDescent="0.3">
      <c r="A2512" s="5">
        <v>45281</v>
      </c>
      <c r="B2512">
        <v>144.520004</v>
      </c>
      <c r="C2512">
        <v>144.78999300000001</v>
      </c>
      <c r="D2512">
        <v>143.13000500000001</v>
      </c>
      <c r="E2512">
        <v>144.259995</v>
      </c>
      <c r="F2512">
        <v>143.354645</v>
      </c>
      <c r="G2512">
        <v>6104700</v>
      </c>
      <c r="I2512">
        <f t="shared" si="40"/>
        <v>8.2845429512729945E-5</v>
      </c>
    </row>
    <row r="2513" spans="1:9" x14ac:dyDescent="0.3">
      <c r="A2513" s="5">
        <v>45282</v>
      </c>
      <c r="B2513">
        <v>144.5</v>
      </c>
      <c r="C2513">
        <v>145.63000500000001</v>
      </c>
      <c r="D2513">
        <v>144.28999300000001</v>
      </c>
      <c r="E2513">
        <v>145.279999</v>
      </c>
      <c r="F2513">
        <v>144.36823999999999</v>
      </c>
      <c r="G2513">
        <v>4412800</v>
      </c>
      <c r="I2513">
        <f t="shared" si="40"/>
        <v>2.8689038594227541E-5</v>
      </c>
    </row>
    <row r="2514" spans="1:9" x14ac:dyDescent="0.3">
      <c r="A2514" s="5">
        <v>45286</v>
      </c>
      <c r="B2514">
        <v>145.08999600000001</v>
      </c>
      <c r="C2514">
        <v>146.16999799999999</v>
      </c>
      <c r="D2514">
        <v>144.970001</v>
      </c>
      <c r="E2514">
        <v>145.94000199999999</v>
      </c>
      <c r="F2514">
        <v>145.02410900000001</v>
      </c>
      <c r="G2514">
        <v>3634900</v>
      </c>
      <c r="I2514">
        <f t="shared" si="40"/>
        <v>1.719590389221461E-5</v>
      </c>
    </row>
    <row r="2515" spans="1:9" x14ac:dyDescent="0.3">
      <c r="A2515" s="5">
        <v>45287</v>
      </c>
      <c r="B2515">
        <v>145.64999399999999</v>
      </c>
      <c r="C2515">
        <v>146.30999800000001</v>
      </c>
      <c r="D2515">
        <v>145.36000100000001</v>
      </c>
      <c r="E2515">
        <v>146.05999800000001</v>
      </c>
      <c r="F2515">
        <v>145.14335600000001</v>
      </c>
      <c r="G2515">
        <v>4569400</v>
      </c>
      <c r="I2515">
        <f t="shared" si="40"/>
        <v>1.7306518444153297E-5</v>
      </c>
    </row>
    <row r="2516" spans="1:9" x14ac:dyDescent="0.3">
      <c r="A2516" s="5">
        <v>45288</v>
      </c>
      <c r="B2516">
        <v>146</v>
      </c>
      <c r="C2516">
        <v>146.009995</v>
      </c>
      <c r="D2516">
        <v>145.03999300000001</v>
      </c>
      <c r="E2516">
        <v>145.729996</v>
      </c>
      <c r="F2516">
        <v>144.815414</v>
      </c>
      <c r="G2516">
        <v>5023000</v>
      </c>
      <c r="I2516">
        <f t="shared" si="40"/>
        <v>3.1441579147389855E-5</v>
      </c>
    </row>
    <row r="2517" spans="1:9" x14ac:dyDescent="0.3">
      <c r="A2517" s="5">
        <v>45289</v>
      </c>
      <c r="B2517">
        <v>146</v>
      </c>
      <c r="C2517">
        <v>146.96000699999999</v>
      </c>
      <c r="D2517">
        <v>145.729996</v>
      </c>
      <c r="E2517">
        <v>146.53999300000001</v>
      </c>
      <c r="F2517">
        <v>145.62033099999999</v>
      </c>
      <c r="G2517">
        <v>5300900</v>
      </c>
      <c r="I2517">
        <f t="shared" si="40"/>
        <v>2.9017923067741489E-5</v>
      </c>
    </row>
    <row r="2518" spans="1:9" x14ac:dyDescent="0.3">
      <c r="A2518" s="5">
        <v>45293</v>
      </c>
      <c r="B2518">
        <v>146.36000100000001</v>
      </c>
      <c r="C2518">
        <v>149.41000399999999</v>
      </c>
      <c r="D2518">
        <v>146.30999800000001</v>
      </c>
      <c r="E2518">
        <v>148.740005</v>
      </c>
      <c r="F2518">
        <v>147.806534</v>
      </c>
      <c r="G2518">
        <v>7238400</v>
      </c>
      <c r="I2518">
        <f t="shared" si="40"/>
        <v>9.8324715118553108E-5</v>
      </c>
    </row>
    <row r="2519" spans="1:9" x14ac:dyDescent="0.3">
      <c r="A2519" s="5">
        <v>45294</v>
      </c>
      <c r="B2519">
        <v>148.33999600000001</v>
      </c>
      <c r="C2519">
        <v>149.199997</v>
      </c>
      <c r="D2519">
        <v>147.179993</v>
      </c>
      <c r="E2519">
        <v>147.83999600000001</v>
      </c>
      <c r="F2519">
        <v>146.91217</v>
      </c>
      <c r="G2519">
        <v>7697500</v>
      </c>
      <c r="I2519">
        <f t="shared" si="40"/>
        <v>8.8060984055292839E-5</v>
      </c>
    </row>
    <row r="2520" spans="1:9" x14ac:dyDescent="0.3">
      <c r="A2520" s="5">
        <v>45295</v>
      </c>
      <c r="B2520">
        <v>148.050003</v>
      </c>
      <c r="C2520">
        <v>149.270004</v>
      </c>
      <c r="D2520">
        <v>147.770004</v>
      </c>
      <c r="E2520">
        <v>148.64999399999999</v>
      </c>
      <c r="F2520">
        <v>147.71708699999999</v>
      </c>
      <c r="G2520">
        <v>7067400</v>
      </c>
      <c r="I2520">
        <f t="shared" si="40"/>
        <v>4.5398300678052756E-5</v>
      </c>
    </row>
    <row r="2521" spans="1:9" x14ac:dyDescent="0.3">
      <c r="A2521" s="5">
        <v>45296</v>
      </c>
      <c r="B2521">
        <v>148.720001</v>
      </c>
      <c r="C2521">
        <v>148.86999499999999</v>
      </c>
      <c r="D2521">
        <v>146.550003</v>
      </c>
      <c r="E2521">
        <v>147.41999799999999</v>
      </c>
      <c r="F2521">
        <v>146.494812</v>
      </c>
      <c r="G2521">
        <v>5294200</v>
      </c>
      <c r="I2521">
        <f t="shared" si="40"/>
        <v>9.6867353131639415E-5</v>
      </c>
    </row>
    <row r="2522" spans="1:9" x14ac:dyDescent="0.3">
      <c r="A2522" s="5">
        <v>45299</v>
      </c>
      <c r="B2522">
        <v>147.91000399999999</v>
      </c>
      <c r="C2522">
        <v>148.91999799999999</v>
      </c>
      <c r="D2522">
        <v>147.64999399999999</v>
      </c>
      <c r="E2522">
        <v>148.69000199999999</v>
      </c>
      <c r="F2522">
        <v>147.75685100000001</v>
      </c>
      <c r="G2522">
        <v>8255300</v>
      </c>
      <c r="I2522">
        <f t="shared" si="40"/>
        <v>2.2867893425694967E-5</v>
      </c>
    </row>
    <row r="2523" spans="1:9" x14ac:dyDescent="0.3">
      <c r="A2523" s="5">
        <v>45300</v>
      </c>
      <c r="B2523">
        <v>148.570007</v>
      </c>
      <c r="C2523">
        <v>149.39999399999999</v>
      </c>
      <c r="D2523">
        <v>148.050003</v>
      </c>
      <c r="E2523">
        <v>149.300003</v>
      </c>
      <c r="F2523">
        <v>148.363022</v>
      </c>
      <c r="G2523">
        <v>9786800</v>
      </c>
      <c r="I2523">
        <f t="shared" si="40"/>
        <v>3.3208701675301004E-5</v>
      </c>
    </row>
    <row r="2524" spans="1:9" x14ac:dyDescent="0.3">
      <c r="A2524" s="5">
        <v>45301</v>
      </c>
      <c r="B2524">
        <v>149.35000600000001</v>
      </c>
      <c r="C2524">
        <v>150</v>
      </c>
      <c r="D2524">
        <v>149.259995</v>
      </c>
      <c r="E2524">
        <v>149.94000199999999</v>
      </c>
      <c r="F2524">
        <v>148.999008</v>
      </c>
      <c r="G2524">
        <v>8591100</v>
      </c>
      <c r="I2524">
        <f t="shared" si="40"/>
        <v>4.4777091129802403E-6</v>
      </c>
    </row>
    <row r="2525" spans="1:9" x14ac:dyDescent="0.3">
      <c r="A2525" s="5">
        <v>45302</v>
      </c>
      <c r="B2525">
        <v>150.050003</v>
      </c>
      <c r="C2525">
        <v>150.800003</v>
      </c>
      <c r="D2525">
        <v>149.28999300000001</v>
      </c>
      <c r="E2525">
        <v>150.509995</v>
      </c>
      <c r="F2525">
        <v>149.565414</v>
      </c>
      <c r="G2525">
        <v>6659400</v>
      </c>
      <c r="I2525">
        <f t="shared" si="40"/>
        <v>5.0925964328553633E-5</v>
      </c>
    </row>
    <row r="2526" spans="1:9" x14ac:dyDescent="0.3">
      <c r="A2526" s="5">
        <v>45303</v>
      </c>
      <c r="B2526">
        <v>150.949997</v>
      </c>
      <c r="C2526">
        <v>151.300003</v>
      </c>
      <c r="D2526">
        <v>149.88999899999999</v>
      </c>
      <c r="E2526">
        <v>150.60000600000001</v>
      </c>
      <c r="F2526">
        <v>149.65486100000001</v>
      </c>
      <c r="G2526">
        <v>5684700</v>
      </c>
      <c r="I2526">
        <f t="shared" si="40"/>
        <v>4.4041540035529567E-5</v>
      </c>
    </row>
    <row r="2527" spans="1:9" x14ac:dyDescent="0.3">
      <c r="A2527" s="5">
        <v>45307</v>
      </c>
      <c r="B2527">
        <v>150.14999399999999</v>
      </c>
      <c r="C2527">
        <v>151.5</v>
      </c>
      <c r="D2527">
        <v>148.88000500000001</v>
      </c>
      <c r="E2527">
        <v>149.78999300000001</v>
      </c>
      <c r="F2527">
        <v>148.84993</v>
      </c>
      <c r="G2527">
        <v>8120100</v>
      </c>
      <c r="I2527">
        <f t="shared" si="40"/>
        <v>1.5336441397040905E-4</v>
      </c>
    </row>
    <row r="2528" spans="1:9" x14ac:dyDescent="0.3">
      <c r="A2528" s="5">
        <v>45308</v>
      </c>
      <c r="B2528">
        <v>149.16000399999999</v>
      </c>
      <c r="C2528">
        <v>150.60000600000001</v>
      </c>
      <c r="D2528">
        <v>149.009995</v>
      </c>
      <c r="E2528">
        <v>149.94000199999999</v>
      </c>
      <c r="F2528">
        <v>148.999008</v>
      </c>
      <c r="G2528">
        <v>6541400</v>
      </c>
      <c r="I2528">
        <f t="shared" si="40"/>
        <v>4.845897267854417E-5</v>
      </c>
    </row>
    <row r="2529" spans="1:9" x14ac:dyDescent="0.3">
      <c r="A2529" s="5">
        <v>45309</v>
      </c>
      <c r="B2529">
        <v>148.229996</v>
      </c>
      <c r="C2529">
        <v>148.39999399999999</v>
      </c>
      <c r="D2529">
        <v>146.91999799999999</v>
      </c>
      <c r="E2529">
        <v>148.13999899999999</v>
      </c>
      <c r="F2529">
        <v>148.13999899999999</v>
      </c>
      <c r="G2529">
        <v>6526200</v>
      </c>
      <c r="I2529">
        <f t="shared" si="40"/>
        <v>7.5417820292973385E-5</v>
      </c>
    </row>
    <row r="2530" spans="1:9" x14ac:dyDescent="0.3">
      <c r="A2530" s="5">
        <v>45310</v>
      </c>
      <c r="B2530">
        <v>148.25</v>
      </c>
      <c r="C2530">
        <v>148.61999499999999</v>
      </c>
      <c r="D2530">
        <v>147.30999800000001</v>
      </c>
      <c r="E2530">
        <v>147.570007</v>
      </c>
      <c r="F2530">
        <v>147.570007</v>
      </c>
      <c r="G2530">
        <v>7738600</v>
      </c>
      <c r="I2530">
        <f t="shared" si="40"/>
        <v>2.8890091469978242E-5</v>
      </c>
    </row>
    <row r="2531" spans="1:9" x14ac:dyDescent="0.3">
      <c r="A2531" s="5">
        <v>45313</v>
      </c>
      <c r="B2531">
        <v>146.970001</v>
      </c>
      <c r="C2531">
        <v>148.21000699999999</v>
      </c>
      <c r="D2531">
        <v>146.279999</v>
      </c>
      <c r="E2531">
        <v>147.86000100000001</v>
      </c>
      <c r="F2531">
        <v>147.86000100000001</v>
      </c>
      <c r="G2531">
        <v>11084100</v>
      </c>
      <c r="I2531">
        <f t="shared" si="40"/>
        <v>7.0421586445142457E-5</v>
      </c>
    </row>
    <row r="2532" spans="1:9" x14ac:dyDescent="0.3">
      <c r="A2532" s="5">
        <v>45314</v>
      </c>
      <c r="B2532">
        <v>153.11000100000001</v>
      </c>
      <c r="C2532">
        <v>156.39999399999999</v>
      </c>
      <c r="D2532">
        <v>152.88999899999999</v>
      </c>
      <c r="E2532">
        <v>153.979996</v>
      </c>
      <c r="F2532">
        <v>153.979996</v>
      </c>
      <c r="G2532">
        <v>19101600</v>
      </c>
      <c r="I2532">
        <f t="shared" si="40"/>
        <v>3.4174797093307129E-4</v>
      </c>
    </row>
    <row r="2533" spans="1:9" x14ac:dyDescent="0.3">
      <c r="A2533" s="5">
        <v>45315</v>
      </c>
      <c r="B2533">
        <v>153.929993</v>
      </c>
      <c r="C2533">
        <v>154.229996</v>
      </c>
      <c r="D2533">
        <v>152.08999600000001</v>
      </c>
      <c r="E2533">
        <v>152.11999499999999</v>
      </c>
      <c r="F2533">
        <v>152.11999499999999</v>
      </c>
      <c r="G2533">
        <v>11592700</v>
      </c>
      <c r="I2533">
        <f t="shared" si="40"/>
        <v>2.9193114150108087E-5</v>
      </c>
    </row>
    <row r="2534" spans="1:9" x14ac:dyDescent="0.3">
      <c r="A2534" s="5">
        <v>45316</v>
      </c>
      <c r="B2534">
        <v>152.39999399999999</v>
      </c>
      <c r="C2534">
        <v>155.66000399999999</v>
      </c>
      <c r="D2534">
        <v>152.05999800000001</v>
      </c>
      <c r="E2534">
        <v>155.61999499999999</v>
      </c>
      <c r="F2534">
        <v>155.61999499999999</v>
      </c>
      <c r="G2534">
        <v>10352500</v>
      </c>
      <c r="I2534">
        <f t="shared" si="40"/>
        <v>5.7126913626272423E-5</v>
      </c>
    </row>
    <row r="2535" spans="1:9" x14ac:dyDescent="0.3">
      <c r="A2535" s="5">
        <v>45317</v>
      </c>
      <c r="B2535">
        <v>155.80999800000001</v>
      </c>
      <c r="C2535">
        <v>156.16000399999999</v>
      </c>
      <c r="D2535">
        <v>155.33999600000001</v>
      </c>
      <c r="E2535">
        <v>156.13999899999999</v>
      </c>
      <c r="F2535">
        <v>156.13999899999999</v>
      </c>
      <c r="G2535">
        <v>8356600</v>
      </c>
      <c r="I2535">
        <f t="shared" si="40"/>
        <v>1.5806071609138003E-5</v>
      </c>
    </row>
    <row r="2536" spans="1:9" x14ac:dyDescent="0.3">
      <c r="A2536" s="5">
        <v>45320</v>
      </c>
      <c r="B2536">
        <v>156.679993</v>
      </c>
      <c r="C2536">
        <v>157.33000200000001</v>
      </c>
      <c r="D2536">
        <v>155.39999399999999</v>
      </c>
      <c r="E2536">
        <v>156.16000399999999</v>
      </c>
      <c r="F2536">
        <v>156.16000399999999</v>
      </c>
      <c r="G2536">
        <v>8987400</v>
      </c>
      <c r="I2536">
        <f t="shared" si="40"/>
        <v>7.0923644243366715E-5</v>
      </c>
    </row>
    <row r="2537" spans="1:9" x14ac:dyDescent="0.3">
      <c r="A2537" s="5">
        <v>45321</v>
      </c>
      <c r="B2537">
        <v>156.33999600000001</v>
      </c>
      <c r="C2537">
        <v>157.91999799999999</v>
      </c>
      <c r="D2537">
        <v>155.820007</v>
      </c>
      <c r="E2537">
        <v>157.490005</v>
      </c>
      <c r="F2537">
        <v>157.490005</v>
      </c>
      <c r="G2537">
        <v>7794700</v>
      </c>
      <c r="I2537">
        <f t="shared" si="40"/>
        <v>6.2932823349345516E-5</v>
      </c>
    </row>
    <row r="2538" spans="1:9" x14ac:dyDescent="0.3">
      <c r="A2538" s="5">
        <v>45322</v>
      </c>
      <c r="B2538">
        <v>157.990005</v>
      </c>
      <c r="C2538">
        <v>158.5</v>
      </c>
      <c r="D2538">
        <v>156.699997</v>
      </c>
      <c r="E2538">
        <v>157.13999899999999</v>
      </c>
      <c r="F2538">
        <v>157.13999899999999</v>
      </c>
      <c r="G2538">
        <v>8870000</v>
      </c>
      <c r="I2538">
        <f t="shared" si="40"/>
        <v>5.076149410639724E-5</v>
      </c>
    </row>
    <row r="2539" spans="1:9" x14ac:dyDescent="0.3">
      <c r="A2539" s="5">
        <v>45323</v>
      </c>
      <c r="B2539">
        <v>156.770004</v>
      </c>
      <c r="C2539">
        <v>159.300003</v>
      </c>
      <c r="D2539">
        <v>156.61999499999999</v>
      </c>
      <c r="E2539">
        <v>159.179993</v>
      </c>
      <c r="F2539">
        <v>159.179993</v>
      </c>
      <c r="G2539">
        <v>7601100</v>
      </c>
      <c r="I2539">
        <f t="shared" si="40"/>
        <v>2.7586738211505525E-5</v>
      </c>
    </row>
    <row r="2540" spans="1:9" x14ac:dyDescent="0.3">
      <c r="A2540" s="5">
        <v>45324</v>
      </c>
      <c r="B2540">
        <v>158.970001</v>
      </c>
      <c r="C2540">
        <v>159.60000600000001</v>
      </c>
      <c r="D2540">
        <v>157.529999</v>
      </c>
      <c r="E2540">
        <v>158.08999600000001</v>
      </c>
      <c r="F2540">
        <v>158.08999600000001</v>
      </c>
      <c r="G2540">
        <v>7937700</v>
      </c>
      <c r="I2540">
        <f t="shared" si="40"/>
        <v>6.9889696856693533E-5</v>
      </c>
    </row>
    <row r="2541" spans="1:9" x14ac:dyDescent="0.3">
      <c r="A2541" s="5">
        <v>45327</v>
      </c>
      <c r="B2541">
        <v>158.16999799999999</v>
      </c>
      <c r="C2541">
        <v>159</v>
      </c>
      <c r="D2541">
        <v>157.55999800000001</v>
      </c>
      <c r="E2541">
        <v>158.21000699999999</v>
      </c>
      <c r="F2541">
        <v>158.21000699999999</v>
      </c>
      <c r="G2541">
        <v>6931900</v>
      </c>
      <c r="I2541">
        <f t="shared" si="40"/>
        <v>4.1977349571493912E-5</v>
      </c>
    </row>
    <row r="2542" spans="1:9" x14ac:dyDescent="0.3">
      <c r="A2542" s="5">
        <v>45328</v>
      </c>
      <c r="B2542">
        <v>158.30999800000001</v>
      </c>
      <c r="C2542">
        <v>159.070007</v>
      </c>
      <c r="D2542">
        <v>157.86999499999999</v>
      </c>
      <c r="E2542">
        <v>158.96000699999999</v>
      </c>
      <c r="F2542">
        <v>158.96000699999999</v>
      </c>
      <c r="G2542">
        <v>6185400</v>
      </c>
      <c r="I2542">
        <f t="shared" si="40"/>
        <v>2.246388117365953E-5</v>
      </c>
    </row>
    <row r="2543" spans="1:9" x14ac:dyDescent="0.3">
      <c r="A2543" s="5">
        <v>45329</v>
      </c>
      <c r="B2543">
        <v>159.10000600000001</v>
      </c>
      <c r="C2543">
        <v>159.83000200000001</v>
      </c>
      <c r="D2543">
        <v>158.740005</v>
      </c>
      <c r="E2543">
        <v>159.11999499999999</v>
      </c>
      <c r="F2543">
        <v>159.11999499999999</v>
      </c>
      <c r="G2543">
        <v>7209300</v>
      </c>
      <c r="I2543">
        <f t="shared" si="40"/>
        <v>2.5797215836524404E-5</v>
      </c>
    </row>
    <row r="2544" spans="1:9" x14ac:dyDescent="0.3">
      <c r="A2544" s="5">
        <v>45330</v>
      </c>
      <c r="B2544">
        <v>158.800003</v>
      </c>
      <c r="C2544">
        <v>159.10000600000001</v>
      </c>
      <c r="D2544">
        <v>157.770004</v>
      </c>
      <c r="E2544">
        <v>158.63999899999999</v>
      </c>
      <c r="F2544">
        <v>158.63999899999999</v>
      </c>
      <c r="G2544">
        <v>6121600</v>
      </c>
      <c r="I2544">
        <f t="shared" si="40"/>
        <v>4.1249576356232899E-5</v>
      </c>
    </row>
    <row r="2545" spans="1:9" x14ac:dyDescent="0.3">
      <c r="A2545" s="5">
        <v>45331</v>
      </c>
      <c r="B2545">
        <v>158.259995</v>
      </c>
      <c r="C2545">
        <v>158.33999600000001</v>
      </c>
      <c r="D2545">
        <v>156.96000699999999</v>
      </c>
      <c r="E2545">
        <v>157.41999799999999</v>
      </c>
      <c r="F2545">
        <v>157.41999799999999</v>
      </c>
      <c r="G2545">
        <v>5978000</v>
      </c>
      <c r="I2545">
        <f t="shared" si="40"/>
        <v>2.7081904096356784E-5</v>
      </c>
    </row>
    <row r="2546" spans="1:9" x14ac:dyDescent="0.3">
      <c r="A2546" s="5">
        <v>45334</v>
      </c>
      <c r="B2546">
        <v>157.36000100000001</v>
      </c>
      <c r="C2546">
        <v>157.61000100000001</v>
      </c>
      <c r="D2546">
        <v>155.490005</v>
      </c>
      <c r="E2546">
        <v>157.11000100000001</v>
      </c>
      <c r="F2546">
        <v>157.11000100000001</v>
      </c>
      <c r="G2546">
        <v>5482000</v>
      </c>
      <c r="I2546">
        <f t="shared" si="40"/>
        <v>1.2895178590687409E-4</v>
      </c>
    </row>
    <row r="2547" spans="1:9" x14ac:dyDescent="0.3">
      <c r="A2547" s="5">
        <v>45335</v>
      </c>
      <c r="B2547">
        <v>157.75</v>
      </c>
      <c r="C2547">
        <v>158.970001</v>
      </c>
      <c r="D2547">
        <v>155.479996</v>
      </c>
      <c r="E2547">
        <v>156.270004</v>
      </c>
      <c r="F2547">
        <v>156.270004</v>
      </c>
      <c r="G2547">
        <v>6046800</v>
      </c>
      <c r="I2547">
        <f t="shared" si="40"/>
        <v>2.0543227352892252E-4</v>
      </c>
    </row>
    <row r="2548" spans="1:9" x14ac:dyDescent="0.3">
      <c r="A2548" s="5">
        <v>45336</v>
      </c>
      <c r="B2548">
        <v>156.16000399999999</v>
      </c>
      <c r="C2548">
        <v>156.16000399999999</v>
      </c>
      <c r="D2548">
        <v>154.91000399999999</v>
      </c>
      <c r="E2548">
        <v>155.63000500000001</v>
      </c>
      <c r="F2548">
        <v>155.63000500000001</v>
      </c>
      <c r="G2548">
        <v>5727300</v>
      </c>
      <c r="I2548">
        <f t="shared" si="40"/>
        <v>3.7267522139414734E-5</v>
      </c>
    </row>
    <row r="2549" spans="1:9" x14ac:dyDescent="0.3">
      <c r="A2549" s="5">
        <v>45337</v>
      </c>
      <c r="B2549">
        <v>156.300003</v>
      </c>
      <c r="C2549">
        <v>157.41999799999999</v>
      </c>
      <c r="D2549">
        <v>156.14999399999999</v>
      </c>
      <c r="E2549">
        <v>157.009995</v>
      </c>
      <c r="F2549">
        <v>157.009995</v>
      </c>
      <c r="G2549">
        <v>6249200</v>
      </c>
      <c r="I2549">
        <f t="shared" si="40"/>
        <v>2.3894713913898381E-5</v>
      </c>
    </row>
    <row r="2550" spans="1:9" x14ac:dyDescent="0.3">
      <c r="A2550" s="5">
        <v>45338</v>
      </c>
      <c r="B2550">
        <v>157.03999300000001</v>
      </c>
      <c r="C2550">
        <v>158.449997</v>
      </c>
      <c r="D2550">
        <v>156.66999799999999</v>
      </c>
      <c r="E2550">
        <v>157.509995</v>
      </c>
      <c r="F2550">
        <v>157.509995</v>
      </c>
      <c r="G2550">
        <v>6617600</v>
      </c>
      <c r="I2550">
        <f t="shared" si="40"/>
        <v>6.5799066462451399E-5</v>
      </c>
    </row>
    <row r="2551" spans="1:9" x14ac:dyDescent="0.3">
      <c r="A2551" s="5">
        <v>45342</v>
      </c>
      <c r="B2551">
        <v>158.699997</v>
      </c>
      <c r="C2551">
        <v>159.78999300000001</v>
      </c>
      <c r="D2551">
        <v>158.13000500000001</v>
      </c>
      <c r="E2551">
        <v>158.509995</v>
      </c>
      <c r="F2551">
        <v>158.509995</v>
      </c>
      <c r="G2551">
        <v>6622100</v>
      </c>
      <c r="I2551">
        <f t="shared" si="40"/>
        <v>6.3687014312966789E-5</v>
      </c>
    </row>
    <row r="2552" spans="1:9" x14ac:dyDescent="0.3">
      <c r="A2552" s="5">
        <v>45343</v>
      </c>
      <c r="B2552">
        <v>159.19000199999999</v>
      </c>
      <c r="C2552">
        <v>160.39999399999999</v>
      </c>
      <c r="D2552">
        <v>159.19000199999999</v>
      </c>
      <c r="E2552">
        <v>160.39999399999999</v>
      </c>
      <c r="F2552">
        <v>160.39999399999999</v>
      </c>
      <c r="G2552">
        <v>7121000</v>
      </c>
      <c r="I2552">
        <f t="shared" si="40"/>
        <v>0</v>
      </c>
    </row>
    <row r="2553" spans="1:9" x14ac:dyDescent="0.3">
      <c r="A2553" s="5">
        <v>45344</v>
      </c>
      <c r="B2553">
        <v>159.46000699999999</v>
      </c>
      <c r="C2553">
        <v>161.08999600000001</v>
      </c>
      <c r="D2553">
        <v>158.63000500000001</v>
      </c>
      <c r="E2553">
        <v>160.55999800000001</v>
      </c>
      <c r="F2553">
        <v>160.55999800000001</v>
      </c>
      <c r="G2553">
        <v>6619500</v>
      </c>
      <c r="I2553">
        <f t="shared" si="40"/>
        <v>9.662587561582078E-5</v>
      </c>
    </row>
    <row r="2554" spans="1:9" x14ac:dyDescent="0.3">
      <c r="A2554" s="5">
        <v>45345</v>
      </c>
      <c r="B2554">
        <v>160.60000600000001</v>
      </c>
      <c r="C2554">
        <v>161.740005</v>
      </c>
      <c r="D2554">
        <v>160.16000399999999</v>
      </c>
      <c r="E2554">
        <v>161.029999</v>
      </c>
      <c r="F2554">
        <v>161.029999</v>
      </c>
      <c r="G2554">
        <v>5486500</v>
      </c>
      <c r="I2554">
        <f t="shared" si="40"/>
        <v>4.598116463279035E-5</v>
      </c>
    </row>
    <row r="2555" spans="1:9" x14ac:dyDescent="0.3">
      <c r="A2555" s="5">
        <v>45348</v>
      </c>
      <c r="B2555">
        <v>161.029999</v>
      </c>
      <c r="C2555">
        <v>161.16999799999999</v>
      </c>
      <c r="D2555">
        <v>160.070007</v>
      </c>
      <c r="E2555">
        <v>160.220001</v>
      </c>
      <c r="F2555">
        <v>160.220001</v>
      </c>
      <c r="G2555">
        <v>4531900</v>
      </c>
      <c r="I2555">
        <f t="shared" si="40"/>
        <v>1.0737885789066176E-5</v>
      </c>
    </row>
    <row r="2556" spans="1:9" x14ac:dyDescent="0.3">
      <c r="A2556" s="5">
        <v>45349</v>
      </c>
      <c r="B2556">
        <v>159.41000399999999</v>
      </c>
      <c r="C2556">
        <v>159.800003</v>
      </c>
      <c r="D2556">
        <v>158.96000699999999</v>
      </c>
      <c r="E2556">
        <v>159.300003</v>
      </c>
      <c r="F2556">
        <v>159.300003</v>
      </c>
      <c r="G2556">
        <v>3868200</v>
      </c>
      <c r="I2556">
        <f t="shared" si="40"/>
        <v>1.369746463070407E-5</v>
      </c>
    </row>
    <row r="2557" spans="1:9" x14ac:dyDescent="0.3">
      <c r="A2557" s="5">
        <v>45350</v>
      </c>
      <c r="B2557">
        <v>159.070007</v>
      </c>
      <c r="C2557">
        <v>160.11999499999999</v>
      </c>
      <c r="D2557">
        <v>158.63999899999999</v>
      </c>
      <c r="E2557">
        <v>160.050003</v>
      </c>
      <c r="F2557">
        <v>160.050003</v>
      </c>
      <c r="G2557">
        <v>3802900</v>
      </c>
      <c r="I2557">
        <f t="shared" si="40"/>
        <v>2.6829540029820632E-5</v>
      </c>
    </row>
    <row r="2558" spans="1:9" x14ac:dyDescent="0.3">
      <c r="A2558" s="5">
        <v>45351</v>
      </c>
      <c r="B2558">
        <v>159.929993</v>
      </c>
      <c r="C2558">
        <v>160.11000100000001</v>
      </c>
      <c r="D2558">
        <v>158.179993</v>
      </c>
      <c r="E2558">
        <v>158.94000199999999</v>
      </c>
      <c r="F2558">
        <v>158.94000199999999</v>
      </c>
      <c r="G2558">
        <v>8348100</v>
      </c>
      <c r="I2558">
        <f t="shared" si="40"/>
        <v>6.0988108819551548E-5</v>
      </c>
    </row>
    <row r="2559" spans="1:9" x14ac:dyDescent="0.3">
      <c r="A2559" s="5">
        <v>45352</v>
      </c>
      <c r="B2559">
        <v>158.050003</v>
      </c>
      <c r="C2559">
        <v>159.029999</v>
      </c>
      <c r="D2559">
        <v>157.61000100000001</v>
      </c>
      <c r="E2559">
        <v>158.85000600000001</v>
      </c>
      <c r="F2559">
        <v>158.85000600000001</v>
      </c>
      <c r="G2559">
        <v>4819800</v>
      </c>
      <c r="I2559">
        <f t="shared" si="40"/>
        <v>2.8847703392298227E-5</v>
      </c>
    </row>
    <row r="2560" spans="1:9" x14ac:dyDescent="0.3">
      <c r="A2560" s="5">
        <v>45355</v>
      </c>
      <c r="B2560">
        <v>157.740005</v>
      </c>
      <c r="C2560">
        <v>159.759995</v>
      </c>
      <c r="D2560">
        <v>157.66999799999999</v>
      </c>
      <c r="E2560">
        <v>159.55999800000001</v>
      </c>
      <c r="F2560">
        <v>159.55999800000001</v>
      </c>
      <c r="G2560">
        <v>3841600</v>
      </c>
      <c r="I2560">
        <f t="shared" si="40"/>
        <v>2.122883217560438E-5</v>
      </c>
    </row>
    <row r="2561" spans="1:9" x14ac:dyDescent="0.3">
      <c r="A2561" s="5">
        <v>45356</v>
      </c>
      <c r="B2561">
        <v>159.46000699999999</v>
      </c>
      <c r="C2561">
        <v>159.990005</v>
      </c>
      <c r="D2561">
        <v>158.779999</v>
      </c>
      <c r="E2561">
        <v>159.320007</v>
      </c>
      <c r="F2561">
        <v>159.320007</v>
      </c>
      <c r="G2561">
        <v>4481600</v>
      </c>
      <c r="I2561">
        <f t="shared" si="40"/>
        <v>2.8434586149816922E-5</v>
      </c>
    </row>
    <row r="2562" spans="1:9" x14ac:dyDescent="0.3">
      <c r="A2562" s="5">
        <v>45357</v>
      </c>
      <c r="B2562">
        <v>159.679993</v>
      </c>
      <c r="C2562">
        <v>159.990005</v>
      </c>
      <c r="D2562">
        <v>158.91000399999999</v>
      </c>
      <c r="E2562">
        <v>159.570007</v>
      </c>
      <c r="F2562">
        <v>159.570007</v>
      </c>
      <c r="G2562">
        <v>5405700</v>
      </c>
      <c r="I2562">
        <f t="shared" si="40"/>
        <v>2.5132832147568086E-5</v>
      </c>
    </row>
    <row r="2563" spans="1:9" x14ac:dyDescent="0.3">
      <c r="A2563" s="5">
        <v>45358</v>
      </c>
      <c r="B2563">
        <v>159.949997</v>
      </c>
      <c r="C2563">
        <v>160.91000399999999</v>
      </c>
      <c r="D2563">
        <v>159.470001</v>
      </c>
      <c r="E2563">
        <v>160.61999499999999</v>
      </c>
      <c r="F2563">
        <v>160.61999499999999</v>
      </c>
      <c r="G2563">
        <v>4783900</v>
      </c>
      <c r="I2563">
        <f t="shared" si="40"/>
        <v>3.2390086827680747E-5</v>
      </c>
    </row>
    <row r="2564" spans="1:9" x14ac:dyDescent="0.3">
      <c r="A2564" s="5">
        <v>45359</v>
      </c>
      <c r="B2564">
        <v>159.85000600000001</v>
      </c>
      <c r="C2564">
        <v>161.25</v>
      </c>
      <c r="D2564">
        <v>158.28999300000001</v>
      </c>
      <c r="E2564">
        <v>160.35000600000001</v>
      </c>
      <c r="F2564">
        <v>160.35000600000001</v>
      </c>
      <c r="G2564">
        <v>5080200</v>
      </c>
      <c r="I2564">
        <f t="shared" si="40"/>
        <v>1.7561473434956224E-4</v>
      </c>
    </row>
    <row r="2565" spans="1:9" x14ac:dyDescent="0.3">
      <c r="A2565" s="5">
        <v>45362</v>
      </c>
      <c r="B2565">
        <v>161.33999600000001</v>
      </c>
      <c r="C2565">
        <v>162.61999499999999</v>
      </c>
      <c r="D2565">
        <v>160.820007</v>
      </c>
      <c r="E2565">
        <v>161.550003</v>
      </c>
      <c r="F2565">
        <v>161.550003</v>
      </c>
      <c r="G2565">
        <v>5170900</v>
      </c>
      <c r="I2565">
        <f t="shared" si="40"/>
        <v>6.6786342392843685E-5</v>
      </c>
    </row>
    <row r="2566" spans="1:9" x14ac:dyDescent="0.3">
      <c r="A2566" s="5">
        <v>45363</v>
      </c>
      <c r="B2566">
        <v>161.820007</v>
      </c>
      <c r="C2566">
        <v>162.33999600000001</v>
      </c>
      <c r="D2566">
        <v>161.229996</v>
      </c>
      <c r="E2566">
        <v>162.33000200000001</v>
      </c>
      <c r="F2566">
        <v>162.33000200000001</v>
      </c>
      <c r="G2566">
        <v>936910</v>
      </c>
      <c r="I2566">
        <f t="shared" si="40"/>
        <v>2.5034145398532228E-5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E511"/>
  <sheetViews>
    <sheetView workbookViewId="0">
      <selection activeCell="P11" sqref="P11"/>
    </sheetView>
  </sheetViews>
  <sheetFormatPr defaultColWidth="8.77734375" defaultRowHeight="14.4" x14ac:dyDescent="0.3"/>
  <cols>
    <col min="1" max="1" width="10.44140625" bestFit="1" customWidth="1"/>
    <col min="2" max="5" width="16.33203125" customWidth="1"/>
  </cols>
  <sheetData>
    <row r="1" spans="1:5" x14ac:dyDescent="0.3">
      <c r="A1" t="s">
        <v>3</v>
      </c>
      <c r="B1" s="3" t="s">
        <v>15</v>
      </c>
      <c r="C1" s="3" t="s">
        <v>0</v>
      </c>
      <c r="D1" s="3" t="s">
        <v>1</v>
      </c>
      <c r="E1" s="3" t="s">
        <v>2</v>
      </c>
    </row>
    <row r="2" spans="1:5" x14ac:dyDescent="0.3">
      <c r="A2" s="4">
        <v>44614</v>
      </c>
      <c r="B2">
        <v>-5.3989095720304775E-2</v>
      </c>
      <c r="C2">
        <v>-7.8012703420137072E-3</v>
      </c>
      <c r="D2">
        <v>-1.7764043794752963E-3</v>
      </c>
      <c r="E2">
        <v>-1.2396720325635761E-2</v>
      </c>
    </row>
    <row r="3" spans="1:5" x14ac:dyDescent="0.3">
      <c r="A3" s="4">
        <v>44615</v>
      </c>
      <c r="B3">
        <v>1.6465110489509681E-2</v>
      </c>
      <c r="C3">
        <v>-8.9542744148606176E-4</v>
      </c>
      <c r="D3">
        <v>-2.1161095047225933E-2</v>
      </c>
      <c r="E3">
        <v>-1.2552195188081693E-2</v>
      </c>
    </row>
    <row r="4" spans="1:5" x14ac:dyDescent="0.3">
      <c r="A4" s="4">
        <v>44616</v>
      </c>
      <c r="B4">
        <v>-2.7184947255386498E-2</v>
      </c>
      <c r="C4">
        <v>4.5318052874649642E-2</v>
      </c>
      <c r="D4">
        <v>-2.8238116177181173E-2</v>
      </c>
      <c r="E4">
        <v>-2.7299261133654093E-2</v>
      </c>
    </row>
    <row r="5" spans="1:5" x14ac:dyDescent="0.3">
      <c r="A5" s="4">
        <v>44617</v>
      </c>
      <c r="B5">
        <v>6.0223134236039692E-2</v>
      </c>
      <c r="C5">
        <v>2.0968526647316341E-2</v>
      </c>
      <c r="D5">
        <v>2.3383999199750309E-2</v>
      </c>
      <c r="E5">
        <v>4.181247413219577E-2</v>
      </c>
    </row>
    <row r="6" spans="1:5" x14ac:dyDescent="0.3">
      <c r="A6" s="4">
        <v>44620</v>
      </c>
      <c r="B6">
        <v>-3.2772677870791286E-2</v>
      </c>
      <c r="C6">
        <v>-2.0933754289984366E-4</v>
      </c>
      <c r="D6">
        <v>-4.2592005106880222E-2</v>
      </c>
      <c r="E6">
        <v>-1.4961994222397853E-2</v>
      </c>
    </row>
    <row r="7" spans="1:5" x14ac:dyDescent="0.3">
      <c r="A7" s="4">
        <v>44621</v>
      </c>
      <c r="B7">
        <v>5.7261573184410275E-2</v>
      </c>
      <c r="C7">
        <v>-1.8621019762601453E-2</v>
      </c>
      <c r="D7">
        <v>-3.8459277188047696E-2</v>
      </c>
      <c r="E7">
        <v>-1.6688824182691599E-2</v>
      </c>
    </row>
    <row r="8" spans="1:5" x14ac:dyDescent="0.3">
      <c r="A8" s="4">
        <v>44622</v>
      </c>
      <c r="B8">
        <v>3.4252571518651985E-2</v>
      </c>
      <c r="C8">
        <v>4.2852954949195179E-2</v>
      </c>
      <c r="D8">
        <v>2.052816922069518E-2</v>
      </c>
      <c r="E8">
        <v>3.1258782600335445E-3</v>
      </c>
    </row>
    <row r="9" spans="1:5" x14ac:dyDescent="0.3">
      <c r="A9" s="4">
        <v>44623</v>
      </c>
      <c r="B9">
        <v>3.9889161907431985E-3</v>
      </c>
      <c r="C9">
        <v>-1.9421816487645547E-2</v>
      </c>
      <c r="D9">
        <v>-7.1334430128179365E-3</v>
      </c>
      <c r="E9">
        <v>3.6996490382729158E-3</v>
      </c>
    </row>
    <row r="10" spans="1:5" x14ac:dyDescent="0.3">
      <c r="A10" s="4">
        <v>44624</v>
      </c>
      <c r="B10">
        <v>8.9602003727244112E-2</v>
      </c>
      <c r="C10">
        <v>2.9166870279988483E-3</v>
      </c>
      <c r="D10">
        <v>-2.853260503487956E-2</v>
      </c>
      <c r="E10">
        <v>5.0402206792497881E-3</v>
      </c>
    </row>
    <row r="11" spans="1:5" x14ac:dyDescent="0.3">
      <c r="A11" s="4">
        <v>44627</v>
      </c>
      <c r="B11">
        <v>-5.8666552106923044E-2</v>
      </c>
      <c r="C11">
        <v>-8.1465007547253908E-3</v>
      </c>
      <c r="D11">
        <v>-3.9381254364565167E-2</v>
      </c>
      <c r="E11">
        <v>-1.4936118506394964E-2</v>
      </c>
    </row>
    <row r="12" spans="1:5" x14ac:dyDescent="0.3">
      <c r="A12" s="4">
        <v>44628</v>
      </c>
      <c r="B12">
        <v>-3.6124770131944782E-2</v>
      </c>
      <c r="C12">
        <v>-3.7820815664301732E-3</v>
      </c>
      <c r="D12">
        <v>-7.0679195405078561E-3</v>
      </c>
      <c r="E12">
        <v>-4.0388865064690915E-2</v>
      </c>
    </row>
    <row r="13" spans="1:5" x14ac:dyDescent="0.3">
      <c r="A13" s="4">
        <v>44629</v>
      </c>
      <c r="B13">
        <v>-3.5212791405943362E-2</v>
      </c>
      <c r="C13">
        <v>2.73318442328808E-3</v>
      </c>
      <c r="D13">
        <v>3.9280798742856782E-2</v>
      </c>
      <c r="E13">
        <v>1.3398865213922511E-2</v>
      </c>
    </row>
    <row r="14" spans="1:5" x14ac:dyDescent="0.3">
      <c r="A14" s="4">
        <v>44630</v>
      </c>
      <c r="B14">
        <v>4.2108891265648339E-2</v>
      </c>
      <c r="C14">
        <v>-2.0575741826379609E-2</v>
      </c>
      <c r="D14">
        <v>-1.1911127451061801E-2</v>
      </c>
      <c r="E14">
        <v>-2.6081705309309922E-2</v>
      </c>
    </row>
    <row r="15" spans="1:5" x14ac:dyDescent="0.3">
      <c r="A15" s="4">
        <v>44631</v>
      </c>
      <c r="B15">
        <v>-4.8163386435780726E-2</v>
      </c>
      <c r="C15">
        <v>-1.7948087624950999E-2</v>
      </c>
      <c r="D15">
        <v>-2.2781509546609555E-2</v>
      </c>
      <c r="E15">
        <v>-1.1938007061419186E-2</v>
      </c>
    </row>
    <row r="16" spans="1:5" x14ac:dyDescent="0.3">
      <c r="A16" s="4">
        <v>44634</v>
      </c>
      <c r="B16">
        <v>-7.2668741206494469E-2</v>
      </c>
      <c r="C16">
        <v>-3.1699659843711155E-2</v>
      </c>
      <c r="D16">
        <v>9.8818583561780735E-3</v>
      </c>
      <c r="E16">
        <v>1.2696416987523206E-2</v>
      </c>
    </row>
    <row r="17" spans="1:5" x14ac:dyDescent="0.3">
      <c r="A17" s="4">
        <v>44635</v>
      </c>
      <c r="B17">
        <v>2.8532181815908307E-3</v>
      </c>
      <c r="C17">
        <v>9.1919848718559037E-3</v>
      </c>
      <c r="D17">
        <v>1.7590325839786709E-2</v>
      </c>
      <c r="E17">
        <v>3.535542943510684E-2</v>
      </c>
    </row>
    <row r="18" spans="1:5" x14ac:dyDescent="0.3">
      <c r="A18" s="4">
        <v>44636</v>
      </c>
      <c r="B18">
        <v>2.5714495484202789E-2</v>
      </c>
      <c r="C18">
        <v>3.9812570270236255E-2</v>
      </c>
      <c r="D18">
        <v>4.3716316479639257E-2</v>
      </c>
      <c r="E18">
        <v>-3.3998505478491058E-3</v>
      </c>
    </row>
    <row r="19" spans="1:5" x14ac:dyDescent="0.3">
      <c r="A19" s="4">
        <v>44637</v>
      </c>
      <c r="B19">
        <v>6.5257426875304239E-2</v>
      </c>
      <c r="C19">
        <v>1.0877727814833128E-2</v>
      </c>
      <c r="D19">
        <v>1.2565479827695313E-2</v>
      </c>
      <c r="E19">
        <v>3.1336280457992028E-3</v>
      </c>
    </row>
    <row r="20" spans="1:5" x14ac:dyDescent="0.3">
      <c r="A20" s="4">
        <v>44638</v>
      </c>
      <c r="B20">
        <v>2.0960188793629032E-2</v>
      </c>
      <c r="C20">
        <v>6.5549249688416945E-3</v>
      </c>
      <c r="D20">
        <v>-3.5705870901395171E-4</v>
      </c>
      <c r="E20">
        <v>-5.3279782157810308E-4</v>
      </c>
    </row>
    <row r="21" spans="1:5" x14ac:dyDescent="0.3">
      <c r="A21" s="4">
        <v>44641</v>
      </c>
      <c r="B21">
        <v>9.5376327258972646E-2</v>
      </c>
      <c r="C21">
        <v>-1.2653607552866736E-3</v>
      </c>
      <c r="D21">
        <v>-3.2169959974199512E-3</v>
      </c>
      <c r="E21">
        <v>3.789027818077485E-3</v>
      </c>
    </row>
    <row r="22" spans="1:5" x14ac:dyDescent="0.3">
      <c r="A22" s="4">
        <v>44642</v>
      </c>
      <c r="B22">
        <v>-8.9715883048551732E-3</v>
      </c>
      <c r="C22">
        <v>2.0881730225745777E-2</v>
      </c>
      <c r="D22">
        <v>2.1044312525260234E-2</v>
      </c>
      <c r="E22">
        <v>7.6670507807778017E-3</v>
      </c>
    </row>
    <row r="23" spans="1:5" x14ac:dyDescent="0.3">
      <c r="A23" s="4">
        <v>44643</v>
      </c>
      <c r="B23">
        <v>4.7157131336492977E-2</v>
      </c>
      <c r="C23">
        <v>-2.4826338034505771E-3</v>
      </c>
      <c r="D23">
        <v>-2.0113798348313248E-2</v>
      </c>
      <c r="E23">
        <v>-7.0036155517394835E-3</v>
      </c>
    </row>
    <row r="24" spans="1:5" x14ac:dyDescent="0.3">
      <c r="A24" s="4">
        <v>44644</v>
      </c>
      <c r="B24">
        <v>8.875831020945784E-3</v>
      </c>
      <c r="C24">
        <v>6.7098993622261183E-2</v>
      </c>
      <c r="D24">
        <v>6.4891653826477311E-3</v>
      </c>
      <c r="E24">
        <v>1.7222479625699691E-3</v>
      </c>
    </row>
    <row r="25" spans="1:5" x14ac:dyDescent="0.3">
      <c r="A25" s="4">
        <v>44645</v>
      </c>
      <c r="B25">
        <v>-3.3154612107442499E-2</v>
      </c>
      <c r="C25">
        <v>4.0597584058117038E-3</v>
      </c>
      <c r="D25">
        <v>8.704528737071433E-3</v>
      </c>
      <c r="E25">
        <v>1.1516865619597237E-2</v>
      </c>
    </row>
    <row r="26" spans="1:5" x14ac:dyDescent="0.3">
      <c r="A26" s="4">
        <v>44648</v>
      </c>
      <c r="B26">
        <v>5.4223970122687778E-3</v>
      </c>
      <c r="C26">
        <v>-6.1931784218072381E-3</v>
      </c>
      <c r="D26">
        <v>-7.4261845987990899E-3</v>
      </c>
      <c r="E26">
        <v>6.8468903400369504E-3</v>
      </c>
    </row>
    <row r="27" spans="1:5" x14ac:dyDescent="0.3">
      <c r="A27" s="4">
        <v>44649</v>
      </c>
      <c r="B27">
        <v>-2.6188803781415752E-2</v>
      </c>
      <c r="C27">
        <v>1.4263987745135598E-2</v>
      </c>
      <c r="D27">
        <v>2.198296027453436E-3</v>
      </c>
      <c r="E27">
        <v>1.0215198713019224E-2</v>
      </c>
    </row>
    <row r="28" spans="1:5" x14ac:dyDescent="0.3">
      <c r="A28" s="4">
        <v>44650</v>
      </c>
      <c r="B28">
        <v>2.3264480986559772E-2</v>
      </c>
      <c r="C28">
        <v>-1.5818448438694996E-2</v>
      </c>
      <c r="D28">
        <v>-4.5434790906403602E-3</v>
      </c>
      <c r="E28">
        <v>-6.9065670975860484E-3</v>
      </c>
    </row>
    <row r="29" spans="1:5" x14ac:dyDescent="0.3">
      <c r="A29" s="4">
        <v>44651</v>
      </c>
      <c r="B29">
        <v>-2.37088849305916E-2</v>
      </c>
      <c r="C29">
        <v>-3.7037541950121815E-2</v>
      </c>
      <c r="D29">
        <v>-3.0486953376343377E-2</v>
      </c>
      <c r="E29">
        <v>-1.0351820206100312E-2</v>
      </c>
    </row>
    <row r="30" spans="1:5" x14ac:dyDescent="0.3">
      <c r="A30" s="4">
        <v>44652</v>
      </c>
      <c r="B30">
        <v>6.5321497177351882E-3</v>
      </c>
      <c r="C30">
        <v>-2.969387979578697E-2</v>
      </c>
      <c r="D30">
        <v>-7.436828137852956E-3</v>
      </c>
      <c r="E30">
        <v>1.487557173011533E-2</v>
      </c>
    </row>
    <row r="31" spans="1:5" x14ac:dyDescent="0.3">
      <c r="A31" s="4">
        <v>44655</v>
      </c>
      <c r="B31">
        <v>3.0849238385970744E-3</v>
      </c>
      <c r="C31">
        <v>2.240367637159249E-2</v>
      </c>
      <c r="D31">
        <v>4.424624254237567E-3</v>
      </c>
      <c r="E31">
        <v>-6.5337883333419387E-3</v>
      </c>
    </row>
    <row r="32" spans="1:5" x14ac:dyDescent="0.3">
      <c r="A32" s="4">
        <v>44656</v>
      </c>
      <c r="B32">
        <v>-3.572396685520899E-2</v>
      </c>
      <c r="C32">
        <v>-2.1987951855608246E-2</v>
      </c>
      <c r="D32">
        <v>-1.170572539344542E-2</v>
      </c>
      <c r="E32">
        <v>3.4985746100146689E-3</v>
      </c>
    </row>
    <row r="33" spans="1:5" x14ac:dyDescent="0.3">
      <c r="A33" s="4">
        <v>44657</v>
      </c>
      <c r="B33">
        <v>2.2798796080864605E-4</v>
      </c>
      <c r="C33">
        <v>-1.2334330056142831E-2</v>
      </c>
      <c r="D33">
        <v>-1.3971274969880583E-2</v>
      </c>
      <c r="E33">
        <v>1.4192051584847151E-2</v>
      </c>
    </row>
    <row r="34" spans="1:5" x14ac:dyDescent="0.3">
      <c r="A34" s="4">
        <v>44658</v>
      </c>
      <c r="B34">
        <v>-1.8754602658580342E-2</v>
      </c>
      <c r="C34">
        <v>4.2048530145927509E-4</v>
      </c>
      <c r="D34">
        <v>-3.0469079052562677E-3</v>
      </c>
      <c r="E34">
        <v>1.2860989713792799E-2</v>
      </c>
    </row>
    <row r="35" spans="1:5" x14ac:dyDescent="0.3">
      <c r="A35" s="4">
        <v>44659</v>
      </c>
      <c r="B35">
        <v>-2.2908422914196189E-2</v>
      </c>
      <c r="C35">
        <v>-1.1419005979783695E-2</v>
      </c>
      <c r="D35">
        <v>1.8142544107578106E-2</v>
      </c>
      <c r="E35">
        <v>7.7752295120585421E-3</v>
      </c>
    </row>
    <row r="36" spans="1:5" x14ac:dyDescent="0.3">
      <c r="A36" s="4">
        <v>44662</v>
      </c>
      <c r="B36">
        <v>-1.9439165240251258E-2</v>
      </c>
      <c r="C36">
        <v>-9.6163530718710935E-3</v>
      </c>
      <c r="D36">
        <v>-3.6776192532579472E-3</v>
      </c>
      <c r="E36">
        <v>-3.8173397999067458E-3</v>
      </c>
    </row>
    <row r="37" spans="1:5" x14ac:dyDescent="0.3">
      <c r="A37" s="4">
        <v>44663</v>
      </c>
      <c r="B37">
        <v>8.8064757606071582E-3</v>
      </c>
      <c r="C37">
        <v>-1.5042538393544185E-3</v>
      </c>
      <c r="D37">
        <v>-1.1038055949437676E-2</v>
      </c>
      <c r="E37">
        <v>-3.0142580781416031E-3</v>
      </c>
    </row>
    <row r="38" spans="1:5" x14ac:dyDescent="0.3">
      <c r="A38" s="4">
        <v>44664</v>
      </c>
      <c r="B38">
        <v>4.8755814259899381E-2</v>
      </c>
      <c r="C38">
        <v>1.0907971837034871E-2</v>
      </c>
      <c r="D38">
        <v>-3.2764401009572633E-2</v>
      </c>
      <c r="E38">
        <v>2.8260257133723115E-3</v>
      </c>
    </row>
    <row r="39" spans="1:5" x14ac:dyDescent="0.3">
      <c r="A39" s="4">
        <v>44665</v>
      </c>
      <c r="B39">
        <v>3.9956048204724337E-3</v>
      </c>
      <c r="C39">
        <v>-2.8918837603265881E-2</v>
      </c>
      <c r="D39">
        <v>-9.3126165205025049E-3</v>
      </c>
      <c r="E39">
        <v>-5.5967793943888294E-3</v>
      </c>
    </row>
    <row r="40" spans="1:5" x14ac:dyDescent="0.3">
      <c r="A40" s="4">
        <v>44669</v>
      </c>
      <c r="B40">
        <v>1.8960011314670244E-2</v>
      </c>
      <c r="C40">
        <v>2.1016887003493689E-2</v>
      </c>
      <c r="D40">
        <v>1.8383737465256414E-2</v>
      </c>
      <c r="E40">
        <v>-9.5684720071544105E-3</v>
      </c>
    </row>
    <row r="41" spans="1:5" x14ac:dyDescent="0.3">
      <c r="A41" s="4">
        <v>44670</v>
      </c>
      <c r="B41">
        <v>-3.2610782430862538E-2</v>
      </c>
      <c r="C41">
        <v>2.7283277297782901E-2</v>
      </c>
      <c r="D41">
        <v>2.0495277699203188E-2</v>
      </c>
      <c r="E41">
        <v>1.4851825926735594E-2</v>
      </c>
    </row>
    <row r="42" spans="1:5" x14ac:dyDescent="0.3">
      <c r="A42" s="4">
        <v>44671</v>
      </c>
      <c r="B42">
        <v>4.0341746612218383E-3</v>
      </c>
      <c r="C42">
        <v>3.7484345946628369E-3</v>
      </c>
      <c r="D42">
        <v>3.5021558100850328E-3</v>
      </c>
      <c r="E42">
        <v>2.6250197632844533E-2</v>
      </c>
    </row>
    <row r="43" spans="1:5" x14ac:dyDescent="0.3">
      <c r="A43" s="4">
        <v>44672</v>
      </c>
      <c r="B43">
        <v>-0.185663072326548</v>
      </c>
      <c r="C43">
        <v>-1.276032988781951E-2</v>
      </c>
      <c r="D43">
        <v>-7.7821304227088479E-3</v>
      </c>
      <c r="E43">
        <v>-7.8055799969230775E-4</v>
      </c>
    </row>
    <row r="44" spans="1:5" x14ac:dyDescent="0.3">
      <c r="A44" s="4">
        <v>44673</v>
      </c>
      <c r="B44">
        <v>-6.9240048564641402E-2</v>
      </c>
      <c r="C44">
        <v>-2.0417585071068202E-2</v>
      </c>
      <c r="D44">
        <v>-2.9143047594410443E-2</v>
      </c>
      <c r="E44">
        <v>-8.3988287837824874E-3</v>
      </c>
    </row>
    <row r="45" spans="1:5" x14ac:dyDescent="0.3">
      <c r="A45" s="4">
        <v>44676</v>
      </c>
      <c r="B45">
        <v>0</v>
      </c>
      <c r="C45">
        <v>1.1111102222302015E-2</v>
      </c>
      <c r="D45">
        <v>-3.155129017753703E-4</v>
      </c>
      <c r="E45">
        <v>8.0298127214136154E-3</v>
      </c>
    </row>
    <row r="46" spans="1:5" x14ac:dyDescent="0.3">
      <c r="A46" s="4">
        <v>44677</v>
      </c>
      <c r="B46">
        <v>-5.955093026412504E-3</v>
      </c>
      <c r="C46">
        <v>-3.3271345706871E-2</v>
      </c>
      <c r="D46">
        <v>-3.0027455651157619E-2</v>
      </c>
      <c r="E46">
        <v>-1.7125153124635761E-2</v>
      </c>
    </row>
    <row r="47" spans="1:5" x14ac:dyDescent="0.3">
      <c r="A47" s="4">
        <v>44678</v>
      </c>
      <c r="B47">
        <v>4.4107572700178829E-2</v>
      </c>
      <c r="C47">
        <v>-6.6124643467007542E-3</v>
      </c>
      <c r="D47">
        <v>-1.3091222573937198E-2</v>
      </c>
      <c r="E47">
        <v>-2.6946802302417329E-3</v>
      </c>
    </row>
    <row r="48" spans="1:5" x14ac:dyDescent="0.3">
      <c r="A48" s="4">
        <v>44679</v>
      </c>
      <c r="B48">
        <v>7.5436460473524937E-3</v>
      </c>
      <c r="C48">
        <v>3.5197999882694633E-2</v>
      </c>
      <c r="D48">
        <v>1.5688957995655475E-2</v>
      </c>
      <c r="E48">
        <v>2.5096671681964042E-2</v>
      </c>
    </row>
    <row r="49" spans="1:5" x14ac:dyDescent="0.3">
      <c r="A49" s="4">
        <v>44680</v>
      </c>
      <c r="B49">
        <v>-3.9333880264627551E-2</v>
      </c>
      <c r="C49">
        <v>-7.190955515427043E-2</v>
      </c>
      <c r="D49">
        <v>-3.2800557197983082E-2</v>
      </c>
      <c r="E49">
        <v>-1.7657057066932519E-2</v>
      </c>
    </row>
    <row r="50" spans="1:5" x14ac:dyDescent="0.3">
      <c r="A50" s="4">
        <v>44683</v>
      </c>
      <c r="B50">
        <v>-2.4486266089579319E-2</v>
      </c>
      <c r="C50">
        <v>3.0945358388662778E-2</v>
      </c>
      <c r="D50">
        <v>9.0906606386054033E-3</v>
      </c>
      <c r="E50">
        <v>-1.3608306121067011E-2</v>
      </c>
    </row>
    <row r="51" spans="1:5" x14ac:dyDescent="0.3">
      <c r="A51" s="4">
        <v>44684</v>
      </c>
      <c r="B51">
        <v>-2.2933030387359402E-2</v>
      </c>
      <c r="C51">
        <v>2.2215418612282225E-3</v>
      </c>
      <c r="D51">
        <v>2.1193517608108968E-2</v>
      </c>
      <c r="E51">
        <v>-1.3795849058716491E-2</v>
      </c>
    </row>
    <row r="52" spans="1:5" x14ac:dyDescent="0.3">
      <c r="A52" s="4">
        <v>44685</v>
      </c>
      <c r="B52">
        <v>4.9776442798878016E-2</v>
      </c>
      <c r="C52">
        <v>3.231736285295457E-2</v>
      </c>
      <c r="D52">
        <v>3.2545921640460308E-2</v>
      </c>
      <c r="E52">
        <v>7.3350616187705716E-3</v>
      </c>
    </row>
    <row r="53" spans="1:5" x14ac:dyDescent="0.3">
      <c r="A53" s="4">
        <v>44686</v>
      </c>
      <c r="B53">
        <v>-6.850954299584433E-2</v>
      </c>
      <c r="C53">
        <v>-3.4704741803179652E-2</v>
      </c>
      <c r="D53">
        <v>-2.5338044683434764E-2</v>
      </c>
      <c r="E53">
        <v>-1.8601088079075186E-2</v>
      </c>
    </row>
    <row r="54" spans="1:5" x14ac:dyDescent="0.3">
      <c r="A54" s="4">
        <v>44687</v>
      </c>
      <c r="B54">
        <v>-3.8880459325368648E-2</v>
      </c>
      <c r="C54">
        <v>-6.7491064605555593E-3</v>
      </c>
      <c r="D54">
        <v>-1.6152346434105177E-3</v>
      </c>
      <c r="E54">
        <v>9.9206972355369641E-3</v>
      </c>
    </row>
    <row r="55" spans="1:5" x14ac:dyDescent="0.3">
      <c r="A55" s="4">
        <v>44690</v>
      </c>
      <c r="B55">
        <v>-0.11866399604273138</v>
      </c>
      <c r="C55">
        <v>-2.8158096491943833E-2</v>
      </c>
      <c r="D55">
        <v>-1.5147982576148335E-2</v>
      </c>
      <c r="E55">
        <v>-2.5031077011168222E-3</v>
      </c>
    </row>
    <row r="56" spans="1:5" x14ac:dyDescent="0.3">
      <c r="A56" s="4">
        <v>44691</v>
      </c>
      <c r="B56">
        <v>2.9625219047070175E-2</v>
      </c>
      <c r="C56">
        <v>2.159019916235241E-2</v>
      </c>
      <c r="D56">
        <v>-2.4674152029202805E-2</v>
      </c>
      <c r="E56">
        <v>-5.2834489410326898E-3</v>
      </c>
    </row>
    <row r="57" spans="1:5" x14ac:dyDescent="0.3">
      <c r="A57" s="4">
        <v>44692</v>
      </c>
      <c r="B57">
        <v>1.4577925877185696E-2</v>
      </c>
      <c r="C57">
        <v>-2.717789716547819E-2</v>
      </c>
      <c r="D57">
        <v>-6.3285250631214115E-3</v>
      </c>
      <c r="E57">
        <v>-1.4183872405288574E-2</v>
      </c>
    </row>
    <row r="58" spans="1:5" x14ac:dyDescent="0.3">
      <c r="A58" s="4">
        <v>44693</v>
      </c>
      <c r="B58">
        <v>-3.7400952846020227E-2</v>
      </c>
      <c r="C58">
        <v>2.3327145163707527E-4</v>
      </c>
      <c r="D58">
        <v>-8.4676002816804039E-4</v>
      </c>
      <c r="E58">
        <v>-4.070760177221096E-3</v>
      </c>
    </row>
    <row r="59" spans="1:5" x14ac:dyDescent="0.3">
      <c r="A59" s="4">
        <v>44694</v>
      </c>
      <c r="B59">
        <v>6.6449114594985842E-2</v>
      </c>
      <c r="C59">
        <v>1.7584774944033252E-2</v>
      </c>
      <c r="D59">
        <v>8.8559960405078068E-3</v>
      </c>
      <c r="E59">
        <v>1.0667090344014378E-2</v>
      </c>
    </row>
    <row r="60" spans="1:5" x14ac:dyDescent="0.3">
      <c r="A60" s="4">
        <v>44697</v>
      </c>
      <c r="B60">
        <v>3.4599559238422721E-2</v>
      </c>
      <c r="C60">
        <v>-1.1997888814278849E-2</v>
      </c>
      <c r="D60">
        <v>-6.9938198025688222E-3</v>
      </c>
      <c r="E60">
        <v>9.717003118945796E-3</v>
      </c>
    </row>
    <row r="61" spans="1:5" x14ac:dyDescent="0.3">
      <c r="A61" s="4">
        <v>44698</v>
      </c>
      <c r="B61">
        <v>5.0463504920882064E-2</v>
      </c>
      <c r="C61">
        <v>3.0180325134337101E-2</v>
      </c>
      <c r="D61">
        <v>3.2609778084416605E-2</v>
      </c>
      <c r="E61">
        <v>-2.8404929143159801E-3</v>
      </c>
    </row>
    <row r="62" spans="1:5" x14ac:dyDescent="0.3">
      <c r="A62" s="4">
        <v>44699</v>
      </c>
      <c r="B62">
        <v>-4.6655204406900387E-2</v>
      </c>
      <c r="C62">
        <v>-4.7270923452031079E-2</v>
      </c>
      <c r="D62">
        <v>-1.7254076926994613E-2</v>
      </c>
      <c r="E62">
        <v>-6.434887217073057E-2</v>
      </c>
    </row>
    <row r="63" spans="1:5" x14ac:dyDescent="0.3">
      <c r="A63" s="4">
        <v>44700</v>
      </c>
      <c r="B63">
        <v>2.5131790660284911E-2</v>
      </c>
      <c r="C63">
        <v>-8.0609116713740783E-3</v>
      </c>
      <c r="D63">
        <v>-1.493306376544822E-2</v>
      </c>
      <c r="E63">
        <v>-2.329723116627197E-2</v>
      </c>
    </row>
    <row r="64" spans="1:5" x14ac:dyDescent="0.3">
      <c r="A64" s="4">
        <v>44701</v>
      </c>
      <c r="B64">
        <v>-2.4140774537545984E-2</v>
      </c>
      <c r="C64">
        <v>-8.6061199651147838E-3</v>
      </c>
      <c r="D64">
        <v>-8.2326548310682583E-3</v>
      </c>
      <c r="E64">
        <v>6.3466487549949414E-4</v>
      </c>
    </row>
    <row r="65" spans="1:5" x14ac:dyDescent="0.3">
      <c r="A65" s="4">
        <v>44704</v>
      </c>
      <c r="B65">
        <v>4.1554808599554391E-2</v>
      </c>
      <c r="C65">
        <v>8.3682391592856328E-3</v>
      </c>
      <c r="D65">
        <v>6.0032927425335766E-2</v>
      </c>
      <c r="E65">
        <v>2.2731576355128031E-2</v>
      </c>
    </row>
    <row r="66" spans="1:5" x14ac:dyDescent="0.3">
      <c r="A66" s="4">
        <v>44705</v>
      </c>
      <c r="B66">
        <v>-2.9085494484601303E-2</v>
      </c>
      <c r="C66">
        <v>-7.8882854152919363E-3</v>
      </c>
      <c r="D66">
        <v>1.4026468694739901E-2</v>
      </c>
      <c r="E66">
        <v>1.7630627762048399E-2</v>
      </c>
    </row>
    <row r="67" spans="1:5" x14ac:dyDescent="0.3">
      <c r="A67" s="4">
        <v>44706</v>
      </c>
      <c r="B67">
        <v>-6.3790988439575867E-3</v>
      </c>
      <c r="C67">
        <v>1.2638917814564518E-2</v>
      </c>
      <c r="D67">
        <v>6.9400151428179128E-3</v>
      </c>
      <c r="E67">
        <v>-1.6528122329908194E-2</v>
      </c>
    </row>
    <row r="68" spans="1:5" x14ac:dyDescent="0.3">
      <c r="A68" s="4">
        <v>44707</v>
      </c>
      <c r="B68">
        <v>3.0860913055574427E-2</v>
      </c>
      <c r="C68">
        <v>2.9880782802278481E-2</v>
      </c>
      <c r="D68">
        <v>1.7142405127875043E-2</v>
      </c>
      <c r="E68">
        <v>8.7077248058152357E-3</v>
      </c>
    </row>
    <row r="69" spans="1:5" x14ac:dyDescent="0.3">
      <c r="A69" s="4">
        <v>44708</v>
      </c>
      <c r="B69">
        <v>2.5914367378852079E-2</v>
      </c>
      <c r="C69">
        <v>2.4310947757485209E-2</v>
      </c>
      <c r="D69">
        <v>1.4038743107426439E-2</v>
      </c>
      <c r="E69">
        <v>1.5176715182550544E-2</v>
      </c>
    </row>
    <row r="70" spans="1:5" x14ac:dyDescent="0.3">
      <c r="A70" s="4">
        <v>44712</v>
      </c>
      <c r="B70">
        <v>-4.4057188441942854E-2</v>
      </c>
      <c r="C70">
        <v>-2.922176855777895E-3</v>
      </c>
      <c r="D70">
        <v>7.2867059136175246E-3</v>
      </c>
      <c r="E70">
        <v>-5.664266224230846E-3</v>
      </c>
    </row>
    <row r="71" spans="1:5" x14ac:dyDescent="0.3">
      <c r="A71" s="4">
        <v>44713</v>
      </c>
      <c r="B71">
        <v>1.1117589622785654E-2</v>
      </c>
      <c r="C71">
        <v>-7.0032888519180152E-3</v>
      </c>
      <c r="D71">
        <v>-1.7700952973278956E-2</v>
      </c>
      <c r="E71">
        <v>-1.5263298076320958E-2</v>
      </c>
    </row>
    <row r="72" spans="1:5" x14ac:dyDescent="0.3">
      <c r="A72" s="4">
        <v>44714</v>
      </c>
      <c r="B72">
        <v>2.249782334518367E-2</v>
      </c>
      <c r="C72">
        <v>1.641401014081555E-2</v>
      </c>
      <c r="D72">
        <v>1.5959856193580733E-2</v>
      </c>
      <c r="E72">
        <v>1.0722284011077053E-2</v>
      </c>
    </row>
    <row r="73" spans="1:5" x14ac:dyDescent="0.3">
      <c r="A73" s="4">
        <v>44715</v>
      </c>
      <c r="B73">
        <v>-3.1834598131033551E-2</v>
      </c>
      <c r="C73">
        <v>-3.2871628203817706E-2</v>
      </c>
      <c r="D73">
        <v>-1.4037211431492228E-2</v>
      </c>
      <c r="E73">
        <v>-9.0072760042830772E-3</v>
      </c>
    </row>
    <row r="74" spans="1:5" x14ac:dyDescent="0.3">
      <c r="A74" s="4">
        <v>44718</v>
      </c>
      <c r="B74">
        <v>3.4806693650510347E-2</v>
      </c>
      <c r="C74">
        <v>-1.1530716435113975E-3</v>
      </c>
      <c r="D74">
        <v>-3.3092740068954157E-3</v>
      </c>
      <c r="E74">
        <v>-3.9147146554468311E-3</v>
      </c>
    </row>
    <row r="75" spans="1:5" x14ac:dyDescent="0.3">
      <c r="A75" s="4">
        <v>44719</v>
      </c>
      <c r="B75">
        <v>2.3007294718675315E-2</v>
      </c>
      <c r="C75">
        <v>4.3743271539249734E-3</v>
      </c>
      <c r="D75">
        <v>2.6174503577686054E-3</v>
      </c>
      <c r="E75">
        <v>1.1086143037213402E-2</v>
      </c>
    </row>
    <row r="76" spans="1:5" x14ac:dyDescent="0.3">
      <c r="A76" s="4">
        <v>44720</v>
      </c>
      <c r="B76">
        <v>-5.0562467762290238E-2</v>
      </c>
      <c r="C76">
        <v>-5.4283931935169526E-2</v>
      </c>
      <c r="D76">
        <v>-1.6042526208329119E-2</v>
      </c>
      <c r="E76">
        <v>-1.2532361652265924E-2</v>
      </c>
    </row>
    <row r="77" spans="1:5" x14ac:dyDescent="0.3">
      <c r="A77" s="4">
        <v>44721</v>
      </c>
      <c r="B77">
        <v>-0.11417685904458276</v>
      </c>
      <c r="C77">
        <v>-3.0036780983104232E-2</v>
      </c>
      <c r="D77">
        <v>-2.1239553430126328E-2</v>
      </c>
      <c r="E77">
        <v>-1.8220078367787367E-2</v>
      </c>
    </row>
    <row r="78" spans="1:5" x14ac:dyDescent="0.3">
      <c r="A78" s="4">
        <v>44722</v>
      </c>
      <c r="B78">
        <v>-4.6982895463256423E-2</v>
      </c>
      <c r="C78">
        <v>-2.0963075435527254E-2</v>
      </c>
      <c r="D78">
        <v>-4.7055968098325483E-2</v>
      </c>
      <c r="E78">
        <v>-3.7970403147932269E-3</v>
      </c>
    </row>
    <row r="79" spans="1:5" x14ac:dyDescent="0.3">
      <c r="A79" s="4">
        <v>44725</v>
      </c>
      <c r="B79">
        <v>-6.1662589209931687E-2</v>
      </c>
      <c r="C79">
        <v>-3.6651302417647941E-2</v>
      </c>
      <c r="D79">
        <v>-3.023077878303633E-2</v>
      </c>
      <c r="E79">
        <v>-2.7135020917527321E-2</v>
      </c>
    </row>
    <row r="80" spans="1:5" x14ac:dyDescent="0.3">
      <c r="A80" s="4">
        <v>44726</v>
      </c>
      <c r="B80">
        <v>-1.8631727929229423E-2</v>
      </c>
      <c r="C80">
        <v>4.2272456727627788E-3</v>
      </c>
      <c r="D80">
        <v>-1.6779401002787232E-2</v>
      </c>
      <c r="E80">
        <v>-3.1694777251299107E-2</v>
      </c>
    </row>
    <row r="81" spans="1:5" x14ac:dyDescent="0.3">
      <c r="A81" s="4">
        <v>44727</v>
      </c>
      <c r="B81">
        <v>4.3793871434216015E-2</v>
      </c>
      <c r="C81">
        <v>1.880453673080849E-2</v>
      </c>
      <c r="D81">
        <v>1.1766441092080908E-2</v>
      </c>
      <c r="E81">
        <v>-9.986912554727603E-3</v>
      </c>
    </row>
    <row r="82" spans="1:5" x14ac:dyDescent="0.3">
      <c r="A82" s="4">
        <v>44728</v>
      </c>
      <c r="B82">
        <v>-2.8377644076054382E-2</v>
      </c>
      <c r="C82">
        <v>-3.4481783547373641E-2</v>
      </c>
      <c r="D82">
        <v>-1.7305071622243182E-2</v>
      </c>
      <c r="E82">
        <v>6.0943014146154079E-3</v>
      </c>
    </row>
    <row r="83" spans="1:5" x14ac:dyDescent="0.3">
      <c r="A83" s="4">
        <v>44729</v>
      </c>
      <c r="B83">
        <v>-8.084073224718406E-3</v>
      </c>
      <c r="C83">
        <v>-9.9584995797549914E-3</v>
      </c>
      <c r="D83">
        <v>-3.5326995535126726E-3</v>
      </c>
      <c r="E83">
        <v>-7.2269102211282091E-3</v>
      </c>
    </row>
    <row r="84" spans="1:5" x14ac:dyDescent="0.3">
      <c r="A84" s="4">
        <v>44733</v>
      </c>
      <c r="B84">
        <v>1.6103317937744988E-2</v>
      </c>
      <c r="C84">
        <v>2.0348891265952462E-2</v>
      </c>
      <c r="D84">
        <v>2.4470397658318453E-2</v>
      </c>
      <c r="E84">
        <v>2.9846271847160284E-2</v>
      </c>
    </row>
    <row r="85" spans="1:5" x14ac:dyDescent="0.3">
      <c r="A85" s="4">
        <v>44734</v>
      </c>
      <c r="B85">
        <v>-2.384429062764204E-2</v>
      </c>
      <c r="C85">
        <v>-9.3200020842782137E-3</v>
      </c>
      <c r="D85">
        <v>-5.6274516871878807E-3</v>
      </c>
      <c r="E85">
        <v>1.549852856288606E-2</v>
      </c>
    </row>
    <row r="86" spans="1:5" x14ac:dyDescent="0.3">
      <c r="A86" s="4">
        <v>44735</v>
      </c>
      <c r="B86">
        <v>-4.7747861596679333E-2</v>
      </c>
      <c r="C86">
        <v>8.0246227591854885E-4</v>
      </c>
      <c r="D86">
        <v>-1.0999681761494481E-2</v>
      </c>
      <c r="E86">
        <v>2.7067362294327876E-2</v>
      </c>
    </row>
    <row r="87" spans="1:5" x14ac:dyDescent="0.3">
      <c r="A87" s="4">
        <v>44736</v>
      </c>
      <c r="B87">
        <v>5.7110720809774376E-2</v>
      </c>
      <c r="C87">
        <v>3.1573188372716207E-2</v>
      </c>
      <c r="D87">
        <v>2.940881876211205E-2</v>
      </c>
      <c r="E87">
        <v>1.4303141936273099E-2</v>
      </c>
    </row>
    <row r="88" spans="1:5" x14ac:dyDescent="0.3">
      <c r="A88" s="4">
        <v>44739</v>
      </c>
      <c r="B88">
        <v>4.0437577794284829E-3</v>
      </c>
      <c r="C88">
        <v>5.1800574392572548E-4</v>
      </c>
      <c r="D88">
        <v>-8.0446479406426439E-3</v>
      </c>
      <c r="E88">
        <v>-7.649448035945766E-3</v>
      </c>
    </row>
    <row r="89" spans="1:5" x14ac:dyDescent="0.3">
      <c r="A89" s="4">
        <v>44740</v>
      </c>
      <c r="B89">
        <v>-6.2745563714096441E-3</v>
      </c>
      <c r="C89">
        <v>-2.2249526409682866E-2</v>
      </c>
      <c r="D89">
        <v>-4.8233601246860337E-3</v>
      </c>
      <c r="E89">
        <v>-1.6399080706090238E-2</v>
      </c>
    </row>
    <row r="90" spans="1:5" x14ac:dyDescent="0.3">
      <c r="A90" s="4">
        <v>44741</v>
      </c>
      <c r="B90">
        <v>-3.365672273399388E-2</v>
      </c>
      <c r="C90">
        <v>-1.305426067288184E-2</v>
      </c>
      <c r="D90">
        <v>-4.4999058082160048E-3</v>
      </c>
      <c r="E90">
        <v>9.0423150326757219E-3</v>
      </c>
    </row>
    <row r="91" spans="1:5" x14ac:dyDescent="0.3">
      <c r="A91" s="4">
        <v>44742</v>
      </c>
      <c r="B91">
        <v>-4.3783595435910649E-2</v>
      </c>
      <c r="C91">
        <v>3.2125929659225757E-3</v>
      </c>
      <c r="D91">
        <v>-2.3606951639370925E-2</v>
      </c>
      <c r="E91">
        <v>1.1119266705032771E-2</v>
      </c>
    </row>
    <row r="92" spans="1:5" x14ac:dyDescent="0.3">
      <c r="A92" s="4">
        <v>44743</v>
      </c>
      <c r="B92">
        <v>-1.7707538252969977E-2</v>
      </c>
      <c r="C92">
        <v>-2.9019101245464946E-2</v>
      </c>
      <c r="D92">
        <v>1.2706635186521983E-2</v>
      </c>
      <c r="E92">
        <v>1.600594348172215E-2</v>
      </c>
    </row>
    <row r="93" spans="1:5" x14ac:dyDescent="0.3">
      <c r="A93" s="4">
        <v>44747</v>
      </c>
      <c r="B93">
        <v>-6.195155065601831E-2</v>
      </c>
      <c r="C93">
        <v>9.585165863902529E-3</v>
      </c>
      <c r="D93">
        <v>-3.8110231935199568E-3</v>
      </c>
      <c r="E93">
        <v>-9.6974129385777024E-3</v>
      </c>
    </row>
    <row r="94" spans="1:5" x14ac:dyDescent="0.3">
      <c r="A94" s="4">
        <v>44748</v>
      </c>
      <c r="B94">
        <v>1.2748181924408547E-2</v>
      </c>
      <c r="C94">
        <v>8.1435623409301244E-3</v>
      </c>
      <c r="D94">
        <v>-6.5031867959046263E-3</v>
      </c>
      <c r="E94">
        <v>9.2867158783748877E-3</v>
      </c>
    </row>
    <row r="95" spans="1:5" x14ac:dyDescent="0.3">
      <c r="A95" s="4">
        <v>44749</v>
      </c>
      <c r="B95">
        <v>6.8445464803435774E-2</v>
      </c>
      <c r="C95">
        <v>3.0616116021265478E-2</v>
      </c>
      <c r="D95">
        <v>2.4978291885451497E-2</v>
      </c>
      <c r="E95">
        <v>-3.4251972222758422E-4</v>
      </c>
    </row>
    <row r="96" spans="1:5" x14ac:dyDescent="0.3">
      <c r="A96" s="4">
        <v>44750</v>
      </c>
      <c r="B96">
        <v>-1.8126070232720871E-2</v>
      </c>
      <c r="C96">
        <v>-3.9405883032969146E-3</v>
      </c>
      <c r="D96">
        <v>-3.1430436302432598E-3</v>
      </c>
      <c r="E96">
        <v>-6.7348579680393617E-3</v>
      </c>
    </row>
    <row r="97" spans="1:5" x14ac:dyDescent="0.3">
      <c r="A97" s="4">
        <v>44753</v>
      </c>
      <c r="B97">
        <v>-4.7976448183021686E-2</v>
      </c>
      <c r="C97">
        <v>-2.1014265993378942E-2</v>
      </c>
      <c r="D97">
        <v>-1.3203369024695936E-2</v>
      </c>
      <c r="E97">
        <v>7.0088401590487426E-3</v>
      </c>
    </row>
    <row r="98" spans="1:5" x14ac:dyDescent="0.3">
      <c r="A98" s="4">
        <v>44754</v>
      </c>
      <c r="B98">
        <v>-1.129688160701707E-2</v>
      </c>
      <c r="C98">
        <v>2.68570971069351E-4</v>
      </c>
      <c r="D98">
        <v>9.7436972964034889E-4</v>
      </c>
      <c r="E98">
        <v>-8.8726541093424229E-3</v>
      </c>
    </row>
    <row r="99" spans="1:5" x14ac:dyDescent="0.3">
      <c r="A99" s="4">
        <v>44755</v>
      </c>
      <c r="B99">
        <v>2.200471344398941E-2</v>
      </c>
      <c r="C99">
        <v>0</v>
      </c>
      <c r="D99">
        <v>-9.4273395233984893E-3</v>
      </c>
      <c r="E99">
        <v>6.5418758605134929E-3</v>
      </c>
    </row>
    <row r="100" spans="1:5" x14ac:dyDescent="0.3">
      <c r="A100" s="4">
        <v>44756</v>
      </c>
      <c r="B100">
        <v>-5.668187308158873E-2</v>
      </c>
      <c r="C100">
        <v>1.3347714773759161E-2</v>
      </c>
      <c r="D100">
        <v>-3.5563830866007812E-2</v>
      </c>
      <c r="E100">
        <v>-2.9557281259355861E-3</v>
      </c>
    </row>
    <row r="101" spans="1:5" x14ac:dyDescent="0.3">
      <c r="A101" s="4">
        <v>44757</v>
      </c>
      <c r="B101">
        <v>5.3667259160507658E-2</v>
      </c>
      <c r="C101">
        <v>2.3845050357136605E-2</v>
      </c>
      <c r="D101">
        <v>4.4814032372885219E-2</v>
      </c>
      <c r="E101">
        <v>-1.3776440506640219E-3</v>
      </c>
    </row>
    <row r="102" spans="1:5" x14ac:dyDescent="0.3">
      <c r="A102" s="4">
        <v>44760</v>
      </c>
      <c r="B102">
        <v>8.3258379077370496E-3</v>
      </c>
      <c r="C102">
        <v>2.3277703111636238E-3</v>
      </c>
      <c r="D102">
        <v>-1.0323016364255587E-2</v>
      </c>
      <c r="E102">
        <v>-1.220648246684148E-2</v>
      </c>
    </row>
    <row r="103" spans="1:5" x14ac:dyDescent="0.3">
      <c r="A103" s="4">
        <v>44761</v>
      </c>
      <c r="B103">
        <v>3.351760318422238E-2</v>
      </c>
      <c r="C103">
        <v>3.8266330133345246E-2</v>
      </c>
      <c r="D103">
        <v>2.4476407083393197E-2</v>
      </c>
      <c r="E103">
        <v>5.0809782694262642E-3</v>
      </c>
    </row>
    <row r="104" spans="1:5" x14ac:dyDescent="0.3">
      <c r="A104" s="4">
        <v>44762</v>
      </c>
      <c r="B104">
        <v>3.5572105978311872E-3</v>
      </c>
      <c r="C104">
        <v>8.4181581147855459E-3</v>
      </c>
      <c r="D104">
        <v>-1.7449675253982663E-4</v>
      </c>
      <c r="E104">
        <v>-1.743793263223941E-2</v>
      </c>
    </row>
    <row r="105" spans="1:5" x14ac:dyDescent="0.3">
      <c r="A105" s="4">
        <v>44763</v>
      </c>
      <c r="B105">
        <v>1.9952153469256981E-3</v>
      </c>
      <c r="C105">
        <v>1.2320547525158016E-3</v>
      </c>
      <c r="D105">
        <v>6.7868092560183094E-3</v>
      </c>
      <c r="E105">
        <v>9.4514031792148614E-4</v>
      </c>
    </row>
    <row r="106" spans="1:5" x14ac:dyDescent="0.3">
      <c r="A106" s="4">
        <v>44764</v>
      </c>
      <c r="B106">
        <v>1.4293926780152778E-2</v>
      </c>
      <c r="C106">
        <v>-3.5337614900562933E-2</v>
      </c>
      <c r="D106">
        <v>-4.8679244723022772E-3</v>
      </c>
      <c r="E106">
        <v>1.5857072834916768E-2</v>
      </c>
    </row>
    <row r="107" spans="1:5" x14ac:dyDescent="0.3">
      <c r="A107" s="4">
        <v>44767</v>
      </c>
      <c r="B107">
        <v>2.1599099472815256E-2</v>
      </c>
      <c r="C107">
        <v>-1.0212037413739427E-3</v>
      </c>
      <c r="D107">
        <v>4.0003462651090902E-3</v>
      </c>
      <c r="E107">
        <v>6.7594195089195697E-3</v>
      </c>
    </row>
    <row r="108" spans="1:5" x14ac:dyDescent="0.3">
      <c r="A108" s="4">
        <v>44768</v>
      </c>
      <c r="B108">
        <v>4.0514196998009434E-3</v>
      </c>
      <c r="C108">
        <v>-5.120102257114627E-3</v>
      </c>
      <c r="D108">
        <v>-1.5745498153452563E-2</v>
      </c>
      <c r="E108">
        <v>1.9428941627509726E-3</v>
      </c>
    </row>
    <row r="109" spans="1:5" x14ac:dyDescent="0.3">
      <c r="A109" s="4">
        <v>44769</v>
      </c>
      <c r="B109">
        <v>1.6044358556919859E-2</v>
      </c>
      <c r="C109">
        <v>3.0833676702352365E-2</v>
      </c>
      <c r="D109">
        <v>1.5918965159637411E-2</v>
      </c>
      <c r="E109">
        <v>9.4510607255483201E-3</v>
      </c>
    </row>
    <row r="110" spans="1:5" x14ac:dyDescent="0.3">
      <c r="A110" s="4">
        <v>44770</v>
      </c>
      <c r="B110">
        <v>2.7472521295125722E-2</v>
      </c>
      <c r="C110">
        <v>-1.1766323923896947E-2</v>
      </c>
      <c r="D110">
        <v>-3.7381913006607299E-3</v>
      </c>
      <c r="E110">
        <v>1.6479933801404237E-2</v>
      </c>
    </row>
    <row r="111" spans="1:5" x14ac:dyDescent="0.3">
      <c r="A111" s="4">
        <v>44771</v>
      </c>
      <c r="B111">
        <v>3.6214778878455541E-2</v>
      </c>
      <c r="C111">
        <v>-8.9509592426716883E-2</v>
      </c>
      <c r="D111">
        <v>4.7790868911821256E-3</v>
      </c>
      <c r="E111">
        <v>-6.3791390837984713E-2</v>
      </c>
    </row>
    <row r="112" spans="1:5" x14ac:dyDescent="0.3">
      <c r="A112" s="4">
        <v>44774</v>
      </c>
      <c r="B112">
        <v>-5.2649121409213649E-2</v>
      </c>
      <c r="C112">
        <v>1.7742956278356516E-2</v>
      </c>
      <c r="D112">
        <v>-1.0018934043399342E-2</v>
      </c>
      <c r="E112">
        <v>2.8318869220527183E-2</v>
      </c>
    </row>
    <row r="113" spans="1:5" x14ac:dyDescent="0.3">
      <c r="A113" s="4">
        <v>44775</v>
      </c>
      <c r="B113">
        <v>1.242109017713664E-3</v>
      </c>
      <c r="C113">
        <v>-2.603966116259859E-2</v>
      </c>
      <c r="D113">
        <v>-1.5708051566692791E-2</v>
      </c>
      <c r="E113">
        <v>-6.670364877390627E-3</v>
      </c>
    </row>
    <row r="114" spans="1:5" x14ac:dyDescent="0.3">
      <c r="A114" s="4">
        <v>44776</v>
      </c>
      <c r="B114">
        <v>3.0982249057454089E-3</v>
      </c>
      <c r="C114">
        <v>1.4063394764283818E-2</v>
      </c>
      <c r="D114">
        <v>1.0440787767661221E-2</v>
      </c>
      <c r="E114">
        <v>2.0431101427310003E-2</v>
      </c>
    </row>
    <row r="115" spans="1:5" x14ac:dyDescent="0.3">
      <c r="A115" s="4">
        <v>44777</v>
      </c>
      <c r="B115">
        <v>-1.3286526449471677E-2</v>
      </c>
      <c r="C115">
        <v>-1.3785657990441621E-2</v>
      </c>
      <c r="D115">
        <v>-1.10636084734773E-2</v>
      </c>
      <c r="E115">
        <v>-1.5888019282295949E-3</v>
      </c>
    </row>
    <row r="116" spans="1:5" x14ac:dyDescent="0.3">
      <c r="A116" s="4">
        <v>44778</v>
      </c>
      <c r="B116">
        <v>3.4305514981919069E-2</v>
      </c>
      <c r="C116">
        <v>-7.6004621554085945E-3</v>
      </c>
      <c r="D116">
        <v>2.9811051955718596E-2</v>
      </c>
      <c r="E116">
        <v>4.8373451740413271E-4</v>
      </c>
    </row>
    <row r="117" spans="1:5" x14ac:dyDescent="0.3">
      <c r="A117" s="4">
        <v>44781</v>
      </c>
      <c r="B117">
        <v>-1.5703284711101283E-2</v>
      </c>
      <c r="C117">
        <v>-2.8250211219316254E-4</v>
      </c>
      <c r="D117">
        <v>-1.2254993088784543E-2</v>
      </c>
      <c r="E117">
        <v>3.7933764398533415E-3</v>
      </c>
    </row>
    <row r="118" spans="1:5" x14ac:dyDescent="0.3">
      <c r="A118" s="4">
        <v>44782</v>
      </c>
      <c r="B118">
        <v>3.4942513658565474E-2</v>
      </c>
      <c r="C118">
        <v>-2.460773598325278E-2</v>
      </c>
      <c r="D118">
        <v>8.9670039494033141E-3</v>
      </c>
      <c r="E118">
        <v>-2.3434318942729313E-3</v>
      </c>
    </row>
    <row r="119" spans="1:5" x14ac:dyDescent="0.3">
      <c r="A119" s="4">
        <v>44783</v>
      </c>
      <c r="B119">
        <v>4.9753738336072169E-2</v>
      </c>
      <c r="C119">
        <v>2.4325154041063661E-2</v>
      </c>
      <c r="D119">
        <v>2.5753313105076801E-2</v>
      </c>
      <c r="E119">
        <v>9.4087225881151464E-3</v>
      </c>
    </row>
    <row r="120" spans="1:5" x14ac:dyDescent="0.3">
      <c r="A120" s="4">
        <v>44784</v>
      </c>
      <c r="B120">
        <v>6.0252348186189764E-3</v>
      </c>
      <c r="C120">
        <v>6.2007693524282863E-3</v>
      </c>
      <c r="D120">
        <v>1.4673435122355411E-2</v>
      </c>
      <c r="E120">
        <v>-7.1341810205766045E-3</v>
      </c>
    </row>
    <row r="121" spans="1:5" x14ac:dyDescent="0.3">
      <c r="A121" s="4">
        <v>44785</v>
      </c>
      <c r="B121">
        <v>-9.6200366837037258E-3</v>
      </c>
      <c r="C121">
        <v>1.4505043010291296E-2</v>
      </c>
      <c r="D121">
        <v>1.6428366470323717E-2</v>
      </c>
      <c r="E121">
        <v>9.6599091748084381E-3</v>
      </c>
    </row>
    <row r="122" spans="1:5" x14ac:dyDescent="0.3">
      <c r="A122" s="4">
        <v>44788</v>
      </c>
      <c r="B122">
        <v>-2.0295462726900852E-2</v>
      </c>
      <c r="C122">
        <v>6.3491985075550634E-3</v>
      </c>
      <c r="D122">
        <v>2.6983957056127346E-3</v>
      </c>
      <c r="E122">
        <v>1.2803733915419118E-2</v>
      </c>
    </row>
    <row r="123" spans="1:5" x14ac:dyDescent="0.3">
      <c r="A123" s="4">
        <v>44789</v>
      </c>
      <c r="B123">
        <v>2.7095648443873636E-2</v>
      </c>
      <c r="C123">
        <v>-4.1361439254792914E-3</v>
      </c>
      <c r="D123">
        <v>9.5087217205154454E-3</v>
      </c>
      <c r="E123">
        <v>9.1794593358025447E-3</v>
      </c>
    </row>
    <row r="124" spans="1:5" x14ac:dyDescent="0.3">
      <c r="A124" s="4">
        <v>44790</v>
      </c>
      <c r="B124">
        <v>-2.1694437891099913E-2</v>
      </c>
      <c r="C124">
        <v>-1.1393920962384233E-2</v>
      </c>
      <c r="D124">
        <v>-8.4478063653031423E-3</v>
      </c>
      <c r="E124">
        <v>-4.6126892410521207E-3</v>
      </c>
    </row>
    <row r="125" spans="1:5" x14ac:dyDescent="0.3">
      <c r="A125" s="4">
        <v>44791</v>
      </c>
      <c r="B125">
        <v>3.5157634518295428E-2</v>
      </c>
      <c r="C125">
        <v>1.1670100983506872E-2</v>
      </c>
      <c r="D125">
        <v>-7.7795241279580681E-3</v>
      </c>
      <c r="E125">
        <v>3.54514036175691E-3</v>
      </c>
    </row>
    <row r="126" spans="1:5" x14ac:dyDescent="0.3">
      <c r="A126" s="4">
        <v>44792</v>
      </c>
      <c r="B126">
        <v>-5.3994983428096305E-2</v>
      </c>
      <c r="C126">
        <v>-2.2912465023728859E-2</v>
      </c>
      <c r="D126">
        <v>-2.5056449637832486E-2</v>
      </c>
      <c r="E126">
        <v>-2.6716949280409787E-4</v>
      </c>
    </row>
    <row r="127" spans="1:5" x14ac:dyDescent="0.3">
      <c r="A127" s="4">
        <v>44795</v>
      </c>
      <c r="B127">
        <v>-1.4613142266491278E-2</v>
      </c>
      <c r="C127">
        <v>-4.4503081707879623E-2</v>
      </c>
      <c r="D127">
        <v>-1.6660072106936562E-2</v>
      </c>
      <c r="E127">
        <v>-2.6750714412307431E-3</v>
      </c>
    </row>
    <row r="128" spans="1:5" x14ac:dyDescent="0.3">
      <c r="A128" s="4">
        <v>44796</v>
      </c>
      <c r="B128">
        <v>5.4580041647306628E-2</v>
      </c>
      <c r="C128">
        <v>3.2453576562457933E-3</v>
      </c>
      <c r="D128">
        <v>-9.9057906703614394E-3</v>
      </c>
      <c r="E128">
        <v>-1.94744647791735E-2</v>
      </c>
    </row>
    <row r="129" spans="1:5" x14ac:dyDescent="0.3">
      <c r="A129" s="4">
        <v>44797</v>
      </c>
      <c r="B129">
        <v>2.4926770418388519E-2</v>
      </c>
      <c r="C129">
        <v>-2.6547321137897965E-3</v>
      </c>
      <c r="D129">
        <v>2.421137323391811E-3</v>
      </c>
      <c r="E129">
        <v>-4.3111302043003907E-3</v>
      </c>
    </row>
    <row r="130" spans="1:5" x14ac:dyDescent="0.3">
      <c r="A130" s="4">
        <v>44798</v>
      </c>
      <c r="B130">
        <v>4.4731388007777748E-2</v>
      </c>
      <c r="C130">
        <v>2.9966099147103929E-2</v>
      </c>
      <c r="D130">
        <v>2.3470164137795926E-2</v>
      </c>
      <c r="E130">
        <v>-8.2316360963742596E-4</v>
      </c>
    </row>
    <row r="131" spans="1:5" x14ac:dyDescent="0.3">
      <c r="A131" s="4">
        <v>44799</v>
      </c>
      <c r="B131">
        <v>-1.9156338514527655E-2</v>
      </c>
      <c r="C131">
        <v>-4.4842710685567458E-2</v>
      </c>
      <c r="D131">
        <v>-3.3276326481436046E-2</v>
      </c>
      <c r="E131">
        <v>-2.3682577721662816E-2</v>
      </c>
    </row>
    <row r="132" spans="1:5" x14ac:dyDescent="0.3">
      <c r="A132" s="4">
        <v>44802</v>
      </c>
      <c r="B132">
        <v>-6.1073438187776085E-3</v>
      </c>
      <c r="C132">
        <v>-1.2669918056653887E-2</v>
      </c>
      <c r="D132">
        <v>-2.4447511962562792E-3</v>
      </c>
      <c r="E132">
        <v>-4.2256162563889497E-3</v>
      </c>
    </row>
    <row r="133" spans="1:5" x14ac:dyDescent="0.3">
      <c r="A133" s="4">
        <v>44803</v>
      </c>
      <c r="B133">
        <v>-8.8683610005449207E-2</v>
      </c>
      <c r="C133">
        <v>-2.0859669280722901E-2</v>
      </c>
      <c r="D133">
        <v>1.7472553194764739E-4</v>
      </c>
      <c r="E133">
        <v>-1.071432435073595E-2</v>
      </c>
    </row>
    <row r="134" spans="1:5" x14ac:dyDescent="0.3">
      <c r="A134" s="4">
        <v>44804</v>
      </c>
      <c r="B134">
        <v>-2.6130844603761361E-2</v>
      </c>
      <c r="C134">
        <v>-1.0595309004864622E-2</v>
      </c>
      <c r="D134">
        <v>-5.9612630969833992E-3</v>
      </c>
      <c r="E134">
        <v>-1.610854195700244E-2</v>
      </c>
    </row>
    <row r="135" spans="1:5" x14ac:dyDescent="0.3">
      <c r="A135" s="4">
        <v>44805</v>
      </c>
      <c r="B135">
        <v>-2.8702267020029672E-2</v>
      </c>
      <c r="C135">
        <v>-5.0249285274939813E-3</v>
      </c>
      <c r="D135">
        <v>6.834798298299893E-3</v>
      </c>
      <c r="E135">
        <v>1.2248897216468138E-2</v>
      </c>
    </row>
    <row r="136" spans="1:5" x14ac:dyDescent="0.3">
      <c r="A136" s="4">
        <v>44806</v>
      </c>
      <c r="B136">
        <v>2.4043001688366497E-2</v>
      </c>
      <c r="C136">
        <v>-1.7148712689283786E-2</v>
      </c>
      <c r="D136">
        <v>-7.0107524940341464E-3</v>
      </c>
      <c r="E136">
        <v>-1.7919517052876744E-2</v>
      </c>
    </row>
    <row r="137" spans="1:5" x14ac:dyDescent="0.3">
      <c r="A137" s="4">
        <v>44810</v>
      </c>
      <c r="B137">
        <v>-2.7584986277559485E-2</v>
      </c>
      <c r="C137">
        <v>-2.7933202022375061E-2</v>
      </c>
      <c r="D137">
        <v>2.6382777108541579E-4</v>
      </c>
      <c r="E137">
        <v>-1.1217634851985422E-2</v>
      </c>
    </row>
    <row r="138" spans="1:5" x14ac:dyDescent="0.3">
      <c r="A138" s="4">
        <v>44811</v>
      </c>
      <c r="B138">
        <v>-5.2319859966318367E-3</v>
      </c>
      <c r="C138">
        <v>9.5069775809028551E-3</v>
      </c>
      <c r="D138">
        <v>1.8812721920078421E-2</v>
      </c>
      <c r="E138">
        <v>1.5001719340679053E-2</v>
      </c>
    </row>
    <row r="139" spans="1:5" x14ac:dyDescent="0.3">
      <c r="A139" s="4">
        <v>44812</v>
      </c>
      <c r="B139">
        <v>2.4866695317109118E-2</v>
      </c>
      <c r="C139">
        <v>3.2571547302099853E-3</v>
      </c>
      <c r="D139">
        <v>2.3028629817310842E-2</v>
      </c>
      <c r="E139">
        <v>1.3064303111872322E-3</v>
      </c>
    </row>
    <row r="140" spans="1:5" x14ac:dyDescent="0.3">
      <c r="A140" s="4">
        <v>44813</v>
      </c>
      <c r="B140">
        <v>7.4137188395991108E-2</v>
      </c>
      <c r="C140">
        <v>2.2826901442136258E-2</v>
      </c>
      <c r="D140">
        <v>4.7945522888074021E-3</v>
      </c>
      <c r="E140">
        <v>1.5118109703829588E-2</v>
      </c>
    </row>
    <row r="141" spans="1:5" x14ac:dyDescent="0.3">
      <c r="A141" s="4">
        <v>44816</v>
      </c>
      <c r="B141">
        <v>-5.3353419697646873E-3</v>
      </c>
      <c r="C141">
        <v>3.1737559161022998E-3</v>
      </c>
      <c r="D141">
        <v>1.176248683019053E-2</v>
      </c>
      <c r="E141">
        <v>8.1122400971735727E-3</v>
      </c>
    </row>
    <row r="142" spans="1:5" x14ac:dyDescent="0.3">
      <c r="A142" s="4">
        <v>44817</v>
      </c>
      <c r="B142">
        <v>-3.9954683995220834E-2</v>
      </c>
      <c r="C142">
        <v>-7.4644341439605855E-2</v>
      </c>
      <c r="D142">
        <v>-3.5366952403653722E-2</v>
      </c>
      <c r="E142">
        <v>-2.0911946057087127E-2</v>
      </c>
    </row>
    <row r="143" spans="1:5" x14ac:dyDescent="0.3">
      <c r="A143" s="4">
        <v>44818</v>
      </c>
      <c r="B143">
        <v>-0.11537489468995095</v>
      </c>
      <c r="C143">
        <v>-3.762662046065555E-3</v>
      </c>
      <c r="D143">
        <v>-2.322327240321883E-3</v>
      </c>
      <c r="E143">
        <v>2.385293846479918E-3</v>
      </c>
    </row>
    <row r="144" spans="1:5" x14ac:dyDescent="0.3">
      <c r="A144" s="4">
        <v>44819</v>
      </c>
      <c r="B144">
        <v>-3.7980825543638762E-2</v>
      </c>
      <c r="C144">
        <v>-1.1720238588626773E-2</v>
      </c>
      <c r="D144">
        <v>1.4958146533836834E-2</v>
      </c>
      <c r="E144">
        <v>-7.7551226474032054E-3</v>
      </c>
    </row>
    <row r="145" spans="1:5" x14ac:dyDescent="0.3">
      <c r="A145" s="4">
        <v>44820</v>
      </c>
      <c r="B145">
        <v>-1.5887940552368734E-2</v>
      </c>
      <c r="C145">
        <v>1.3774289900004818E-2</v>
      </c>
      <c r="D145">
        <v>-6.7248542559509598E-3</v>
      </c>
      <c r="E145">
        <v>6.0933417855767152E-3</v>
      </c>
    </row>
    <row r="146" spans="1:5" x14ac:dyDescent="0.3">
      <c r="A146" s="4">
        <v>44823</v>
      </c>
      <c r="B146">
        <v>4.9843711120014331E-2</v>
      </c>
      <c r="C146">
        <v>6.816643028527471E-3</v>
      </c>
      <c r="D146">
        <v>9.1820985637890654E-3</v>
      </c>
      <c r="E146">
        <v>-2.0992097608855541E-3</v>
      </c>
    </row>
    <row r="147" spans="1:5" x14ac:dyDescent="0.3">
      <c r="A147" s="4">
        <v>44824</v>
      </c>
      <c r="B147">
        <v>-2.4955849813402889E-2</v>
      </c>
      <c r="C147">
        <v>-1.6438759528785079E-2</v>
      </c>
      <c r="D147">
        <v>-1.991603835462194E-2</v>
      </c>
      <c r="E147">
        <v>-3.5574277373421515E-3</v>
      </c>
    </row>
    <row r="148" spans="1:5" x14ac:dyDescent="0.3">
      <c r="A148" s="4">
        <v>44825</v>
      </c>
      <c r="B148">
        <v>-9.94307391062864E-2</v>
      </c>
      <c r="C148">
        <v>-1.7064571857771733E-2</v>
      </c>
      <c r="D148">
        <v>-2.9259263961486214E-2</v>
      </c>
      <c r="E148">
        <v>-1.2956241500030304E-2</v>
      </c>
    </row>
    <row r="149" spans="1:5" x14ac:dyDescent="0.3">
      <c r="A149" s="4">
        <v>44826</v>
      </c>
      <c r="B149">
        <v>-4.9145657731375636E-2</v>
      </c>
      <c r="C149">
        <v>-1.4149476813449606E-2</v>
      </c>
      <c r="D149">
        <v>-1.1444044149958097E-2</v>
      </c>
      <c r="E149">
        <v>3.5301151022498617E-3</v>
      </c>
    </row>
    <row r="150" spans="1:5" x14ac:dyDescent="0.3">
      <c r="A150" s="4">
        <v>44827</v>
      </c>
      <c r="B150">
        <v>-5.5059802691081274E-2</v>
      </c>
      <c r="C150">
        <v>-1.9788612283863045E-2</v>
      </c>
      <c r="D150">
        <v>-1.8788859912420967E-2</v>
      </c>
      <c r="E150">
        <v>-4.6360617439887338E-3</v>
      </c>
    </row>
    <row r="151" spans="1:5" x14ac:dyDescent="0.3">
      <c r="A151" s="4">
        <v>44830</v>
      </c>
      <c r="B151">
        <v>-2.9724679161321939E-2</v>
      </c>
      <c r="C151">
        <v>-2.0187734784076494E-2</v>
      </c>
      <c r="D151">
        <v>-2.1767163398584553E-2</v>
      </c>
      <c r="E151">
        <v>9.5855263451235845E-4</v>
      </c>
    </row>
    <row r="152" spans="1:5" x14ac:dyDescent="0.3">
      <c r="A152" s="4">
        <v>44831</v>
      </c>
      <c r="B152">
        <v>6.650134587855394E-3</v>
      </c>
      <c r="C152">
        <v>-2.9707372959234765E-3</v>
      </c>
      <c r="D152">
        <v>-8.8411692999151234E-3</v>
      </c>
      <c r="E152">
        <v>-2.7870012827579553E-2</v>
      </c>
    </row>
    <row r="153" spans="1:5" x14ac:dyDescent="0.3">
      <c r="A153" s="4">
        <v>44832</v>
      </c>
      <c r="B153">
        <v>1.5158531453663606E-2</v>
      </c>
      <c r="C153">
        <v>8.8854830054740236E-3</v>
      </c>
      <c r="D153">
        <v>2.0015567417895633E-2</v>
      </c>
      <c r="E153">
        <v>0</v>
      </c>
    </row>
    <row r="154" spans="1:5" x14ac:dyDescent="0.3">
      <c r="A154" s="4">
        <v>44833</v>
      </c>
      <c r="B154">
        <v>5.6608047728465552E-3</v>
      </c>
      <c r="C154">
        <v>-2.8033821394259192E-2</v>
      </c>
      <c r="D154">
        <v>-1.7091362215509744E-2</v>
      </c>
      <c r="E154">
        <v>-2.5166212305946269E-2</v>
      </c>
    </row>
    <row r="155" spans="1:5" x14ac:dyDescent="0.3">
      <c r="A155" s="4">
        <v>44834</v>
      </c>
      <c r="B155">
        <v>-5.12488380646373E-2</v>
      </c>
      <c r="C155">
        <v>-2.3394928145411588E-2</v>
      </c>
      <c r="D155">
        <v>-1.5760101091996815E-2</v>
      </c>
      <c r="E155">
        <v>-1.9220078104960382E-2</v>
      </c>
    </row>
    <row r="156" spans="1:5" x14ac:dyDescent="0.3">
      <c r="A156" s="4">
        <v>44837</v>
      </c>
      <c r="B156">
        <v>0.10509311497756703</v>
      </c>
      <c r="C156">
        <v>4.5514003830120185E-2</v>
      </c>
      <c r="D156">
        <v>3.0441043868558334E-2</v>
      </c>
      <c r="E156">
        <v>1.7742730608230464E-2</v>
      </c>
    </row>
    <row r="157" spans="1:5" x14ac:dyDescent="0.3">
      <c r="A157" s="4">
        <v>44838</v>
      </c>
      <c r="B157">
        <v>7.3209753018269472E-2</v>
      </c>
      <c r="C157">
        <v>2.6707383533128161E-2</v>
      </c>
      <c r="D157">
        <v>4.5722081819391171E-2</v>
      </c>
      <c r="E157">
        <v>1.2296704433289974E-2</v>
      </c>
    </row>
    <row r="158" spans="1:5" x14ac:dyDescent="0.3">
      <c r="A158" s="4">
        <v>44839</v>
      </c>
      <c r="B158">
        <v>-3.7355756178552827E-3</v>
      </c>
      <c r="C158">
        <v>-2.1687477004540632E-3</v>
      </c>
      <c r="D158">
        <v>-1.242352120801817E-2</v>
      </c>
      <c r="E158">
        <v>-6.9419296869388811E-3</v>
      </c>
    </row>
    <row r="159" spans="1:5" x14ac:dyDescent="0.3">
      <c r="A159" s="4">
        <v>44840</v>
      </c>
      <c r="B159">
        <v>-5.7549027835995942E-3</v>
      </c>
      <c r="C159">
        <v>-1.6782133529464824E-2</v>
      </c>
      <c r="D159">
        <v>-2.0592841529907327E-2</v>
      </c>
      <c r="E159">
        <v>-2.1277357798703458E-2</v>
      </c>
    </row>
    <row r="160" spans="1:5" x14ac:dyDescent="0.3">
      <c r="A160" s="4">
        <v>44841</v>
      </c>
      <c r="B160">
        <v>-2.1304750693141309E-2</v>
      </c>
      <c r="C160">
        <v>-5.521272778898912E-2</v>
      </c>
      <c r="D160">
        <v>-2.0176352291750403E-2</v>
      </c>
      <c r="E160">
        <v>-1.7627608689942374E-2</v>
      </c>
    </row>
    <row r="161" spans="1:5" x14ac:dyDescent="0.3">
      <c r="A161" s="4">
        <v>44844</v>
      </c>
      <c r="B161">
        <v>-4.3673136748786975E-3</v>
      </c>
      <c r="C161">
        <v>-2.0424773892822181E-2</v>
      </c>
      <c r="D161">
        <v>-9.3853656467378279E-3</v>
      </c>
      <c r="E161">
        <v>-4.1122515433566357E-3</v>
      </c>
    </row>
    <row r="162" spans="1:5" x14ac:dyDescent="0.3">
      <c r="A162" s="4">
        <v>44845</v>
      </c>
      <c r="B162">
        <v>-2.5819564443844249E-2</v>
      </c>
      <c r="C162">
        <v>-6.369598626467677E-3</v>
      </c>
      <c r="D162">
        <v>-2.9284478820479451E-2</v>
      </c>
      <c r="E162">
        <v>3.7904177436474595E-3</v>
      </c>
    </row>
    <row r="163" spans="1:5" x14ac:dyDescent="0.3">
      <c r="A163" s="4">
        <v>44846</v>
      </c>
      <c r="B163">
        <v>5.1742354804923167E-2</v>
      </c>
      <c r="C163">
        <v>1.1514829548850001E-2</v>
      </c>
      <c r="D163">
        <v>1.605328638236372E-2</v>
      </c>
      <c r="E163">
        <v>1.6085518059180148E-3</v>
      </c>
    </row>
    <row r="164" spans="1:5" x14ac:dyDescent="0.3">
      <c r="A164" s="4">
        <v>44847</v>
      </c>
      <c r="B164">
        <v>2.5267744172007629E-2</v>
      </c>
      <c r="C164">
        <v>4.2132077404108591E-2</v>
      </c>
      <c r="D164">
        <v>5.4102787909061256E-2</v>
      </c>
      <c r="E164">
        <v>1.4995815752417355E-2</v>
      </c>
    </row>
    <row r="165" spans="1:5" x14ac:dyDescent="0.3">
      <c r="A165" s="4">
        <v>44848</v>
      </c>
      <c r="B165">
        <v>-6.3886564326214146E-2</v>
      </c>
      <c r="C165">
        <v>-1.9492717384044747E-2</v>
      </c>
      <c r="D165">
        <v>1.6503745439232283E-2</v>
      </c>
      <c r="E165">
        <v>-9.7855087885450123E-3</v>
      </c>
    </row>
    <row r="166" spans="1:5" x14ac:dyDescent="0.3">
      <c r="A166" s="4">
        <v>44851</v>
      </c>
      <c r="B166">
        <v>2.6503735501738009E-2</v>
      </c>
      <c r="C166">
        <v>1.9492717384044751E-2</v>
      </c>
      <c r="D166">
        <v>4.1142186049499166E-2</v>
      </c>
      <c r="E166">
        <v>1.7907217382094359E-2</v>
      </c>
    </row>
    <row r="167" spans="1:5" x14ac:dyDescent="0.3">
      <c r="A167" s="4">
        <v>44852</v>
      </c>
      <c r="B167">
        <v>8.3447678387261835E-3</v>
      </c>
      <c r="C167">
        <v>-2.1037551728087234E-2</v>
      </c>
      <c r="D167">
        <v>2.5395416249057161E-2</v>
      </c>
      <c r="E167">
        <v>8.0558727369262808E-3</v>
      </c>
    </row>
    <row r="168" spans="1:5" x14ac:dyDescent="0.3">
      <c r="A168" s="4">
        <v>44853</v>
      </c>
      <c r="B168">
        <v>-5.406730642816307E-2</v>
      </c>
      <c r="C168">
        <v>5.0127107004741146E-3</v>
      </c>
      <c r="D168">
        <v>-1.9800850378234067E-2</v>
      </c>
      <c r="E168">
        <v>9.2274729539385519E-3</v>
      </c>
    </row>
    <row r="169" spans="1:5" x14ac:dyDescent="0.3">
      <c r="A169" s="4">
        <v>44854</v>
      </c>
      <c r="B169">
        <v>3.3715464371072049E-2</v>
      </c>
      <c r="C169">
        <v>3.0722714436235174E-3</v>
      </c>
      <c r="D169">
        <v>-3.2669487228656436E-3</v>
      </c>
      <c r="E169">
        <v>-1.2963919518615277E-2</v>
      </c>
    </row>
    <row r="170" spans="1:5" x14ac:dyDescent="0.3">
      <c r="A170" s="4">
        <v>44855</v>
      </c>
      <c r="B170">
        <v>5.3783373573286115E-2</v>
      </c>
      <c r="C170">
        <v>3.3556260636100864E-2</v>
      </c>
      <c r="D170">
        <v>5.1194348974344439E-2</v>
      </c>
      <c r="E170">
        <v>1.2442988121954563E-2</v>
      </c>
    </row>
    <row r="171" spans="1:5" x14ac:dyDescent="0.3">
      <c r="A171" s="4">
        <v>44858</v>
      </c>
      <c r="B171">
        <v>-4.7123446395826572E-2</v>
      </c>
      <c r="C171">
        <v>7.7565023032092539E-3</v>
      </c>
      <c r="D171">
        <v>1.2263956827067261E-3</v>
      </c>
      <c r="E171">
        <v>6.1251881304723857E-3</v>
      </c>
    </row>
    <row r="172" spans="1:5" x14ac:dyDescent="0.3">
      <c r="A172" s="4">
        <v>44859</v>
      </c>
      <c r="B172">
        <v>5.7541466946456732E-2</v>
      </c>
      <c r="C172">
        <v>8.4260816037845451E-3</v>
      </c>
      <c r="D172">
        <v>2.6113679165595438E-3</v>
      </c>
      <c r="E172">
        <v>1.1451444541528121E-2</v>
      </c>
    </row>
    <row r="173" spans="1:5" x14ac:dyDescent="0.3">
      <c r="A173" s="4">
        <v>44860</v>
      </c>
      <c r="B173">
        <v>2.7574684514707185E-2</v>
      </c>
      <c r="C173">
        <v>-7.3233417594601594E-3</v>
      </c>
      <c r="D173">
        <v>1.1425954187470399E-2</v>
      </c>
      <c r="E173">
        <v>7.0060364334141069E-3</v>
      </c>
    </row>
    <row r="174" spans="1:5" x14ac:dyDescent="0.3">
      <c r="A174" s="4">
        <v>44861</v>
      </c>
      <c r="B174">
        <v>-2.9505022854685151E-2</v>
      </c>
      <c r="C174">
        <v>-3.5156911407486488E-2</v>
      </c>
      <c r="D174">
        <v>3.9402489407166048E-3</v>
      </c>
      <c r="E174">
        <v>7.5853566576569958E-4</v>
      </c>
    </row>
    <row r="175" spans="1:5" x14ac:dyDescent="0.3">
      <c r="A175" s="4">
        <v>44862</v>
      </c>
      <c r="B175">
        <v>-4.7474562255860067E-2</v>
      </c>
      <c r="C175">
        <v>0.10127925702780541</v>
      </c>
      <c r="D175">
        <v>1.1807997146098898E-2</v>
      </c>
      <c r="E175">
        <v>2.5010535743535709E-2</v>
      </c>
    </row>
    <row r="176" spans="1:5" x14ac:dyDescent="0.3">
      <c r="A176" s="4">
        <v>44865</v>
      </c>
      <c r="B176">
        <v>-9.1816416293468497E-3</v>
      </c>
      <c r="C176">
        <v>-2.2261955675397661E-2</v>
      </c>
      <c r="D176">
        <v>-1.587466351127359E-3</v>
      </c>
      <c r="E176">
        <v>-4.075763880613717E-3</v>
      </c>
    </row>
    <row r="177" spans="1:5" x14ac:dyDescent="0.3">
      <c r="A177" s="4">
        <v>44866</v>
      </c>
      <c r="B177">
        <v>4.6310529978926443E-2</v>
      </c>
      <c r="C177">
        <v>-4.5829088540794713E-3</v>
      </c>
      <c r="D177">
        <v>1.7872344798157927E-2</v>
      </c>
      <c r="E177">
        <v>1.5581868929494872E-3</v>
      </c>
    </row>
    <row r="178" spans="1:5" x14ac:dyDescent="0.3">
      <c r="A178" s="4">
        <v>44867</v>
      </c>
      <c r="B178">
        <v>-7.9125934084716187E-2</v>
      </c>
      <c r="C178">
        <v>-3.1589129710729726E-2</v>
      </c>
      <c r="D178">
        <v>-9.2505182587881811E-3</v>
      </c>
      <c r="E178">
        <v>-1.4487471236221938E-2</v>
      </c>
    </row>
    <row r="179" spans="1:5" x14ac:dyDescent="0.3">
      <c r="A179" s="4">
        <v>44868</v>
      </c>
      <c r="B179">
        <v>-1.8548908306368153E-3</v>
      </c>
      <c r="C179">
        <v>-1.0946692527750122E-3</v>
      </c>
      <c r="D179">
        <v>1.8097006858684877E-3</v>
      </c>
      <c r="E179">
        <v>-6.8688789921940319E-3</v>
      </c>
    </row>
    <row r="180" spans="1:5" x14ac:dyDescent="0.3">
      <c r="A180" s="4">
        <v>44869</v>
      </c>
      <c r="B180">
        <v>0.11748824499416999</v>
      </c>
      <c r="C180">
        <v>4.2559424531707468E-2</v>
      </c>
      <c r="D180">
        <v>2.6990942035385702E-2</v>
      </c>
      <c r="E180">
        <v>1.8088809188400223E-2</v>
      </c>
    </row>
    <row r="181" spans="1:5" x14ac:dyDescent="0.3">
      <c r="A181" s="4">
        <v>44872</v>
      </c>
      <c r="B181">
        <v>-2.1214268557261214E-2</v>
      </c>
      <c r="C181">
        <v>7.4191964001529545E-3</v>
      </c>
      <c r="D181">
        <v>5.2661730613990047E-3</v>
      </c>
      <c r="E181">
        <v>1.5206834558733518E-2</v>
      </c>
    </row>
    <row r="182" spans="1:5" x14ac:dyDescent="0.3">
      <c r="A182" s="4">
        <v>44873</v>
      </c>
      <c r="B182">
        <v>4.0600474489669712E-2</v>
      </c>
      <c r="C182">
        <v>2.4611238223109862E-3</v>
      </c>
      <c r="D182">
        <v>6.0879542904875147E-4</v>
      </c>
      <c r="E182">
        <v>2.2683532971880835E-3</v>
      </c>
    </row>
    <row r="183" spans="1:5" x14ac:dyDescent="0.3">
      <c r="A183" s="4">
        <v>44874</v>
      </c>
      <c r="B183">
        <v>-6.0798132160015707E-2</v>
      </c>
      <c r="C183">
        <v>-3.4289337472144056E-2</v>
      </c>
      <c r="D183">
        <v>-1.3094051249874212E-2</v>
      </c>
      <c r="E183">
        <v>-2.4150169673405196E-3</v>
      </c>
    </row>
    <row r="184" spans="1:5" x14ac:dyDescent="0.3">
      <c r="A184" s="4">
        <v>44875</v>
      </c>
      <c r="B184">
        <v>7.458208473675236E-2</v>
      </c>
      <c r="C184">
        <v>7.8252441518418703E-2</v>
      </c>
      <c r="D184">
        <v>4.0334735966850624E-2</v>
      </c>
      <c r="E184">
        <v>3.3857500494300537E-2</v>
      </c>
    </row>
    <row r="185" spans="1:5" x14ac:dyDescent="0.3">
      <c r="A185" s="4">
        <v>44876</v>
      </c>
      <c r="B185">
        <v>8.3773822329766351E-2</v>
      </c>
      <c r="C185">
        <v>2.2263573177909113E-2</v>
      </c>
      <c r="D185">
        <v>1.6273954122873805E-3</v>
      </c>
      <c r="E185">
        <v>-1.4885296351215946E-3</v>
      </c>
    </row>
    <row r="186" spans="1:5" x14ac:dyDescent="0.3">
      <c r="A186" s="4">
        <v>44879</v>
      </c>
      <c r="B186">
        <v>1.1681503147468141E-2</v>
      </c>
      <c r="C186">
        <v>-2.6322132530848799E-3</v>
      </c>
      <c r="D186">
        <v>-1.032665201226521E-2</v>
      </c>
      <c r="E186">
        <v>7.0852466456731698E-5</v>
      </c>
    </row>
    <row r="187" spans="1:5" x14ac:dyDescent="0.3">
      <c r="A187" s="4">
        <v>44880</v>
      </c>
      <c r="B187">
        <v>2.0322749285221733E-2</v>
      </c>
      <c r="C187">
        <v>1.1791445744298471E-2</v>
      </c>
      <c r="D187">
        <v>-7.2700324913074982E-3</v>
      </c>
      <c r="E187">
        <v>-3.4817276184528133E-3</v>
      </c>
    </row>
    <row r="188" spans="1:5" x14ac:dyDescent="0.3">
      <c r="A188" s="4">
        <v>44881</v>
      </c>
      <c r="B188">
        <v>-1.103381069703597E-2</v>
      </c>
      <c r="C188">
        <v>-3.9181411556027231E-2</v>
      </c>
      <c r="D188">
        <v>1.353089431740812E-3</v>
      </c>
      <c r="E188">
        <v>8.8582127900631805E-3</v>
      </c>
    </row>
    <row r="189" spans="1:5" x14ac:dyDescent="0.3">
      <c r="A189" s="4">
        <v>44882</v>
      </c>
      <c r="B189">
        <v>-2.707369387393764E-2</v>
      </c>
      <c r="C189">
        <v>1.2117244260926282E-2</v>
      </c>
      <c r="D189">
        <v>-4.3666474833815019E-3</v>
      </c>
      <c r="E189">
        <v>-6.1570175342816605E-3</v>
      </c>
    </row>
    <row r="190" spans="1:5" x14ac:dyDescent="0.3">
      <c r="A190" s="4">
        <v>44883</v>
      </c>
      <c r="B190">
        <v>-1.267354279893823E-3</v>
      </c>
      <c r="C190">
        <v>-6.6945660933486427E-4</v>
      </c>
      <c r="D190">
        <v>9.7606932653315059E-3</v>
      </c>
      <c r="E190">
        <v>1.1995796366412282E-2</v>
      </c>
    </row>
    <row r="191" spans="1:5" x14ac:dyDescent="0.3">
      <c r="A191" s="4">
        <v>44886</v>
      </c>
      <c r="B191">
        <v>-1.4477750926155185E-2</v>
      </c>
      <c r="C191">
        <v>-3.1629819009575087E-2</v>
      </c>
      <c r="D191">
        <v>-5.9198912459552206E-3</v>
      </c>
      <c r="E191">
        <v>1.2615602727912293E-2</v>
      </c>
    </row>
    <row r="192" spans="1:5" x14ac:dyDescent="0.3">
      <c r="A192" s="4">
        <v>44887</v>
      </c>
      <c r="B192">
        <v>5.6896267765714395E-2</v>
      </c>
      <c r="C192">
        <v>2.9954730371418842E-2</v>
      </c>
      <c r="D192">
        <v>1.4845912150009525E-2</v>
      </c>
      <c r="E192">
        <v>8.5517692765504239E-3</v>
      </c>
    </row>
    <row r="193" spans="1:5" x14ac:dyDescent="0.3">
      <c r="A193" s="4">
        <v>44888</v>
      </c>
      <c r="B193">
        <v>-1.7370418565572261E-2</v>
      </c>
      <c r="C193">
        <v>-5.0428593735764235E-3</v>
      </c>
      <c r="D193">
        <v>1.0606986420592658E-2</v>
      </c>
      <c r="E193">
        <v>5.6835064023946632E-3</v>
      </c>
    </row>
    <row r="194" spans="1:5" x14ac:dyDescent="0.3">
      <c r="A194" s="4">
        <v>44890</v>
      </c>
      <c r="B194">
        <v>-1.2863278654612247E-2</v>
      </c>
      <c r="C194">
        <v>-1.1184626571625614E-2</v>
      </c>
      <c r="D194">
        <v>1.9032526720697521E-3</v>
      </c>
      <c r="E194">
        <v>1.841915165890908E-3</v>
      </c>
    </row>
    <row r="195" spans="1:5" x14ac:dyDescent="0.3">
      <c r="A195" s="4">
        <v>44893</v>
      </c>
      <c r="B195">
        <v>-3.0960777068690368E-2</v>
      </c>
      <c r="C195">
        <v>-2.1010071036302432E-2</v>
      </c>
      <c r="D195">
        <v>-1.7633002139417101E-2</v>
      </c>
      <c r="E195">
        <v>-8.1818668330940661E-4</v>
      </c>
    </row>
    <row r="196" spans="1:5" x14ac:dyDescent="0.3">
      <c r="A196" s="4">
        <v>44894</v>
      </c>
      <c r="B196">
        <v>2.6985512614021597E-2</v>
      </c>
      <c r="C196">
        <v>5.8998229938888296E-3</v>
      </c>
      <c r="D196">
        <v>1.6315833295171271E-2</v>
      </c>
      <c r="E196">
        <v>-7.6691956149022135E-3</v>
      </c>
    </row>
    <row r="197" spans="1:5" x14ac:dyDescent="0.3">
      <c r="A197" s="4">
        <v>44895</v>
      </c>
      <c r="B197">
        <v>4.968837353948883E-2</v>
      </c>
      <c r="C197">
        <v>3.9686282125904908E-2</v>
      </c>
      <c r="D197">
        <v>1.1793049191464738E-2</v>
      </c>
      <c r="E197">
        <v>2.4980881705680337E-2</v>
      </c>
    </row>
    <row r="198" spans="1:5" x14ac:dyDescent="0.3">
      <c r="A198" s="4">
        <v>44896</v>
      </c>
      <c r="B198">
        <v>-2.0760795825653884E-2</v>
      </c>
      <c r="C198">
        <v>-8.0133746742822379E-3</v>
      </c>
      <c r="D198">
        <v>-1.4139144075316312E-2</v>
      </c>
      <c r="E198">
        <v>6.031904266621895E-4</v>
      </c>
    </row>
    <row r="199" spans="1:5" x14ac:dyDescent="0.3">
      <c r="A199" s="4">
        <v>44897</v>
      </c>
      <c r="B199">
        <v>2.5933743760975892E-2</v>
      </c>
      <c r="C199">
        <v>-1.4179803376970442E-2</v>
      </c>
      <c r="D199">
        <v>-7.9587627367550332E-3</v>
      </c>
      <c r="E199">
        <v>9.0709935561706038E-3</v>
      </c>
    </row>
    <row r="200" spans="1:5" x14ac:dyDescent="0.3">
      <c r="A200" s="4">
        <v>44900</v>
      </c>
      <c r="B200">
        <v>-7.9910311093779843E-2</v>
      </c>
      <c r="C200">
        <v>-8.1939438021127013E-3</v>
      </c>
      <c r="D200">
        <v>-2.8441559800295085E-2</v>
      </c>
      <c r="E200">
        <v>-1.0143599144732677E-2</v>
      </c>
    </row>
    <row r="201" spans="1:5" x14ac:dyDescent="0.3">
      <c r="A201" s="4">
        <v>44901</v>
      </c>
      <c r="B201">
        <v>3.7756037850498067E-2</v>
      </c>
      <c r="C201">
        <v>-1.9734005280135671E-2</v>
      </c>
      <c r="D201">
        <v>1.6732373544512539E-3</v>
      </c>
      <c r="E201">
        <v>1.273565197290146E-3</v>
      </c>
    </row>
    <row r="202" spans="1:5" x14ac:dyDescent="0.3">
      <c r="A202" s="4">
        <v>44902</v>
      </c>
      <c r="B202">
        <v>-3.6037995587013955E-2</v>
      </c>
      <c r="C202">
        <v>-9.4853743422806079E-3</v>
      </c>
      <c r="D202">
        <v>-6.8418215493188078E-4</v>
      </c>
      <c r="E202">
        <v>6.4104382483417995E-3</v>
      </c>
    </row>
    <row r="203" spans="1:5" x14ac:dyDescent="0.3">
      <c r="A203" s="4">
        <v>44903</v>
      </c>
      <c r="B203">
        <v>1.4487005208220213E-2</v>
      </c>
      <c r="C203">
        <v>3.8750383627112329E-3</v>
      </c>
      <c r="D203">
        <v>1.0439828844470972E-2</v>
      </c>
      <c r="E203">
        <v>7.16270603803778E-3</v>
      </c>
    </row>
    <row r="204" spans="1:5" x14ac:dyDescent="0.3">
      <c r="A204" s="4">
        <v>44904</v>
      </c>
      <c r="B204">
        <v>-4.7648642716217694E-2</v>
      </c>
      <c r="C204">
        <v>-7.0569295737745322E-3</v>
      </c>
      <c r="D204">
        <v>-5.4331990522246331E-3</v>
      </c>
      <c r="E204">
        <v>-2.6467770528314362E-3</v>
      </c>
    </row>
    <row r="205" spans="1:5" x14ac:dyDescent="0.3">
      <c r="A205" s="4">
        <v>44907</v>
      </c>
      <c r="B205">
        <v>1.6063647382333585E-2</v>
      </c>
      <c r="C205">
        <v>1.5809167964421361E-2</v>
      </c>
      <c r="D205">
        <v>1.539241306777909E-2</v>
      </c>
      <c r="E205">
        <v>1.0217833266648315E-2</v>
      </c>
    </row>
    <row r="206" spans="1:5" x14ac:dyDescent="0.3">
      <c r="A206" s="4">
        <v>44908</v>
      </c>
      <c r="B206">
        <v>7.8278182860104326E-3</v>
      </c>
      <c r="C206">
        <v>1.3931196026299793E-3</v>
      </c>
      <c r="D206">
        <v>-9.6915141033992091E-4</v>
      </c>
      <c r="E206">
        <v>-1.5094427339629002E-3</v>
      </c>
    </row>
    <row r="207" spans="1:5" x14ac:dyDescent="0.3">
      <c r="A207" s="4">
        <v>44909</v>
      </c>
      <c r="B207">
        <v>-1.4617915908824539E-2</v>
      </c>
      <c r="C207">
        <v>-1.6494567283197599E-2</v>
      </c>
      <c r="D207">
        <v>-5.0095496890105746E-3</v>
      </c>
      <c r="E207">
        <v>3.9332435810769777E-3</v>
      </c>
    </row>
    <row r="208" spans="1:5" x14ac:dyDescent="0.3">
      <c r="A208" s="4">
        <v>44910</v>
      </c>
      <c r="B208">
        <v>-5.0252808161319523E-2</v>
      </c>
      <c r="C208">
        <v>-4.0070212091293578E-2</v>
      </c>
      <c r="D208">
        <v>-2.5123692604454503E-2</v>
      </c>
      <c r="E208">
        <v>-1.1383502221829701E-2</v>
      </c>
    </row>
    <row r="209" spans="1:5" x14ac:dyDescent="0.3">
      <c r="A209" s="4">
        <v>44911</v>
      </c>
      <c r="B209">
        <v>-1.2792290554235716E-2</v>
      </c>
      <c r="C209">
        <v>-8.5076428502680462E-3</v>
      </c>
      <c r="D209">
        <v>-6.2454929245384875E-3</v>
      </c>
      <c r="E209">
        <v>-4.4438411453480596E-3</v>
      </c>
    </row>
    <row r="210" spans="1:5" x14ac:dyDescent="0.3">
      <c r="A210" s="4">
        <v>44914</v>
      </c>
      <c r="B210">
        <v>-9.4074209828579249E-3</v>
      </c>
      <c r="C210">
        <v>-4.8406793343420008E-3</v>
      </c>
      <c r="D210">
        <v>5.937943099700263E-3</v>
      </c>
      <c r="E210">
        <v>-2.6582009582874251E-4</v>
      </c>
    </row>
    <row r="211" spans="1:5" x14ac:dyDescent="0.3">
      <c r="A211" s="4">
        <v>44915</v>
      </c>
      <c r="B211">
        <v>4.0973081987360931E-2</v>
      </c>
      <c r="C211">
        <v>-1.3150757394395689E-2</v>
      </c>
      <c r="D211">
        <v>4.8322633830682462E-3</v>
      </c>
      <c r="E211">
        <v>3.9887510206212815E-4</v>
      </c>
    </row>
    <row r="212" spans="1:5" x14ac:dyDescent="0.3">
      <c r="A212" s="4">
        <v>44916</v>
      </c>
      <c r="B212">
        <v>1.7536550130748948E-2</v>
      </c>
      <c r="C212">
        <v>1.4642606194674211E-2</v>
      </c>
      <c r="D212">
        <v>1.1185267077795824E-2</v>
      </c>
      <c r="E212">
        <v>9.1299442114611048E-3</v>
      </c>
    </row>
    <row r="213" spans="1:5" x14ac:dyDescent="0.3">
      <c r="A213" s="4">
        <v>44917</v>
      </c>
      <c r="B213">
        <v>-2.2994747199828278E-2</v>
      </c>
      <c r="C213">
        <v>-3.2578673378041247E-2</v>
      </c>
      <c r="D213">
        <v>-1.1414819698984564E-2</v>
      </c>
      <c r="E213">
        <v>2.3024557312023692E-3</v>
      </c>
    </row>
    <row r="214" spans="1:5" x14ac:dyDescent="0.3">
      <c r="A214" s="4">
        <v>44918</v>
      </c>
      <c r="B214">
        <v>7.9501109891909616E-3</v>
      </c>
      <c r="C214">
        <v>4.6100601440512388E-3</v>
      </c>
      <c r="D214">
        <v>4.7338853295275356E-3</v>
      </c>
      <c r="E214">
        <v>2.8212806642126443E-3</v>
      </c>
    </row>
    <row r="215" spans="1:5" x14ac:dyDescent="0.3">
      <c r="A215" s="4">
        <v>44922</v>
      </c>
      <c r="B215">
        <v>1.4821795738006292E-2</v>
      </c>
      <c r="C215">
        <v>-5.7659035786579394E-3</v>
      </c>
      <c r="D215">
        <v>3.4978559858151199E-3</v>
      </c>
      <c r="E215">
        <v>8.6767584546220897E-3</v>
      </c>
    </row>
    <row r="216" spans="1:5" x14ac:dyDescent="0.3">
      <c r="A216" s="4">
        <v>44923</v>
      </c>
      <c r="B216">
        <v>-2.3912781029330914E-2</v>
      </c>
      <c r="C216">
        <v>-1.5540148889524022E-2</v>
      </c>
      <c r="D216">
        <v>5.4504737838254646E-3</v>
      </c>
      <c r="E216">
        <v>-1.3010464703568137E-2</v>
      </c>
    </row>
    <row r="217" spans="1:5" x14ac:dyDescent="0.3">
      <c r="A217" s="4">
        <v>44924</v>
      </c>
      <c r="B217">
        <v>6.1108053325650426E-2</v>
      </c>
      <c r="C217">
        <v>2.5894957446990712E-2</v>
      </c>
      <c r="D217">
        <v>5.7211174475646576E-3</v>
      </c>
      <c r="E217">
        <v>4.1374154413552433E-3</v>
      </c>
    </row>
    <row r="218" spans="1:5" x14ac:dyDescent="0.3">
      <c r="A218" s="4">
        <v>44925</v>
      </c>
      <c r="B218">
        <v>-2.3688953135260347E-2</v>
      </c>
      <c r="C218">
        <v>8.3589462604719816E-3</v>
      </c>
      <c r="D218">
        <v>6.5839636681977506E-3</v>
      </c>
      <c r="E218">
        <v>-6.7731666606011412E-3</v>
      </c>
    </row>
    <row r="219" spans="1:5" x14ac:dyDescent="0.3">
      <c r="A219" s="4">
        <v>44929</v>
      </c>
      <c r="B219">
        <v>-1.9767688184255058E-2</v>
      </c>
      <c r="C219">
        <v>1.1286766668301432E-2</v>
      </c>
      <c r="D219">
        <v>7.5774406273970626E-3</v>
      </c>
      <c r="E219">
        <v>6.6106166732204385E-5</v>
      </c>
    </row>
    <row r="220" spans="1:5" x14ac:dyDescent="0.3">
      <c r="A220" s="4">
        <v>44930</v>
      </c>
      <c r="B220">
        <v>1.2262045522888624E-2</v>
      </c>
      <c r="C220">
        <v>3.4923618770416144E-2</v>
      </c>
      <c r="D220">
        <v>9.281909219316575E-3</v>
      </c>
      <c r="E220">
        <v>4.3449002507020473E-3</v>
      </c>
    </row>
    <row r="221" spans="1:5" x14ac:dyDescent="0.3">
      <c r="A221" s="4">
        <v>44931</v>
      </c>
      <c r="B221">
        <v>7.9452968990856576E-3</v>
      </c>
      <c r="C221">
        <v>-4.3446711501853039E-3</v>
      </c>
      <c r="D221">
        <v>-2.2164606830617364E-4</v>
      </c>
      <c r="E221">
        <v>-1.2493276195557788E-2</v>
      </c>
    </row>
    <row r="222" spans="1:5" x14ac:dyDescent="0.3">
      <c r="A222" s="4">
        <v>44932</v>
      </c>
      <c r="B222">
        <v>1.894461689457028E-2</v>
      </c>
      <c r="C222">
        <v>4.1576300465000042E-2</v>
      </c>
      <c r="D222">
        <v>1.8954706705868143E-2</v>
      </c>
      <c r="E222">
        <v>2.3533689742049665E-2</v>
      </c>
    </row>
    <row r="223" spans="1:5" x14ac:dyDescent="0.3">
      <c r="A223" s="4">
        <v>44935</v>
      </c>
      <c r="B223">
        <v>8.0971165234302755E-2</v>
      </c>
      <c r="C223">
        <v>1.9987056266663944E-2</v>
      </c>
      <c r="D223">
        <v>-4.1407753395334866E-3</v>
      </c>
      <c r="E223">
        <v>-1.2289351138727218E-2</v>
      </c>
    </row>
    <row r="224" spans="1:5" x14ac:dyDescent="0.3">
      <c r="A224" s="4">
        <v>44936</v>
      </c>
      <c r="B224">
        <v>5.2506094059376174E-2</v>
      </c>
      <c r="C224">
        <v>4.4254090146559275E-3</v>
      </c>
      <c r="D224">
        <v>8.9140303021430535E-3</v>
      </c>
      <c r="E224">
        <v>-9.8694547799457245E-4</v>
      </c>
    </row>
    <row r="225" spans="1:5" x14ac:dyDescent="0.3">
      <c r="A225" s="4">
        <v>44937</v>
      </c>
      <c r="B225">
        <v>-1.963256790894026E-2</v>
      </c>
      <c r="C225">
        <v>1.3830619089032908E-2</v>
      </c>
      <c r="D225">
        <v>7.4040607124148993E-3</v>
      </c>
      <c r="E225">
        <v>-8.1310705163942301E-3</v>
      </c>
    </row>
    <row r="226" spans="1:5" x14ac:dyDescent="0.3">
      <c r="A226" s="4">
        <v>44938</v>
      </c>
      <c r="B226">
        <v>2.6029655603492623E-2</v>
      </c>
      <c r="C226">
        <v>1.4632853195114624E-2</v>
      </c>
      <c r="D226">
        <v>-1.0031343720799638E-3</v>
      </c>
      <c r="E226">
        <v>-5.6578632246385464E-3</v>
      </c>
    </row>
    <row r="227" spans="1:5" x14ac:dyDescent="0.3">
      <c r="A227" s="4">
        <v>44939</v>
      </c>
      <c r="B227">
        <v>2.3905550740458231E-2</v>
      </c>
      <c r="C227">
        <v>-5.9602636399099761E-3</v>
      </c>
      <c r="D227">
        <v>2.4921518962057649E-2</v>
      </c>
      <c r="E227">
        <v>7.1171302174578427E-3</v>
      </c>
    </row>
    <row r="228" spans="1:5" x14ac:dyDescent="0.3">
      <c r="A228" s="4">
        <v>44943</v>
      </c>
      <c r="B228">
        <v>4.5673605845180021E-3</v>
      </c>
      <c r="C228">
        <v>-1.7083273085488172E-2</v>
      </c>
      <c r="D228">
        <v>-1.5574019921222329E-2</v>
      </c>
      <c r="E228">
        <v>-2.9205979685465642E-3</v>
      </c>
    </row>
    <row r="229" spans="1:5" x14ac:dyDescent="0.3">
      <c r="A229" s="4">
        <v>44944</v>
      </c>
      <c r="B229">
        <v>-2.6037751411217423E-2</v>
      </c>
      <c r="C229">
        <v>-2.7051614253233623E-2</v>
      </c>
      <c r="D229">
        <v>-3.0503048956305442E-2</v>
      </c>
      <c r="E229">
        <v>-2.7153356354459209E-2</v>
      </c>
    </row>
    <row r="230" spans="1:5" x14ac:dyDescent="0.3">
      <c r="A230" s="4">
        <v>44945</v>
      </c>
      <c r="B230">
        <v>-7.6370036812239112E-2</v>
      </c>
      <c r="C230">
        <v>-1.3629384059239325E-2</v>
      </c>
      <c r="D230">
        <v>-1.3416149496519078E-2</v>
      </c>
      <c r="E230">
        <v>-2.1375032080781654E-2</v>
      </c>
    </row>
    <row r="231" spans="1:5" x14ac:dyDescent="0.3">
      <c r="A231" s="4">
        <v>44946</v>
      </c>
      <c r="B231">
        <v>2.9448987519567288E-2</v>
      </c>
      <c r="C231">
        <v>2.7759963800077444E-2</v>
      </c>
      <c r="D231">
        <v>2.445935255286412E-3</v>
      </c>
      <c r="E231">
        <v>3.8542959643852416E-3</v>
      </c>
    </row>
    <row r="232" spans="1:5" x14ac:dyDescent="0.3">
      <c r="A232" s="4">
        <v>44949</v>
      </c>
      <c r="B232">
        <v>1.4598845430440859E-2</v>
      </c>
      <c r="C232">
        <v>3.5303958301243818E-2</v>
      </c>
      <c r="D232">
        <v>1.6082605528169487E-2</v>
      </c>
      <c r="E232">
        <v>-1.352031089869429E-2</v>
      </c>
    </row>
    <row r="233" spans="1:5" x14ac:dyDescent="0.3">
      <c r="A233" s="4">
        <v>44950</v>
      </c>
      <c r="B233">
        <v>2.1411630372024308E-2</v>
      </c>
      <c r="C233">
        <v>-1.1630048573342239E-2</v>
      </c>
      <c r="D233">
        <v>8.5593566369618554E-3</v>
      </c>
      <c r="E233">
        <v>5.444164927812147E-3</v>
      </c>
    </row>
    <row r="234" spans="1:5" x14ac:dyDescent="0.3">
      <c r="A234" s="4">
        <v>44951</v>
      </c>
      <c r="B234">
        <v>-1.2945319206039065E-2</v>
      </c>
      <c r="C234">
        <v>-7.3799700864357574E-3</v>
      </c>
      <c r="D234">
        <v>4.8276537991982687E-3</v>
      </c>
      <c r="E234">
        <v>-7.0529340028545524E-4</v>
      </c>
    </row>
    <row r="235" spans="1:5" x14ac:dyDescent="0.3">
      <c r="A235" s="4">
        <v>44952</v>
      </c>
      <c r="B235">
        <v>-1.5338838464806573E-3</v>
      </c>
      <c r="C235">
        <v>1.3045804522670706E-2</v>
      </c>
      <c r="D235">
        <v>6.1626880991792659E-3</v>
      </c>
      <c r="E235">
        <v>-4.030229087327474E-3</v>
      </c>
    </row>
    <row r="236" spans="1:5" x14ac:dyDescent="0.3">
      <c r="A236" s="4">
        <v>44953</v>
      </c>
      <c r="B236">
        <v>1.2206844313366655E-2</v>
      </c>
      <c r="C236">
        <v>-6.6290391934923601E-2</v>
      </c>
      <c r="D236">
        <v>2.4260546126401877E-3</v>
      </c>
      <c r="E236">
        <v>-4.1174403495481664E-3</v>
      </c>
    </row>
    <row r="237" spans="1:5" x14ac:dyDescent="0.3">
      <c r="A237" s="4">
        <v>44956</v>
      </c>
      <c r="B237">
        <v>-4.6763809743357046E-2</v>
      </c>
      <c r="C237">
        <v>-7.4853088687828213E-3</v>
      </c>
      <c r="D237">
        <v>-8.5168081348444905E-3</v>
      </c>
      <c r="E237">
        <v>3.1251566325885527E-3</v>
      </c>
    </row>
    <row r="238" spans="1:5" x14ac:dyDescent="0.3">
      <c r="A238" s="4">
        <v>44957</v>
      </c>
      <c r="B238">
        <v>3.7048599617171878E-2</v>
      </c>
      <c r="C238">
        <v>1.1030023028698438E-2</v>
      </c>
      <c r="D238">
        <v>5.9478998748614311E-3</v>
      </c>
      <c r="E238">
        <v>9.6687437904197961E-3</v>
      </c>
    </row>
    <row r="239" spans="1:5" x14ac:dyDescent="0.3">
      <c r="A239" s="4">
        <v>44958</v>
      </c>
      <c r="B239">
        <v>4.3818971256371249E-2</v>
      </c>
      <c r="C239">
        <v>2.8259609416447361E-2</v>
      </c>
      <c r="D239">
        <v>-2.646995883131437E-3</v>
      </c>
      <c r="E239">
        <v>5.6728484135227641E-3</v>
      </c>
    </row>
    <row r="240" spans="1:5" x14ac:dyDescent="0.3">
      <c r="A240" s="4">
        <v>44959</v>
      </c>
      <c r="B240">
        <v>-1.6999752444994003E-2</v>
      </c>
      <c r="C240">
        <v>3.7803797947002164E-2</v>
      </c>
      <c r="D240">
        <v>-4.6674361560960064E-3</v>
      </c>
      <c r="E240">
        <v>-7.1489887594087262E-3</v>
      </c>
    </row>
    <row r="241" spans="1:5" x14ac:dyDescent="0.3">
      <c r="A241" s="4">
        <v>44960</v>
      </c>
      <c r="B241">
        <v>-1.7293557232154397E-2</v>
      </c>
      <c r="C241">
        <v>4.2970300911318845E-3</v>
      </c>
      <c r="D241">
        <v>1.5355732283389672E-2</v>
      </c>
      <c r="E241">
        <v>3.0902562556372813E-3</v>
      </c>
    </row>
    <row r="242" spans="1:5" x14ac:dyDescent="0.3">
      <c r="A242" s="4">
        <v>44963</v>
      </c>
      <c r="B242">
        <v>-1.374590231525713E-2</v>
      </c>
      <c r="C242">
        <v>-4.3147839805630354E-2</v>
      </c>
      <c r="D242">
        <v>5.8654421780599186E-3</v>
      </c>
      <c r="E242">
        <v>-8.5209824864524719E-3</v>
      </c>
    </row>
    <row r="243" spans="1:5" x14ac:dyDescent="0.3">
      <c r="A243" s="4">
        <v>44964</v>
      </c>
      <c r="B243">
        <v>2.3181681184996802E-2</v>
      </c>
      <c r="C243">
        <v>1.2470026551180504E-2</v>
      </c>
      <c r="D243">
        <v>1.2116399931922154E-2</v>
      </c>
      <c r="E243">
        <v>-9.8074839030622956E-3</v>
      </c>
    </row>
    <row r="244" spans="1:5" x14ac:dyDescent="0.3">
      <c r="A244" s="4">
        <v>44965</v>
      </c>
      <c r="B244">
        <v>-5.0463326121624151E-2</v>
      </c>
      <c r="C244">
        <v>-2.8279107629442413E-2</v>
      </c>
      <c r="D244">
        <v>-7.0557795431519374E-3</v>
      </c>
      <c r="E244">
        <v>-1.0409551324890586E-2</v>
      </c>
    </row>
    <row r="245" spans="1:5" x14ac:dyDescent="0.3">
      <c r="A245" s="4">
        <v>44966</v>
      </c>
      <c r="B245">
        <v>-1.2123642372428382E-2</v>
      </c>
      <c r="C245">
        <v>-1.8224685718634243E-2</v>
      </c>
      <c r="D245">
        <v>-1.5686148408787386E-2</v>
      </c>
      <c r="E245">
        <v>-1.1029801112312035E-2</v>
      </c>
    </row>
    <row r="246" spans="1:5" x14ac:dyDescent="0.3">
      <c r="A246" s="4">
        <v>44967</v>
      </c>
      <c r="B246">
        <v>-2.6749417218020842E-2</v>
      </c>
      <c r="C246">
        <v>2.5213583692460005E-3</v>
      </c>
      <c r="D246">
        <v>4.40557809215553E-3</v>
      </c>
      <c r="E246">
        <v>8.7901060878256051E-3</v>
      </c>
    </row>
    <row r="247" spans="1:5" x14ac:dyDescent="0.3">
      <c r="A247" s="4">
        <v>44970</v>
      </c>
      <c r="B247">
        <v>-1.5314755827278256E-2</v>
      </c>
      <c r="C247">
        <v>2.6620685445138539E-2</v>
      </c>
      <c r="D247">
        <v>1.0789749043074226E-2</v>
      </c>
      <c r="E247">
        <v>1.3006346598137392E-2</v>
      </c>
    </row>
    <row r="248" spans="1:5" x14ac:dyDescent="0.3">
      <c r="A248" s="4">
        <v>44971</v>
      </c>
      <c r="B248">
        <v>2.0231922690069883E-2</v>
      </c>
      <c r="C248">
        <v>3.1474500135152033E-3</v>
      </c>
      <c r="D248">
        <v>4.4089583900320892E-3</v>
      </c>
      <c r="E248">
        <v>-5.6560732652323493E-3</v>
      </c>
    </row>
    <row r="249" spans="1:5" x14ac:dyDescent="0.3">
      <c r="A249" s="4">
        <v>44972</v>
      </c>
      <c r="B249">
        <v>-1.0684379442175429E-2</v>
      </c>
      <c r="C249">
        <v>7.3055182022198472E-3</v>
      </c>
      <c r="D249">
        <v>4.1813393091823265E-3</v>
      </c>
      <c r="E249">
        <v>-2.3000633673967881E-3</v>
      </c>
    </row>
    <row r="250" spans="1:5" x14ac:dyDescent="0.3">
      <c r="A250" s="4">
        <v>44973</v>
      </c>
      <c r="B250">
        <v>7.4089561696116931E-3</v>
      </c>
      <c r="C250">
        <v>-2.2787820581073759E-2</v>
      </c>
      <c r="D250">
        <v>-1.3864799216675491E-2</v>
      </c>
      <c r="E250">
        <v>-1.3183898776970099E-2</v>
      </c>
    </row>
    <row r="251" spans="1:5" x14ac:dyDescent="0.3">
      <c r="A251" s="4">
        <v>44974</v>
      </c>
      <c r="B251">
        <v>-3.9310932814978862E-2</v>
      </c>
      <c r="C251">
        <v>-2.1143841044850609E-2</v>
      </c>
      <c r="D251">
        <v>2.9570694953933302E-3</v>
      </c>
      <c r="E251">
        <v>2.0711529101905869E-2</v>
      </c>
    </row>
    <row r="252" spans="1:5" x14ac:dyDescent="0.3">
      <c r="A252" s="4">
        <v>44978</v>
      </c>
      <c r="B252">
        <v>2.4853770239479725E-2</v>
      </c>
      <c r="C252">
        <v>-5.7776712562316861E-2</v>
      </c>
      <c r="D252">
        <v>-1.8519661402750107E-2</v>
      </c>
      <c r="E252">
        <v>-7.1448774885532701E-4</v>
      </c>
    </row>
    <row r="253" spans="1:5" x14ac:dyDescent="0.3">
      <c r="A253" s="4">
        <v>44979</v>
      </c>
      <c r="B253">
        <v>1.8753907708285663E-2</v>
      </c>
      <c r="C253">
        <v>-2.2900165839012651E-2</v>
      </c>
      <c r="D253">
        <v>-7.6928564314577676E-3</v>
      </c>
      <c r="E253">
        <v>4.2081320682606539E-3</v>
      </c>
    </row>
    <row r="254" spans="1:5" x14ac:dyDescent="0.3">
      <c r="A254" s="4">
        <v>44980</v>
      </c>
      <c r="B254">
        <v>-2.1044762891070032E-2</v>
      </c>
      <c r="C254">
        <v>5.4816433983671123E-3</v>
      </c>
      <c r="D254">
        <v>7.9790711160775459E-3</v>
      </c>
      <c r="E254">
        <v>-3.2080506715276035E-3</v>
      </c>
    </row>
    <row r="255" spans="1:5" x14ac:dyDescent="0.3">
      <c r="A255" s="4">
        <v>44981</v>
      </c>
      <c r="B255">
        <v>-3.1990919044195557E-2</v>
      </c>
      <c r="C255">
        <v>-1.8522777684850403E-2</v>
      </c>
      <c r="D255">
        <v>8.9810181314513206E-3</v>
      </c>
      <c r="E255">
        <v>-5.656810304203768E-3</v>
      </c>
    </row>
    <row r="256" spans="1:5" x14ac:dyDescent="0.3">
      <c r="A256" s="4">
        <v>44984</v>
      </c>
      <c r="B256">
        <v>3.3657630719415563E-2</v>
      </c>
      <c r="C256">
        <v>-9.5923987195476613E-3</v>
      </c>
      <c r="D256">
        <v>8.6898303314311091E-3</v>
      </c>
      <c r="E256">
        <v>-8.6196331484566754E-4</v>
      </c>
    </row>
    <row r="257" spans="1:5" x14ac:dyDescent="0.3">
      <c r="A257" s="4">
        <v>44985</v>
      </c>
      <c r="B257">
        <v>1.8561035839222556E-2</v>
      </c>
      <c r="C257">
        <v>1.2042464670172764E-3</v>
      </c>
      <c r="D257">
        <v>8.3360354756817096E-3</v>
      </c>
      <c r="E257">
        <v>-1.1420504417990134E-2</v>
      </c>
    </row>
    <row r="258" spans="1:5" x14ac:dyDescent="0.3">
      <c r="A258" s="4">
        <v>44986</v>
      </c>
      <c r="B258">
        <v>5.3895024099584403E-2</v>
      </c>
      <c r="C258">
        <v>1.5917429027229989E-2</v>
      </c>
      <c r="D258">
        <v>-5.5964078005327697E-3</v>
      </c>
      <c r="E258">
        <v>7.2668925094986048E-4</v>
      </c>
    </row>
    <row r="259" spans="1:5" x14ac:dyDescent="0.3">
      <c r="A259" s="4">
        <v>44987</v>
      </c>
      <c r="B259">
        <v>3.8736648199413935E-2</v>
      </c>
      <c r="C259">
        <v>3.3769894499301623E-2</v>
      </c>
      <c r="D259">
        <v>-1.0436568381183339E-2</v>
      </c>
      <c r="E259">
        <v>1.6355416471794226E-2</v>
      </c>
    </row>
    <row r="260" spans="1:5" x14ac:dyDescent="0.3">
      <c r="A260" s="4">
        <v>44988</v>
      </c>
      <c r="B260">
        <v>3.3516569722056709E-2</v>
      </c>
      <c r="C260">
        <v>7.6045348823883738E-3</v>
      </c>
      <c r="D260">
        <v>1.8193237996263125E-2</v>
      </c>
      <c r="E260">
        <v>7.2629422186997316E-3</v>
      </c>
    </row>
    <row r="261" spans="1:5" x14ac:dyDescent="0.3">
      <c r="A261" s="4">
        <v>44991</v>
      </c>
      <c r="B261">
        <v>-3.1713933974369501E-2</v>
      </c>
      <c r="C261">
        <v>-1.5651950170835514E-2</v>
      </c>
      <c r="D261">
        <v>-5.864408116536146E-3</v>
      </c>
      <c r="E261">
        <v>-4.2657558763535717E-3</v>
      </c>
    </row>
    <row r="262" spans="1:5" x14ac:dyDescent="0.3">
      <c r="A262" s="4">
        <v>44992</v>
      </c>
      <c r="B262">
        <v>-6.7809466614250802E-2</v>
      </c>
      <c r="C262">
        <v>-1.7857779081327331E-2</v>
      </c>
      <c r="D262">
        <v>-2.9848609344163925E-2</v>
      </c>
      <c r="E262">
        <v>-2.0079292065090175E-2</v>
      </c>
    </row>
    <row r="263" spans="1:5" x14ac:dyDescent="0.3">
      <c r="A263" s="4">
        <v>44993</v>
      </c>
      <c r="B263">
        <v>1.6800561507096575E-2</v>
      </c>
      <c r="C263">
        <v>1.7473023063012131E-2</v>
      </c>
      <c r="D263">
        <v>-5.9330894287759704E-3</v>
      </c>
      <c r="E263">
        <v>1.453502892345809E-4</v>
      </c>
    </row>
    <row r="264" spans="1:5" x14ac:dyDescent="0.3">
      <c r="A264" s="4">
        <v>44994</v>
      </c>
      <c r="B264">
        <v>-6.3102191598687324E-2</v>
      </c>
      <c r="C264">
        <v>1.7550774937694406E-2</v>
      </c>
      <c r="D264">
        <v>-5.5657002192128387E-2</v>
      </c>
      <c r="E264">
        <v>-7.3680004198755896E-3</v>
      </c>
    </row>
    <row r="265" spans="1:5" x14ac:dyDescent="0.3">
      <c r="A265" s="4">
        <v>44995</v>
      </c>
      <c r="B265">
        <v>-6.445501788068482E-2</v>
      </c>
      <c r="C265">
        <v>2.9074259794095132E-2</v>
      </c>
      <c r="D265">
        <v>2.5077958555646686E-2</v>
      </c>
      <c r="E265">
        <v>4.529328804246808E-3</v>
      </c>
    </row>
    <row r="266" spans="1:5" x14ac:dyDescent="0.3">
      <c r="A266" s="4">
        <v>44998</v>
      </c>
      <c r="B266">
        <v>-4.4632666705495773E-3</v>
      </c>
      <c r="C266">
        <v>-9.968837539692495E-3</v>
      </c>
      <c r="D266">
        <v>-1.8120487373615771E-2</v>
      </c>
      <c r="E266">
        <v>6.9007424277858324E-3</v>
      </c>
    </row>
    <row r="267" spans="1:5" x14ac:dyDescent="0.3">
      <c r="A267" s="4">
        <v>44999</v>
      </c>
      <c r="B267">
        <v>-2.6875533666138682E-3</v>
      </c>
      <c r="C267">
        <v>3.8578254037140734E-2</v>
      </c>
      <c r="D267">
        <v>2.5352077090572914E-2</v>
      </c>
      <c r="E267">
        <v>1.2302925712689912E-2</v>
      </c>
    </row>
    <row r="268" spans="1:5" x14ac:dyDescent="0.3">
      <c r="A268" s="4">
        <v>45000</v>
      </c>
      <c r="B268">
        <v>-0.11439669773227688</v>
      </c>
      <c r="C268">
        <v>1.4179485287629863E-2</v>
      </c>
      <c r="D268">
        <v>-4.8396493503522417E-2</v>
      </c>
      <c r="E268">
        <v>1.4058651286565076E-2</v>
      </c>
    </row>
    <row r="269" spans="1:5" x14ac:dyDescent="0.3">
      <c r="A269" s="4">
        <v>45001</v>
      </c>
      <c r="B269">
        <v>2.434281554910565E-2</v>
      </c>
      <c r="C269">
        <v>6.0438296854454718E-2</v>
      </c>
      <c r="D269">
        <v>1.9227665385668606E-2</v>
      </c>
      <c r="E269">
        <v>7.4459096171623418E-3</v>
      </c>
    </row>
    <row r="270" spans="1:5" x14ac:dyDescent="0.3">
      <c r="A270" s="4">
        <v>45002</v>
      </c>
      <c r="B270">
        <v>-4.0055401738030828E-2</v>
      </c>
      <c r="C270">
        <v>-1.2335643817342493E-2</v>
      </c>
      <c r="D270">
        <v>-3.8514215932693809E-2</v>
      </c>
      <c r="E270">
        <v>2.7998170471616065E-4</v>
      </c>
    </row>
    <row r="271" spans="1:5" x14ac:dyDescent="0.3">
      <c r="A271" s="4">
        <v>45005</v>
      </c>
      <c r="B271">
        <v>2.8454707993499674E-2</v>
      </c>
      <c r="C271">
        <v>-2.2045812510996136E-2</v>
      </c>
      <c r="D271">
        <v>1.0515938006581507E-2</v>
      </c>
      <c r="E271">
        <v>1.5274846449355313E-2</v>
      </c>
    </row>
    <row r="272" spans="1:5" x14ac:dyDescent="0.3">
      <c r="A272" s="4">
        <v>45006</v>
      </c>
      <c r="B272">
        <v>3.9669371768191741E-2</v>
      </c>
      <c r="C272">
        <v>-2.4298458654056436E-2</v>
      </c>
      <c r="D272">
        <v>2.6467441955813405E-2</v>
      </c>
      <c r="E272">
        <v>-7.26109861157514E-3</v>
      </c>
    </row>
    <row r="273" spans="1:5" x14ac:dyDescent="0.3">
      <c r="A273" s="4">
        <v>45007</v>
      </c>
      <c r="B273">
        <v>-4.5146072197584229E-2</v>
      </c>
      <c r="C273">
        <v>-1.1663014869604806E-2</v>
      </c>
      <c r="D273">
        <v>-2.6152871836256152E-2</v>
      </c>
      <c r="E273">
        <v>-6.2486045992005991E-4</v>
      </c>
    </row>
    <row r="274" spans="1:5" x14ac:dyDescent="0.3">
      <c r="A274" s="4">
        <v>45008</v>
      </c>
      <c r="B274">
        <v>4.2346269557667991E-3</v>
      </c>
      <c r="C274">
        <v>3.149324332253247E-2</v>
      </c>
      <c r="D274">
        <v>-2.6769649426261356E-3</v>
      </c>
      <c r="E274">
        <v>-1.3900179156245542E-3</v>
      </c>
    </row>
    <row r="275" spans="1:5" x14ac:dyDescent="0.3">
      <c r="A275" s="4">
        <v>45009</v>
      </c>
      <c r="B275">
        <v>-3.7355038139970176E-3</v>
      </c>
      <c r="C275">
        <v>1.1303468062193551E-2</v>
      </c>
      <c r="D275">
        <v>-1.5332823805230102E-2</v>
      </c>
      <c r="E275">
        <v>2.0172074525570245E-2</v>
      </c>
    </row>
    <row r="276" spans="1:5" x14ac:dyDescent="0.3">
      <c r="A276" s="4">
        <v>45012</v>
      </c>
      <c r="B276">
        <v>9.9724776468849822E-4</v>
      </c>
      <c r="C276">
        <v>-6.1497468147801793E-3</v>
      </c>
      <c r="D276">
        <v>2.8257510700163656E-2</v>
      </c>
      <c r="E276">
        <v>-5.2618673968242869E-3</v>
      </c>
    </row>
    <row r="277" spans="1:5" x14ac:dyDescent="0.3">
      <c r="A277" s="4">
        <v>45013</v>
      </c>
      <c r="B277">
        <v>1.0167660549030694E-2</v>
      </c>
      <c r="C277">
        <v>3.7628628526851825E-3</v>
      </c>
      <c r="D277">
        <v>3.0306542503378635E-3</v>
      </c>
      <c r="E277">
        <v>2.8052203753541091E-3</v>
      </c>
    </row>
    <row r="278" spans="1:5" x14ac:dyDescent="0.3">
      <c r="A278" s="4">
        <v>45014</v>
      </c>
      <c r="B278">
        <v>1.0065072204537034E-2</v>
      </c>
      <c r="C278">
        <v>7.337593731646648E-2</v>
      </c>
      <c r="D278">
        <v>2.0152658151438201E-3</v>
      </c>
      <c r="E278">
        <v>3.0698844089292955E-3</v>
      </c>
    </row>
    <row r="279" spans="1:5" x14ac:dyDescent="0.3">
      <c r="A279" s="4">
        <v>45015</v>
      </c>
      <c r="B279">
        <v>1.983123253416633E-2</v>
      </c>
      <c r="C279">
        <v>1.792222772505549E-2</v>
      </c>
      <c r="D279">
        <v>-3.0245435901600408E-3</v>
      </c>
      <c r="E279">
        <v>4.3500415312791212E-3</v>
      </c>
    </row>
    <row r="280" spans="1:5" x14ac:dyDescent="0.3">
      <c r="A280" s="4">
        <v>45016</v>
      </c>
      <c r="B280">
        <v>1.8976016034136869E-2</v>
      </c>
      <c r="C280">
        <v>1.7912742055786371E-2</v>
      </c>
      <c r="D280">
        <v>1.2043750433527654E-2</v>
      </c>
      <c r="E280">
        <v>8.3743851782254793E-3</v>
      </c>
    </row>
    <row r="281" spans="1:5" x14ac:dyDescent="0.3">
      <c r="A281" s="4">
        <v>45019</v>
      </c>
      <c r="B281">
        <v>-1.8736340840036968E-2</v>
      </c>
      <c r="C281">
        <v>6.7112539703124193E-3</v>
      </c>
      <c r="D281">
        <v>-1.1516471278139671E-3</v>
      </c>
      <c r="E281">
        <v>5.4997029500508769E-3</v>
      </c>
    </row>
    <row r="282" spans="1:5" x14ac:dyDescent="0.3">
      <c r="A282" s="4">
        <v>45020</v>
      </c>
      <c r="B282">
        <v>-3.4834856353707117E-2</v>
      </c>
      <c r="C282">
        <v>6.3648140518730257E-3</v>
      </c>
      <c r="D282">
        <v>-1.3458447737020122E-2</v>
      </c>
      <c r="E282">
        <v>4.8040625623174751E-3</v>
      </c>
    </row>
    <row r="283" spans="1:5" x14ac:dyDescent="0.3">
      <c r="A283" s="4">
        <v>45021</v>
      </c>
      <c r="B283">
        <v>-2.2816428607890692E-2</v>
      </c>
      <c r="C283">
        <v>-8.1906656419353675E-3</v>
      </c>
      <c r="D283">
        <v>1.4899904222899804E-3</v>
      </c>
      <c r="E283">
        <v>6.8327642984011127E-3</v>
      </c>
    </row>
    <row r="284" spans="1:5" x14ac:dyDescent="0.3">
      <c r="A284" s="4">
        <v>45022</v>
      </c>
      <c r="B284">
        <v>-6.8713404783178776E-3</v>
      </c>
      <c r="C284">
        <v>-6.092557629040873E-4</v>
      </c>
      <c r="D284">
        <v>-1.0976091796451467E-3</v>
      </c>
      <c r="E284">
        <v>6.3266675768249014E-3</v>
      </c>
    </row>
    <row r="285" spans="1:5" x14ac:dyDescent="0.3">
      <c r="A285" s="4">
        <v>45026</v>
      </c>
      <c r="B285">
        <v>1.5708351238681528E-2</v>
      </c>
      <c r="C285">
        <v>-8.8780480384484887E-3</v>
      </c>
      <c r="D285">
        <v>3.2893794978669727E-3</v>
      </c>
      <c r="E285">
        <v>-8.3119031164595996E-3</v>
      </c>
    </row>
    <row r="286" spans="1:5" x14ac:dyDescent="0.3">
      <c r="A286" s="4">
        <v>45027</v>
      </c>
      <c r="B286">
        <v>2.1142547066251707E-2</v>
      </c>
      <c r="C286">
        <v>-5.2414065742907127E-3</v>
      </c>
      <c r="D286">
        <v>4.9140687842218582E-3</v>
      </c>
      <c r="E286">
        <v>-1.9891845407797536E-3</v>
      </c>
    </row>
    <row r="287" spans="1:5" x14ac:dyDescent="0.3">
      <c r="A287" s="4">
        <v>45028</v>
      </c>
      <c r="B287">
        <v>-2.4668087713708337E-2</v>
      </c>
      <c r="C287">
        <v>-1.0253352827774169E-2</v>
      </c>
      <c r="D287">
        <v>-1.557312085669687E-4</v>
      </c>
      <c r="E287">
        <v>2.7177090000438929E-3</v>
      </c>
    </row>
    <row r="288" spans="1:5" x14ac:dyDescent="0.3">
      <c r="A288" s="4">
        <v>45029</v>
      </c>
      <c r="B288">
        <v>3.226890712042451E-2</v>
      </c>
      <c r="C288">
        <v>3.4296891910901503E-3</v>
      </c>
      <c r="D288">
        <v>3.8060372362883725E-3</v>
      </c>
      <c r="E288">
        <v>4.6228292627771171E-3</v>
      </c>
    </row>
    <row r="289" spans="1:5" x14ac:dyDescent="0.3">
      <c r="A289" s="4">
        <v>45030</v>
      </c>
      <c r="B289">
        <v>-1.3277706225001127E-2</v>
      </c>
      <c r="C289">
        <v>-7.4976906213792428E-3</v>
      </c>
      <c r="D289">
        <v>7.2794802979014347E-2</v>
      </c>
      <c r="E289">
        <v>-5.0864051917181557E-3</v>
      </c>
    </row>
    <row r="290" spans="1:5" x14ac:dyDescent="0.3">
      <c r="A290" s="4">
        <v>45033</v>
      </c>
      <c r="B290">
        <v>9.852230260367266E-3</v>
      </c>
      <c r="C290">
        <v>7.8088120145572695E-3</v>
      </c>
      <c r="D290">
        <v>7.8978115083303494E-3</v>
      </c>
      <c r="E290">
        <v>3.3107000620072351E-4</v>
      </c>
    </row>
    <row r="291" spans="1:5" x14ac:dyDescent="0.3">
      <c r="A291" s="4">
        <v>45034</v>
      </c>
      <c r="B291">
        <v>3.2552628587895781E-2</v>
      </c>
      <c r="C291">
        <v>-9.6919717273051351E-3</v>
      </c>
      <c r="D291">
        <v>1.1165254357063779E-2</v>
      </c>
      <c r="E291">
        <v>1.0586066816538275E-3</v>
      </c>
    </row>
    <row r="292" spans="1:5" x14ac:dyDescent="0.3">
      <c r="A292" s="4">
        <v>45035</v>
      </c>
      <c r="B292">
        <v>-2.2311202645062388E-2</v>
      </c>
      <c r="C292">
        <v>-2.1595261239519391E-2</v>
      </c>
      <c r="D292">
        <v>-1.2738300459774721E-3</v>
      </c>
      <c r="E292">
        <v>1.9840642950732113E-4</v>
      </c>
    </row>
    <row r="293" spans="1:5" x14ac:dyDescent="0.3">
      <c r="A293" s="4">
        <v>45036</v>
      </c>
      <c r="B293">
        <v>-2.4310426682458853E-2</v>
      </c>
      <c r="C293">
        <v>-9.3533844803373352E-3</v>
      </c>
      <c r="D293">
        <v>-2.9074687750192296E-3</v>
      </c>
      <c r="E293">
        <v>3.6593830449291307E-3</v>
      </c>
    </row>
    <row r="294" spans="1:5" x14ac:dyDescent="0.3">
      <c r="A294" s="4">
        <v>45037</v>
      </c>
      <c r="B294">
        <v>-5.2825301043874201E-2</v>
      </c>
      <c r="C294">
        <v>-1.8313245463091293E-2</v>
      </c>
      <c r="D294">
        <v>-1.9192978257544467E-3</v>
      </c>
      <c r="E294">
        <v>3.4018784235576825E-2</v>
      </c>
    </row>
    <row r="295" spans="1:5" x14ac:dyDescent="0.3">
      <c r="A295" s="4">
        <v>45040</v>
      </c>
      <c r="B295">
        <v>-3.1495880275202175E-3</v>
      </c>
      <c r="C295">
        <v>-2.1348263654330145E-2</v>
      </c>
      <c r="D295">
        <v>1.3509874940313127E-3</v>
      </c>
      <c r="E295">
        <v>1.7922218553703283E-3</v>
      </c>
    </row>
    <row r="296" spans="1:5" x14ac:dyDescent="0.3">
      <c r="A296" s="4">
        <v>45041</v>
      </c>
      <c r="B296">
        <v>-6.2087825854018473E-2</v>
      </c>
      <c r="C296">
        <v>-2.6649934140054433E-2</v>
      </c>
      <c r="D296">
        <v>-2.1983581750152782E-2</v>
      </c>
      <c r="E296">
        <v>2.5585346396415871E-4</v>
      </c>
    </row>
    <row r="297" spans="1:5" x14ac:dyDescent="0.3">
      <c r="A297" s="4">
        <v>45042</v>
      </c>
      <c r="B297">
        <v>-8.4269587763949952E-3</v>
      </c>
      <c r="C297">
        <v>5.8693285687301203E-3</v>
      </c>
      <c r="D297">
        <v>-1.788245469188705E-2</v>
      </c>
      <c r="E297">
        <v>-1.1641136134909219E-2</v>
      </c>
    </row>
    <row r="298" spans="1:5" x14ac:dyDescent="0.3">
      <c r="A298" s="4">
        <v>45043</v>
      </c>
      <c r="B298">
        <v>2.2867545711805055E-2</v>
      </c>
      <c r="C298">
        <v>2.7501343764674977E-2</v>
      </c>
      <c r="D298">
        <v>1.3368720252719655E-2</v>
      </c>
      <c r="E298">
        <v>1.2152581636218946E-2</v>
      </c>
    </row>
    <row r="299" spans="1:5" x14ac:dyDescent="0.3">
      <c r="A299" s="4">
        <v>45044</v>
      </c>
      <c r="B299">
        <v>2.3703718031139406E-2</v>
      </c>
      <c r="C299">
        <v>3.9400687123296432E-2</v>
      </c>
      <c r="D299">
        <v>8.6455113519983071E-3</v>
      </c>
      <c r="E299">
        <v>-5.7537014818280626E-4</v>
      </c>
    </row>
    <row r="300" spans="1:5" x14ac:dyDescent="0.3">
      <c r="A300" s="4">
        <v>45047</v>
      </c>
      <c r="B300">
        <v>3.4941338504717455E-3</v>
      </c>
      <c r="C300">
        <v>-2.477316166231713E-2</v>
      </c>
      <c r="D300">
        <v>2.1186003272603074E-2</v>
      </c>
      <c r="E300">
        <v>1.2142605879030186E-3</v>
      </c>
    </row>
    <row r="301" spans="1:5" x14ac:dyDescent="0.3">
      <c r="A301" s="4">
        <v>45048</v>
      </c>
      <c r="B301">
        <v>-4.3598386941596699E-2</v>
      </c>
      <c r="C301">
        <v>-1.7646184179037964E-2</v>
      </c>
      <c r="D301">
        <v>-1.6278980120714694E-2</v>
      </c>
      <c r="E301">
        <v>-8.9474335330887991E-4</v>
      </c>
    </row>
    <row r="302" spans="1:5" x14ac:dyDescent="0.3">
      <c r="A302" s="4">
        <v>45049</v>
      </c>
      <c r="B302">
        <v>-1.8671141238667626E-2</v>
      </c>
      <c r="C302">
        <v>2.9131369337026373E-2</v>
      </c>
      <c r="D302">
        <v>-2.1390521664500381E-2</v>
      </c>
      <c r="E302">
        <v>-1.2792037619951354E-3</v>
      </c>
    </row>
    <row r="303" spans="1:5" x14ac:dyDescent="0.3">
      <c r="A303" s="4">
        <v>45050</v>
      </c>
      <c r="B303">
        <v>-1.8444203408480502E-2</v>
      </c>
      <c r="C303">
        <v>2.3153414473748243E-2</v>
      </c>
      <c r="D303">
        <v>-1.377301775457733E-2</v>
      </c>
      <c r="E303">
        <v>-4.6192282063771536E-3</v>
      </c>
    </row>
    <row r="304" spans="1:5" x14ac:dyDescent="0.3">
      <c r="A304" s="4">
        <v>45051</v>
      </c>
      <c r="B304">
        <v>5.020189720409346E-2</v>
      </c>
      <c r="C304">
        <v>-8.0350210386277068E-3</v>
      </c>
      <c r="D304">
        <v>1.9346549093539254E-2</v>
      </c>
      <c r="E304">
        <v>3.3382553639846814E-3</v>
      </c>
    </row>
    <row r="305" spans="1:5" x14ac:dyDescent="0.3">
      <c r="A305" s="4">
        <v>45054</v>
      </c>
      <c r="B305">
        <v>1.8364379506205186E-2</v>
      </c>
      <c r="C305">
        <v>-7.1242410854740522E-3</v>
      </c>
      <c r="D305">
        <v>2.4103978299182096E-3</v>
      </c>
      <c r="E305">
        <v>-4.6895319986112608E-3</v>
      </c>
    </row>
    <row r="306" spans="1:5" x14ac:dyDescent="0.3">
      <c r="A306" s="4">
        <v>45055</v>
      </c>
      <c r="B306">
        <v>-8.4551985668849926E-3</v>
      </c>
      <c r="C306">
        <v>-2.2014833529520512E-2</v>
      </c>
      <c r="D306">
        <v>-4.8268441637111751E-3</v>
      </c>
      <c r="E306">
        <v>-1.0290949531393622E-2</v>
      </c>
    </row>
    <row r="307" spans="1:5" x14ac:dyDescent="0.3">
      <c r="A307" s="4">
        <v>45056</v>
      </c>
      <c r="B307">
        <v>-1.0185842524444193E-2</v>
      </c>
      <c r="C307">
        <v>-4.3285555111060416E-3</v>
      </c>
      <c r="D307">
        <v>5.1317419328247296E-4</v>
      </c>
      <c r="E307">
        <v>2.079686586010163E-3</v>
      </c>
    </row>
    <row r="308" spans="1:5" x14ac:dyDescent="0.3">
      <c r="A308" s="4">
        <v>45057</v>
      </c>
      <c r="B308">
        <v>-2.266767000365311E-2</v>
      </c>
      <c r="C308">
        <v>-3.7740185425676913E-2</v>
      </c>
      <c r="D308">
        <v>-3.1556127540311686E-3</v>
      </c>
      <c r="E308">
        <v>2.3344066807565868E-3</v>
      </c>
    </row>
    <row r="309" spans="1:5" x14ac:dyDescent="0.3">
      <c r="A309" s="4">
        <v>45058</v>
      </c>
      <c r="B309">
        <v>1.1312485070971749E-3</v>
      </c>
      <c r="C309">
        <v>3.113572713378658E-3</v>
      </c>
      <c r="D309">
        <v>-1.4436740389191988E-2</v>
      </c>
      <c r="E309">
        <v>1.0117731700541538E-2</v>
      </c>
    </row>
    <row r="310" spans="1:5" x14ac:dyDescent="0.3">
      <c r="A310" s="4">
        <v>45061</v>
      </c>
      <c r="B310">
        <v>4.7614885684202732E-2</v>
      </c>
      <c r="C310">
        <v>2.8938191833463637E-2</v>
      </c>
      <c r="D310">
        <v>8.3913608526660494E-3</v>
      </c>
      <c r="E310">
        <v>3.2037753604353681E-4</v>
      </c>
    </row>
    <row r="311" spans="1:5" x14ac:dyDescent="0.3">
      <c r="A311" s="4">
        <v>45062</v>
      </c>
      <c r="B311">
        <v>-2.4354629397987566E-2</v>
      </c>
      <c r="C311">
        <v>-1.9654874926144691E-2</v>
      </c>
      <c r="D311">
        <v>-6.751983999110844E-3</v>
      </c>
      <c r="E311">
        <v>-1.7320052879266784E-3</v>
      </c>
    </row>
    <row r="312" spans="1:5" x14ac:dyDescent="0.3">
      <c r="A312" s="4">
        <v>45063</v>
      </c>
      <c r="B312">
        <v>1.7573195614358557E-2</v>
      </c>
      <c r="C312">
        <v>-1.2050535709313578E-2</v>
      </c>
      <c r="D312">
        <v>3.0284152230706841E-2</v>
      </c>
      <c r="E312">
        <v>-4.2468132287024661E-3</v>
      </c>
    </row>
    <row r="313" spans="1:5" x14ac:dyDescent="0.3">
      <c r="A313" s="4">
        <v>45064</v>
      </c>
      <c r="B313">
        <v>1.9035510936554856E-3</v>
      </c>
      <c r="C313">
        <v>2.7670423092228762E-2</v>
      </c>
      <c r="D313">
        <v>7.555312331036599E-3</v>
      </c>
      <c r="E313">
        <v>-1.6580035476396734E-2</v>
      </c>
    </row>
    <row r="314" spans="1:5" x14ac:dyDescent="0.3">
      <c r="A314" s="4">
        <v>45065</v>
      </c>
      <c r="B314">
        <v>-1.9476746708014015E-2</v>
      </c>
      <c r="C314">
        <v>8.387844792622395E-3</v>
      </c>
      <c r="D314">
        <v>-2.2964985008879315E-3</v>
      </c>
      <c r="E314">
        <v>4.1872016597521294E-3</v>
      </c>
    </row>
    <row r="315" spans="1:5" x14ac:dyDescent="0.3">
      <c r="A315" s="4">
        <v>45068</v>
      </c>
      <c r="B315">
        <v>8.2760733392085398E-3</v>
      </c>
      <c r="C315">
        <v>1.1626226155334166E-2</v>
      </c>
      <c r="D315">
        <v>-8.2970686557380744E-3</v>
      </c>
      <c r="E315">
        <v>-2.6528744169426008E-2</v>
      </c>
    </row>
    <row r="316" spans="1:5" x14ac:dyDescent="0.3">
      <c r="A316" s="4">
        <v>45069</v>
      </c>
      <c r="B316">
        <v>-2.0258943922267982E-2</v>
      </c>
      <c r="C316">
        <v>-2.5758232381518538E-2</v>
      </c>
      <c r="D316">
        <v>-1.0487377779954557E-2</v>
      </c>
      <c r="E316">
        <v>-1.0852475762479115E-2</v>
      </c>
    </row>
    <row r="317" spans="1:5" x14ac:dyDescent="0.3">
      <c r="A317" s="4">
        <v>45070</v>
      </c>
      <c r="B317">
        <v>-3.7707866025361372E-2</v>
      </c>
      <c r="C317">
        <v>-1.7433498682711254E-2</v>
      </c>
      <c r="D317">
        <v>-9.1935493157020987E-3</v>
      </c>
      <c r="E317">
        <v>-8.3027809407480099E-3</v>
      </c>
    </row>
    <row r="318" spans="1:5" x14ac:dyDescent="0.3">
      <c r="A318" s="4">
        <v>45071</v>
      </c>
      <c r="B318">
        <v>-1.6437247243673514E-2</v>
      </c>
      <c r="C318">
        <v>-5.6752631042532246E-2</v>
      </c>
      <c r="D318">
        <v>2.4353768729710769E-3</v>
      </c>
      <c r="E318">
        <v>-6.4444878165218558E-3</v>
      </c>
    </row>
    <row r="319" spans="1:5" x14ac:dyDescent="0.3">
      <c r="A319" s="4">
        <v>45072</v>
      </c>
      <c r="B319">
        <v>-2.9638027840858654E-3</v>
      </c>
      <c r="C319">
        <v>5.6752631042532316E-2</v>
      </c>
      <c r="D319">
        <v>9.317444131586276E-3</v>
      </c>
      <c r="E319">
        <v>6.8616354738605903E-5</v>
      </c>
    </row>
    <row r="320" spans="1:5" x14ac:dyDescent="0.3">
      <c r="A320" s="4">
        <v>45076</v>
      </c>
      <c r="B320">
        <v>-2.6772416150002035E-2</v>
      </c>
      <c r="C320">
        <v>3.3568350413552744E-2</v>
      </c>
      <c r="D320">
        <v>3.7900297604536943E-3</v>
      </c>
      <c r="E320">
        <v>-1.5385951111522607E-2</v>
      </c>
    </row>
    <row r="321" spans="1:5" x14ac:dyDescent="0.3">
      <c r="A321" s="4">
        <v>45077</v>
      </c>
      <c r="B321">
        <v>-3.3481473726671908E-2</v>
      </c>
      <c r="C321">
        <v>4.7217030386004652E-2</v>
      </c>
      <c r="D321">
        <v>-1.281264285704266E-2</v>
      </c>
      <c r="E321">
        <v>-4.760510355476779E-3</v>
      </c>
    </row>
    <row r="322" spans="1:5" x14ac:dyDescent="0.3">
      <c r="A322" s="4">
        <v>45078</v>
      </c>
      <c r="B322">
        <v>3.042777047518485E-2</v>
      </c>
      <c r="C322">
        <v>-9.9090929939984057E-3</v>
      </c>
      <c r="D322">
        <v>1.3685291731827136E-2</v>
      </c>
      <c r="E322">
        <v>1.01934799652662E-2</v>
      </c>
    </row>
    <row r="323" spans="1:5" x14ac:dyDescent="0.3">
      <c r="A323" s="4">
        <v>45079</v>
      </c>
      <c r="B323">
        <v>6.6257165092105982E-2</v>
      </c>
      <c r="C323">
        <v>5.7654068693442804E-3</v>
      </c>
      <c r="D323">
        <v>2.0788362671736265E-2</v>
      </c>
      <c r="E323">
        <v>1.7626455337502955E-2</v>
      </c>
    </row>
    <row r="324" spans="1:5" x14ac:dyDescent="0.3">
      <c r="A324" s="4">
        <v>45082</v>
      </c>
      <c r="B324">
        <v>-3.3763287846705084E-2</v>
      </c>
      <c r="C324">
        <v>-4.7417473190071516E-2</v>
      </c>
      <c r="D324">
        <v>-9.8728113128634925E-3</v>
      </c>
      <c r="E324">
        <v>-3.9663668074133539E-3</v>
      </c>
    </row>
    <row r="325" spans="1:5" x14ac:dyDescent="0.3">
      <c r="A325" s="4">
        <v>45083</v>
      </c>
      <c r="B325">
        <v>2.2538743950767659E-2</v>
      </c>
      <c r="C325">
        <v>3.6176195656812835E-2</v>
      </c>
      <c r="D325">
        <v>1.7958166202816242E-3</v>
      </c>
      <c r="E325">
        <v>-9.9852251445357969E-3</v>
      </c>
    </row>
    <row r="326" spans="1:5" x14ac:dyDescent="0.3">
      <c r="A326" s="4">
        <v>45084</v>
      </c>
      <c r="B326">
        <v>2.2890816975620985E-2</v>
      </c>
      <c r="C326">
        <v>1.0282896987373377E-2</v>
      </c>
      <c r="D326">
        <v>9.6420149932783025E-3</v>
      </c>
      <c r="E326">
        <v>2.1432094413137899E-3</v>
      </c>
    </row>
    <row r="327" spans="1:5" x14ac:dyDescent="0.3">
      <c r="A327" s="4">
        <v>45085</v>
      </c>
      <c r="B327">
        <v>6.4853713388765737E-3</v>
      </c>
      <c r="C327">
        <v>1.7115997859996152E-2</v>
      </c>
      <c r="D327">
        <v>2.8416751946153617E-4</v>
      </c>
      <c r="E327">
        <v>1.1262195863811473E-2</v>
      </c>
    </row>
    <row r="328" spans="1:5" x14ac:dyDescent="0.3">
      <c r="A328" s="4">
        <v>45086</v>
      </c>
      <c r="B328">
        <v>-9.8858391040514224E-3</v>
      </c>
      <c r="C328">
        <v>-1.5199832158386375E-2</v>
      </c>
      <c r="D328">
        <v>1.9875661806721904E-3</v>
      </c>
      <c r="E328">
        <v>8.1906384439097541E-4</v>
      </c>
    </row>
    <row r="329" spans="1:5" x14ac:dyDescent="0.3">
      <c r="A329" s="4">
        <v>45089</v>
      </c>
      <c r="B329">
        <v>-6.8355350550086055E-3</v>
      </c>
      <c r="C329">
        <v>5.3731373861525017E-2</v>
      </c>
      <c r="D329">
        <v>-7.0784690299656051E-5</v>
      </c>
      <c r="E329">
        <v>-7.8774590625427278E-3</v>
      </c>
    </row>
    <row r="330" spans="1:5" x14ac:dyDescent="0.3">
      <c r="A330" s="4">
        <v>45090</v>
      </c>
      <c r="B330">
        <v>4.7714411344805779E-2</v>
      </c>
      <c r="C330">
        <v>2.5083205093880179E-2</v>
      </c>
      <c r="D330">
        <v>7.2079340020279959E-3</v>
      </c>
      <c r="E330">
        <v>-2.4099026295125122E-3</v>
      </c>
    </row>
    <row r="331" spans="1:5" x14ac:dyDescent="0.3">
      <c r="A331" s="4">
        <v>45091</v>
      </c>
      <c r="B331">
        <v>-1.5653383702789219E-2</v>
      </c>
      <c r="C331">
        <v>4.807394731786644E-2</v>
      </c>
      <c r="D331">
        <v>-3.7387271626370816E-3</v>
      </c>
      <c r="E331">
        <v>9.331617563791042E-3</v>
      </c>
    </row>
    <row r="332" spans="1:5" x14ac:dyDescent="0.3">
      <c r="A332" s="4">
        <v>45092</v>
      </c>
      <c r="B332">
        <v>-4.4382831892979535E-3</v>
      </c>
      <c r="C332">
        <v>6.722734362457591E-3</v>
      </c>
      <c r="D332">
        <v>1.1244619092472218E-2</v>
      </c>
      <c r="E332">
        <v>1.3769160996792634E-2</v>
      </c>
    </row>
    <row r="333" spans="1:5" x14ac:dyDescent="0.3">
      <c r="A333" s="4">
        <v>45093</v>
      </c>
      <c r="B333">
        <v>-9.7778466744931417E-3</v>
      </c>
      <c r="C333">
        <v>1.5237698886505715E-2</v>
      </c>
      <c r="D333">
        <v>1.1873826923091656E-3</v>
      </c>
      <c r="E333">
        <v>7.3156028641535899E-3</v>
      </c>
    </row>
    <row r="334" spans="1:5" x14ac:dyDescent="0.3">
      <c r="A334" s="4">
        <v>45097</v>
      </c>
      <c r="B334">
        <v>-4.009703815407336E-2</v>
      </c>
      <c r="C334">
        <v>-3.8395959118632507E-2</v>
      </c>
      <c r="D334">
        <v>-5.1085183225920055E-3</v>
      </c>
      <c r="E334">
        <v>-9.2711054589720773E-3</v>
      </c>
    </row>
    <row r="335" spans="1:5" x14ac:dyDescent="0.3">
      <c r="A335" s="4">
        <v>45098</v>
      </c>
      <c r="B335">
        <v>1.9963013530952482E-2</v>
      </c>
      <c r="C335">
        <v>-6.1875741357598393E-2</v>
      </c>
      <c r="D335">
        <v>-1.4745243841726068E-3</v>
      </c>
      <c r="E335">
        <v>8.6021701498866388E-3</v>
      </c>
    </row>
    <row r="336" spans="1:5" x14ac:dyDescent="0.3">
      <c r="A336" s="4">
        <v>45099</v>
      </c>
      <c r="B336">
        <v>-4.3918056285129001E-2</v>
      </c>
      <c r="C336">
        <v>-5.7916033958042169E-3</v>
      </c>
      <c r="D336">
        <v>-1.9440110369642598E-2</v>
      </c>
      <c r="E336">
        <v>3.407016836704435E-3</v>
      </c>
    </row>
    <row r="337" spans="1:5" x14ac:dyDescent="0.3">
      <c r="A337" s="4">
        <v>45100</v>
      </c>
      <c r="B337">
        <v>-1.7207857949820868E-2</v>
      </c>
      <c r="C337">
        <v>8.8266698648414542E-3</v>
      </c>
      <c r="D337">
        <v>-5.2437036591812518E-3</v>
      </c>
      <c r="E337">
        <v>-9.9863450940468491E-3</v>
      </c>
    </row>
    <row r="338" spans="1:5" x14ac:dyDescent="0.3">
      <c r="A338" s="4">
        <v>45103</v>
      </c>
      <c r="B338">
        <v>4.55713817984981E-3</v>
      </c>
      <c r="C338">
        <v>1.0250498510500637E-2</v>
      </c>
      <c r="D338">
        <v>2.4457424829628072E-3</v>
      </c>
      <c r="E338">
        <v>1.0099571261403424E-3</v>
      </c>
    </row>
    <row r="339" spans="1:5" x14ac:dyDescent="0.3">
      <c r="A339" s="4">
        <v>45104</v>
      </c>
      <c r="B339">
        <v>4.2723746618434831E-2</v>
      </c>
      <c r="C339">
        <v>2.2539274955251001E-2</v>
      </c>
      <c r="D339">
        <v>7.1705122173708317E-5</v>
      </c>
      <c r="E339">
        <v>9.4430904468941895E-3</v>
      </c>
    </row>
    <row r="340" spans="1:5" x14ac:dyDescent="0.3">
      <c r="A340" s="4">
        <v>45105</v>
      </c>
      <c r="B340">
        <v>-2.2618195663715309E-2</v>
      </c>
      <c r="C340">
        <v>-1.5664246366512209E-2</v>
      </c>
      <c r="D340">
        <v>-4.3918436451908091E-3</v>
      </c>
      <c r="E340">
        <v>-1.999304428068961E-4</v>
      </c>
    </row>
    <row r="341" spans="1:5" x14ac:dyDescent="0.3">
      <c r="A341" s="4">
        <v>45106</v>
      </c>
      <c r="B341">
        <v>2.966440901101678E-3</v>
      </c>
      <c r="C341">
        <v>-1.9856457266221428E-2</v>
      </c>
      <c r="D341">
        <v>3.4327227262208083E-2</v>
      </c>
      <c r="E341">
        <v>-4.0752421582477836E-3</v>
      </c>
    </row>
    <row r="342" spans="1:5" x14ac:dyDescent="0.3">
      <c r="A342" s="4">
        <v>45107</v>
      </c>
      <c r="B342">
        <v>5.0232571024771888E-3</v>
      </c>
      <c r="C342">
        <v>1.5976197182116982E-2</v>
      </c>
      <c r="D342">
        <v>1.3916567629980879E-2</v>
      </c>
      <c r="E342">
        <v>1.5675011968373034E-2</v>
      </c>
    </row>
    <row r="343" spans="1:5" x14ac:dyDescent="0.3">
      <c r="A343" s="4">
        <v>45110</v>
      </c>
      <c r="B343">
        <v>9.970561062041498E-3</v>
      </c>
      <c r="C343">
        <v>5.3685061180379313E-3</v>
      </c>
      <c r="D343">
        <v>8.0122381838922084E-3</v>
      </c>
      <c r="E343">
        <v>4.9962368628362281E-3</v>
      </c>
    </row>
    <row r="344" spans="1:5" x14ac:dyDescent="0.3">
      <c r="A344" s="4">
        <v>45112</v>
      </c>
      <c r="B344">
        <v>-1.7366146861456301E-2</v>
      </c>
      <c r="C344">
        <v>-3.3573568750470684E-2</v>
      </c>
      <c r="D344">
        <v>-6.6838216096638181E-3</v>
      </c>
      <c r="E344">
        <v>-1.7064383197599707E-3</v>
      </c>
    </row>
    <row r="345" spans="1:5" x14ac:dyDescent="0.3">
      <c r="A345" s="4">
        <v>45113</v>
      </c>
      <c r="B345">
        <v>-3.4434166989804157E-2</v>
      </c>
      <c r="C345">
        <v>-1.674966446292999E-2</v>
      </c>
      <c r="D345">
        <v>-9.9358404805029964E-3</v>
      </c>
      <c r="E345">
        <v>-1.6435129018375855E-3</v>
      </c>
    </row>
    <row r="346" spans="1:5" x14ac:dyDescent="0.3">
      <c r="A346" s="4">
        <v>45114</v>
      </c>
      <c r="B346">
        <v>4.6534254308492451E-2</v>
      </c>
      <c r="C346">
        <v>-3.7605920620569343E-3</v>
      </c>
      <c r="D346">
        <v>7.8595537989252888E-3</v>
      </c>
      <c r="E346">
        <v>-2.1211577034740411E-2</v>
      </c>
    </row>
    <row r="347" spans="1:5" x14ac:dyDescent="0.3">
      <c r="A347" s="4">
        <v>45117</v>
      </c>
      <c r="B347">
        <v>1.4653159331971721E-3</v>
      </c>
      <c r="C347">
        <v>2.7560192539577821E-2</v>
      </c>
      <c r="D347">
        <v>5.5960685013941086E-3</v>
      </c>
      <c r="E347">
        <v>4.0308623410596111E-4</v>
      </c>
    </row>
    <row r="348" spans="1:5" x14ac:dyDescent="0.3">
      <c r="A348" s="4">
        <v>45118</v>
      </c>
      <c r="B348">
        <v>1.5981819733398173E-2</v>
      </c>
      <c r="C348">
        <v>1.6959571062532278E-2</v>
      </c>
      <c r="D348">
        <v>1.5517945211019232E-2</v>
      </c>
      <c r="E348">
        <v>-5.2535252724352655E-3</v>
      </c>
    </row>
    <row r="349" spans="1:5" x14ac:dyDescent="0.3">
      <c r="A349" s="4">
        <v>45119</v>
      </c>
      <c r="B349">
        <v>1.0324357776400735E-2</v>
      </c>
      <c r="C349">
        <v>2.0214782979053776E-2</v>
      </c>
      <c r="D349">
        <v>4.9396056026295484E-3</v>
      </c>
      <c r="E349">
        <v>5.1863669258650135E-3</v>
      </c>
    </row>
    <row r="350" spans="1:5" x14ac:dyDescent="0.3">
      <c r="A350" s="4">
        <v>45120</v>
      </c>
      <c r="B350">
        <v>4.5728502465707706E-2</v>
      </c>
      <c r="C350">
        <v>-3.2422359327285545E-3</v>
      </c>
      <c r="D350">
        <v>4.8481956137652821E-3</v>
      </c>
      <c r="E350">
        <v>6.7158583726788376E-4</v>
      </c>
    </row>
    <row r="351" spans="1:5" x14ac:dyDescent="0.3">
      <c r="A351" s="4">
        <v>45121</v>
      </c>
      <c r="B351">
        <v>-6.0965504802762513E-2</v>
      </c>
      <c r="C351">
        <v>-2.1487013336388538E-2</v>
      </c>
      <c r="D351">
        <v>6.0273933397997316E-3</v>
      </c>
      <c r="E351">
        <v>7.3577608661280084E-3</v>
      </c>
    </row>
    <row r="352" spans="1:5" x14ac:dyDescent="0.3">
      <c r="A352" s="4">
        <v>45124</v>
      </c>
      <c r="B352">
        <v>2.996388643199718E-2</v>
      </c>
      <c r="C352">
        <v>3.6141332749824416E-2</v>
      </c>
      <c r="D352">
        <v>2.3817745940422162E-2</v>
      </c>
      <c r="E352">
        <v>-7.0893348445127931E-3</v>
      </c>
    </row>
    <row r="353" spans="1:5" x14ac:dyDescent="0.3">
      <c r="A353" s="4">
        <v>45125</v>
      </c>
      <c r="B353">
        <v>-1.5012285061523183E-2</v>
      </c>
      <c r="C353">
        <v>3.7754640560943688E-3</v>
      </c>
      <c r="D353">
        <v>1.8238297216202953E-3</v>
      </c>
      <c r="E353">
        <v>1.87758180299963E-3</v>
      </c>
    </row>
    <row r="354" spans="1:5" x14ac:dyDescent="0.3">
      <c r="A354" s="4">
        <v>45126</v>
      </c>
      <c r="B354">
        <v>-5.7243243113712155E-3</v>
      </c>
      <c r="C354">
        <v>-1.1603892149333415E-3</v>
      </c>
      <c r="D354">
        <v>3.8322995082758155E-3</v>
      </c>
      <c r="E354">
        <v>6.8099826262287668E-3</v>
      </c>
    </row>
    <row r="355" spans="1:5" x14ac:dyDescent="0.3">
      <c r="A355" s="4">
        <v>45127</v>
      </c>
      <c r="B355">
        <v>-6.4002665783725071E-2</v>
      </c>
      <c r="C355">
        <v>-3.2141963189079116E-2</v>
      </c>
      <c r="D355">
        <v>1.2242329352316327E-2</v>
      </c>
      <c r="E355">
        <v>8.0758802812686478E-3</v>
      </c>
    </row>
    <row r="356" spans="1:5" x14ac:dyDescent="0.3">
      <c r="A356" s="4">
        <v>45128</v>
      </c>
      <c r="B356">
        <v>2.1193661722720289E-2</v>
      </c>
      <c r="C356">
        <v>1.9291279260143974E-2</v>
      </c>
      <c r="D356">
        <v>-7.7144696098071681E-3</v>
      </c>
      <c r="E356">
        <v>1.5618593441641418E-2</v>
      </c>
    </row>
    <row r="357" spans="1:5" x14ac:dyDescent="0.3">
      <c r="A357" s="4">
        <v>45131</v>
      </c>
      <c r="B357">
        <v>1.1023467613540179E-2</v>
      </c>
      <c r="C357">
        <v>-1.1529872148964894E-2</v>
      </c>
      <c r="D357">
        <v>1.9492455081382677E-2</v>
      </c>
      <c r="E357">
        <v>3.1989529788441018E-3</v>
      </c>
    </row>
    <row r="358" spans="1:5" x14ac:dyDescent="0.3">
      <c r="A358" s="4">
        <v>45132</v>
      </c>
      <c r="B358">
        <v>5.3645985184067629E-2</v>
      </c>
      <c r="C358">
        <v>1.3878676782904092E-2</v>
      </c>
      <c r="D358">
        <v>-7.4963300833585681E-3</v>
      </c>
      <c r="E358">
        <v>2.3437714696484791E-3</v>
      </c>
    </row>
    <row r="359" spans="1:5" x14ac:dyDescent="0.3">
      <c r="A359" s="4">
        <v>45133</v>
      </c>
      <c r="B359">
        <v>-2.186044873660288E-2</v>
      </c>
      <c r="C359">
        <v>7.5958833072817629E-3</v>
      </c>
      <c r="D359">
        <v>5.9761363814711975E-3</v>
      </c>
      <c r="E359">
        <v>1.0400471031919573E-3</v>
      </c>
    </row>
    <row r="360" spans="1:5" x14ac:dyDescent="0.3">
      <c r="A360" s="4">
        <v>45134</v>
      </c>
      <c r="B360">
        <v>-2.705600299704998E-2</v>
      </c>
      <c r="C360">
        <v>5.5145423316912117E-3</v>
      </c>
      <c r="D360">
        <v>-1.1090626505596266E-2</v>
      </c>
      <c r="E360">
        <v>-1.1959108954788999E-2</v>
      </c>
    </row>
    <row r="361" spans="1:5" x14ac:dyDescent="0.3">
      <c r="A361" s="4">
        <v>45135</v>
      </c>
      <c r="B361">
        <v>2.4757298457108983E-2</v>
      </c>
      <c r="C361">
        <v>6.390508247065417E-2</v>
      </c>
      <c r="D361">
        <v>5.68821091747448E-3</v>
      </c>
      <c r="E361">
        <v>2.7876930722669356E-2</v>
      </c>
    </row>
    <row r="362" spans="1:5" x14ac:dyDescent="0.3">
      <c r="A362" s="4">
        <v>45138</v>
      </c>
      <c r="B362">
        <v>4.0315442056585077E-2</v>
      </c>
      <c r="C362">
        <v>-2.92031233748235E-2</v>
      </c>
      <c r="D362">
        <v>6.6695645230251156E-3</v>
      </c>
      <c r="E362">
        <v>-7.0350090116888422E-4</v>
      </c>
    </row>
    <row r="363" spans="1:5" x14ac:dyDescent="0.3">
      <c r="A363" s="4">
        <v>45139</v>
      </c>
      <c r="B363">
        <v>-2.8305051906015621E-2</v>
      </c>
      <c r="C363">
        <v>8.381310001102575E-4</v>
      </c>
      <c r="D363">
        <v>-4.9503744364106008E-3</v>
      </c>
      <c r="E363">
        <v>-3.2011357436312083E-4</v>
      </c>
    </row>
    <row r="364" spans="1:5" x14ac:dyDescent="0.3">
      <c r="A364" s="4">
        <v>45140</v>
      </c>
      <c r="B364">
        <v>-3.6177955294945857E-2</v>
      </c>
      <c r="C364">
        <v>-4.0181829124139375E-2</v>
      </c>
      <c r="D364">
        <v>-1.1389188191884666E-2</v>
      </c>
      <c r="E364">
        <v>2.1737195378961354E-3</v>
      </c>
    </row>
    <row r="365" spans="1:5" x14ac:dyDescent="0.3">
      <c r="A365" s="4">
        <v>45141</v>
      </c>
      <c r="B365">
        <v>1.665934151457938E-2</v>
      </c>
      <c r="C365">
        <v>1.3860786050488242E-2</v>
      </c>
      <c r="D365">
        <v>6.094697887183898E-3</v>
      </c>
      <c r="E365">
        <v>2.6148710863427424E-3</v>
      </c>
    </row>
    <row r="366" spans="1:5" x14ac:dyDescent="0.3">
      <c r="A366" s="4">
        <v>45142</v>
      </c>
      <c r="B366">
        <v>-1.6070252465120061E-2</v>
      </c>
      <c r="C366">
        <v>1.1304556604859373E-2</v>
      </c>
      <c r="D366">
        <v>-2.1129106993881034E-3</v>
      </c>
      <c r="E366">
        <v>-1.1015962225639218E-2</v>
      </c>
    </row>
    <row r="367" spans="1:5" x14ac:dyDescent="0.3">
      <c r="A367" s="4">
        <v>45145</v>
      </c>
      <c r="B367">
        <v>6.1847710830702715E-3</v>
      </c>
      <c r="C367">
        <v>2.5578277454752119E-3</v>
      </c>
      <c r="D367">
        <v>4.7317835435594612E-3</v>
      </c>
      <c r="E367">
        <v>1.0506209278320073E-2</v>
      </c>
    </row>
    <row r="368" spans="1:5" x14ac:dyDescent="0.3">
      <c r="A368" s="4">
        <v>45146</v>
      </c>
      <c r="B368">
        <v>-2.4670602007349173E-2</v>
      </c>
      <c r="C368">
        <v>-5.9786654138822368E-3</v>
      </c>
      <c r="D368">
        <v>-5.62948887885888E-3</v>
      </c>
      <c r="E368">
        <v>1.0828098306258501E-3</v>
      </c>
    </row>
    <row r="369" spans="1:5" x14ac:dyDescent="0.3">
      <c r="A369" s="4">
        <v>45147</v>
      </c>
      <c r="B369">
        <v>1.1668010376134196E-2</v>
      </c>
      <c r="C369">
        <v>-2.135726078823209E-2</v>
      </c>
      <c r="D369">
        <v>-1.3498534239807661E-2</v>
      </c>
      <c r="E369">
        <v>-1.2739131735508306E-3</v>
      </c>
    </row>
    <row r="370" spans="1:5" x14ac:dyDescent="0.3">
      <c r="A370" s="4">
        <v>45148</v>
      </c>
      <c r="B370">
        <v>-2.2256482387561331E-2</v>
      </c>
      <c r="C370">
        <v>1.1601237958641784E-2</v>
      </c>
      <c r="D370">
        <v>-1.4965593806079544E-3</v>
      </c>
      <c r="E370">
        <v>-4.9840789305886403E-3</v>
      </c>
    </row>
    <row r="371" spans="1:5" x14ac:dyDescent="0.3">
      <c r="A371" s="4">
        <v>45149</v>
      </c>
      <c r="B371">
        <v>-2.8379546004740845E-2</v>
      </c>
      <c r="C371">
        <v>6.0371022884165727E-3</v>
      </c>
      <c r="D371">
        <v>5.7790062692261402E-3</v>
      </c>
      <c r="E371">
        <v>5.8123167435315407E-3</v>
      </c>
    </row>
    <row r="372" spans="1:5" x14ac:dyDescent="0.3">
      <c r="A372" s="4">
        <v>45152</v>
      </c>
      <c r="B372">
        <v>-7.2224612316493476E-3</v>
      </c>
      <c r="C372">
        <v>2.2390062293519433E-2</v>
      </c>
      <c r="D372">
        <v>2.0697291013479632E-3</v>
      </c>
      <c r="E372">
        <v>-7.8642749757893999E-3</v>
      </c>
    </row>
    <row r="373" spans="1:5" x14ac:dyDescent="0.3">
      <c r="A373" s="4">
        <v>45153</v>
      </c>
      <c r="B373">
        <v>-4.4795704802693077E-2</v>
      </c>
      <c r="C373">
        <v>-2.583545358815606E-2</v>
      </c>
      <c r="D373">
        <v>-2.5786830600930892E-2</v>
      </c>
      <c r="E373">
        <v>-6.4396430001479356E-3</v>
      </c>
    </row>
    <row r="374" spans="1:5" x14ac:dyDescent="0.3">
      <c r="A374" s="4">
        <v>45154</v>
      </c>
      <c r="B374">
        <v>-3.4538255674855287E-2</v>
      </c>
      <c r="C374">
        <v>-3.6314568258846477E-2</v>
      </c>
      <c r="D374">
        <v>-4.2521576774853164E-3</v>
      </c>
      <c r="E374">
        <v>-1.0259655940396724E-2</v>
      </c>
    </row>
    <row r="375" spans="1:5" x14ac:dyDescent="0.3">
      <c r="A375" s="4">
        <v>45155</v>
      </c>
      <c r="B375">
        <v>-6.8470210946985953E-3</v>
      </c>
      <c r="C375">
        <v>-2.874168078657123E-2</v>
      </c>
      <c r="D375">
        <v>-1.0441211673098652E-2</v>
      </c>
      <c r="E375">
        <v>-7.2057144777409382E-3</v>
      </c>
    </row>
    <row r="376" spans="1:5" x14ac:dyDescent="0.3">
      <c r="A376" s="4">
        <v>45156</v>
      </c>
      <c r="B376">
        <v>-4.820789735520685E-3</v>
      </c>
      <c r="C376">
        <v>5.2041238994554265E-3</v>
      </c>
      <c r="D376">
        <v>2.285007634837302E-3</v>
      </c>
      <c r="E376">
        <v>2.8228383228301925E-3</v>
      </c>
    </row>
    <row r="377" spans="1:5" x14ac:dyDescent="0.3">
      <c r="A377" s="4">
        <v>45159</v>
      </c>
      <c r="B377">
        <v>-1.3204026004243441E-2</v>
      </c>
      <c r="C377">
        <v>1.1838180732909551E-2</v>
      </c>
      <c r="D377">
        <v>3.4176496051025835E-3</v>
      </c>
      <c r="E377">
        <v>-5.06051741385134E-3</v>
      </c>
    </row>
    <row r="378" spans="1:5" x14ac:dyDescent="0.3">
      <c r="A378" s="4">
        <v>45160</v>
      </c>
      <c r="B378">
        <v>6.6239806055109745E-3</v>
      </c>
      <c r="C378">
        <v>-7.5722784056495079E-3</v>
      </c>
      <c r="D378">
        <v>-2.0956666607502762E-2</v>
      </c>
      <c r="E378">
        <v>3.9519363935055282E-4</v>
      </c>
    </row>
    <row r="379" spans="1:5" x14ac:dyDescent="0.3">
      <c r="A379" s="4">
        <v>45161</v>
      </c>
      <c r="B379">
        <v>1.0417639430579174E-3</v>
      </c>
      <c r="C379">
        <v>3.2603380863910125E-2</v>
      </c>
      <c r="D379">
        <v>6.7404811280580542E-3</v>
      </c>
      <c r="E379">
        <v>9.3090494139649246E-3</v>
      </c>
    </row>
    <row r="380" spans="1:5" x14ac:dyDescent="0.3">
      <c r="A380" s="4">
        <v>45162</v>
      </c>
      <c r="B380">
        <v>-2.0849636019504504E-3</v>
      </c>
      <c r="C380">
        <v>-4.1766767412847197E-2</v>
      </c>
      <c r="D380">
        <v>-9.5042193306272768E-4</v>
      </c>
      <c r="E380">
        <v>-4.6437256394641548E-3</v>
      </c>
    </row>
    <row r="381" spans="1:5" x14ac:dyDescent="0.3">
      <c r="A381" s="4">
        <v>45163</v>
      </c>
      <c r="B381">
        <v>-1.8252590930229681E-2</v>
      </c>
      <c r="C381">
        <v>2.0049448640320929E-2</v>
      </c>
      <c r="D381">
        <v>-1.2233490956174336E-3</v>
      </c>
      <c r="E381">
        <v>6.5343197372696371E-3</v>
      </c>
    </row>
    <row r="382" spans="1:5" x14ac:dyDescent="0.3">
      <c r="A382" s="4">
        <v>45166</v>
      </c>
      <c r="B382">
        <v>8.8169644426744961E-3</v>
      </c>
      <c r="C382">
        <v>1.1066374020571024E-2</v>
      </c>
      <c r="D382">
        <v>3.4621960551295024E-3</v>
      </c>
      <c r="E382">
        <v>1.5619037914975274E-3</v>
      </c>
    </row>
    <row r="383" spans="1:5" x14ac:dyDescent="0.3">
      <c r="A383" s="4">
        <v>45167</v>
      </c>
      <c r="B383">
        <v>3.8910274932232522E-2</v>
      </c>
      <c r="C383">
        <v>2.0315768493447663E-2</v>
      </c>
      <c r="D383">
        <v>8.0994653693928376E-3</v>
      </c>
      <c r="E383">
        <v>5.8505264295187975E-4</v>
      </c>
    </row>
    <row r="384" spans="1:5" x14ac:dyDescent="0.3">
      <c r="A384" s="4">
        <v>45168</v>
      </c>
      <c r="B384">
        <v>-3.3831345224250354E-3</v>
      </c>
      <c r="C384">
        <v>6.3914176517312826E-3</v>
      </c>
      <c r="D384">
        <v>-4.0414641278089898E-3</v>
      </c>
      <c r="E384">
        <v>1.1041956309011209E-3</v>
      </c>
    </row>
    <row r="385" spans="1:5" x14ac:dyDescent="0.3">
      <c r="A385" s="4">
        <v>45169</v>
      </c>
      <c r="B385">
        <v>1.9131459693721521E-2</v>
      </c>
      <c r="C385">
        <v>1.7511750065785626E-2</v>
      </c>
      <c r="D385">
        <v>-1.2428545393963692E-2</v>
      </c>
      <c r="E385">
        <v>1.9456690779998235E-3</v>
      </c>
    </row>
    <row r="386" spans="1:5" x14ac:dyDescent="0.3">
      <c r="A386" s="4">
        <v>45170</v>
      </c>
      <c r="B386">
        <v>3.3347268144848091E-2</v>
      </c>
      <c r="C386">
        <v>4.0981340540612324E-2</v>
      </c>
      <c r="D386">
        <v>3.343071619481454E-3</v>
      </c>
      <c r="E386">
        <v>1.1009005044916897E-3</v>
      </c>
    </row>
    <row r="387" spans="1:5" x14ac:dyDescent="0.3">
      <c r="A387" s="4">
        <v>45174</v>
      </c>
      <c r="B387">
        <v>-2.6390367704560651E-2</v>
      </c>
      <c r="C387">
        <v>2.7277440220628592E-3</v>
      </c>
      <c r="D387">
        <v>-1.1095255417620761E-2</v>
      </c>
      <c r="E387">
        <v>-1.3487761433555175E-2</v>
      </c>
    </row>
    <row r="388" spans="1:5" x14ac:dyDescent="0.3">
      <c r="A388" s="4">
        <v>45175</v>
      </c>
      <c r="B388">
        <v>-2.9754618748702461E-3</v>
      </c>
      <c r="C388">
        <v>7.3280668452892685E-3</v>
      </c>
      <c r="D388">
        <v>-1.6541763050943628E-3</v>
      </c>
      <c r="E388">
        <v>-1.9698770349643041E-3</v>
      </c>
    </row>
    <row r="389" spans="1:5" x14ac:dyDescent="0.3">
      <c r="A389" s="4">
        <v>45176</v>
      </c>
      <c r="B389">
        <v>-5.9693880109905013E-2</v>
      </c>
      <c r="C389">
        <v>3.1934551430846565E-2</v>
      </c>
      <c r="D389">
        <v>-8.5909951201315268E-3</v>
      </c>
      <c r="E389">
        <v>9.4856135823332393E-3</v>
      </c>
    </row>
    <row r="390" spans="1:5" x14ac:dyDescent="0.3">
      <c r="A390" s="4">
        <v>45177</v>
      </c>
      <c r="B390">
        <v>-1.2378537752834288E-2</v>
      </c>
      <c r="C390">
        <v>-4.4625980461388678E-3</v>
      </c>
      <c r="D390">
        <v>7.6511909624534631E-4</v>
      </c>
      <c r="E390">
        <v>-4.3065174186506837E-3</v>
      </c>
    </row>
    <row r="391" spans="1:5" x14ac:dyDescent="0.3">
      <c r="A391" s="4">
        <v>45180</v>
      </c>
      <c r="B391">
        <v>2.0430332971638255E-2</v>
      </c>
      <c r="C391">
        <v>1.5143904964972145E-2</v>
      </c>
      <c r="D391">
        <v>4.3706571652792616E-3</v>
      </c>
      <c r="E391">
        <v>1.1830648175321794E-2</v>
      </c>
    </row>
    <row r="392" spans="1:5" x14ac:dyDescent="0.3">
      <c r="A392" s="4">
        <v>45181</v>
      </c>
      <c r="B392">
        <v>-1.6878097389813818E-2</v>
      </c>
      <c r="C392">
        <v>6.9723053044893381E-3</v>
      </c>
      <c r="D392">
        <v>1.2929943604463767E-2</v>
      </c>
      <c r="E392">
        <v>-1.7732997071376658E-2</v>
      </c>
    </row>
    <row r="393" spans="1:5" x14ac:dyDescent="0.3">
      <c r="A393" s="4">
        <v>45182</v>
      </c>
      <c r="B393">
        <v>1.5831608785275491E-2</v>
      </c>
      <c r="C393">
        <v>-3.8674420342875195E-3</v>
      </c>
      <c r="D393">
        <v>4.7828321960050849E-4</v>
      </c>
      <c r="E393">
        <v>6.9480413806729284E-3</v>
      </c>
    </row>
    <row r="394" spans="1:5" x14ac:dyDescent="0.3">
      <c r="A394" s="4">
        <v>45183</v>
      </c>
      <c r="B394">
        <v>5.2357308569474417E-2</v>
      </c>
      <c r="C394">
        <v>-1.0340571353671284E-3</v>
      </c>
      <c r="D394">
        <v>1.9211845583000764E-2</v>
      </c>
      <c r="E394">
        <v>1.0914254601566765E-2</v>
      </c>
    </row>
    <row r="395" spans="1:5" x14ac:dyDescent="0.3">
      <c r="A395" s="4">
        <v>45184</v>
      </c>
      <c r="B395">
        <v>-4.5400735083372189E-2</v>
      </c>
      <c r="C395">
        <v>-2.0640586640447871E-2</v>
      </c>
      <c r="D395">
        <v>-2.9524256858183481E-3</v>
      </c>
      <c r="E395">
        <v>-8.4350426358503136E-3</v>
      </c>
    </row>
    <row r="396" spans="1:5" x14ac:dyDescent="0.3">
      <c r="A396" s="4">
        <v>45187</v>
      </c>
      <c r="B396">
        <v>0</v>
      </c>
      <c r="C396">
        <v>2.8997237041765646E-3</v>
      </c>
      <c r="D396">
        <v>2.0809353840376653E-3</v>
      </c>
      <c r="E396">
        <v>3.7720835399395066E-3</v>
      </c>
    </row>
    <row r="397" spans="1:5" x14ac:dyDescent="0.3">
      <c r="A397" s="4">
        <v>45188</v>
      </c>
      <c r="B397">
        <v>-1.7835731177588441E-2</v>
      </c>
      <c r="C397">
        <v>-4.4404015455152004E-2</v>
      </c>
      <c r="D397">
        <v>-1.2749377597584925E-3</v>
      </c>
      <c r="E397">
        <v>-2.9254626186751074E-3</v>
      </c>
    </row>
    <row r="398" spans="1:5" x14ac:dyDescent="0.3">
      <c r="A398" s="4">
        <v>45189</v>
      </c>
      <c r="B398">
        <v>3.6039713828810903E-2</v>
      </c>
      <c r="C398">
        <v>-4.6467723790537617E-2</v>
      </c>
      <c r="D398">
        <v>-4.2390611001637928E-3</v>
      </c>
      <c r="E398">
        <v>-8.4662092126433811E-4</v>
      </c>
    </row>
    <row r="399" spans="1:5" x14ac:dyDescent="0.3">
      <c r="A399" s="4">
        <v>45190</v>
      </c>
      <c r="B399">
        <v>-5.2763073284344764E-2</v>
      </c>
      <c r="C399">
        <v>-1.1536662830911914E-3</v>
      </c>
      <c r="D399">
        <v>-7.852829008667777E-3</v>
      </c>
      <c r="E399">
        <v>-8.7040006140170004E-3</v>
      </c>
    </row>
    <row r="400" spans="1:5" x14ac:dyDescent="0.3">
      <c r="A400" s="4">
        <v>45191</v>
      </c>
      <c r="B400">
        <v>1.7075890873897038E-2</v>
      </c>
      <c r="C400">
        <v>-1.3657033929840032E-2</v>
      </c>
      <c r="D400">
        <v>-9.628891587236366E-3</v>
      </c>
      <c r="E400">
        <v>-3.6875763456425269E-3</v>
      </c>
    </row>
    <row r="401" spans="1:5" x14ac:dyDescent="0.3">
      <c r="A401" s="4">
        <v>45194</v>
      </c>
      <c r="B401">
        <v>-6.2588487747177859E-2</v>
      </c>
      <c r="C401">
        <v>3.2131166897258127E-3</v>
      </c>
      <c r="D401">
        <v>4.9285068768913348E-3</v>
      </c>
      <c r="E401">
        <v>-6.0878813974303793E-3</v>
      </c>
    </row>
    <row r="402" spans="1:5" x14ac:dyDescent="0.3">
      <c r="A402" s="4">
        <v>45195</v>
      </c>
      <c r="B402">
        <v>-2.934083908859611E-2</v>
      </c>
      <c r="C402">
        <v>-1.3505712293891581E-2</v>
      </c>
      <c r="D402">
        <v>-1.0433141460817853E-2</v>
      </c>
      <c r="E402">
        <v>-8.9339299225808556E-3</v>
      </c>
    </row>
    <row r="403" spans="1:5" x14ac:dyDescent="0.3">
      <c r="A403" s="4">
        <v>45196</v>
      </c>
      <c r="B403">
        <v>1.3061888605480841E-2</v>
      </c>
      <c r="C403">
        <v>2.2794630767633248E-2</v>
      </c>
      <c r="D403">
        <v>5.8476789218244061E-3</v>
      </c>
      <c r="E403">
        <v>-1.3348996353871231E-2</v>
      </c>
    </row>
    <row r="404" spans="1:5" x14ac:dyDescent="0.3">
      <c r="A404" s="4">
        <v>45197</v>
      </c>
      <c r="B404">
        <v>7.1432700309048219E-2</v>
      </c>
      <c r="C404">
        <v>1.6335039680161485E-2</v>
      </c>
      <c r="D404">
        <v>1.2339518067003842E-2</v>
      </c>
      <c r="E404">
        <v>-6.8101502459126453E-3</v>
      </c>
    </row>
    <row r="405" spans="1:5" x14ac:dyDescent="0.3">
      <c r="A405" s="4">
        <v>45198</v>
      </c>
      <c r="B405">
        <v>3.2170368205714631E-2</v>
      </c>
      <c r="C405">
        <v>1.0462430134711445E-2</v>
      </c>
      <c r="D405">
        <v>-1.7566422993997442E-2</v>
      </c>
      <c r="E405">
        <v>-3.2853137383545596E-3</v>
      </c>
    </row>
    <row r="406" spans="1:5" x14ac:dyDescent="0.3">
      <c r="A406" s="4">
        <v>45201</v>
      </c>
      <c r="B406">
        <v>-7.5991992948805376E-3</v>
      </c>
      <c r="C406">
        <v>-2.5347744249861427E-3</v>
      </c>
      <c r="D406">
        <v>-8.6569371600125535E-3</v>
      </c>
      <c r="E406">
        <v>-4.6040329140434981E-3</v>
      </c>
    </row>
    <row r="407" spans="1:5" x14ac:dyDescent="0.3">
      <c r="A407" s="4">
        <v>45202</v>
      </c>
      <c r="B407">
        <v>-4.2137643513874105E-2</v>
      </c>
      <c r="C407">
        <v>6.4650615405753417E-3</v>
      </c>
      <c r="D407">
        <v>-7.40015115006402E-3</v>
      </c>
      <c r="E407">
        <v>2.064143993420019E-3</v>
      </c>
    </row>
    <row r="408" spans="1:5" x14ac:dyDescent="0.3">
      <c r="A408" s="4">
        <v>45203</v>
      </c>
      <c r="B408">
        <v>-1.7880211846031134E-2</v>
      </c>
      <c r="C408">
        <v>6.7022240121297205E-3</v>
      </c>
      <c r="D408">
        <v>4.4746735661710755E-3</v>
      </c>
      <c r="E408">
        <v>3.2937936820816699E-3</v>
      </c>
    </row>
    <row r="409" spans="1:5" x14ac:dyDescent="0.3">
      <c r="A409" s="4">
        <v>45204</v>
      </c>
      <c r="B409">
        <v>-2.3469497472772972E-2</v>
      </c>
      <c r="C409">
        <v>-1.1141094582346914E-3</v>
      </c>
      <c r="D409">
        <v>4.2074888456776465E-3</v>
      </c>
      <c r="E409">
        <v>-1.4977769936345369E-2</v>
      </c>
    </row>
    <row r="410" spans="1:5" x14ac:dyDescent="0.3">
      <c r="A410" s="4">
        <v>45205</v>
      </c>
      <c r="B410">
        <v>2.3101147462136089E-2</v>
      </c>
      <c r="C410">
        <v>8.3243319019600422E-3</v>
      </c>
      <c r="D410">
        <v>1.5278094461576788E-2</v>
      </c>
      <c r="E410">
        <v>2.0146413510072742E-3</v>
      </c>
    </row>
    <row r="411" spans="1:5" x14ac:dyDescent="0.3">
      <c r="A411" s="4">
        <v>45208</v>
      </c>
      <c r="B411">
        <v>3.6763030154320308E-3</v>
      </c>
      <c r="C411">
        <v>-3.5987523439709145E-3</v>
      </c>
      <c r="D411">
        <v>-2.276900512686874E-3</v>
      </c>
      <c r="E411">
        <v>-5.0791639963889256E-3</v>
      </c>
    </row>
    <row r="412" spans="1:5" x14ac:dyDescent="0.3">
      <c r="A412" s="4">
        <v>45209</v>
      </c>
      <c r="B412">
        <v>3.4268488853368327E-2</v>
      </c>
      <c r="C412">
        <v>1.0208406802976563E-2</v>
      </c>
      <c r="D412">
        <v>6.0601597316149993E-3</v>
      </c>
      <c r="E412">
        <v>9.8564149096197554E-3</v>
      </c>
    </row>
    <row r="413" spans="1:5" x14ac:dyDescent="0.3">
      <c r="A413" s="4">
        <v>45210</v>
      </c>
      <c r="B413">
        <v>-5.6899360986330067E-3</v>
      </c>
      <c r="C413">
        <v>1.2276943896701442E-2</v>
      </c>
      <c r="D413">
        <v>3.4269688963448606E-3</v>
      </c>
      <c r="E413">
        <v>-1.2370755749428601E-2</v>
      </c>
    </row>
    <row r="414" spans="1:5" x14ac:dyDescent="0.3">
      <c r="A414" s="4">
        <v>45211</v>
      </c>
      <c r="B414">
        <v>-4.150574067492064E-2</v>
      </c>
      <c r="C414">
        <v>-1.0853952630085293E-3</v>
      </c>
      <c r="D414">
        <v>-2.3289749980565729E-3</v>
      </c>
      <c r="E414">
        <v>2.2352816250239423E-3</v>
      </c>
    </row>
    <row r="415" spans="1:5" x14ac:dyDescent="0.3">
      <c r="A415" s="4">
        <v>45212</v>
      </c>
      <c r="B415">
        <v>-1.1967276021680101E-2</v>
      </c>
      <c r="C415">
        <v>-2.3898835677997093E-2</v>
      </c>
      <c r="D415">
        <v>1.4907811420177712E-2</v>
      </c>
      <c r="E415">
        <v>9.5136776078623524E-3</v>
      </c>
    </row>
    <row r="416" spans="1:5" x14ac:dyDescent="0.3">
      <c r="A416" s="4">
        <v>45215</v>
      </c>
      <c r="B416">
        <v>8.6158361085654396E-3</v>
      </c>
      <c r="C416">
        <v>1.6269553763675677E-2</v>
      </c>
      <c r="D416">
        <v>-1.0140226145402052E-3</v>
      </c>
      <c r="E416">
        <v>9.4923791194109E-3</v>
      </c>
    </row>
    <row r="417" spans="1:5" x14ac:dyDescent="0.3">
      <c r="A417" s="4">
        <v>45216</v>
      </c>
      <c r="B417">
        <v>3.5181475327529903E-2</v>
      </c>
      <c r="C417">
        <v>-1.377067352234798E-2</v>
      </c>
      <c r="D417">
        <v>-2.1667091739311327E-3</v>
      </c>
      <c r="E417">
        <v>1.2999469013880998E-3</v>
      </c>
    </row>
    <row r="418" spans="1:5" x14ac:dyDescent="0.3">
      <c r="A418" s="4">
        <v>45217</v>
      </c>
      <c r="B418">
        <v>-4.6057018181991746E-2</v>
      </c>
      <c r="C418">
        <v>-1.1715615642331987E-2</v>
      </c>
      <c r="D418">
        <v>-1.1041471014786289E-2</v>
      </c>
      <c r="E418">
        <v>2.5449462989536022E-2</v>
      </c>
    </row>
    <row r="419" spans="1:5" x14ac:dyDescent="0.3">
      <c r="A419" s="4">
        <v>45218</v>
      </c>
      <c r="B419">
        <v>-8.9895324686237052E-2</v>
      </c>
      <c r="C419">
        <v>8.4127590470407375E-4</v>
      </c>
      <c r="D419">
        <v>-4.2583151762613626E-3</v>
      </c>
      <c r="E419">
        <v>-5.6434417063065991E-3</v>
      </c>
    </row>
    <row r="420" spans="1:5" x14ac:dyDescent="0.3">
      <c r="A420" s="4">
        <v>45219</v>
      </c>
      <c r="B420">
        <v>-9.5336821186708578E-3</v>
      </c>
      <c r="C420">
        <v>-2.1250066038193165E-2</v>
      </c>
      <c r="D420">
        <v>-1.6236902717706007E-2</v>
      </c>
      <c r="E420">
        <v>-1.3499504564143821E-3</v>
      </c>
    </row>
    <row r="421" spans="1:5" x14ac:dyDescent="0.3">
      <c r="A421" s="4">
        <v>45222</v>
      </c>
      <c r="B421">
        <v>-2.5306793540798983E-2</v>
      </c>
      <c r="C421">
        <v>-3.1120843554250197E-2</v>
      </c>
      <c r="D421">
        <v>-1.3734891811564924E-2</v>
      </c>
      <c r="E421">
        <v>6.7513509852401034E-4</v>
      </c>
    </row>
    <row r="422" spans="1:5" x14ac:dyDescent="0.3">
      <c r="A422" s="4">
        <v>45223</v>
      </c>
      <c r="B422">
        <v>1.280580350273181E-3</v>
      </c>
      <c r="C422">
        <v>2.1625652809874225E-2</v>
      </c>
      <c r="D422">
        <v>1.204889407387237E-3</v>
      </c>
      <c r="E422">
        <v>1.1743082557853059E-2</v>
      </c>
    </row>
    <row r="423" spans="1:5" x14ac:dyDescent="0.3">
      <c r="A423" s="4">
        <v>45224</v>
      </c>
      <c r="B423">
        <v>1.6920934997531199E-2</v>
      </c>
      <c r="C423">
        <v>-5.2221747712588029E-2</v>
      </c>
      <c r="D423">
        <v>-5.4693391212183246E-3</v>
      </c>
      <c r="E423">
        <v>4.658998073268741E-3</v>
      </c>
    </row>
    <row r="424" spans="1:5" x14ac:dyDescent="0.3">
      <c r="A424" s="4">
        <v>45225</v>
      </c>
      <c r="B424">
        <v>-1.393913374095361E-2</v>
      </c>
      <c r="C424">
        <v>-9.4874163915610443E-3</v>
      </c>
      <c r="D424">
        <v>2.5607942854095501E-3</v>
      </c>
      <c r="E424">
        <v>-5.3262487433161131E-3</v>
      </c>
    </row>
    <row r="425" spans="1:5" x14ac:dyDescent="0.3">
      <c r="A425" s="4">
        <v>45226</v>
      </c>
      <c r="B425">
        <v>0</v>
      </c>
      <c r="C425">
        <v>8.8803391956785535E-2</v>
      </c>
      <c r="D425">
        <v>-3.668345467706164E-2</v>
      </c>
      <c r="E425">
        <v>-1.7780628557798366E-2</v>
      </c>
    </row>
    <row r="426" spans="1:5" x14ac:dyDescent="0.3">
      <c r="A426" s="4">
        <v>45229</v>
      </c>
      <c r="B426">
        <v>7.8431315773155999E-2</v>
      </c>
      <c r="C426">
        <v>4.2116745556765737E-3</v>
      </c>
      <c r="D426">
        <v>1.2669148831737212E-2</v>
      </c>
      <c r="E426">
        <v>1.4169248832695389E-2</v>
      </c>
    </row>
    <row r="427" spans="1:5" x14ac:dyDescent="0.3">
      <c r="A427" s="4">
        <v>45230</v>
      </c>
      <c r="B427">
        <v>1.2559034776493835E-2</v>
      </c>
      <c r="C427">
        <v>2.2441842426344113E-2</v>
      </c>
      <c r="D427">
        <v>1.1863498199479971E-2</v>
      </c>
      <c r="E427">
        <v>5.1456058273543839E-3</v>
      </c>
    </row>
    <row r="428" spans="1:5" x14ac:dyDescent="0.3">
      <c r="A428" s="4">
        <v>45231</v>
      </c>
      <c r="B428">
        <v>-2.4078526608786472E-2</v>
      </c>
      <c r="C428">
        <v>2.1412945061192453E-2</v>
      </c>
      <c r="D428">
        <v>-8.6327630642913733E-4</v>
      </c>
      <c r="E428">
        <v>-2.8034051597232885E-3</v>
      </c>
    </row>
    <row r="429" spans="1:5" x14ac:dyDescent="0.3">
      <c r="A429" s="4">
        <v>45232</v>
      </c>
      <c r="B429">
        <v>4.0710122501727508E-2</v>
      </c>
      <c r="C429">
        <v>1.093484858587951E-2</v>
      </c>
      <c r="D429">
        <v>1.7691992308537765E-2</v>
      </c>
      <c r="E429">
        <v>1.2157630613992705E-2</v>
      </c>
    </row>
    <row r="430" spans="1:5" x14ac:dyDescent="0.3">
      <c r="A430" s="4">
        <v>45233</v>
      </c>
      <c r="B430">
        <v>1.749094020423805E-2</v>
      </c>
      <c r="C430">
        <v>1.1603605929860742E-2</v>
      </c>
      <c r="D430">
        <v>1.1110395633933692E-2</v>
      </c>
      <c r="E430">
        <v>-9.0876407219866433E-3</v>
      </c>
    </row>
    <row r="431" spans="1:5" x14ac:dyDescent="0.3">
      <c r="A431" s="4">
        <v>45236</v>
      </c>
      <c r="B431">
        <v>-2.1334142474991286E-2</v>
      </c>
      <c r="C431">
        <v>-1.71131390025288E-3</v>
      </c>
      <c r="D431">
        <v>7.5242025205457868E-3</v>
      </c>
      <c r="E431">
        <v>5.7804879457300186E-3</v>
      </c>
    </row>
    <row r="432" spans="1:5" x14ac:dyDescent="0.3">
      <c r="A432" s="4">
        <v>45237</v>
      </c>
      <c r="B432">
        <v>-1.6696175070263799E-2</v>
      </c>
      <c r="C432">
        <v>2.1377156635988635E-2</v>
      </c>
      <c r="D432">
        <v>-4.8602208997366325E-4</v>
      </c>
      <c r="E432">
        <v>-2.3215385611702784E-3</v>
      </c>
    </row>
    <row r="433" spans="1:5" x14ac:dyDescent="0.3">
      <c r="A433" s="4">
        <v>45238</v>
      </c>
      <c r="B433">
        <v>-3.9161935100074589E-4</v>
      </c>
      <c r="C433">
        <v>-2.2168186107390655E-2</v>
      </c>
      <c r="D433">
        <v>4.918108225707798E-3</v>
      </c>
      <c r="E433">
        <v>-3.8588866796161877E-3</v>
      </c>
    </row>
    <row r="434" spans="1:5" x14ac:dyDescent="0.3">
      <c r="A434" s="4">
        <v>45239</v>
      </c>
      <c r="B434">
        <v>-3.7921127115503842E-2</v>
      </c>
      <c r="C434">
        <v>-3.1693287472525063E-3</v>
      </c>
      <c r="D434">
        <v>-2.9757842264973504E-3</v>
      </c>
      <c r="E434">
        <v>2.2639762501723603E-3</v>
      </c>
    </row>
    <row r="435" spans="1:5" x14ac:dyDescent="0.3">
      <c r="A435" s="4">
        <v>45240</v>
      </c>
      <c r="B435">
        <v>2.4380345274302557E-3</v>
      </c>
      <c r="C435">
        <v>2.7656285472900576E-2</v>
      </c>
      <c r="D435">
        <v>1.472237145514067E-2</v>
      </c>
      <c r="E435">
        <v>7.0254953538386638E-3</v>
      </c>
    </row>
    <row r="436" spans="1:5" x14ac:dyDescent="0.3">
      <c r="A436" s="4">
        <v>45243</v>
      </c>
      <c r="B436">
        <v>-1.624695727001922E-3</v>
      </c>
      <c r="C436">
        <v>-1.6344927767845352E-2</v>
      </c>
      <c r="D436">
        <v>-4.448818344082681E-3</v>
      </c>
      <c r="E436">
        <v>6.9108748849909946E-3</v>
      </c>
    </row>
    <row r="437" spans="1:5" x14ac:dyDescent="0.3">
      <c r="A437" s="4">
        <v>45244</v>
      </c>
      <c r="B437">
        <v>6.1867273603737283E-2</v>
      </c>
      <c r="C437">
        <v>3.0399008817071551E-2</v>
      </c>
      <c r="D437">
        <v>1.8082145623460156E-2</v>
      </c>
      <c r="E437">
        <v>-2.2326746282241967E-3</v>
      </c>
    </row>
    <row r="438" spans="1:5" x14ac:dyDescent="0.3">
      <c r="A438" s="4">
        <v>45245</v>
      </c>
      <c r="B438">
        <v>2.9369580812951563E-2</v>
      </c>
      <c r="C438">
        <v>2.9994679616089183E-2</v>
      </c>
      <c r="D438">
        <v>8.719668891847842E-3</v>
      </c>
      <c r="E438">
        <v>-4.6122047306813591E-3</v>
      </c>
    </row>
    <row r="439" spans="1:5" x14ac:dyDescent="0.3">
      <c r="A439" s="4">
        <v>45246</v>
      </c>
      <c r="B439">
        <v>-3.588675933352406E-2</v>
      </c>
      <c r="C439">
        <v>6.5292549872383074E-2</v>
      </c>
      <c r="D439">
        <v>1.1355145983759427E-2</v>
      </c>
      <c r="E439">
        <v>9.2688188349752364E-3</v>
      </c>
    </row>
    <row r="440" spans="1:5" x14ac:dyDescent="0.3">
      <c r="A440" s="4">
        <v>45247</v>
      </c>
      <c r="B440">
        <v>8.4259403140717962E-3</v>
      </c>
      <c r="C440">
        <v>1.0555269164156028E-2</v>
      </c>
      <c r="D440">
        <v>9.0051946275550958E-3</v>
      </c>
      <c r="E440">
        <v>-1.1582856356210329E-2</v>
      </c>
    </row>
    <row r="441" spans="1:5" x14ac:dyDescent="0.3">
      <c r="A441" s="4">
        <v>45250</v>
      </c>
      <c r="B441">
        <v>9.4895379034560315E-3</v>
      </c>
      <c r="C441">
        <v>2.1006034400124211E-2</v>
      </c>
      <c r="D441">
        <v>3.0707966043919377E-3</v>
      </c>
      <c r="E441">
        <v>-5.3096336228227944E-3</v>
      </c>
    </row>
    <row r="442" spans="1:5" x14ac:dyDescent="0.3">
      <c r="A442" s="4">
        <v>45251</v>
      </c>
      <c r="B442">
        <v>-3.0268657237771165E-3</v>
      </c>
      <c r="C442">
        <v>-2.4893902763872156E-2</v>
      </c>
      <c r="D442">
        <v>-2.0897358403754152E-3</v>
      </c>
      <c r="E442">
        <v>-4.4018485829882591E-3</v>
      </c>
    </row>
    <row r="443" spans="1:5" x14ac:dyDescent="0.3">
      <c r="A443" s="4">
        <v>45252</v>
      </c>
      <c r="B443">
        <v>-3.7900322606426241E-4</v>
      </c>
      <c r="C443">
        <v>6.8715316948884855E-4</v>
      </c>
      <c r="D443">
        <v>2.3506132226934298E-3</v>
      </c>
      <c r="E443">
        <v>9.3804964167900715E-3</v>
      </c>
    </row>
    <row r="444" spans="1:5" x14ac:dyDescent="0.3">
      <c r="A444" s="4">
        <v>45254</v>
      </c>
      <c r="B444">
        <v>-5.3211832132802721E-3</v>
      </c>
      <c r="C444">
        <v>6.6187062421499947E-3</v>
      </c>
      <c r="D444">
        <v>1.3685727262477683E-3</v>
      </c>
      <c r="E444">
        <v>2.3808156410934866E-3</v>
      </c>
    </row>
    <row r="445" spans="1:5" x14ac:dyDescent="0.3">
      <c r="A445" s="4">
        <v>45257</v>
      </c>
      <c r="B445">
        <v>2.2839751078307154E-3</v>
      </c>
      <c r="C445">
        <v>2.7262791897581244E-3</v>
      </c>
      <c r="D445">
        <v>-2.2819743096830817E-3</v>
      </c>
      <c r="E445">
        <v>-9.2517714302927756E-4</v>
      </c>
    </row>
    <row r="446" spans="1:5" x14ac:dyDescent="0.3">
      <c r="A446" s="4">
        <v>45258</v>
      </c>
      <c r="B446">
        <v>-8.4002021252667803E-3</v>
      </c>
      <c r="C446">
        <v>3.3970898949069223E-3</v>
      </c>
      <c r="D446">
        <v>2.2819743096831593E-3</v>
      </c>
      <c r="E446">
        <v>6.9184838824580654E-3</v>
      </c>
    </row>
    <row r="447" spans="1:5" x14ac:dyDescent="0.3">
      <c r="A447" s="4">
        <v>45259</v>
      </c>
      <c r="B447">
        <v>1.3709277925033363E-2</v>
      </c>
      <c r="C447">
        <v>1.5924861954271695E-2</v>
      </c>
      <c r="D447">
        <v>5.0673817634049982E-3</v>
      </c>
      <c r="E447">
        <v>-7.6461381502052131E-3</v>
      </c>
    </row>
    <row r="448" spans="1:5" x14ac:dyDescent="0.3">
      <c r="A448" s="4">
        <v>45260</v>
      </c>
      <c r="B448">
        <v>1.5760176111605913E-2</v>
      </c>
      <c r="C448">
        <v>-5.3547968908704618E-3</v>
      </c>
      <c r="D448">
        <v>1.1340302954083654E-2</v>
      </c>
      <c r="E448">
        <v>1.5690453489526194E-2</v>
      </c>
    </row>
    <row r="449" spans="1:5" x14ac:dyDescent="0.3">
      <c r="A449" s="4">
        <v>45261</v>
      </c>
      <c r="B449">
        <v>3.2237223791593883E-2</v>
      </c>
      <c r="C449">
        <v>-2.1710387574509386E-2</v>
      </c>
      <c r="D449">
        <v>4.8574662138168448E-3</v>
      </c>
      <c r="E449">
        <v>-5.6175412131694328E-3</v>
      </c>
    </row>
    <row r="450" spans="1:5" x14ac:dyDescent="0.3">
      <c r="A450" s="4">
        <v>45264</v>
      </c>
      <c r="B450">
        <v>-3.4100462638817573E-2</v>
      </c>
      <c r="C450">
        <v>-3.2294647914134611E-2</v>
      </c>
      <c r="D450">
        <v>7.3056122590368809E-3</v>
      </c>
      <c r="E450">
        <v>-3.9380827416722487E-3</v>
      </c>
    </row>
    <row r="451" spans="1:5" x14ac:dyDescent="0.3">
      <c r="A451" s="4">
        <v>45265</v>
      </c>
      <c r="B451">
        <v>-6.0344914574855475E-2</v>
      </c>
      <c r="C451">
        <v>-1.020554130009387E-2</v>
      </c>
      <c r="D451">
        <v>-1.2661467159962023E-4</v>
      </c>
      <c r="E451">
        <v>-3.547659268679481E-2</v>
      </c>
    </row>
    <row r="452" spans="1:5" x14ac:dyDescent="0.3">
      <c r="A452" s="4">
        <v>45266</v>
      </c>
      <c r="B452">
        <v>-4.7656960730143453E-3</v>
      </c>
      <c r="C452">
        <v>-1.5627190451134334E-2</v>
      </c>
      <c r="D452">
        <v>-1.056394803790528E-2</v>
      </c>
      <c r="E452">
        <v>-7.4980640145904537E-4</v>
      </c>
    </row>
    <row r="453" spans="1:5" x14ac:dyDescent="0.3">
      <c r="A453" s="4">
        <v>45267</v>
      </c>
      <c r="B453">
        <v>-7.191401348107561E-3</v>
      </c>
      <c r="C453">
        <v>2.1098887787740842E-2</v>
      </c>
      <c r="D453">
        <v>3.0660621552330261E-3</v>
      </c>
      <c r="E453">
        <v>-1.0233077140716601E-3</v>
      </c>
    </row>
    <row r="454" spans="1:5" x14ac:dyDescent="0.3">
      <c r="A454" s="4">
        <v>45268</v>
      </c>
      <c r="B454">
        <v>3.2025647868746338E-3</v>
      </c>
      <c r="C454">
        <v>1.29644110400571E-2</v>
      </c>
      <c r="D454">
        <v>1.0973516927190266E-2</v>
      </c>
      <c r="E454">
        <v>-9.2578231692963513E-3</v>
      </c>
    </row>
    <row r="455" spans="1:5" x14ac:dyDescent="0.3">
      <c r="A455" s="4">
        <v>45271</v>
      </c>
      <c r="B455">
        <v>-3.6036075032985443E-3</v>
      </c>
      <c r="C455">
        <v>4.2188682321314577E-2</v>
      </c>
      <c r="D455">
        <v>3.6521324327763753E-3</v>
      </c>
      <c r="E455">
        <v>4.605327179265992E-3</v>
      </c>
    </row>
    <row r="456" spans="1:5" x14ac:dyDescent="0.3">
      <c r="A456" s="4">
        <v>45272</v>
      </c>
      <c r="B456">
        <v>-3.5936900983696299E-2</v>
      </c>
      <c r="C456">
        <v>-1.128937891417519E-2</v>
      </c>
      <c r="D456">
        <v>8.885688535113876E-3</v>
      </c>
      <c r="E456">
        <v>8.2261532350259208E-4</v>
      </c>
    </row>
    <row r="457" spans="1:5" x14ac:dyDescent="0.3">
      <c r="A457" s="4">
        <v>45273</v>
      </c>
      <c r="B457">
        <v>7.757685210162861E-2</v>
      </c>
      <c r="C457">
        <v>1.1962651753421219E-2</v>
      </c>
      <c r="D457">
        <v>3.3583545430733762E-3</v>
      </c>
      <c r="E457">
        <v>1.7927942568101946E-2</v>
      </c>
    </row>
    <row r="458" spans="1:5" x14ac:dyDescent="0.3">
      <c r="A458" s="4">
        <v>45274</v>
      </c>
      <c r="B458">
        <v>0.14014663174324185</v>
      </c>
      <c r="C458">
        <v>1.3593585840916269E-2</v>
      </c>
      <c r="D458">
        <v>1.8028524322637383E-2</v>
      </c>
      <c r="E458">
        <v>-2.673738050527449E-2</v>
      </c>
    </row>
    <row r="459" spans="1:5" x14ac:dyDescent="0.3">
      <c r="A459" s="4">
        <v>45275</v>
      </c>
      <c r="B459">
        <v>3.9349338788547898E-2</v>
      </c>
      <c r="C459">
        <v>2.1458982566047162E-2</v>
      </c>
      <c r="D459">
        <v>7.5329272685767616E-3</v>
      </c>
      <c r="E459">
        <v>-4.8506996942137091E-3</v>
      </c>
    </row>
    <row r="460" spans="1:5" x14ac:dyDescent="0.3">
      <c r="A460" s="4">
        <v>45278</v>
      </c>
      <c r="B460">
        <v>-1.8825612768932274E-2</v>
      </c>
      <c r="C460">
        <v>-1.0234027244816927E-2</v>
      </c>
      <c r="D460">
        <v>6.0338595676648525E-3</v>
      </c>
      <c r="E460">
        <v>1.5234841988388778E-2</v>
      </c>
    </row>
    <row r="461" spans="1:5" x14ac:dyDescent="0.3">
      <c r="A461" s="4">
        <v>45279</v>
      </c>
      <c r="B461">
        <v>6.0393309891273811E-2</v>
      </c>
      <c r="C461">
        <v>2.1007700229232869E-2</v>
      </c>
      <c r="D461">
        <v>1.326669106535699E-2</v>
      </c>
      <c r="E461">
        <v>0</v>
      </c>
    </row>
    <row r="462" spans="1:5" x14ac:dyDescent="0.3">
      <c r="A462" s="4">
        <v>45280</v>
      </c>
      <c r="B462">
        <v>-5.614285392530971E-2</v>
      </c>
      <c r="C462">
        <v>-1.9476927600950319E-2</v>
      </c>
      <c r="D462">
        <v>-1.1343370156185473E-2</v>
      </c>
      <c r="E462">
        <v>-1.5582177606806618E-2</v>
      </c>
    </row>
    <row r="463" spans="1:5" x14ac:dyDescent="0.3">
      <c r="A463" s="4">
        <v>45281</v>
      </c>
      <c r="B463">
        <v>4.3728045186348395E-2</v>
      </c>
      <c r="C463">
        <v>2.8438103284130687E-2</v>
      </c>
      <c r="D463">
        <v>5.6877389628587826E-3</v>
      </c>
      <c r="E463">
        <v>2.4290986813292111E-3</v>
      </c>
    </row>
    <row r="464" spans="1:5" x14ac:dyDescent="0.3">
      <c r="A464" s="4">
        <v>45282</v>
      </c>
      <c r="B464">
        <v>5.3212126828907746E-2</v>
      </c>
      <c r="C464">
        <v>1.9352700822306786E-2</v>
      </c>
      <c r="D464">
        <v>-5.9727046776388351E-4</v>
      </c>
      <c r="E464">
        <v>7.045627777157659E-3</v>
      </c>
    </row>
    <row r="465" spans="1:5" x14ac:dyDescent="0.3">
      <c r="A465" s="4">
        <v>45286</v>
      </c>
      <c r="B465">
        <v>2.9568324322038915E-3</v>
      </c>
      <c r="C465">
        <v>5.0772250898341219E-2</v>
      </c>
      <c r="D465">
        <v>5.8966631051010319E-3</v>
      </c>
      <c r="E465">
        <v>4.5327467913170291E-3</v>
      </c>
    </row>
    <row r="466" spans="1:5" x14ac:dyDescent="0.3">
      <c r="A466" s="4">
        <v>45287</v>
      </c>
      <c r="B466">
        <v>2.7375034993667335E-2</v>
      </c>
      <c r="C466">
        <v>5.1353039826003231E-3</v>
      </c>
      <c r="D466">
        <v>5.9800039899915161E-3</v>
      </c>
      <c r="E466">
        <v>8.2193918369705826E-4</v>
      </c>
    </row>
    <row r="467" spans="1:5" x14ac:dyDescent="0.3">
      <c r="A467" s="4">
        <v>45288</v>
      </c>
      <c r="B467">
        <v>-7.4971516096688203E-3</v>
      </c>
      <c r="C467">
        <v>-7.315927091465506E-3</v>
      </c>
      <c r="D467">
        <v>5.2988982938181085E-3</v>
      </c>
      <c r="E467">
        <v>-2.2620467029803226E-3</v>
      </c>
    </row>
    <row r="468" spans="1:5" x14ac:dyDescent="0.3">
      <c r="A468" s="4">
        <v>45289</v>
      </c>
      <c r="B468">
        <v>-1.6047025597517445E-2</v>
      </c>
      <c r="C468">
        <v>-2.7821790780545308E-3</v>
      </c>
      <c r="D468">
        <v>-1.1751219584961558E-3</v>
      </c>
      <c r="E468">
        <v>5.5428581951651561E-3</v>
      </c>
    </row>
    <row r="469" spans="1:5" x14ac:dyDescent="0.3">
      <c r="A469" s="4">
        <v>45293</v>
      </c>
      <c r="B469">
        <v>-2.0502872410573077E-2</v>
      </c>
      <c r="C469">
        <v>-4.998491454010319E-2</v>
      </c>
      <c r="D469">
        <v>1.1573011606574471E-2</v>
      </c>
      <c r="E469">
        <v>1.4901433728025593E-2</v>
      </c>
    </row>
    <row r="470" spans="1:5" x14ac:dyDescent="0.3">
      <c r="A470" s="4">
        <v>45294</v>
      </c>
      <c r="B470">
        <v>-5.6187617092655073E-2</v>
      </c>
      <c r="C470">
        <v>-1.5814814939127345E-2</v>
      </c>
      <c r="D470">
        <v>-4.3680009945712486E-3</v>
      </c>
      <c r="E470">
        <v>-6.0692636428058477E-3</v>
      </c>
    </row>
    <row r="471" spans="1:5" x14ac:dyDescent="0.3">
      <c r="A471" s="4">
        <v>45295</v>
      </c>
      <c r="B471">
        <v>-1.1498050659416477E-2</v>
      </c>
      <c r="C471">
        <v>-3.8329700959705906E-3</v>
      </c>
      <c r="D471">
        <v>6.614206559013929E-3</v>
      </c>
      <c r="E471">
        <v>5.4639651375236915E-3</v>
      </c>
    </row>
    <row r="472" spans="1:5" x14ac:dyDescent="0.3">
      <c r="A472" s="4">
        <v>45296</v>
      </c>
      <c r="B472">
        <v>3.1618188674250314E-2</v>
      </c>
      <c r="C472">
        <v>4.2658803603251989E-4</v>
      </c>
      <c r="D472">
        <v>5.0046659393121898E-3</v>
      </c>
      <c r="E472">
        <v>-8.3088891505455082E-3</v>
      </c>
    </row>
    <row r="473" spans="1:5" x14ac:dyDescent="0.3">
      <c r="A473" s="4">
        <v>45299</v>
      </c>
      <c r="B473">
        <v>-1.2527567532662997E-2</v>
      </c>
      <c r="C473">
        <v>3.2727889342509822E-2</v>
      </c>
      <c r="D473">
        <v>-1.4522643349442826E-3</v>
      </c>
      <c r="E473">
        <v>8.5780161012333437E-3</v>
      </c>
    </row>
    <row r="474" spans="1:5" x14ac:dyDescent="0.3">
      <c r="A474" s="4">
        <v>45300</v>
      </c>
      <c r="B474">
        <v>6.5965371917621873E-3</v>
      </c>
      <c r="C474">
        <v>-8.2901828878928861E-3</v>
      </c>
      <c r="D474">
        <v>-7.9374760148947648E-3</v>
      </c>
      <c r="E474">
        <v>4.094090995630152E-3</v>
      </c>
    </row>
    <row r="475" spans="1:5" x14ac:dyDescent="0.3">
      <c r="A475" s="4">
        <v>45301</v>
      </c>
      <c r="B475">
        <v>-9.1209941966813174E-3</v>
      </c>
      <c r="C475">
        <v>-1.2144310536113936E-2</v>
      </c>
      <c r="D475">
        <v>2.1072356193704354E-3</v>
      </c>
      <c r="E475">
        <v>4.277553322796248E-3</v>
      </c>
    </row>
    <row r="476" spans="1:5" x14ac:dyDescent="0.3">
      <c r="A476" s="4">
        <v>45302</v>
      </c>
      <c r="B476">
        <v>-2.4629423433609725E-2</v>
      </c>
      <c r="C476">
        <v>3.5749562786439575E-3</v>
      </c>
      <c r="D476">
        <v>-4.2189210591666269E-3</v>
      </c>
      <c r="E476">
        <v>3.7941606000792766E-3</v>
      </c>
    </row>
    <row r="477" spans="1:5" x14ac:dyDescent="0.3">
      <c r="A477" s="4">
        <v>45303</v>
      </c>
      <c r="B477">
        <v>-2.7911843161336498E-2</v>
      </c>
      <c r="C477">
        <v>-1.0975199246267456E-2</v>
      </c>
      <c r="D477">
        <v>-7.3670585147475884E-3</v>
      </c>
      <c r="E477">
        <v>5.9788732003101717E-4</v>
      </c>
    </row>
    <row r="478" spans="1:5" x14ac:dyDescent="0.3">
      <c r="A478" s="4">
        <v>45307</v>
      </c>
      <c r="B478">
        <v>-7.4646040501382072E-2</v>
      </c>
      <c r="C478">
        <v>-1.2742701108477816E-3</v>
      </c>
      <c r="D478">
        <v>-6.2900158044210449E-3</v>
      </c>
      <c r="E478">
        <v>-5.3930923586051876E-3</v>
      </c>
    </row>
    <row r="479" spans="1:5" x14ac:dyDescent="0.3">
      <c r="A479" s="4">
        <v>45308</v>
      </c>
      <c r="B479">
        <v>-2.5069432770859216E-2</v>
      </c>
      <c r="C479">
        <v>-2.1478328906579604E-2</v>
      </c>
      <c r="D479">
        <v>-5.3719239434219038E-3</v>
      </c>
      <c r="E479">
        <v>1.0010444384947769E-3</v>
      </c>
    </row>
    <row r="480" spans="1:5" x14ac:dyDescent="0.3">
      <c r="A480" s="4">
        <v>45309</v>
      </c>
      <c r="B480">
        <v>-1.5946935380982144E-2</v>
      </c>
      <c r="C480">
        <v>1.4655376671611943E-2</v>
      </c>
      <c r="D480">
        <v>1.9730358258581702E-3</v>
      </c>
      <c r="E480">
        <v>-5.7818890429406763E-3</v>
      </c>
    </row>
    <row r="481" spans="1:5" x14ac:dyDescent="0.3">
      <c r="A481" s="4">
        <v>45310</v>
      </c>
      <c r="B481">
        <v>2.254761941233421E-2</v>
      </c>
      <c r="C481">
        <v>2.9720825711304546E-2</v>
      </c>
      <c r="D481">
        <v>1.7114680618834397E-2</v>
      </c>
      <c r="E481">
        <v>-3.8550653453365029E-3</v>
      </c>
    </row>
    <row r="482" spans="1:5" x14ac:dyDescent="0.3">
      <c r="A482" s="4">
        <v>45313</v>
      </c>
      <c r="B482">
        <v>9.4580552267963941E-3</v>
      </c>
      <c r="C482">
        <v>1.4528297137619043E-3</v>
      </c>
      <c r="D482">
        <v>-1.175019229252989E-3</v>
      </c>
      <c r="E482">
        <v>1.9631728891474423E-3</v>
      </c>
    </row>
    <row r="483" spans="1:5" x14ac:dyDescent="0.3">
      <c r="A483" s="4">
        <v>45314</v>
      </c>
      <c r="B483">
        <v>6.6189040973702054E-2</v>
      </c>
      <c r="C483">
        <v>1.3798758366818389E-2</v>
      </c>
      <c r="D483">
        <v>-6.6056858716617923E-3</v>
      </c>
      <c r="E483">
        <v>4.0556843720949323E-2</v>
      </c>
    </row>
    <row r="484" spans="1:5" x14ac:dyDescent="0.3">
      <c r="A484" s="4">
        <v>45315</v>
      </c>
      <c r="B484">
        <v>8.436021010043173E-3</v>
      </c>
      <c r="C484">
        <v>4.0825641665757344E-3</v>
      </c>
      <c r="D484">
        <v>8.895695973741782E-3</v>
      </c>
      <c r="E484">
        <v>-1.2153040789844529E-2</v>
      </c>
    </row>
    <row r="485" spans="1:5" x14ac:dyDescent="0.3">
      <c r="A485" s="4">
        <v>45316</v>
      </c>
      <c r="B485">
        <v>4.0241502997253268E-3</v>
      </c>
      <c r="C485">
        <v>9.327001602230248E-3</v>
      </c>
      <c r="D485">
        <v>1.4209416808712771E-2</v>
      </c>
      <c r="E485">
        <v>2.2747455128725062E-2</v>
      </c>
    </row>
    <row r="486" spans="1:5" x14ac:dyDescent="0.3">
      <c r="A486" s="4">
        <v>45317</v>
      </c>
      <c r="B486">
        <v>2.4137392692704662E-2</v>
      </c>
      <c r="C486">
        <v>-0.12677904201817744</v>
      </c>
      <c r="D486">
        <v>-3.8236533463743209E-3</v>
      </c>
      <c r="E486">
        <v>3.3359025033605836E-3</v>
      </c>
    </row>
    <row r="487" spans="1:5" x14ac:dyDescent="0.3">
      <c r="A487" s="4">
        <v>45320</v>
      </c>
      <c r="B487">
        <v>9.7530031867037632E-3</v>
      </c>
      <c r="C487">
        <v>4.3432525462369954E-3</v>
      </c>
      <c r="D487">
        <v>2.608621519283275E-3</v>
      </c>
      <c r="E487">
        <v>1.2808197263758689E-4</v>
      </c>
    </row>
    <row r="488" spans="1:5" x14ac:dyDescent="0.3">
      <c r="A488" s="4">
        <v>45321</v>
      </c>
      <c r="B488">
        <v>-9.7530031867038326E-3</v>
      </c>
      <c r="C488">
        <v>-2.12086982264225E-2</v>
      </c>
      <c r="D488">
        <v>2.0287228726669056E-2</v>
      </c>
      <c r="E488">
        <v>8.4809050177999147E-3</v>
      </c>
    </row>
    <row r="489" spans="1:5" x14ac:dyDescent="0.3">
      <c r="A489" s="4">
        <v>45322</v>
      </c>
      <c r="B489">
        <v>-2.8497620965682407E-2</v>
      </c>
      <c r="C489">
        <v>3.7211120055169506E-3</v>
      </c>
      <c r="D489">
        <v>-1.0894783061670256E-2</v>
      </c>
      <c r="E489">
        <v>-2.2248999349068787E-3</v>
      </c>
    </row>
    <row r="490" spans="1:5" x14ac:dyDescent="0.3">
      <c r="A490" s="4">
        <v>45323</v>
      </c>
      <c r="B490">
        <v>-2.0188432159702579E-3</v>
      </c>
      <c r="C490">
        <v>6.4784653262067908E-3</v>
      </c>
      <c r="D490">
        <v>-3.6197574643838564E-3</v>
      </c>
      <c r="E490">
        <v>1.2898446808063348E-2</v>
      </c>
    </row>
    <row r="491" spans="1:5" x14ac:dyDescent="0.3">
      <c r="A491" s="4">
        <v>45324</v>
      </c>
      <c r="B491">
        <v>-6.7590659484836882E-3</v>
      </c>
      <c r="C491">
        <v>-1.7683365348272924E-2</v>
      </c>
      <c r="D491">
        <v>5.7395554451388298E-3</v>
      </c>
      <c r="E491">
        <v>-6.8710834476424397E-3</v>
      </c>
    </row>
    <row r="492" spans="1:5" x14ac:dyDescent="0.3">
      <c r="A492" s="4">
        <v>45327</v>
      </c>
      <c r="B492">
        <v>-9.4157910723703789E-2</v>
      </c>
      <c r="C492">
        <v>3.9828300818551717E-3</v>
      </c>
      <c r="D492">
        <v>-1.3171837084650724E-3</v>
      </c>
      <c r="E492">
        <v>7.5883656000409153E-4</v>
      </c>
    </row>
    <row r="493" spans="1:5" x14ac:dyDescent="0.3">
      <c r="A493" s="4">
        <v>45328</v>
      </c>
      <c r="B493">
        <v>2.8646835877664961E-2</v>
      </c>
      <c r="C493">
        <v>2.2252161199288103E-3</v>
      </c>
      <c r="D493">
        <v>3.4325547595453762E-3</v>
      </c>
      <c r="E493">
        <v>4.7293334843670903E-3</v>
      </c>
    </row>
    <row r="494" spans="1:5" x14ac:dyDescent="0.3">
      <c r="A494" s="4">
        <v>45329</v>
      </c>
      <c r="B494">
        <v>-3.2638288266300694E-3</v>
      </c>
      <c r="C494">
        <v>9.3545376325799223E-4</v>
      </c>
      <c r="D494">
        <v>1.8827495362714686E-3</v>
      </c>
      <c r="E494">
        <v>1.0059733932494216E-3</v>
      </c>
    </row>
    <row r="495" spans="1:5" x14ac:dyDescent="0.3">
      <c r="A495" s="4">
        <v>45330</v>
      </c>
      <c r="B495">
        <v>6.5170397203709865E-3</v>
      </c>
      <c r="C495">
        <v>-6.5666277238884425E-3</v>
      </c>
      <c r="D495">
        <v>-3.5975827168634499E-3</v>
      </c>
      <c r="E495">
        <v>-3.0211503341763223E-3</v>
      </c>
    </row>
    <row r="496" spans="1:5" x14ac:dyDescent="0.3">
      <c r="A496" s="4">
        <v>45331</v>
      </c>
      <c r="B496">
        <v>-3.0038888594113758E-2</v>
      </c>
      <c r="C496">
        <v>1.8879479296164185E-2</v>
      </c>
      <c r="D496">
        <v>1.2006519266309016E-3</v>
      </c>
      <c r="E496">
        <v>-7.7200914972364058E-3</v>
      </c>
    </row>
    <row r="497" spans="1:5" x14ac:dyDescent="0.3">
      <c r="A497" s="4">
        <v>45334</v>
      </c>
      <c r="B497">
        <v>3.6872218546546605E-2</v>
      </c>
      <c r="C497">
        <v>1.648766454112716E-2</v>
      </c>
      <c r="D497">
        <v>4.4469287776748388E-3</v>
      </c>
      <c r="E497">
        <v>-1.9711957547979349E-3</v>
      </c>
    </row>
    <row r="498" spans="1:5" x14ac:dyDescent="0.3">
      <c r="A498" s="4">
        <v>45335</v>
      </c>
      <c r="B498">
        <v>-7.6316087872881661E-2</v>
      </c>
      <c r="C498">
        <v>-1.9957079377728691E-2</v>
      </c>
      <c r="D498">
        <v>-8.7416071226000102E-3</v>
      </c>
      <c r="E498">
        <v>-5.360916534296138E-3</v>
      </c>
    </row>
    <row r="499" spans="1:5" x14ac:dyDescent="0.3">
      <c r="A499" s="4">
        <v>45336</v>
      </c>
      <c r="B499">
        <v>3.5718082602079246E-2</v>
      </c>
      <c r="C499">
        <v>2.3584378752714772E-2</v>
      </c>
      <c r="D499">
        <v>1.0105998254740171E-2</v>
      </c>
      <c r="E499">
        <v>-4.1038209533297088E-3</v>
      </c>
    </row>
    <row r="500" spans="1:5" x14ac:dyDescent="0.3">
      <c r="A500" s="4">
        <v>45337</v>
      </c>
      <c r="B500">
        <v>2.2149299718469496E-2</v>
      </c>
      <c r="C500">
        <v>-3.1731667604600797E-3</v>
      </c>
      <c r="D500">
        <v>2.1579932681998468E-2</v>
      </c>
      <c r="E500">
        <v>8.8280381155500087E-3</v>
      </c>
    </row>
    <row r="501" spans="1:5" x14ac:dyDescent="0.3">
      <c r="A501" s="4">
        <v>45338</v>
      </c>
      <c r="B501">
        <v>3.6503011903761312E-4</v>
      </c>
      <c r="C501">
        <v>-1.2334555649599786E-2</v>
      </c>
      <c r="D501">
        <v>-4.6809781766977924E-3</v>
      </c>
      <c r="E501">
        <v>3.1794507262139118E-3</v>
      </c>
    </row>
    <row r="502" spans="1:5" x14ac:dyDescent="0.3">
      <c r="A502" s="4">
        <v>45342</v>
      </c>
      <c r="B502">
        <v>-2.6254049977591721E-2</v>
      </c>
      <c r="C502">
        <v>2.2947729674755526E-2</v>
      </c>
      <c r="D502">
        <v>3.9023352007615548E-3</v>
      </c>
      <c r="E502">
        <v>6.3287344961571101E-3</v>
      </c>
    </row>
    <row r="503" spans="1:5" x14ac:dyDescent="0.3">
      <c r="A503" s="4">
        <v>45343</v>
      </c>
      <c r="B503">
        <v>4.6485953949176775E-2</v>
      </c>
      <c r="C503">
        <v>-2.386748140664343E-2</v>
      </c>
      <c r="D503">
        <v>6.4886123581449984E-3</v>
      </c>
      <c r="E503">
        <v>1.1852950278471365E-2</v>
      </c>
    </row>
    <row r="504" spans="1:5" x14ac:dyDescent="0.3">
      <c r="A504" s="4">
        <v>45344</v>
      </c>
      <c r="B504">
        <v>-7.5390771731659754E-3</v>
      </c>
      <c r="C504">
        <v>-1.1336153786336352E-2</v>
      </c>
      <c r="D504">
        <v>1.1924310864747984E-2</v>
      </c>
      <c r="E504">
        <v>9.9707139981018321E-4</v>
      </c>
    </row>
    <row r="505" spans="1:5" x14ac:dyDescent="0.3">
      <c r="A505" s="4">
        <v>45345</v>
      </c>
      <c r="B505">
        <v>-4.5336674874781747E-2</v>
      </c>
      <c r="C505">
        <v>2.3263929382583688E-4</v>
      </c>
      <c r="D505">
        <v>5.0128146699444766E-3</v>
      </c>
      <c r="E505">
        <v>2.9229785418219789E-3</v>
      </c>
    </row>
    <row r="506" spans="1:5" x14ac:dyDescent="0.3">
      <c r="A506" s="4">
        <v>45348</v>
      </c>
      <c r="B506">
        <v>-4.5514990424668715E-2</v>
      </c>
      <c r="C506">
        <v>0</v>
      </c>
      <c r="D506">
        <v>-3.4300291304058027E-3</v>
      </c>
      <c r="E506">
        <v>-5.042812242933902E-3</v>
      </c>
    </row>
    <row r="507" spans="1:5" x14ac:dyDescent="0.3">
      <c r="A507" s="4">
        <v>45349</v>
      </c>
      <c r="B507">
        <v>5.2279390513210872E-2</v>
      </c>
      <c r="C507">
        <v>-6.0662808522566657E-3</v>
      </c>
      <c r="D507">
        <v>4.9071727491607634E-4</v>
      </c>
      <c r="E507">
        <v>-5.7586538709678038E-3</v>
      </c>
    </row>
    <row r="508" spans="1:5" x14ac:dyDescent="0.3">
      <c r="A508" s="4">
        <v>45350</v>
      </c>
      <c r="B508">
        <v>-1.4334458949087362E-2</v>
      </c>
      <c r="C508">
        <v>-1.7469754959831586E-2</v>
      </c>
      <c r="D508">
        <v>5.0567488049731912E-3</v>
      </c>
      <c r="E508">
        <v>4.6970494998691617E-3</v>
      </c>
    </row>
    <row r="509" spans="1:5" x14ac:dyDescent="0.3">
      <c r="A509" s="4">
        <v>45351</v>
      </c>
      <c r="B509">
        <v>3.3255446338038411E-2</v>
      </c>
      <c r="C509">
        <v>2.4930736177637799E-2</v>
      </c>
      <c r="D509">
        <v>9.0703027341484752E-3</v>
      </c>
      <c r="E509">
        <v>-6.9594939038387831E-3</v>
      </c>
    </row>
    <row r="510" spans="1:5" x14ac:dyDescent="0.3">
      <c r="A510" s="4">
        <v>45352</v>
      </c>
      <c r="B510">
        <v>1.7125577954313909E-2</v>
      </c>
      <c r="C510">
        <v>1.7728103293580818E-2</v>
      </c>
      <c r="D510">
        <v>-4.1470910155442147E-3</v>
      </c>
      <c r="E510">
        <v>-5.6634884403932936E-4</v>
      </c>
    </row>
    <row r="511" spans="1:5" x14ac:dyDescent="0.3">
      <c r="A511" s="4">
        <v>45355</v>
      </c>
      <c r="B511">
        <v>-1.4299732449436223E-2</v>
      </c>
      <c r="C511">
        <v>6.0292543716699148E-3</v>
      </c>
      <c r="D511">
        <v>3.07159080432488E-3</v>
      </c>
      <c r="E511">
        <v>-1.0393185611464498E-3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L30"/>
  <sheetViews>
    <sheetView tabSelected="1" workbookViewId="0">
      <selection activeCell="I18" sqref="I18"/>
    </sheetView>
  </sheetViews>
  <sheetFormatPr defaultColWidth="8.77734375" defaultRowHeight="14.4" x14ac:dyDescent="0.3"/>
  <cols>
    <col min="2" max="2" width="6.109375" customWidth="1"/>
    <col min="7" max="7" width="13.6640625" bestFit="1" customWidth="1"/>
  </cols>
  <sheetData>
    <row r="1" spans="1:12" x14ac:dyDescent="0.3">
      <c r="A1" t="s">
        <v>9</v>
      </c>
      <c r="B1" t="s">
        <v>4</v>
      </c>
      <c r="C1" t="s">
        <v>5</v>
      </c>
      <c r="F1" s="139" t="s">
        <v>8</v>
      </c>
      <c r="G1" s="139"/>
    </row>
    <row r="2" spans="1:12" x14ac:dyDescent="0.3">
      <c r="A2" cm="1">
        <f t="array" ref="A2:A5">_xlfn.SEQUENCE(4)+1</f>
        <v>2</v>
      </c>
      <c r="B2" s="3" t="s">
        <v>15</v>
      </c>
      <c r="C2" s="2" t="b">
        <v>1</v>
      </c>
      <c r="D2">
        <f>IF(C2=TRUE,1,0)</f>
        <v>1</v>
      </c>
      <c r="E2">
        <f t="shared" ref="E2:E5" si="0">IF(C2=TRUE,A2,99999)</f>
        <v>2</v>
      </c>
      <c r="F2" s="3" t="s">
        <v>14</v>
      </c>
      <c r="G2">
        <f>SUM(D2:D5)</f>
        <v>4</v>
      </c>
      <c r="L2">
        <f ca="1">ROWS(SelectedTickers)</f>
        <v>1</v>
      </c>
    </row>
    <row r="3" spans="1:12" x14ac:dyDescent="0.3">
      <c r="A3">
        <v>3</v>
      </c>
      <c r="B3" s="3" t="s">
        <v>0</v>
      </c>
      <c r="C3" s="2" t="b">
        <v>1</v>
      </c>
      <c r="D3">
        <f t="shared" ref="D3:D5" si="1">IF(C3=TRUE,1,0)</f>
        <v>1</v>
      </c>
      <c r="E3">
        <f t="shared" si="0"/>
        <v>3</v>
      </c>
      <c r="G3" cm="1">
        <f t="array" ref="G3:G6">_xlfn._xlws.SORT(_xlfn.UNIQUE(E2:E5))</f>
        <v>2</v>
      </c>
    </row>
    <row r="4" spans="1:12" x14ac:dyDescent="0.3">
      <c r="A4">
        <v>4</v>
      </c>
      <c r="B4" s="3" t="s">
        <v>1</v>
      </c>
      <c r="C4" s="2" t="b">
        <v>1</v>
      </c>
      <c r="D4">
        <f t="shared" si="1"/>
        <v>1</v>
      </c>
      <c r="E4">
        <f t="shared" si="0"/>
        <v>4</v>
      </c>
      <c r="G4">
        <v>3</v>
      </c>
    </row>
    <row r="5" spans="1:12" x14ac:dyDescent="0.3">
      <c r="A5">
        <v>5</v>
      </c>
      <c r="B5" s="3" t="s">
        <v>2</v>
      </c>
      <c r="C5" s="2" t="b">
        <v>1</v>
      </c>
      <c r="D5">
        <f t="shared" si="1"/>
        <v>1</v>
      </c>
      <c r="E5">
        <f t="shared" si="0"/>
        <v>5</v>
      </c>
      <c r="G5">
        <v>4</v>
      </c>
    </row>
    <row r="6" spans="1:12" x14ac:dyDescent="0.3">
      <c r="C6" s="2"/>
      <c r="G6">
        <v>5</v>
      </c>
    </row>
    <row r="7" spans="1:12" x14ac:dyDescent="0.3">
      <c r="C7" s="2"/>
    </row>
    <row r="8" spans="1:12" x14ac:dyDescent="0.3">
      <c r="C8" s="2"/>
    </row>
    <row r="9" spans="1:12" x14ac:dyDescent="0.3">
      <c r="C9" s="2"/>
      <c r="J9" cm="1">
        <f t="array" aca="1" ref="J9:J12" ca="1">SelectedStocks</f>
        <v>2</v>
      </c>
    </row>
    <row r="10" spans="1:12" x14ac:dyDescent="0.3">
      <c r="C10" s="2"/>
      <c r="J10">
        <f ca="1"/>
        <v>3</v>
      </c>
    </row>
    <row r="11" spans="1:12" x14ac:dyDescent="0.3">
      <c r="B11" t="str" cm="1">
        <f t="array" aca="1" ref="B11:B14" ca="1">SelectedTickers</f>
        <v>AA</v>
      </c>
      <c r="C11" s="2"/>
      <c r="J11">
        <f ca="1"/>
        <v>4</v>
      </c>
    </row>
    <row r="12" spans="1:12" x14ac:dyDescent="0.3">
      <c r="B12" t="str">
        <f ca="1"/>
        <v>INTC</v>
      </c>
      <c r="C12" s="2"/>
      <c r="J12">
        <f ca="1"/>
        <v>5</v>
      </c>
    </row>
    <row r="13" spans="1:12" x14ac:dyDescent="0.3">
      <c r="B13" t="str">
        <f ca="1"/>
        <v>JPM</v>
      </c>
      <c r="C13" s="2"/>
    </row>
    <row r="14" spans="1:12" x14ac:dyDescent="0.3">
      <c r="B14" t="str">
        <f ca="1"/>
        <v>PG</v>
      </c>
      <c r="C14" s="2"/>
    </row>
    <row r="15" spans="1:12" x14ac:dyDescent="0.3">
      <c r="C15" s="2"/>
    </row>
    <row r="16" spans="1:12" x14ac:dyDescent="0.3">
      <c r="C16" s="2"/>
    </row>
    <row r="17" spans="3:3" x14ac:dyDescent="0.3">
      <c r="C17" s="2"/>
    </row>
    <row r="18" spans="3:3" x14ac:dyDescent="0.3">
      <c r="C18" s="2"/>
    </row>
    <row r="19" spans="3:3" x14ac:dyDescent="0.3">
      <c r="C19" s="2"/>
    </row>
    <row r="20" spans="3:3" x14ac:dyDescent="0.3">
      <c r="C20" s="2"/>
    </row>
    <row r="21" spans="3:3" x14ac:dyDescent="0.3">
      <c r="C21" s="2"/>
    </row>
    <row r="22" spans="3:3" x14ac:dyDescent="0.3">
      <c r="C22" s="2"/>
    </row>
    <row r="23" spans="3:3" x14ac:dyDescent="0.3">
      <c r="C23" s="2"/>
    </row>
    <row r="24" spans="3:3" x14ac:dyDescent="0.3">
      <c r="C24" s="2"/>
    </row>
    <row r="25" spans="3:3" x14ac:dyDescent="0.3">
      <c r="C25" s="2"/>
    </row>
    <row r="26" spans="3:3" x14ac:dyDescent="0.3">
      <c r="C26" s="2"/>
    </row>
    <row r="27" spans="3:3" x14ac:dyDescent="0.3">
      <c r="C27" s="2"/>
    </row>
    <row r="28" spans="3:3" x14ac:dyDescent="0.3">
      <c r="C28" s="2"/>
    </row>
    <row r="29" spans="3:3" x14ac:dyDescent="0.3">
      <c r="C29" s="2"/>
    </row>
    <row r="30" spans="3:3" x14ac:dyDescent="0.3">
      <c r="C30" s="2"/>
    </row>
  </sheetData>
  <mergeCells count="1">
    <mergeCell ref="F1:G1"/>
  </mergeCells>
  <pageMargins left="0.7" right="0.7" top="0.75" bottom="0.75" header="0.3" footer="0.3"/>
  <pageSetup paperSize="9"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028F0-65D2-4C90-9E23-60A4D1811F53}">
  <sheetPr codeName="Sheet65"/>
  <dimension ref="A1:E511"/>
  <sheetViews>
    <sheetView workbookViewId="0">
      <selection activeCell="L20" sqref="L20"/>
    </sheetView>
  </sheetViews>
  <sheetFormatPr defaultColWidth="8.77734375" defaultRowHeight="14.4" x14ac:dyDescent="0.3"/>
  <sheetData>
    <row r="1" spans="1:5" x14ac:dyDescent="0.3">
      <c r="A1" t="s">
        <v>6</v>
      </c>
      <c r="B1" s="1" t="str" cm="1">
        <f t="array" aca="1" ref="B1:E1" ca="1">TRANSPOSE(SelectedTickers)</f>
        <v>AA</v>
      </c>
      <c r="C1" t="str">
        <f ca="1"/>
        <v>INTC</v>
      </c>
      <c r="D1" t="str">
        <f ca="1"/>
        <v>JPM</v>
      </c>
      <c r="E1" t="str">
        <f ca="1"/>
        <v>PG</v>
      </c>
    </row>
    <row r="2" spans="1:5" x14ac:dyDescent="0.3">
      <c r="A2" cm="1">
        <f t="array" ref="A2:A511">_xlfn.SEQUENCE(ROWS(LogRetData[]))/_xlfn.SEQUENCE(ROWS(LogRetData[]))</f>
        <v>1</v>
      </c>
      <c r="B2" cm="1">
        <f t="array" aca="1" ref="B2:E511" ca="1">INDEX(LogRetData[],_xlfn.SEQUENCE(ROWS(LogRetData[])),TRANSPOSE(SelectedStocks))</f>
        <v>-5.3989095720304775E-2</v>
      </c>
      <c r="C2">
        <f ca="1"/>
        <v>-7.8012703420137072E-3</v>
      </c>
      <c r="D2">
        <f ca="1"/>
        <v>-1.7764043794752963E-3</v>
      </c>
      <c r="E2">
        <f ca="1"/>
        <v>-1.2396720325635761E-2</v>
      </c>
    </row>
    <row r="3" spans="1:5" x14ac:dyDescent="0.3">
      <c r="A3">
        <v>1</v>
      </c>
      <c r="B3">
        <f ca="1"/>
        <v>1.6465110489509681E-2</v>
      </c>
      <c r="C3">
        <f ca="1"/>
        <v>-8.9542744148606176E-4</v>
      </c>
      <c r="D3">
        <f ca="1"/>
        <v>-2.1161095047225933E-2</v>
      </c>
      <c r="E3">
        <f ca="1"/>
        <v>-1.2552195188081693E-2</v>
      </c>
    </row>
    <row r="4" spans="1:5" x14ac:dyDescent="0.3">
      <c r="A4">
        <v>1</v>
      </c>
      <c r="B4">
        <f ca="1"/>
        <v>-2.7184947255386498E-2</v>
      </c>
      <c r="C4">
        <f ca="1"/>
        <v>4.5318052874649642E-2</v>
      </c>
      <c r="D4">
        <f ca="1"/>
        <v>-2.8238116177181173E-2</v>
      </c>
      <c r="E4">
        <f ca="1"/>
        <v>-2.7299261133654093E-2</v>
      </c>
    </row>
    <row r="5" spans="1:5" x14ac:dyDescent="0.3">
      <c r="A5">
        <v>1</v>
      </c>
      <c r="B5">
        <f ca="1"/>
        <v>6.0223134236039692E-2</v>
      </c>
      <c r="C5">
        <f ca="1"/>
        <v>2.0968526647316341E-2</v>
      </c>
      <c r="D5">
        <f ca="1"/>
        <v>2.3383999199750309E-2</v>
      </c>
      <c r="E5">
        <f ca="1"/>
        <v>4.181247413219577E-2</v>
      </c>
    </row>
    <row r="6" spans="1:5" x14ac:dyDescent="0.3">
      <c r="A6">
        <v>1</v>
      </c>
      <c r="B6">
        <f ca="1"/>
        <v>-3.2772677870791286E-2</v>
      </c>
      <c r="C6">
        <f ca="1"/>
        <v>-2.0933754289984366E-4</v>
      </c>
      <c r="D6">
        <f ca="1"/>
        <v>-4.2592005106880222E-2</v>
      </c>
      <c r="E6">
        <f ca="1"/>
        <v>-1.4961994222397853E-2</v>
      </c>
    </row>
    <row r="7" spans="1:5" x14ac:dyDescent="0.3">
      <c r="A7">
        <v>1</v>
      </c>
      <c r="B7">
        <f ca="1"/>
        <v>5.7261573184410275E-2</v>
      </c>
      <c r="C7">
        <f ca="1"/>
        <v>-1.8621019762601453E-2</v>
      </c>
      <c r="D7">
        <f ca="1"/>
        <v>-3.8459277188047696E-2</v>
      </c>
      <c r="E7">
        <f ca="1"/>
        <v>-1.6688824182691599E-2</v>
      </c>
    </row>
    <row r="8" spans="1:5" x14ac:dyDescent="0.3">
      <c r="A8">
        <v>1</v>
      </c>
      <c r="B8">
        <f ca="1"/>
        <v>3.4252571518651985E-2</v>
      </c>
      <c r="C8">
        <f ca="1"/>
        <v>4.2852954949195179E-2</v>
      </c>
      <c r="D8">
        <f ca="1"/>
        <v>2.052816922069518E-2</v>
      </c>
      <c r="E8">
        <f ca="1"/>
        <v>3.1258782600335445E-3</v>
      </c>
    </row>
    <row r="9" spans="1:5" x14ac:dyDescent="0.3">
      <c r="A9">
        <v>1</v>
      </c>
      <c r="B9">
        <f ca="1"/>
        <v>3.9889161907431985E-3</v>
      </c>
      <c r="C9">
        <f ca="1"/>
        <v>-1.9421816487645547E-2</v>
      </c>
      <c r="D9">
        <f ca="1"/>
        <v>-7.1334430128179365E-3</v>
      </c>
      <c r="E9">
        <f ca="1"/>
        <v>3.6996490382729158E-3</v>
      </c>
    </row>
    <row r="10" spans="1:5" x14ac:dyDescent="0.3">
      <c r="A10">
        <v>1</v>
      </c>
      <c r="B10">
        <f ca="1"/>
        <v>8.9602003727244112E-2</v>
      </c>
      <c r="C10">
        <f ca="1"/>
        <v>2.9166870279988483E-3</v>
      </c>
      <c r="D10">
        <f ca="1"/>
        <v>-2.853260503487956E-2</v>
      </c>
      <c r="E10">
        <f ca="1"/>
        <v>5.0402206792497881E-3</v>
      </c>
    </row>
    <row r="11" spans="1:5" x14ac:dyDescent="0.3">
      <c r="A11">
        <v>1</v>
      </c>
      <c r="B11">
        <f ca="1"/>
        <v>-5.8666552106923044E-2</v>
      </c>
      <c r="C11">
        <f ca="1"/>
        <v>-8.1465007547253908E-3</v>
      </c>
      <c r="D11">
        <f ca="1"/>
        <v>-3.9381254364565167E-2</v>
      </c>
      <c r="E11">
        <f ca="1"/>
        <v>-1.4936118506394964E-2</v>
      </c>
    </row>
    <row r="12" spans="1:5" x14ac:dyDescent="0.3">
      <c r="A12">
        <v>1</v>
      </c>
      <c r="B12">
        <f ca="1"/>
        <v>-3.6124770131944782E-2</v>
      </c>
      <c r="C12">
        <f ca="1"/>
        <v>-3.7820815664301732E-3</v>
      </c>
      <c r="D12">
        <f ca="1"/>
        <v>-7.0679195405078561E-3</v>
      </c>
      <c r="E12">
        <f ca="1"/>
        <v>-4.0388865064690915E-2</v>
      </c>
    </row>
    <row r="13" spans="1:5" x14ac:dyDescent="0.3">
      <c r="A13">
        <v>1</v>
      </c>
      <c r="B13">
        <f ca="1"/>
        <v>-3.5212791405943362E-2</v>
      </c>
      <c r="C13">
        <f ca="1"/>
        <v>2.73318442328808E-3</v>
      </c>
      <c r="D13">
        <f ca="1"/>
        <v>3.9280798742856782E-2</v>
      </c>
      <c r="E13">
        <f ca="1"/>
        <v>1.3398865213922511E-2</v>
      </c>
    </row>
    <row r="14" spans="1:5" x14ac:dyDescent="0.3">
      <c r="A14">
        <v>1</v>
      </c>
      <c r="B14">
        <f ca="1"/>
        <v>4.2108891265648339E-2</v>
      </c>
      <c r="C14">
        <f ca="1"/>
        <v>-2.0575741826379609E-2</v>
      </c>
      <c r="D14">
        <f ca="1"/>
        <v>-1.1911127451061801E-2</v>
      </c>
      <c r="E14">
        <f ca="1"/>
        <v>-2.6081705309309922E-2</v>
      </c>
    </row>
    <row r="15" spans="1:5" x14ac:dyDescent="0.3">
      <c r="A15">
        <v>1</v>
      </c>
      <c r="B15">
        <f ca="1"/>
        <v>-4.8163386435780726E-2</v>
      </c>
      <c r="C15">
        <f ca="1"/>
        <v>-1.7948087624950999E-2</v>
      </c>
      <c r="D15">
        <f ca="1"/>
        <v>-2.2781509546609555E-2</v>
      </c>
      <c r="E15">
        <f ca="1"/>
        <v>-1.1938007061419186E-2</v>
      </c>
    </row>
    <row r="16" spans="1:5" x14ac:dyDescent="0.3">
      <c r="A16">
        <v>1</v>
      </c>
      <c r="B16">
        <f ca="1"/>
        <v>-7.2668741206494469E-2</v>
      </c>
      <c r="C16">
        <f ca="1"/>
        <v>-3.1699659843711155E-2</v>
      </c>
      <c r="D16">
        <f ca="1"/>
        <v>9.8818583561780735E-3</v>
      </c>
      <c r="E16">
        <f ca="1"/>
        <v>1.2696416987523206E-2</v>
      </c>
    </row>
    <row r="17" spans="1:5" x14ac:dyDescent="0.3">
      <c r="A17">
        <v>1</v>
      </c>
      <c r="B17">
        <f ca="1"/>
        <v>2.8532181815908307E-3</v>
      </c>
      <c r="C17">
        <f ca="1"/>
        <v>9.1919848718559037E-3</v>
      </c>
      <c r="D17">
        <f ca="1"/>
        <v>1.7590325839786709E-2</v>
      </c>
      <c r="E17">
        <f ca="1"/>
        <v>3.535542943510684E-2</v>
      </c>
    </row>
    <row r="18" spans="1:5" x14ac:dyDescent="0.3">
      <c r="A18">
        <v>1</v>
      </c>
      <c r="B18">
        <f ca="1"/>
        <v>2.5714495484202789E-2</v>
      </c>
      <c r="C18">
        <f ca="1"/>
        <v>3.9812570270236255E-2</v>
      </c>
      <c r="D18">
        <f ca="1"/>
        <v>4.3716316479639257E-2</v>
      </c>
      <c r="E18">
        <f ca="1"/>
        <v>-3.3998505478491058E-3</v>
      </c>
    </row>
    <row r="19" spans="1:5" x14ac:dyDescent="0.3">
      <c r="A19">
        <v>1</v>
      </c>
      <c r="B19">
        <f ca="1"/>
        <v>6.5257426875304239E-2</v>
      </c>
      <c r="C19">
        <f ca="1"/>
        <v>1.0877727814833128E-2</v>
      </c>
      <c r="D19">
        <f ca="1"/>
        <v>1.2565479827695313E-2</v>
      </c>
      <c r="E19">
        <f ca="1"/>
        <v>3.1336280457992028E-3</v>
      </c>
    </row>
    <row r="20" spans="1:5" x14ac:dyDescent="0.3">
      <c r="A20">
        <v>1</v>
      </c>
      <c r="B20">
        <f ca="1"/>
        <v>2.0960188793629032E-2</v>
      </c>
      <c r="C20">
        <f ca="1"/>
        <v>6.5549249688416945E-3</v>
      </c>
      <c r="D20">
        <f ca="1"/>
        <v>-3.5705870901395171E-4</v>
      </c>
      <c r="E20">
        <f ca="1"/>
        <v>-5.3279782157810308E-4</v>
      </c>
    </row>
    <row r="21" spans="1:5" x14ac:dyDescent="0.3">
      <c r="A21">
        <v>1</v>
      </c>
      <c r="B21">
        <f ca="1"/>
        <v>9.5376327258972646E-2</v>
      </c>
      <c r="C21">
        <f ca="1"/>
        <v>-1.2653607552866736E-3</v>
      </c>
      <c r="D21">
        <f ca="1"/>
        <v>-3.2169959974199512E-3</v>
      </c>
      <c r="E21">
        <f ca="1"/>
        <v>3.789027818077485E-3</v>
      </c>
    </row>
    <row r="22" spans="1:5" x14ac:dyDescent="0.3">
      <c r="A22">
        <v>1</v>
      </c>
      <c r="B22">
        <f ca="1"/>
        <v>-8.9715883048551732E-3</v>
      </c>
      <c r="C22">
        <f ca="1"/>
        <v>2.0881730225745777E-2</v>
      </c>
      <c r="D22">
        <f ca="1"/>
        <v>2.1044312525260234E-2</v>
      </c>
      <c r="E22">
        <f ca="1"/>
        <v>7.6670507807778017E-3</v>
      </c>
    </row>
    <row r="23" spans="1:5" x14ac:dyDescent="0.3">
      <c r="A23">
        <v>1</v>
      </c>
      <c r="B23">
        <f ca="1"/>
        <v>4.7157131336492977E-2</v>
      </c>
      <c r="C23">
        <f ca="1"/>
        <v>-2.4826338034505771E-3</v>
      </c>
      <c r="D23">
        <f ca="1"/>
        <v>-2.0113798348313248E-2</v>
      </c>
      <c r="E23">
        <f ca="1"/>
        <v>-7.0036155517394835E-3</v>
      </c>
    </row>
    <row r="24" spans="1:5" x14ac:dyDescent="0.3">
      <c r="A24">
        <v>1</v>
      </c>
      <c r="B24">
        <f ca="1"/>
        <v>8.875831020945784E-3</v>
      </c>
      <c r="C24">
        <f ca="1"/>
        <v>6.7098993622261183E-2</v>
      </c>
      <c r="D24">
        <f ca="1"/>
        <v>6.4891653826477311E-3</v>
      </c>
      <c r="E24">
        <f ca="1"/>
        <v>1.7222479625699691E-3</v>
      </c>
    </row>
    <row r="25" spans="1:5" x14ac:dyDescent="0.3">
      <c r="A25">
        <v>1</v>
      </c>
      <c r="B25">
        <f ca="1"/>
        <v>-3.3154612107442499E-2</v>
      </c>
      <c r="C25">
        <f ca="1"/>
        <v>4.0597584058117038E-3</v>
      </c>
      <c r="D25">
        <f ca="1"/>
        <v>8.704528737071433E-3</v>
      </c>
      <c r="E25">
        <f ca="1"/>
        <v>1.1516865619597237E-2</v>
      </c>
    </row>
    <row r="26" spans="1:5" x14ac:dyDescent="0.3">
      <c r="A26">
        <v>1</v>
      </c>
      <c r="B26">
        <f ca="1"/>
        <v>5.4223970122687778E-3</v>
      </c>
      <c r="C26">
        <f ca="1"/>
        <v>-6.1931784218072381E-3</v>
      </c>
      <c r="D26">
        <f ca="1"/>
        <v>-7.4261845987990899E-3</v>
      </c>
      <c r="E26">
        <f ca="1"/>
        <v>6.8468903400369504E-3</v>
      </c>
    </row>
    <row r="27" spans="1:5" x14ac:dyDescent="0.3">
      <c r="A27">
        <v>1</v>
      </c>
      <c r="B27">
        <f ca="1"/>
        <v>-2.6188803781415752E-2</v>
      </c>
      <c r="C27">
        <f ca="1"/>
        <v>1.4263987745135598E-2</v>
      </c>
      <c r="D27">
        <f ca="1"/>
        <v>2.198296027453436E-3</v>
      </c>
      <c r="E27">
        <f ca="1"/>
        <v>1.0215198713019224E-2</v>
      </c>
    </row>
    <row r="28" spans="1:5" x14ac:dyDescent="0.3">
      <c r="A28">
        <v>1</v>
      </c>
      <c r="B28">
        <f ca="1"/>
        <v>2.3264480986559772E-2</v>
      </c>
      <c r="C28">
        <f ca="1"/>
        <v>-1.5818448438694996E-2</v>
      </c>
      <c r="D28">
        <f ca="1"/>
        <v>-4.5434790906403602E-3</v>
      </c>
      <c r="E28">
        <f ca="1"/>
        <v>-6.9065670975860484E-3</v>
      </c>
    </row>
    <row r="29" spans="1:5" x14ac:dyDescent="0.3">
      <c r="A29">
        <v>1</v>
      </c>
      <c r="B29">
        <f ca="1"/>
        <v>-2.37088849305916E-2</v>
      </c>
      <c r="C29">
        <f ca="1"/>
        <v>-3.7037541950121815E-2</v>
      </c>
      <c r="D29">
        <f ca="1"/>
        <v>-3.0486953376343377E-2</v>
      </c>
      <c r="E29">
        <f ca="1"/>
        <v>-1.0351820206100312E-2</v>
      </c>
    </row>
    <row r="30" spans="1:5" x14ac:dyDescent="0.3">
      <c r="A30">
        <v>1</v>
      </c>
      <c r="B30">
        <f ca="1"/>
        <v>6.5321497177351882E-3</v>
      </c>
      <c r="C30">
        <f ca="1"/>
        <v>-2.969387979578697E-2</v>
      </c>
      <c r="D30">
        <f ca="1"/>
        <v>-7.436828137852956E-3</v>
      </c>
      <c r="E30">
        <f ca="1"/>
        <v>1.487557173011533E-2</v>
      </c>
    </row>
    <row r="31" spans="1:5" x14ac:dyDescent="0.3">
      <c r="A31">
        <v>1</v>
      </c>
      <c r="B31">
        <f ca="1"/>
        <v>3.0849238385970744E-3</v>
      </c>
      <c r="C31">
        <f ca="1"/>
        <v>2.240367637159249E-2</v>
      </c>
      <c r="D31">
        <f ca="1"/>
        <v>4.424624254237567E-3</v>
      </c>
      <c r="E31">
        <f ca="1"/>
        <v>-6.5337883333419387E-3</v>
      </c>
    </row>
    <row r="32" spans="1:5" x14ac:dyDescent="0.3">
      <c r="A32">
        <v>1</v>
      </c>
      <c r="B32">
        <f ca="1"/>
        <v>-3.572396685520899E-2</v>
      </c>
      <c r="C32">
        <f ca="1"/>
        <v>-2.1987951855608246E-2</v>
      </c>
      <c r="D32">
        <f ca="1"/>
        <v>-1.170572539344542E-2</v>
      </c>
      <c r="E32">
        <f ca="1"/>
        <v>3.4985746100146689E-3</v>
      </c>
    </row>
    <row r="33" spans="1:5" x14ac:dyDescent="0.3">
      <c r="A33">
        <v>1</v>
      </c>
      <c r="B33">
        <f ca="1"/>
        <v>2.2798796080864605E-4</v>
      </c>
      <c r="C33">
        <f ca="1"/>
        <v>-1.2334330056142831E-2</v>
      </c>
      <c r="D33">
        <f ca="1"/>
        <v>-1.3971274969880583E-2</v>
      </c>
      <c r="E33">
        <f ca="1"/>
        <v>1.4192051584847151E-2</v>
      </c>
    </row>
    <row r="34" spans="1:5" x14ac:dyDescent="0.3">
      <c r="A34">
        <v>1</v>
      </c>
      <c r="B34">
        <f ca="1"/>
        <v>-1.8754602658580342E-2</v>
      </c>
      <c r="C34">
        <f ca="1"/>
        <v>4.2048530145927509E-4</v>
      </c>
      <c r="D34">
        <f ca="1"/>
        <v>-3.0469079052562677E-3</v>
      </c>
      <c r="E34">
        <f ca="1"/>
        <v>1.2860989713792799E-2</v>
      </c>
    </row>
    <row r="35" spans="1:5" x14ac:dyDescent="0.3">
      <c r="A35">
        <v>1</v>
      </c>
      <c r="B35">
        <f ca="1"/>
        <v>-2.2908422914196189E-2</v>
      </c>
      <c r="C35">
        <f ca="1"/>
        <v>-1.1419005979783695E-2</v>
      </c>
      <c r="D35">
        <f ca="1"/>
        <v>1.8142544107578106E-2</v>
      </c>
      <c r="E35">
        <f ca="1"/>
        <v>7.7752295120585421E-3</v>
      </c>
    </row>
    <row r="36" spans="1:5" x14ac:dyDescent="0.3">
      <c r="A36">
        <v>1</v>
      </c>
      <c r="B36">
        <f ca="1"/>
        <v>-1.9439165240251258E-2</v>
      </c>
      <c r="C36">
        <f ca="1"/>
        <v>-9.6163530718710935E-3</v>
      </c>
      <c r="D36">
        <f ca="1"/>
        <v>-3.6776192532579472E-3</v>
      </c>
      <c r="E36">
        <f ca="1"/>
        <v>-3.8173397999067458E-3</v>
      </c>
    </row>
    <row r="37" spans="1:5" x14ac:dyDescent="0.3">
      <c r="A37">
        <v>1</v>
      </c>
      <c r="B37">
        <f ca="1"/>
        <v>8.8064757606071582E-3</v>
      </c>
      <c r="C37">
        <f ca="1"/>
        <v>-1.5042538393544185E-3</v>
      </c>
      <c r="D37">
        <f ca="1"/>
        <v>-1.1038055949437676E-2</v>
      </c>
      <c r="E37">
        <f ca="1"/>
        <v>-3.0142580781416031E-3</v>
      </c>
    </row>
    <row r="38" spans="1:5" x14ac:dyDescent="0.3">
      <c r="A38">
        <v>1</v>
      </c>
      <c r="B38">
        <f ca="1"/>
        <v>4.8755814259899381E-2</v>
      </c>
      <c r="C38">
        <f ca="1"/>
        <v>1.0907971837034871E-2</v>
      </c>
      <c r="D38">
        <f ca="1"/>
        <v>-3.2764401009572633E-2</v>
      </c>
      <c r="E38">
        <f ca="1"/>
        <v>2.8260257133723115E-3</v>
      </c>
    </row>
    <row r="39" spans="1:5" x14ac:dyDescent="0.3">
      <c r="A39">
        <v>1</v>
      </c>
      <c r="B39">
        <f ca="1"/>
        <v>3.9956048204724337E-3</v>
      </c>
      <c r="C39">
        <f ca="1"/>
        <v>-2.8918837603265881E-2</v>
      </c>
      <c r="D39">
        <f ca="1"/>
        <v>-9.3126165205025049E-3</v>
      </c>
      <c r="E39">
        <f ca="1"/>
        <v>-5.5967793943888294E-3</v>
      </c>
    </row>
    <row r="40" spans="1:5" x14ac:dyDescent="0.3">
      <c r="A40">
        <v>1</v>
      </c>
      <c r="B40">
        <f ca="1"/>
        <v>1.8960011314670244E-2</v>
      </c>
      <c r="C40">
        <f ca="1"/>
        <v>2.1016887003493689E-2</v>
      </c>
      <c r="D40">
        <f ca="1"/>
        <v>1.8383737465256414E-2</v>
      </c>
      <c r="E40">
        <f ca="1"/>
        <v>-9.5684720071544105E-3</v>
      </c>
    </row>
    <row r="41" spans="1:5" x14ac:dyDescent="0.3">
      <c r="A41">
        <v>1</v>
      </c>
      <c r="B41">
        <f ca="1"/>
        <v>-3.2610782430862538E-2</v>
      </c>
      <c r="C41">
        <f ca="1"/>
        <v>2.7283277297782901E-2</v>
      </c>
      <c r="D41">
        <f ca="1"/>
        <v>2.0495277699203188E-2</v>
      </c>
      <c r="E41">
        <f ca="1"/>
        <v>1.4851825926735594E-2</v>
      </c>
    </row>
    <row r="42" spans="1:5" x14ac:dyDescent="0.3">
      <c r="A42">
        <v>1</v>
      </c>
      <c r="B42">
        <f ca="1"/>
        <v>4.0341746612218383E-3</v>
      </c>
      <c r="C42">
        <f ca="1"/>
        <v>3.7484345946628369E-3</v>
      </c>
      <c r="D42">
        <f ca="1"/>
        <v>3.5021558100850328E-3</v>
      </c>
      <c r="E42">
        <f ca="1"/>
        <v>2.6250197632844533E-2</v>
      </c>
    </row>
    <row r="43" spans="1:5" x14ac:dyDescent="0.3">
      <c r="A43">
        <v>1</v>
      </c>
      <c r="B43">
        <f ca="1"/>
        <v>-0.185663072326548</v>
      </c>
      <c r="C43">
        <f ca="1"/>
        <v>-1.276032988781951E-2</v>
      </c>
      <c r="D43">
        <f ca="1"/>
        <v>-7.7821304227088479E-3</v>
      </c>
      <c r="E43">
        <f ca="1"/>
        <v>-7.8055799969230775E-4</v>
      </c>
    </row>
    <row r="44" spans="1:5" x14ac:dyDescent="0.3">
      <c r="A44">
        <v>1</v>
      </c>
      <c r="B44">
        <f ca="1"/>
        <v>-6.9240048564641402E-2</v>
      </c>
      <c r="C44">
        <f ca="1"/>
        <v>-2.0417585071068202E-2</v>
      </c>
      <c r="D44">
        <f ca="1"/>
        <v>-2.9143047594410443E-2</v>
      </c>
      <c r="E44">
        <f ca="1"/>
        <v>-8.3988287837824874E-3</v>
      </c>
    </row>
    <row r="45" spans="1:5" x14ac:dyDescent="0.3">
      <c r="A45">
        <v>1</v>
      </c>
      <c r="B45">
        <f ca="1"/>
        <v>0</v>
      </c>
      <c r="C45">
        <f ca="1"/>
        <v>1.1111102222302015E-2</v>
      </c>
      <c r="D45">
        <f ca="1"/>
        <v>-3.155129017753703E-4</v>
      </c>
      <c r="E45">
        <f ca="1"/>
        <v>8.0298127214136154E-3</v>
      </c>
    </row>
    <row r="46" spans="1:5" x14ac:dyDescent="0.3">
      <c r="A46">
        <v>1</v>
      </c>
      <c r="B46">
        <f ca="1"/>
        <v>-5.955093026412504E-3</v>
      </c>
      <c r="C46">
        <f ca="1"/>
        <v>-3.3271345706871E-2</v>
      </c>
      <c r="D46">
        <f ca="1"/>
        <v>-3.0027455651157619E-2</v>
      </c>
      <c r="E46">
        <f ca="1"/>
        <v>-1.7125153124635761E-2</v>
      </c>
    </row>
    <row r="47" spans="1:5" x14ac:dyDescent="0.3">
      <c r="A47">
        <v>1</v>
      </c>
      <c r="B47">
        <f ca="1"/>
        <v>4.4107572700178829E-2</v>
      </c>
      <c r="C47">
        <f ca="1"/>
        <v>-6.6124643467007542E-3</v>
      </c>
      <c r="D47">
        <f ca="1"/>
        <v>-1.3091222573937198E-2</v>
      </c>
      <c r="E47">
        <f ca="1"/>
        <v>-2.6946802302417329E-3</v>
      </c>
    </row>
    <row r="48" spans="1:5" x14ac:dyDescent="0.3">
      <c r="A48">
        <v>1</v>
      </c>
      <c r="B48">
        <f ca="1"/>
        <v>7.5436460473524937E-3</v>
      </c>
      <c r="C48">
        <f ca="1"/>
        <v>3.5197999882694633E-2</v>
      </c>
      <c r="D48">
        <f ca="1"/>
        <v>1.5688957995655475E-2</v>
      </c>
      <c r="E48">
        <f ca="1"/>
        <v>2.5096671681964042E-2</v>
      </c>
    </row>
    <row r="49" spans="1:5" x14ac:dyDescent="0.3">
      <c r="A49">
        <v>1</v>
      </c>
      <c r="B49">
        <f ca="1"/>
        <v>-3.9333880264627551E-2</v>
      </c>
      <c r="C49">
        <f ca="1"/>
        <v>-7.190955515427043E-2</v>
      </c>
      <c r="D49">
        <f ca="1"/>
        <v>-3.2800557197983082E-2</v>
      </c>
      <c r="E49">
        <f ca="1"/>
        <v>-1.7657057066932519E-2</v>
      </c>
    </row>
    <row r="50" spans="1:5" x14ac:dyDescent="0.3">
      <c r="A50">
        <v>1</v>
      </c>
      <c r="B50">
        <f ca="1"/>
        <v>-2.4486266089579319E-2</v>
      </c>
      <c r="C50">
        <f ca="1"/>
        <v>3.0945358388662778E-2</v>
      </c>
      <c r="D50">
        <f ca="1"/>
        <v>9.0906606386054033E-3</v>
      </c>
      <c r="E50">
        <f ca="1"/>
        <v>-1.3608306121067011E-2</v>
      </c>
    </row>
    <row r="51" spans="1:5" x14ac:dyDescent="0.3">
      <c r="A51">
        <v>1</v>
      </c>
      <c r="B51">
        <f ca="1"/>
        <v>-2.2933030387359402E-2</v>
      </c>
      <c r="C51">
        <f ca="1"/>
        <v>2.2215418612282225E-3</v>
      </c>
      <c r="D51">
        <f ca="1"/>
        <v>2.1193517608108968E-2</v>
      </c>
      <c r="E51">
        <f ca="1"/>
        <v>-1.3795849058716491E-2</v>
      </c>
    </row>
    <row r="52" spans="1:5" x14ac:dyDescent="0.3">
      <c r="A52">
        <v>1</v>
      </c>
      <c r="B52">
        <f ca="1"/>
        <v>4.9776442798878016E-2</v>
      </c>
      <c r="C52">
        <f ca="1"/>
        <v>3.231736285295457E-2</v>
      </c>
      <c r="D52">
        <f ca="1"/>
        <v>3.2545921640460308E-2</v>
      </c>
      <c r="E52">
        <f ca="1"/>
        <v>7.3350616187705716E-3</v>
      </c>
    </row>
    <row r="53" spans="1:5" x14ac:dyDescent="0.3">
      <c r="A53">
        <v>1</v>
      </c>
      <c r="B53">
        <f ca="1"/>
        <v>-6.850954299584433E-2</v>
      </c>
      <c r="C53">
        <f ca="1"/>
        <v>-3.4704741803179652E-2</v>
      </c>
      <c r="D53">
        <f ca="1"/>
        <v>-2.5338044683434764E-2</v>
      </c>
      <c r="E53">
        <f ca="1"/>
        <v>-1.8601088079075186E-2</v>
      </c>
    </row>
    <row r="54" spans="1:5" x14ac:dyDescent="0.3">
      <c r="A54">
        <v>1</v>
      </c>
      <c r="B54">
        <f ca="1"/>
        <v>-3.8880459325368648E-2</v>
      </c>
      <c r="C54">
        <f ca="1"/>
        <v>-6.7491064605555593E-3</v>
      </c>
      <c r="D54">
        <f ca="1"/>
        <v>-1.6152346434105177E-3</v>
      </c>
      <c r="E54">
        <f ca="1"/>
        <v>9.9206972355369641E-3</v>
      </c>
    </row>
    <row r="55" spans="1:5" x14ac:dyDescent="0.3">
      <c r="A55">
        <v>1</v>
      </c>
      <c r="B55">
        <f ca="1"/>
        <v>-0.11866399604273138</v>
      </c>
      <c r="C55">
        <f ca="1"/>
        <v>-2.8158096491943833E-2</v>
      </c>
      <c r="D55">
        <f ca="1"/>
        <v>-1.5147982576148335E-2</v>
      </c>
      <c r="E55">
        <f ca="1"/>
        <v>-2.5031077011168222E-3</v>
      </c>
    </row>
    <row r="56" spans="1:5" x14ac:dyDescent="0.3">
      <c r="A56">
        <v>1</v>
      </c>
      <c r="B56">
        <f ca="1"/>
        <v>2.9625219047070175E-2</v>
      </c>
      <c r="C56">
        <f ca="1"/>
        <v>2.159019916235241E-2</v>
      </c>
      <c r="D56">
        <f ca="1"/>
        <v>-2.4674152029202805E-2</v>
      </c>
      <c r="E56">
        <f ca="1"/>
        <v>-5.2834489410326898E-3</v>
      </c>
    </row>
    <row r="57" spans="1:5" x14ac:dyDescent="0.3">
      <c r="A57">
        <v>1</v>
      </c>
      <c r="B57">
        <f ca="1"/>
        <v>1.4577925877185696E-2</v>
      </c>
      <c r="C57">
        <f ca="1"/>
        <v>-2.717789716547819E-2</v>
      </c>
      <c r="D57">
        <f ca="1"/>
        <v>-6.3285250631214115E-3</v>
      </c>
      <c r="E57">
        <f ca="1"/>
        <v>-1.4183872405288574E-2</v>
      </c>
    </row>
    <row r="58" spans="1:5" x14ac:dyDescent="0.3">
      <c r="A58">
        <v>1</v>
      </c>
      <c r="B58">
        <f ca="1"/>
        <v>-3.7400952846020227E-2</v>
      </c>
      <c r="C58">
        <f ca="1"/>
        <v>2.3327145163707527E-4</v>
      </c>
      <c r="D58">
        <f ca="1"/>
        <v>-8.4676002816804039E-4</v>
      </c>
      <c r="E58">
        <f ca="1"/>
        <v>-4.070760177221096E-3</v>
      </c>
    </row>
    <row r="59" spans="1:5" x14ac:dyDescent="0.3">
      <c r="A59">
        <v>1</v>
      </c>
      <c r="B59">
        <f ca="1"/>
        <v>6.6449114594985842E-2</v>
      </c>
      <c r="C59">
        <f ca="1"/>
        <v>1.7584774944033252E-2</v>
      </c>
      <c r="D59">
        <f ca="1"/>
        <v>8.8559960405078068E-3</v>
      </c>
      <c r="E59">
        <f ca="1"/>
        <v>1.0667090344014378E-2</v>
      </c>
    </row>
    <row r="60" spans="1:5" x14ac:dyDescent="0.3">
      <c r="A60">
        <v>1</v>
      </c>
      <c r="B60">
        <f ca="1"/>
        <v>3.4599559238422721E-2</v>
      </c>
      <c r="C60">
        <f ca="1"/>
        <v>-1.1997888814278849E-2</v>
      </c>
      <c r="D60">
        <f ca="1"/>
        <v>-6.9938198025688222E-3</v>
      </c>
      <c r="E60">
        <f ca="1"/>
        <v>9.717003118945796E-3</v>
      </c>
    </row>
    <row r="61" spans="1:5" x14ac:dyDescent="0.3">
      <c r="A61">
        <v>1</v>
      </c>
      <c r="B61">
        <f ca="1"/>
        <v>5.0463504920882064E-2</v>
      </c>
      <c r="C61">
        <f ca="1"/>
        <v>3.0180325134337101E-2</v>
      </c>
      <c r="D61">
        <f ca="1"/>
        <v>3.2609778084416605E-2</v>
      </c>
      <c r="E61">
        <f ca="1"/>
        <v>-2.8404929143159801E-3</v>
      </c>
    </row>
    <row r="62" spans="1:5" x14ac:dyDescent="0.3">
      <c r="A62">
        <v>1</v>
      </c>
      <c r="B62">
        <f ca="1"/>
        <v>-4.6655204406900387E-2</v>
      </c>
      <c r="C62">
        <f ca="1"/>
        <v>-4.7270923452031079E-2</v>
      </c>
      <c r="D62">
        <f ca="1"/>
        <v>-1.7254076926994613E-2</v>
      </c>
      <c r="E62">
        <f ca="1"/>
        <v>-6.434887217073057E-2</v>
      </c>
    </row>
    <row r="63" spans="1:5" x14ac:dyDescent="0.3">
      <c r="A63">
        <v>1</v>
      </c>
      <c r="B63">
        <f ca="1"/>
        <v>2.5131790660284911E-2</v>
      </c>
      <c r="C63">
        <f ca="1"/>
        <v>-8.0609116713740783E-3</v>
      </c>
      <c r="D63">
        <f ca="1"/>
        <v>-1.493306376544822E-2</v>
      </c>
      <c r="E63">
        <f ca="1"/>
        <v>-2.329723116627197E-2</v>
      </c>
    </row>
    <row r="64" spans="1:5" x14ac:dyDescent="0.3">
      <c r="A64">
        <v>1</v>
      </c>
      <c r="B64">
        <f ca="1"/>
        <v>-2.4140774537545984E-2</v>
      </c>
      <c r="C64">
        <f ca="1"/>
        <v>-8.6061199651147838E-3</v>
      </c>
      <c r="D64">
        <f ca="1"/>
        <v>-8.2326548310682583E-3</v>
      </c>
      <c r="E64">
        <f ca="1"/>
        <v>6.3466487549949414E-4</v>
      </c>
    </row>
    <row r="65" spans="1:5" x14ac:dyDescent="0.3">
      <c r="A65">
        <v>1</v>
      </c>
      <c r="B65">
        <f ca="1"/>
        <v>4.1554808599554391E-2</v>
      </c>
      <c r="C65">
        <f ca="1"/>
        <v>8.3682391592856328E-3</v>
      </c>
      <c r="D65">
        <f ca="1"/>
        <v>6.0032927425335766E-2</v>
      </c>
      <c r="E65">
        <f ca="1"/>
        <v>2.2731576355128031E-2</v>
      </c>
    </row>
    <row r="66" spans="1:5" x14ac:dyDescent="0.3">
      <c r="A66">
        <v>1</v>
      </c>
      <c r="B66">
        <f ca="1"/>
        <v>-2.9085494484601303E-2</v>
      </c>
      <c r="C66">
        <f ca="1"/>
        <v>-7.8882854152919363E-3</v>
      </c>
      <c r="D66">
        <f ca="1"/>
        <v>1.4026468694739901E-2</v>
      </c>
      <c r="E66">
        <f ca="1"/>
        <v>1.7630627762048399E-2</v>
      </c>
    </row>
    <row r="67" spans="1:5" x14ac:dyDescent="0.3">
      <c r="A67">
        <v>1</v>
      </c>
      <c r="B67">
        <f ca="1"/>
        <v>-6.3790988439575867E-3</v>
      </c>
      <c r="C67">
        <f ca="1"/>
        <v>1.2638917814564518E-2</v>
      </c>
      <c r="D67">
        <f ca="1"/>
        <v>6.9400151428179128E-3</v>
      </c>
      <c r="E67">
        <f ca="1"/>
        <v>-1.6528122329908194E-2</v>
      </c>
    </row>
    <row r="68" spans="1:5" x14ac:dyDescent="0.3">
      <c r="A68">
        <v>1</v>
      </c>
      <c r="B68">
        <f ca="1"/>
        <v>3.0860913055574427E-2</v>
      </c>
      <c r="C68">
        <f ca="1"/>
        <v>2.9880782802278481E-2</v>
      </c>
      <c r="D68">
        <f ca="1"/>
        <v>1.7142405127875043E-2</v>
      </c>
      <c r="E68">
        <f ca="1"/>
        <v>8.7077248058152357E-3</v>
      </c>
    </row>
    <row r="69" spans="1:5" x14ac:dyDescent="0.3">
      <c r="A69">
        <v>1</v>
      </c>
      <c r="B69">
        <f ca="1"/>
        <v>2.5914367378852079E-2</v>
      </c>
      <c r="C69">
        <f ca="1"/>
        <v>2.4310947757485209E-2</v>
      </c>
      <c r="D69">
        <f ca="1"/>
        <v>1.4038743107426439E-2</v>
      </c>
      <c r="E69">
        <f ca="1"/>
        <v>1.5176715182550544E-2</v>
      </c>
    </row>
    <row r="70" spans="1:5" x14ac:dyDescent="0.3">
      <c r="A70">
        <v>1</v>
      </c>
      <c r="B70">
        <f ca="1"/>
        <v>-4.4057188441942854E-2</v>
      </c>
      <c r="C70">
        <f ca="1"/>
        <v>-2.922176855777895E-3</v>
      </c>
      <c r="D70">
        <f ca="1"/>
        <v>7.2867059136175246E-3</v>
      </c>
      <c r="E70">
        <f ca="1"/>
        <v>-5.664266224230846E-3</v>
      </c>
    </row>
    <row r="71" spans="1:5" x14ac:dyDescent="0.3">
      <c r="A71">
        <v>1</v>
      </c>
      <c r="B71">
        <f ca="1"/>
        <v>1.1117589622785654E-2</v>
      </c>
      <c r="C71">
        <f ca="1"/>
        <v>-7.0032888519180152E-3</v>
      </c>
      <c r="D71">
        <f ca="1"/>
        <v>-1.7700952973278956E-2</v>
      </c>
      <c r="E71">
        <f ca="1"/>
        <v>-1.5263298076320958E-2</v>
      </c>
    </row>
    <row r="72" spans="1:5" x14ac:dyDescent="0.3">
      <c r="A72">
        <v>1</v>
      </c>
      <c r="B72">
        <f ca="1"/>
        <v>2.249782334518367E-2</v>
      </c>
      <c r="C72">
        <f ca="1"/>
        <v>1.641401014081555E-2</v>
      </c>
      <c r="D72">
        <f ca="1"/>
        <v>1.5959856193580733E-2</v>
      </c>
      <c r="E72">
        <f ca="1"/>
        <v>1.0722284011077053E-2</v>
      </c>
    </row>
    <row r="73" spans="1:5" x14ac:dyDescent="0.3">
      <c r="A73">
        <v>1</v>
      </c>
      <c r="B73">
        <f ca="1"/>
        <v>-3.1834598131033551E-2</v>
      </c>
      <c r="C73">
        <f ca="1"/>
        <v>-3.2871628203817706E-2</v>
      </c>
      <c r="D73">
        <f ca="1"/>
        <v>-1.4037211431492228E-2</v>
      </c>
      <c r="E73">
        <f ca="1"/>
        <v>-9.0072760042830772E-3</v>
      </c>
    </row>
    <row r="74" spans="1:5" x14ac:dyDescent="0.3">
      <c r="A74">
        <v>1</v>
      </c>
      <c r="B74">
        <f ca="1"/>
        <v>3.4806693650510347E-2</v>
      </c>
      <c r="C74">
        <f ca="1"/>
        <v>-1.1530716435113975E-3</v>
      </c>
      <c r="D74">
        <f ca="1"/>
        <v>-3.3092740068954157E-3</v>
      </c>
      <c r="E74">
        <f ca="1"/>
        <v>-3.9147146554468311E-3</v>
      </c>
    </row>
    <row r="75" spans="1:5" x14ac:dyDescent="0.3">
      <c r="A75">
        <v>1</v>
      </c>
      <c r="B75">
        <f ca="1"/>
        <v>2.3007294718675315E-2</v>
      </c>
      <c r="C75">
        <f ca="1"/>
        <v>4.3743271539249734E-3</v>
      </c>
      <c r="D75">
        <f ca="1"/>
        <v>2.6174503577686054E-3</v>
      </c>
      <c r="E75">
        <f ca="1"/>
        <v>1.1086143037213402E-2</v>
      </c>
    </row>
    <row r="76" spans="1:5" x14ac:dyDescent="0.3">
      <c r="A76">
        <v>1</v>
      </c>
      <c r="B76">
        <f ca="1"/>
        <v>-5.0562467762290238E-2</v>
      </c>
      <c r="C76">
        <f ca="1"/>
        <v>-5.4283931935169526E-2</v>
      </c>
      <c r="D76">
        <f ca="1"/>
        <v>-1.6042526208329119E-2</v>
      </c>
      <c r="E76">
        <f ca="1"/>
        <v>-1.2532361652265924E-2</v>
      </c>
    </row>
    <row r="77" spans="1:5" x14ac:dyDescent="0.3">
      <c r="A77">
        <v>1</v>
      </c>
      <c r="B77">
        <f ca="1"/>
        <v>-0.11417685904458276</v>
      </c>
      <c r="C77">
        <f ca="1"/>
        <v>-3.0036780983104232E-2</v>
      </c>
      <c r="D77">
        <f ca="1"/>
        <v>-2.1239553430126328E-2</v>
      </c>
      <c r="E77">
        <f ca="1"/>
        <v>-1.8220078367787367E-2</v>
      </c>
    </row>
    <row r="78" spans="1:5" x14ac:dyDescent="0.3">
      <c r="A78">
        <v>1</v>
      </c>
      <c r="B78">
        <f ca="1"/>
        <v>-4.6982895463256423E-2</v>
      </c>
      <c r="C78">
        <f ca="1"/>
        <v>-2.0963075435527254E-2</v>
      </c>
      <c r="D78">
        <f ca="1"/>
        <v>-4.7055968098325483E-2</v>
      </c>
      <c r="E78">
        <f ca="1"/>
        <v>-3.7970403147932269E-3</v>
      </c>
    </row>
    <row r="79" spans="1:5" x14ac:dyDescent="0.3">
      <c r="A79">
        <v>1</v>
      </c>
      <c r="B79">
        <f ca="1"/>
        <v>-6.1662589209931687E-2</v>
      </c>
      <c r="C79">
        <f ca="1"/>
        <v>-3.6651302417647941E-2</v>
      </c>
      <c r="D79">
        <f ca="1"/>
        <v>-3.023077878303633E-2</v>
      </c>
      <c r="E79">
        <f ca="1"/>
        <v>-2.7135020917527321E-2</v>
      </c>
    </row>
    <row r="80" spans="1:5" x14ac:dyDescent="0.3">
      <c r="A80">
        <v>1</v>
      </c>
      <c r="B80">
        <f ca="1"/>
        <v>-1.8631727929229423E-2</v>
      </c>
      <c r="C80">
        <f ca="1"/>
        <v>4.2272456727627788E-3</v>
      </c>
      <c r="D80">
        <f ca="1"/>
        <v>-1.6779401002787232E-2</v>
      </c>
      <c r="E80">
        <f ca="1"/>
        <v>-3.1694777251299107E-2</v>
      </c>
    </row>
    <row r="81" spans="1:5" x14ac:dyDescent="0.3">
      <c r="A81">
        <v>1</v>
      </c>
      <c r="B81">
        <f ca="1"/>
        <v>4.3793871434216015E-2</v>
      </c>
      <c r="C81">
        <f ca="1"/>
        <v>1.880453673080849E-2</v>
      </c>
      <c r="D81">
        <f ca="1"/>
        <v>1.1766441092080908E-2</v>
      </c>
      <c r="E81">
        <f ca="1"/>
        <v>-9.986912554727603E-3</v>
      </c>
    </row>
    <row r="82" spans="1:5" x14ac:dyDescent="0.3">
      <c r="A82">
        <v>1</v>
      </c>
      <c r="B82">
        <f ca="1"/>
        <v>-2.8377644076054382E-2</v>
      </c>
      <c r="C82">
        <f ca="1"/>
        <v>-3.4481783547373641E-2</v>
      </c>
      <c r="D82">
        <f ca="1"/>
        <v>-1.7305071622243182E-2</v>
      </c>
      <c r="E82">
        <f ca="1"/>
        <v>6.0943014146154079E-3</v>
      </c>
    </row>
    <row r="83" spans="1:5" x14ac:dyDescent="0.3">
      <c r="A83">
        <v>1</v>
      </c>
      <c r="B83">
        <f ca="1"/>
        <v>-8.084073224718406E-3</v>
      </c>
      <c r="C83">
        <f ca="1"/>
        <v>-9.9584995797549914E-3</v>
      </c>
      <c r="D83">
        <f ca="1"/>
        <v>-3.5326995535126726E-3</v>
      </c>
      <c r="E83">
        <f ca="1"/>
        <v>-7.2269102211282091E-3</v>
      </c>
    </row>
    <row r="84" spans="1:5" x14ac:dyDescent="0.3">
      <c r="A84">
        <v>1</v>
      </c>
      <c r="B84">
        <f ca="1"/>
        <v>1.6103317937744988E-2</v>
      </c>
      <c r="C84">
        <f ca="1"/>
        <v>2.0348891265952462E-2</v>
      </c>
      <c r="D84">
        <f ca="1"/>
        <v>2.4470397658318453E-2</v>
      </c>
      <c r="E84">
        <f ca="1"/>
        <v>2.9846271847160284E-2</v>
      </c>
    </row>
    <row r="85" spans="1:5" x14ac:dyDescent="0.3">
      <c r="A85">
        <v>1</v>
      </c>
      <c r="B85">
        <f ca="1"/>
        <v>-2.384429062764204E-2</v>
      </c>
      <c r="C85">
        <f ca="1"/>
        <v>-9.3200020842782137E-3</v>
      </c>
      <c r="D85">
        <f ca="1"/>
        <v>-5.6274516871878807E-3</v>
      </c>
      <c r="E85">
        <f ca="1"/>
        <v>1.549852856288606E-2</v>
      </c>
    </row>
    <row r="86" spans="1:5" x14ac:dyDescent="0.3">
      <c r="A86">
        <v>1</v>
      </c>
      <c r="B86">
        <f ca="1"/>
        <v>-4.7747861596679333E-2</v>
      </c>
      <c r="C86">
        <f ca="1"/>
        <v>8.0246227591854885E-4</v>
      </c>
      <c r="D86">
        <f ca="1"/>
        <v>-1.0999681761494481E-2</v>
      </c>
      <c r="E86">
        <f ca="1"/>
        <v>2.7067362294327876E-2</v>
      </c>
    </row>
    <row r="87" spans="1:5" x14ac:dyDescent="0.3">
      <c r="A87">
        <v>1</v>
      </c>
      <c r="B87">
        <f ca="1"/>
        <v>5.7110720809774376E-2</v>
      </c>
      <c r="C87">
        <f ca="1"/>
        <v>3.1573188372716207E-2</v>
      </c>
      <c r="D87">
        <f ca="1"/>
        <v>2.940881876211205E-2</v>
      </c>
      <c r="E87">
        <f ca="1"/>
        <v>1.4303141936273099E-2</v>
      </c>
    </row>
    <row r="88" spans="1:5" x14ac:dyDescent="0.3">
      <c r="A88">
        <v>1</v>
      </c>
      <c r="B88">
        <f ca="1"/>
        <v>4.0437577794284829E-3</v>
      </c>
      <c r="C88">
        <f ca="1"/>
        <v>5.1800574392572548E-4</v>
      </c>
      <c r="D88">
        <f ca="1"/>
        <v>-8.0446479406426439E-3</v>
      </c>
      <c r="E88">
        <f ca="1"/>
        <v>-7.649448035945766E-3</v>
      </c>
    </row>
    <row r="89" spans="1:5" x14ac:dyDescent="0.3">
      <c r="A89">
        <v>1</v>
      </c>
      <c r="B89">
        <f ca="1"/>
        <v>-6.2745563714096441E-3</v>
      </c>
      <c r="C89">
        <f ca="1"/>
        <v>-2.2249526409682866E-2</v>
      </c>
      <c r="D89">
        <f ca="1"/>
        <v>-4.8233601246860337E-3</v>
      </c>
      <c r="E89">
        <f ca="1"/>
        <v>-1.6399080706090238E-2</v>
      </c>
    </row>
    <row r="90" spans="1:5" x14ac:dyDescent="0.3">
      <c r="A90">
        <v>1</v>
      </c>
      <c r="B90">
        <f ca="1"/>
        <v>-3.365672273399388E-2</v>
      </c>
      <c r="C90">
        <f ca="1"/>
        <v>-1.305426067288184E-2</v>
      </c>
      <c r="D90">
        <f ca="1"/>
        <v>-4.4999058082160048E-3</v>
      </c>
      <c r="E90">
        <f ca="1"/>
        <v>9.0423150326757219E-3</v>
      </c>
    </row>
    <row r="91" spans="1:5" x14ac:dyDescent="0.3">
      <c r="A91">
        <v>1</v>
      </c>
      <c r="B91">
        <f ca="1"/>
        <v>-4.3783595435910649E-2</v>
      </c>
      <c r="C91">
        <f ca="1"/>
        <v>3.2125929659225757E-3</v>
      </c>
      <c r="D91">
        <f ca="1"/>
        <v>-2.3606951639370925E-2</v>
      </c>
      <c r="E91">
        <f ca="1"/>
        <v>1.1119266705032771E-2</v>
      </c>
    </row>
    <row r="92" spans="1:5" x14ac:dyDescent="0.3">
      <c r="A92">
        <v>1</v>
      </c>
      <c r="B92">
        <f ca="1"/>
        <v>-1.7707538252969977E-2</v>
      </c>
      <c r="C92">
        <f ca="1"/>
        <v>-2.9019101245464946E-2</v>
      </c>
      <c r="D92">
        <f ca="1"/>
        <v>1.2706635186521983E-2</v>
      </c>
      <c r="E92">
        <f ca="1"/>
        <v>1.600594348172215E-2</v>
      </c>
    </row>
    <row r="93" spans="1:5" x14ac:dyDescent="0.3">
      <c r="A93">
        <v>1</v>
      </c>
      <c r="B93">
        <f ca="1"/>
        <v>-6.195155065601831E-2</v>
      </c>
      <c r="C93">
        <f ca="1"/>
        <v>9.585165863902529E-3</v>
      </c>
      <c r="D93">
        <f ca="1"/>
        <v>-3.8110231935199568E-3</v>
      </c>
      <c r="E93">
        <f ca="1"/>
        <v>-9.6974129385777024E-3</v>
      </c>
    </row>
    <row r="94" spans="1:5" x14ac:dyDescent="0.3">
      <c r="A94">
        <v>1</v>
      </c>
      <c r="B94">
        <f ca="1"/>
        <v>1.2748181924408547E-2</v>
      </c>
      <c r="C94">
        <f ca="1"/>
        <v>8.1435623409301244E-3</v>
      </c>
      <c r="D94">
        <f ca="1"/>
        <v>-6.5031867959046263E-3</v>
      </c>
      <c r="E94">
        <f ca="1"/>
        <v>9.2867158783748877E-3</v>
      </c>
    </row>
    <row r="95" spans="1:5" x14ac:dyDescent="0.3">
      <c r="A95">
        <v>1</v>
      </c>
      <c r="B95">
        <f ca="1"/>
        <v>6.8445464803435774E-2</v>
      </c>
      <c r="C95">
        <f ca="1"/>
        <v>3.0616116021265478E-2</v>
      </c>
      <c r="D95">
        <f ca="1"/>
        <v>2.4978291885451497E-2</v>
      </c>
      <c r="E95">
        <f ca="1"/>
        <v>-3.4251972222758422E-4</v>
      </c>
    </row>
    <row r="96" spans="1:5" x14ac:dyDescent="0.3">
      <c r="A96">
        <v>1</v>
      </c>
      <c r="B96">
        <f ca="1"/>
        <v>-1.8126070232720871E-2</v>
      </c>
      <c r="C96">
        <f ca="1"/>
        <v>-3.9405883032969146E-3</v>
      </c>
      <c r="D96">
        <f ca="1"/>
        <v>-3.1430436302432598E-3</v>
      </c>
      <c r="E96">
        <f ca="1"/>
        <v>-6.7348579680393617E-3</v>
      </c>
    </row>
    <row r="97" spans="1:5" x14ac:dyDescent="0.3">
      <c r="A97">
        <v>1</v>
      </c>
      <c r="B97">
        <f ca="1"/>
        <v>-4.7976448183021686E-2</v>
      </c>
      <c r="C97">
        <f ca="1"/>
        <v>-2.1014265993378942E-2</v>
      </c>
      <c r="D97">
        <f ca="1"/>
        <v>-1.3203369024695936E-2</v>
      </c>
      <c r="E97">
        <f ca="1"/>
        <v>7.0088401590487426E-3</v>
      </c>
    </row>
    <row r="98" spans="1:5" x14ac:dyDescent="0.3">
      <c r="A98">
        <v>1</v>
      </c>
      <c r="B98">
        <f ca="1"/>
        <v>-1.129688160701707E-2</v>
      </c>
      <c r="C98">
        <f ca="1"/>
        <v>2.68570971069351E-4</v>
      </c>
      <c r="D98">
        <f ca="1"/>
        <v>9.7436972964034889E-4</v>
      </c>
      <c r="E98">
        <f ca="1"/>
        <v>-8.8726541093424229E-3</v>
      </c>
    </row>
    <row r="99" spans="1:5" x14ac:dyDescent="0.3">
      <c r="A99">
        <v>1</v>
      </c>
      <c r="B99">
        <f ca="1"/>
        <v>2.200471344398941E-2</v>
      </c>
      <c r="C99">
        <f ca="1"/>
        <v>0</v>
      </c>
      <c r="D99">
        <f ca="1"/>
        <v>-9.4273395233984893E-3</v>
      </c>
      <c r="E99">
        <f ca="1"/>
        <v>6.5418758605134929E-3</v>
      </c>
    </row>
    <row r="100" spans="1:5" x14ac:dyDescent="0.3">
      <c r="A100">
        <v>1</v>
      </c>
      <c r="B100">
        <f ca="1"/>
        <v>-5.668187308158873E-2</v>
      </c>
      <c r="C100">
        <f ca="1"/>
        <v>1.3347714773759161E-2</v>
      </c>
      <c r="D100">
        <f ca="1"/>
        <v>-3.5563830866007812E-2</v>
      </c>
      <c r="E100">
        <f ca="1"/>
        <v>-2.9557281259355861E-3</v>
      </c>
    </row>
    <row r="101" spans="1:5" x14ac:dyDescent="0.3">
      <c r="A101">
        <v>1</v>
      </c>
      <c r="B101">
        <f ca="1"/>
        <v>5.3667259160507658E-2</v>
      </c>
      <c r="C101">
        <f ca="1"/>
        <v>2.3845050357136605E-2</v>
      </c>
      <c r="D101">
        <f ca="1"/>
        <v>4.4814032372885219E-2</v>
      </c>
      <c r="E101">
        <f ca="1"/>
        <v>-1.3776440506640219E-3</v>
      </c>
    </row>
    <row r="102" spans="1:5" x14ac:dyDescent="0.3">
      <c r="A102">
        <v>1</v>
      </c>
      <c r="B102">
        <f ca="1"/>
        <v>8.3258379077370496E-3</v>
      </c>
      <c r="C102">
        <f ca="1"/>
        <v>2.3277703111636238E-3</v>
      </c>
      <c r="D102">
        <f ca="1"/>
        <v>-1.0323016364255587E-2</v>
      </c>
      <c r="E102">
        <f ca="1"/>
        <v>-1.220648246684148E-2</v>
      </c>
    </row>
    <row r="103" spans="1:5" x14ac:dyDescent="0.3">
      <c r="A103">
        <v>1</v>
      </c>
      <c r="B103">
        <f ca="1"/>
        <v>3.351760318422238E-2</v>
      </c>
      <c r="C103">
        <f ca="1"/>
        <v>3.8266330133345246E-2</v>
      </c>
      <c r="D103">
        <f ca="1"/>
        <v>2.4476407083393197E-2</v>
      </c>
      <c r="E103">
        <f ca="1"/>
        <v>5.0809782694262642E-3</v>
      </c>
    </row>
    <row r="104" spans="1:5" x14ac:dyDescent="0.3">
      <c r="A104">
        <v>1</v>
      </c>
      <c r="B104">
        <f ca="1"/>
        <v>3.5572105978311872E-3</v>
      </c>
      <c r="C104">
        <f ca="1"/>
        <v>8.4181581147855459E-3</v>
      </c>
      <c r="D104">
        <f ca="1"/>
        <v>-1.7449675253982663E-4</v>
      </c>
      <c r="E104">
        <f ca="1"/>
        <v>-1.743793263223941E-2</v>
      </c>
    </row>
    <row r="105" spans="1:5" x14ac:dyDescent="0.3">
      <c r="A105">
        <v>1</v>
      </c>
      <c r="B105">
        <f ca="1"/>
        <v>1.9952153469256981E-3</v>
      </c>
      <c r="C105">
        <f ca="1"/>
        <v>1.2320547525158016E-3</v>
      </c>
      <c r="D105">
        <f ca="1"/>
        <v>6.7868092560183094E-3</v>
      </c>
      <c r="E105">
        <f ca="1"/>
        <v>9.4514031792148614E-4</v>
      </c>
    </row>
    <row r="106" spans="1:5" x14ac:dyDescent="0.3">
      <c r="A106">
        <v>1</v>
      </c>
      <c r="B106">
        <f ca="1"/>
        <v>1.4293926780152778E-2</v>
      </c>
      <c r="C106">
        <f ca="1"/>
        <v>-3.5337614900562933E-2</v>
      </c>
      <c r="D106">
        <f ca="1"/>
        <v>-4.8679244723022772E-3</v>
      </c>
      <c r="E106">
        <f ca="1"/>
        <v>1.5857072834916768E-2</v>
      </c>
    </row>
    <row r="107" spans="1:5" x14ac:dyDescent="0.3">
      <c r="A107">
        <v>1</v>
      </c>
      <c r="B107">
        <f ca="1"/>
        <v>2.1599099472815256E-2</v>
      </c>
      <c r="C107">
        <f ca="1"/>
        <v>-1.0212037413739427E-3</v>
      </c>
      <c r="D107">
        <f ca="1"/>
        <v>4.0003462651090902E-3</v>
      </c>
      <c r="E107">
        <f ca="1"/>
        <v>6.7594195089195697E-3</v>
      </c>
    </row>
    <row r="108" spans="1:5" x14ac:dyDescent="0.3">
      <c r="A108">
        <v>1</v>
      </c>
      <c r="B108">
        <f ca="1"/>
        <v>4.0514196998009434E-3</v>
      </c>
      <c r="C108">
        <f ca="1"/>
        <v>-5.120102257114627E-3</v>
      </c>
      <c r="D108">
        <f ca="1"/>
        <v>-1.5745498153452563E-2</v>
      </c>
      <c r="E108">
        <f ca="1"/>
        <v>1.9428941627509726E-3</v>
      </c>
    </row>
    <row r="109" spans="1:5" x14ac:dyDescent="0.3">
      <c r="A109">
        <v>1</v>
      </c>
      <c r="B109">
        <f ca="1"/>
        <v>1.6044358556919859E-2</v>
      </c>
      <c r="C109">
        <f ca="1"/>
        <v>3.0833676702352365E-2</v>
      </c>
      <c r="D109">
        <f ca="1"/>
        <v>1.5918965159637411E-2</v>
      </c>
      <c r="E109">
        <f ca="1"/>
        <v>9.4510607255483201E-3</v>
      </c>
    </row>
    <row r="110" spans="1:5" x14ac:dyDescent="0.3">
      <c r="A110">
        <v>1</v>
      </c>
      <c r="B110">
        <f ca="1"/>
        <v>2.7472521295125722E-2</v>
      </c>
      <c r="C110">
        <f ca="1"/>
        <v>-1.1766323923896947E-2</v>
      </c>
      <c r="D110">
        <f ca="1"/>
        <v>-3.7381913006607299E-3</v>
      </c>
      <c r="E110">
        <f ca="1"/>
        <v>1.6479933801404237E-2</v>
      </c>
    </row>
    <row r="111" spans="1:5" x14ac:dyDescent="0.3">
      <c r="A111">
        <v>1</v>
      </c>
      <c r="B111">
        <f ca="1"/>
        <v>3.6214778878455541E-2</v>
      </c>
      <c r="C111">
        <f ca="1"/>
        <v>-8.9509592426716883E-2</v>
      </c>
      <c r="D111">
        <f ca="1"/>
        <v>4.7790868911821256E-3</v>
      </c>
      <c r="E111">
        <f ca="1"/>
        <v>-6.3791390837984713E-2</v>
      </c>
    </row>
    <row r="112" spans="1:5" x14ac:dyDescent="0.3">
      <c r="A112">
        <v>1</v>
      </c>
      <c r="B112">
        <f ca="1"/>
        <v>-5.2649121409213649E-2</v>
      </c>
      <c r="C112">
        <f ca="1"/>
        <v>1.7742956278356516E-2</v>
      </c>
      <c r="D112">
        <f ca="1"/>
        <v>-1.0018934043399342E-2</v>
      </c>
      <c r="E112">
        <f ca="1"/>
        <v>2.8318869220527183E-2</v>
      </c>
    </row>
    <row r="113" spans="1:5" x14ac:dyDescent="0.3">
      <c r="A113">
        <v>1</v>
      </c>
      <c r="B113">
        <f ca="1"/>
        <v>1.242109017713664E-3</v>
      </c>
      <c r="C113">
        <f ca="1"/>
        <v>-2.603966116259859E-2</v>
      </c>
      <c r="D113">
        <f ca="1"/>
        <v>-1.5708051566692791E-2</v>
      </c>
      <c r="E113">
        <f ca="1"/>
        <v>-6.670364877390627E-3</v>
      </c>
    </row>
    <row r="114" spans="1:5" x14ac:dyDescent="0.3">
      <c r="A114">
        <v>1</v>
      </c>
      <c r="B114">
        <f ca="1"/>
        <v>3.0982249057454089E-3</v>
      </c>
      <c r="C114">
        <f ca="1"/>
        <v>1.4063394764283818E-2</v>
      </c>
      <c r="D114">
        <f ca="1"/>
        <v>1.0440787767661221E-2</v>
      </c>
      <c r="E114">
        <f ca="1"/>
        <v>2.0431101427310003E-2</v>
      </c>
    </row>
    <row r="115" spans="1:5" x14ac:dyDescent="0.3">
      <c r="A115">
        <v>1</v>
      </c>
      <c r="B115">
        <f ca="1"/>
        <v>-1.3286526449471677E-2</v>
      </c>
      <c r="C115">
        <f ca="1"/>
        <v>-1.3785657990441621E-2</v>
      </c>
      <c r="D115">
        <f ca="1"/>
        <v>-1.10636084734773E-2</v>
      </c>
      <c r="E115">
        <f ca="1"/>
        <v>-1.5888019282295949E-3</v>
      </c>
    </row>
    <row r="116" spans="1:5" x14ac:dyDescent="0.3">
      <c r="A116">
        <v>1</v>
      </c>
      <c r="B116">
        <f ca="1"/>
        <v>3.4305514981919069E-2</v>
      </c>
      <c r="C116">
        <f ca="1"/>
        <v>-7.6004621554085945E-3</v>
      </c>
      <c r="D116">
        <f ca="1"/>
        <v>2.9811051955718596E-2</v>
      </c>
      <c r="E116">
        <f ca="1"/>
        <v>4.8373451740413271E-4</v>
      </c>
    </row>
    <row r="117" spans="1:5" x14ac:dyDescent="0.3">
      <c r="A117">
        <v>1</v>
      </c>
      <c r="B117">
        <f ca="1"/>
        <v>-1.5703284711101283E-2</v>
      </c>
      <c r="C117">
        <f ca="1"/>
        <v>-2.8250211219316254E-4</v>
      </c>
      <c r="D117">
        <f ca="1"/>
        <v>-1.2254993088784543E-2</v>
      </c>
      <c r="E117">
        <f ca="1"/>
        <v>3.7933764398533415E-3</v>
      </c>
    </row>
    <row r="118" spans="1:5" x14ac:dyDescent="0.3">
      <c r="A118">
        <v>1</v>
      </c>
      <c r="B118">
        <f ca="1"/>
        <v>3.4942513658565474E-2</v>
      </c>
      <c r="C118">
        <f ca="1"/>
        <v>-2.460773598325278E-2</v>
      </c>
      <c r="D118">
        <f ca="1"/>
        <v>8.9670039494033141E-3</v>
      </c>
      <c r="E118">
        <f ca="1"/>
        <v>-2.3434318942729313E-3</v>
      </c>
    </row>
    <row r="119" spans="1:5" x14ac:dyDescent="0.3">
      <c r="A119">
        <v>1</v>
      </c>
      <c r="B119">
        <f ca="1"/>
        <v>4.9753738336072169E-2</v>
      </c>
      <c r="C119">
        <f ca="1"/>
        <v>2.4325154041063661E-2</v>
      </c>
      <c r="D119">
        <f ca="1"/>
        <v>2.5753313105076801E-2</v>
      </c>
      <c r="E119">
        <f ca="1"/>
        <v>9.4087225881151464E-3</v>
      </c>
    </row>
    <row r="120" spans="1:5" x14ac:dyDescent="0.3">
      <c r="A120">
        <v>1</v>
      </c>
      <c r="B120">
        <f ca="1"/>
        <v>6.0252348186189764E-3</v>
      </c>
      <c r="C120">
        <f ca="1"/>
        <v>6.2007693524282863E-3</v>
      </c>
      <c r="D120">
        <f ca="1"/>
        <v>1.4673435122355411E-2</v>
      </c>
      <c r="E120">
        <f ca="1"/>
        <v>-7.1341810205766045E-3</v>
      </c>
    </row>
    <row r="121" spans="1:5" x14ac:dyDescent="0.3">
      <c r="A121">
        <v>1</v>
      </c>
      <c r="B121">
        <f ca="1"/>
        <v>-9.6200366837037258E-3</v>
      </c>
      <c r="C121">
        <f ca="1"/>
        <v>1.4505043010291296E-2</v>
      </c>
      <c r="D121">
        <f ca="1"/>
        <v>1.6428366470323717E-2</v>
      </c>
      <c r="E121">
        <f ca="1"/>
        <v>9.6599091748084381E-3</v>
      </c>
    </row>
    <row r="122" spans="1:5" x14ac:dyDescent="0.3">
      <c r="A122">
        <v>1</v>
      </c>
      <c r="B122">
        <f ca="1"/>
        <v>-2.0295462726900852E-2</v>
      </c>
      <c r="C122">
        <f ca="1"/>
        <v>6.3491985075550634E-3</v>
      </c>
      <c r="D122">
        <f ca="1"/>
        <v>2.6983957056127346E-3</v>
      </c>
      <c r="E122">
        <f ca="1"/>
        <v>1.2803733915419118E-2</v>
      </c>
    </row>
    <row r="123" spans="1:5" x14ac:dyDescent="0.3">
      <c r="A123">
        <v>1</v>
      </c>
      <c r="B123">
        <f ca="1"/>
        <v>2.7095648443873636E-2</v>
      </c>
      <c r="C123">
        <f ca="1"/>
        <v>-4.1361439254792914E-3</v>
      </c>
      <c r="D123">
        <f ca="1"/>
        <v>9.5087217205154454E-3</v>
      </c>
      <c r="E123">
        <f ca="1"/>
        <v>9.1794593358025447E-3</v>
      </c>
    </row>
    <row r="124" spans="1:5" x14ac:dyDescent="0.3">
      <c r="A124">
        <v>1</v>
      </c>
      <c r="B124">
        <f ca="1"/>
        <v>-2.1694437891099913E-2</v>
      </c>
      <c r="C124">
        <f ca="1"/>
        <v>-1.1393920962384233E-2</v>
      </c>
      <c r="D124">
        <f ca="1"/>
        <v>-8.4478063653031423E-3</v>
      </c>
      <c r="E124">
        <f ca="1"/>
        <v>-4.6126892410521207E-3</v>
      </c>
    </row>
    <row r="125" spans="1:5" x14ac:dyDescent="0.3">
      <c r="A125">
        <v>1</v>
      </c>
      <c r="B125">
        <f ca="1"/>
        <v>3.5157634518295428E-2</v>
      </c>
      <c r="C125">
        <f ca="1"/>
        <v>1.1670100983506872E-2</v>
      </c>
      <c r="D125">
        <f ca="1"/>
        <v>-7.7795241279580681E-3</v>
      </c>
      <c r="E125">
        <f ca="1"/>
        <v>3.54514036175691E-3</v>
      </c>
    </row>
    <row r="126" spans="1:5" x14ac:dyDescent="0.3">
      <c r="A126">
        <v>1</v>
      </c>
      <c r="B126">
        <f ca="1"/>
        <v>-5.3994983428096305E-2</v>
      </c>
      <c r="C126">
        <f ca="1"/>
        <v>-2.2912465023728859E-2</v>
      </c>
      <c r="D126">
        <f ca="1"/>
        <v>-2.5056449637832486E-2</v>
      </c>
      <c r="E126">
        <f ca="1"/>
        <v>-2.6716949280409787E-4</v>
      </c>
    </row>
    <row r="127" spans="1:5" x14ac:dyDescent="0.3">
      <c r="A127">
        <v>1</v>
      </c>
      <c r="B127">
        <f ca="1"/>
        <v>-1.4613142266491278E-2</v>
      </c>
      <c r="C127">
        <f ca="1"/>
        <v>-4.4503081707879623E-2</v>
      </c>
      <c r="D127">
        <f ca="1"/>
        <v>-1.6660072106936562E-2</v>
      </c>
      <c r="E127">
        <f ca="1"/>
        <v>-2.6750714412307431E-3</v>
      </c>
    </row>
    <row r="128" spans="1:5" x14ac:dyDescent="0.3">
      <c r="A128">
        <v>1</v>
      </c>
      <c r="B128">
        <f ca="1"/>
        <v>5.4580041647306628E-2</v>
      </c>
      <c r="C128">
        <f ca="1"/>
        <v>3.2453576562457933E-3</v>
      </c>
      <c r="D128">
        <f ca="1"/>
        <v>-9.9057906703614394E-3</v>
      </c>
      <c r="E128">
        <f ca="1"/>
        <v>-1.94744647791735E-2</v>
      </c>
    </row>
    <row r="129" spans="1:5" x14ac:dyDescent="0.3">
      <c r="A129">
        <v>1</v>
      </c>
      <c r="B129">
        <f ca="1"/>
        <v>2.4926770418388519E-2</v>
      </c>
      <c r="C129">
        <f ca="1"/>
        <v>-2.6547321137897965E-3</v>
      </c>
      <c r="D129">
        <f ca="1"/>
        <v>2.421137323391811E-3</v>
      </c>
      <c r="E129">
        <f ca="1"/>
        <v>-4.3111302043003907E-3</v>
      </c>
    </row>
    <row r="130" spans="1:5" x14ac:dyDescent="0.3">
      <c r="A130">
        <v>1</v>
      </c>
      <c r="B130">
        <f ca="1"/>
        <v>4.4731388007777748E-2</v>
      </c>
      <c r="C130">
        <f ca="1"/>
        <v>2.9966099147103929E-2</v>
      </c>
      <c r="D130">
        <f ca="1"/>
        <v>2.3470164137795926E-2</v>
      </c>
      <c r="E130">
        <f ca="1"/>
        <v>-8.2316360963742596E-4</v>
      </c>
    </row>
    <row r="131" spans="1:5" x14ac:dyDescent="0.3">
      <c r="A131">
        <v>1</v>
      </c>
      <c r="B131">
        <f ca="1"/>
        <v>-1.9156338514527655E-2</v>
      </c>
      <c r="C131">
        <f ca="1"/>
        <v>-4.4842710685567458E-2</v>
      </c>
      <c r="D131">
        <f ca="1"/>
        <v>-3.3276326481436046E-2</v>
      </c>
      <c r="E131">
        <f ca="1"/>
        <v>-2.3682577721662816E-2</v>
      </c>
    </row>
    <row r="132" spans="1:5" x14ac:dyDescent="0.3">
      <c r="A132">
        <v>1</v>
      </c>
      <c r="B132">
        <f ca="1"/>
        <v>-6.1073438187776085E-3</v>
      </c>
      <c r="C132">
        <f ca="1"/>
        <v>-1.2669918056653887E-2</v>
      </c>
      <c r="D132">
        <f ca="1"/>
        <v>-2.4447511962562792E-3</v>
      </c>
      <c r="E132">
        <f ca="1"/>
        <v>-4.2256162563889497E-3</v>
      </c>
    </row>
    <row r="133" spans="1:5" x14ac:dyDescent="0.3">
      <c r="A133">
        <v>1</v>
      </c>
      <c r="B133">
        <f ca="1"/>
        <v>-8.8683610005449207E-2</v>
      </c>
      <c r="C133">
        <f ca="1"/>
        <v>-2.0859669280722901E-2</v>
      </c>
      <c r="D133">
        <f ca="1"/>
        <v>1.7472553194764739E-4</v>
      </c>
      <c r="E133">
        <f ca="1"/>
        <v>-1.071432435073595E-2</v>
      </c>
    </row>
    <row r="134" spans="1:5" x14ac:dyDescent="0.3">
      <c r="A134">
        <v>1</v>
      </c>
      <c r="B134">
        <f ca="1"/>
        <v>-2.6130844603761361E-2</v>
      </c>
      <c r="C134">
        <f ca="1"/>
        <v>-1.0595309004864622E-2</v>
      </c>
      <c r="D134">
        <f ca="1"/>
        <v>-5.9612630969833992E-3</v>
      </c>
      <c r="E134">
        <f ca="1"/>
        <v>-1.610854195700244E-2</v>
      </c>
    </row>
    <row r="135" spans="1:5" x14ac:dyDescent="0.3">
      <c r="A135">
        <v>1</v>
      </c>
      <c r="B135">
        <f ca="1"/>
        <v>-2.8702267020029672E-2</v>
      </c>
      <c r="C135">
        <f ca="1"/>
        <v>-5.0249285274939813E-3</v>
      </c>
      <c r="D135">
        <f ca="1"/>
        <v>6.834798298299893E-3</v>
      </c>
      <c r="E135">
        <f ca="1"/>
        <v>1.2248897216468138E-2</v>
      </c>
    </row>
    <row r="136" spans="1:5" x14ac:dyDescent="0.3">
      <c r="A136">
        <v>1</v>
      </c>
      <c r="B136">
        <f ca="1"/>
        <v>2.4043001688366497E-2</v>
      </c>
      <c r="C136">
        <f ca="1"/>
        <v>-1.7148712689283786E-2</v>
      </c>
      <c r="D136">
        <f ca="1"/>
        <v>-7.0107524940341464E-3</v>
      </c>
      <c r="E136">
        <f ca="1"/>
        <v>-1.7919517052876744E-2</v>
      </c>
    </row>
    <row r="137" spans="1:5" x14ac:dyDescent="0.3">
      <c r="A137">
        <v>1</v>
      </c>
      <c r="B137">
        <f ca="1"/>
        <v>-2.7584986277559485E-2</v>
      </c>
      <c r="C137">
        <f ca="1"/>
        <v>-2.7933202022375061E-2</v>
      </c>
      <c r="D137">
        <f ca="1"/>
        <v>2.6382777108541579E-4</v>
      </c>
      <c r="E137">
        <f ca="1"/>
        <v>-1.1217634851985422E-2</v>
      </c>
    </row>
    <row r="138" spans="1:5" x14ac:dyDescent="0.3">
      <c r="A138">
        <v>1</v>
      </c>
      <c r="B138">
        <f ca="1"/>
        <v>-5.2319859966318367E-3</v>
      </c>
      <c r="C138">
        <f ca="1"/>
        <v>9.5069775809028551E-3</v>
      </c>
      <c r="D138">
        <f ca="1"/>
        <v>1.8812721920078421E-2</v>
      </c>
      <c r="E138">
        <f ca="1"/>
        <v>1.5001719340679053E-2</v>
      </c>
    </row>
    <row r="139" spans="1:5" x14ac:dyDescent="0.3">
      <c r="A139">
        <v>1</v>
      </c>
      <c r="B139">
        <f ca="1"/>
        <v>2.4866695317109118E-2</v>
      </c>
      <c r="C139">
        <f ca="1"/>
        <v>3.2571547302099853E-3</v>
      </c>
      <c r="D139">
        <f ca="1"/>
        <v>2.3028629817310842E-2</v>
      </c>
      <c r="E139">
        <f ca="1"/>
        <v>1.3064303111872322E-3</v>
      </c>
    </row>
    <row r="140" spans="1:5" x14ac:dyDescent="0.3">
      <c r="A140">
        <v>1</v>
      </c>
      <c r="B140">
        <f ca="1"/>
        <v>7.4137188395991108E-2</v>
      </c>
      <c r="C140">
        <f ca="1"/>
        <v>2.2826901442136258E-2</v>
      </c>
      <c r="D140">
        <f ca="1"/>
        <v>4.7945522888074021E-3</v>
      </c>
      <c r="E140">
        <f ca="1"/>
        <v>1.5118109703829588E-2</v>
      </c>
    </row>
    <row r="141" spans="1:5" x14ac:dyDescent="0.3">
      <c r="A141">
        <v>1</v>
      </c>
      <c r="B141">
        <f ca="1"/>
        <v>-5.3353419697646873E-3</v>
      </c>
      <c r="C141">
        <f ca="1"/>
        <v>3.1737559161022998E-3</v>
      </c>
      <c r="D141">
        <f ca="1"/>
        <v>1.176248683019053E-2</v>
      </c>
      <c r="E141">
        <f ca="1"/>
        <v>8.1122400971735727E-3</v>
      </c>
    </row>
    <row r="142" spans="1:5" x14ac:dyDescent="0.3">
      <c r="A142">
        <v>1</v>
      </c>
      <c r="B142">
        <f ca="1"/>
        <v>-3.9954683995220834E-2</v>
      </c>
      <c r="C142">
        <f ca="1"/>
        <v>-7.4644341439605855E-2</v>
      </c>
      <c r="D142">
        <f ca="1"/>
        <v>-3.5366952403653722E-2</v>
      </c>
      <c r="E142">
        <f ca="1"/>
        <v>-2.0911946057087127E-2</v>
      </c>
    </row>
    <row r="143" spans="1:5" x14ac:dyDescent="0.3">
      <c r="A143">
        <v>1</v>
      </c>
      <c r="B143">
        <f ca="1"/>
        <v>-0.11537489468995095</v>
      </c>
      <c r="C143">
        <f ca="1"/>
        <v>-3.762662046065555E-3</v>
      </c>
      <c r="D143">
        <f ca="1"/>
        <v>-2.322327240321883E-3</v>
      </c>
      <c r="E143">
        <f ca="1"/>
        <v>2.385293846479918E-3</v>
      </c>
    </row>
    <row r="144" spans="1:5" x14ac:dyDescent="0.3">
      <c r="A144">
        <v>1</v>
      </c>
      <c r="B144">
        <f ca="1"/>
        <v>-3.7980825543638762E-2</v>
      </c>
      <c r="C144">
        <f ca="1"/>
        <v>-1.1720238588626773E-2</v>
      </c>
      <c r="D144">
        <f ca="1"/>
        <v>1.4958146533836834E-2</v>
      </c>
      <c r="E144">
        <f ca="1"/>
        <v>-7.7551226474032054E-3</v>
      </c>
    </row>
    <row r="145" spans="1:5" x14ac:dyDescent="0.3">
      <c r="A145">
        <v>1</v>
      </c>
      <c r="B145">
        <f ca="1"/>
        <v>-1.5887940552368734E-2</v>
      </c>
      <c r="C145">
        <f ca="1"/>
        <v>1.3774289900004818E-2</v>
      </c>
      <c r="D145">
        <f ca="1"/>
        <v>-6.7248542559509598E-3</v>
      </c>
      <c r="E145">
        <f ca="1"/>
        <v>6.0933417855767152E-3</v>
      </c>
    </row>
    <row r="146" spans="1:5" x14ac:dyDescent="0.3">
      <c r="A146">
        <v>1</v>
      </c>
      <c r="B146">
        <f ca="1"/>
        <v>4.9843711120014331E-2</v>
      </c>
      <c r="C146">
        <f ca="1"/>
        <v>6.816643028527471E-3</v>
      </c>
      <c r="D146">
        <f ca="1"/>
        <v>9.1820985637890654E-3</v>
      </c>
      <c r="E146">
        <f ca="1"/>
        <v>-2.0992097608855541E-3</v>
      </c>
    </row>
    <row r="147" spans="1:5" x14ac:dyDescent="0.3">
      <c r="A147">
        <v>1</v>
      </c>
      <c r="B147">
        <f ca="1"/>
        <v>-2.4955849813402889E-2</v>
      </c>
      <c r="C147">
        <f ca="1"/>
        <v>-1.6438759528785079E-2</v>
      </c>
      <c r="D147">
        <f ca="1"/>
        <v>-1.991603835462194E-2</v>
      </c>
      <c r="E147">
        <f ca="1"/>
        <v>-3.5574277373421515E-3</v>
      </c>
    </row>
    <row r="148" spans="1:5" x14ac:dyDescent="0.3">
      <c r="A148">
        <v>1</v>
      </c>
      <c r="B148">
        <f ca="1"/>
        <v>-9.94307391062864E-2</v>
      </c>
      <c r="C148">
        <f ca="1"/>
        <v>-1.7064571857771733E-2</v>
      </c>
      <c r="D148">
        <f ca="1"/>
        <v>-2.9259263961486214E-2</v>
      </c>
      <c r="E148">
        <f ca="1"/>
        <v>-1.2956241500030304E-2</v>
      </c>
    </row>
    <row r="149" spans="1:5" x14ac:dyDescent="0.3">
      <c r="A149">
        <v>1</v>
      </c>
      <c r="B149">
        <f ca="1"/>
        <v>-4.9145657731375636E-2</v>
      </c>
      <c r="C149">
        <f ca="1"/>
        <v>-1.4149476813449606E-2</v>
      </c>
      <c r="D149">
        <f ca="1"/>
        <v>-1.1444044149958097E-2</v>
      </c>
      <c r="E149">
        <f ca="1"/>
        <v>3.5301151022498617E-3</v>
      </c>
    </row>
    <row r="150" spans="1:5" x14ac:dyDescent="0.3">
      <c r="A150">
        <v>1</v>
      </c>
      <c r="B150">
        <f ca="1"/>
        <v>-5.5059802691081274E-2</v>
      </c>
      <c r="C150">
        <f ca="1"/>
        <v>-1.9788612283863045E-2</v>
      </c>
      <c r="D150">
        <f ca="1"/>
        <v>-1.8788859912420967E-2</v>
      </c>
      <c r="E150">
        <f ca="1"/>
        <v>-4.6360617439887338E-3</v>
      </c>
    </row>
    <row r="151" spans="1:5" x14ac:dyDescent="0.3">
      <c r="A151">
        <v>1</v>
      </c>
      <c r="B151">
        <f ca="1"/>
        <v>-2.9724679161321939E-2</v>
      </c>
      <c r="C151">
        <f ca="1"/>
        <v>-2.0187734784076494E-2</v>
      </c>
      <c r="D151">
        <f ca="1"/>
        <v>-2.1767163398584553E-2</v>
      </c>
      <c r="E151">
        <f ca="1"/>
        <v>9.5855263451235845E-4</v>
      </c>
    </row>
    <row r="152" spans="1:5" x14ac:dyDescent="0.3">
      <c r="A152">
        <v>1</v>
      </c>
      <c r="B152">
        <f ca="1"/>
        <v>6.650134587855394E-3</v>
      </c>
      <c r="C152">
        <f ca="1"/>
        <v>-2.9707372959234765E-3</v>
      </c>
      <c r="D152">
        <f ca="1"/>
        <v>-8.8411692999151234E-3</v>
      </c>
      <c r="E152">
        <f ca="1"/>
        <v>-2.7870012827579553E-2</v>
      </c>
    </row>
    <row r="153" spans="1:5" x14ac:dyDescent="0.3">
      <c r="A153">
        <v>1</v>
      </c>
      <c r="B153">
        <f ca="1"/>
        <v>1.5158531453663606E-2</v>
      </c>
      <c r="C153">
        <f ca="1"/>
        <v>8.8854830054740236E-3</v>
      </c>
      <c r="D153">
        <f ca="1"/>
        <v>2.0015567417895633E-2</v>
      </c>
      <c r="E153">
        <f ca="1"/>
        <v>0</v>
      </c>
    </row>
    <row r="154" spans="1:5" x14ac:dyDescent="0.3">
      <c r="A154">
        <v>1</v>
      </c>
      <c r="B154">
        <f ca="1"/>
        <v>5.6608047728465552E-3</v>
      </c>
      <c r="C154">
        <f ca="1"/>
        <v>-2.8033821394259192E-2</v>
      </c>
      <c r="D154">
        <f ca="1"/>
        <v>-1.7091362215509744E-2</v>
      </c>
      <c r="E154">
        <f ca="1"/>
        <v>-2.5166212305946269E-2</v>
      </c>
    </row>
    <row r="155" spans="1:5" x14ac:dyDescent="0.3">
      <c r="A155">
        <v>1</v>
      </c>
      <c r="B155">
        <f ca="1"/>
        <v>-5.12488380646373E-2</v>
      </c>
      <c r="C155">
        <f ca="1"/>
        <v>-2.3394928145411588E-2</v>
      </c>
      <c r="D155">
        <f ca="1"/>
        <v>-1.5760101091996815E-2</v>
      </c>
      <c r="E155">
        <f ca="1"/>
        <v>-1.9220078104960382E-2</v>
      </c>
    </row>
    <row r="156" spans="1:5" x14ac:dyDescent="0.3">
      <c r="A156">
        <v>1</v>
      </c>
      <c r="B156">
        <f ca="1"/>
        <v>0.10509311497756703</v>
      </c>
      <c r="C156">
        <f ca="1"/>
        <v>4.5514003830120185E-2</v>
      </c>
      <c r="D156">
        <f ca="1"/>
        <v>3.0441043868558334E-2</v>
      </c>
      <c r="E156">
        <f ca="1"/>
        <v>1.7742730608230464E-2</v>
      </c>
    </row>
    <row r="157" spans="1:5" x14ac:dyDescent="0.3">
      <c r="A157">
        <v>1</v>
      </c>
      <c r="B157">
        <f ca="1"/>
        <v>7.3209753018269472E-2</v>
      </c>
      <c r="C157">
        <f ca="1"/>
        <v>2.6707383533128161E-2</v>
      </c>
      <c r="D157">
        <f ca="1"/>
        <v>4.5722081819391171E-2</v>
      </c>
      <c r="E157">
        <f ca="1"/>
        <v>1.2296704433289974E-2</v>
      </c>
    </row>
    <row r="158" spans="1:5" x14ac:dyDescent="0.3">
      <c r="A158">
        <v>1</v>
      </c>
      <c r="B158">
        <f ca="1"/>
        <v>-3.7355756178552827E-3</v>
      </c>
      <c r="C158">
        <f ca="1"/>
        <v>-2.1687477004540632E-3</v>
      </c>
      <c r="D158">
        <f ca="1"/>
        <v>-1.242352120801817E-2</v>
      </c>
      <c r="E158">
        <f ca="1"/>
        <v>-6.9419296869388811E-3</v>
      </c>
    </row>
    <row r="159" spans="1:5" x14ac:dyDescent="0.3">
      <c r="A159">
        <v>1</v>
      </c>
      <c r="B159">
        <f ca="1"/>
        <v>-5.7549027835995942E-3</v>
      </c>
      <c r="C159">
        <f ca="1"/>
        <v>-1.6782133529464824E-2</v>
      </c>
      <c r="D159">
        <f ca="1"/>
        <v>-2.0592841529907327E-2</v>
      </c>
      <c r="E159">
        <f ca="1"/>
        <v>-2.1277357798703458E-2</v>
      </c>
    </row>
    <row r="160" spans="1:5" x14ac:dyDescent="0.3">
      <c r="A160">
        <v>1</v>
      </c>
      <c r="B160">
        <f ca="1"/>
        <v>-2.1304750693141309E-2</v>
      </c>
      <c r="C160">
        <f ca="1"/>
        <v>-5.521272778898912E-2</v>
      </c>
      <c r="D160">
        <f ca="1"/>
        <v>-2.0176352291750403E-2</v>
      </c>
      <c r="E160">
        <f ca="1"/>
        <v>-1.7627608689942374E-2</v>
      </c>
    </row>
    <row r="161" spans="1:5" x14ac:dyDescent="0.3">
      <c r="A161">
        <v>1</v>
      </c>
      <c r="B161">
        <f ca="1"/>
        <v>-4.3673136748786975E-3</v>
      </c>
      <c r="C161">
        <f ca="1"/>
        <v>-2.0424773892822181E-2</v>
      </c>
      <c r="D161">
        <f ca="1"/>
        <v>-9.3853656467378279E-3</v>
      </c>
      <c r="E161">
        <f ca="1"/>
        <v>-4.1122515433566357E-3</v>
      </c>
    </row>
    <row r="162" spans="1:5" x14ac:dyDescent="0.3">
      <c r="A162">
        <v>1</v>
      </c>
      <c r="B162">
        <f ca="1"/>
        <v>-2.5819564443844249E-2</v>
      </c>
      <c r="C162">
        <f ca="1"/>
        <v>-6.369598626467677E-3</v>
      </c>
      <c r="D162">
        <f ca="1"/>
        <v>-2.9284478820479451E-2</v>
      </c>
      <c r="E162">
        <f ca="1"/>
        <v>3.7904177436474595E-3</v>
      </c>
    </row>
    <row r="163" spans="1:5" x14ac:dyDescent="0.3">
      <c r="A163">
        <v>1</v>
      </c>
      <c r="B163">
        <f ca="1"/>
        <v>5.1742354804923167E-2</v>
      </c>
      <c r="C163">
        <f ca="1"/>
        <v>1.1514829548850001E-2</v>
      </c>
      <c r="D163">
        <f ca="1"/>
        <v>1.605328638236372E-2</v>
      </c>
      <c r="E163">
        <f ca="1"/>
        <v>1.6085518059180148E-3</v>
      </c>
    </row>
    <row r="164" spans="1:5" x14ac:dyDescent="0.3">
      <c r="A164">
        <v>1</v>
      </c>
      <c r="B164">
        <f ca="1"/>
        <v>2.5267744172007629E-2</v>
      </c>
      <c r="C164">
        <f ca="1"/>
        <v>4.2132077404108591E-2</v>
      </c>
      <c r="D164">
        <f ca="1"/>
        <v>5.4102787909061256E-2</v>
      </c>
      <c r="E164">
        <f ca="1"/>
        <v>1.4995815752417355E-2</v>
      </c>
    </row>
    <row r="165" spans="1:5" x14ac:dyDescent="0.3">
      <c r="A165">
        <v>1</v>
      </c>
      <c r="B165">
        <f ca="1"/>
        <v>-6.3886564326214146E-2</v>
      </c>
      <c r="C165">
        <f ca="1"/>
        <v>-1.9492717384044747E-2</v>
      </c>
      <c r="D165">
        <f ca="1"/>
        <v>1.6503745439232283E-2</v>
      </c>
      <c r="E165">
        <f ca="1"/>
        <v>-9.7855087885450123E-3</v>
      </c>
    </row>
    <row r="166" spans="1:5" x14ac:dyDescent="0.3">
      <c r="A166">
        <v>1</v>
      </c>
      <c r="B166">
        <f ca="1"/>
        <v>2.6503735501738009E-2</v>
      </c>
      <c r="C166">
        <f ca="1"/>
        <v>1.9492717384044751E-2</v>
      </c>
      <c r="D166">
        <f ca="1"/>
        <v>4.1142186049499166E-2</v>
      </c>
      <c r="E166">
        <f ca="1"/>
        <v>1.7907217382094359E-2</v>
      </c>
    </row>
    <row r="167" spans="1:5" x14ac:dyDescent="0.3">
      <c r="A167">
        <v>1</v>
      </c>
      <c r="B167">
        <f ca="1"/>
        <v>8.3447678387261835E-3</v>
      </c>
      <c r="C167">
        <f ca="1"/>
        <v>-2.1037551728087234E-2</v>
      </c>
      <c r="D167">
        <f ca="1"/>
        <v>2.5395416249057161E-2</v>
      </c>
      <c r="E167">
        <f ca="1"/>
        <v>8.0558727369262808E-3</v>
      </c>
    </row>
    <row r="168" spans="1:5" x14ac:dyDescent="0.3">
      <c r="A168">
        <v>1</v>
      </c>
      <c r="B168">
        <f ca="1"/>
        <v>-5.406730642816307E-2</v>
      </c>
      <c r="C168">
        <f ca="1"/>
        <v>5.0127107004741146E-3</v>
      </c>
      <c r="D168">
        <f ca="1"/>
        <v>-1.9800850378234067E-2</v>
      </c>
      <c r="E168">
        <f ca="1"/>
        <v>9.2274729539385519E-3</v>
      </c>
    </row>
    <row r="169" spans="1:5" x14ac:dyDescent="0.3">
      <c r="A169">
        <v>1</v>
      </c>
      <c r="B169">
        <f ca="1"/>
        <v>3.3715464371072049E-2</v>
      </c>
      <c r="C169">
        <f ca="1"/>
        <v>3.0722714436235174E-3</v>
      </c>
      <c r="D169">
        <f ca="1"/>
        <v>-3.2669487228656436E-3</v>
      </c>
      <c r="E169">
        <f ca="1"/>
        <v>-1.2963919518615277E-2</v>
      </c>
    </row>
    <row r="170" spans="1:5" x14ac:dyDescent="0.3">
      <c r="A170">
        <v>1</v>
      </c>
      <c r="B170">
        <f ca="1"/>
        <v>5.3783373573286115E-2</v>
      </c>
      <c r="C170">
        <f ca="1"/>
        <v>3.3556260636100864E-2</v>
      </c>
      <c r="D170">
        <f ca="1"/>
        <v>5.1194348974344439E-2</v>
      </c>
      <c r="E170">
        <f ca="1"/>
        <v>1.2442988121954563E-2</v>
      </c>
    </row>
    <row r="171" spans="1:5" x14ac:dyDescent="0.3">
      <c r="A171">
        <v>1</v>
      </c>
      <c r="B171">
        <f ca="1"/>
        <v>-4.7123446395826572E-2</v>
      </c>
      <c r="C171">
        <f ca="1"/>
        <v>7.7565023032092539E-3</v>
      </c>
      <c r="D171">
        <f ca="1"/>
        <v>1.2263956827067261E-3</v>
      </c>
      <c r="E171">
        <f ca="1"/>
        <v>6.1251881304723857E-3</v>
      </c>
    </row>
    <row r="172" spans="1:5" x14ac:dyDescent="0.3">
      <c r="A172">
        <v>1</v>
      </c>
      <c r="B172">
        <f ca="1"/>
        <v>5.7541466946456732E-2</v>
      </c>
      <c r="C172">
        <f ca="1"/>
        <v>8.4260816037845451E-3</v>
      </c>
      <c r="D172">
        <f ca="1"/>
        <v>2.6113679165595438E-3</v>
      </c>
      <c r="E172">
        <f ca="1"/>
        <v>1.1451444541528121E-2</v>
      </c>
    </row>
    <row r="173" spans="1:5" x14ac:dyDescent="0.3">
      <c r="A173">
        <v>1</v>
      </c>
      <c r="B173">
        <f ca="1"/>
        <v>2.7574684514707185E-2</v>
      </c>
      <c r="C173">
        <f ca="1"/>
        <v>-7.3233417594601594E-3</v>
      </c>
      <c r="D173">
        <f ca="1"/>
        <v>1.1425954187470399E-2</v>
      </c>
      <c r="E173">
        <f ca="1"/>
        <v>7.0060364334141069E-3</v>
      </c>
    </row>
    <row r="174" spans="1:5" x14ac:dyDescent="0.3">
      <c r="A174">
        <v>1</v>
      </c>
      <c r="B174">
        <f ca="1"/>
        <v>-2.9505022854685151E-2</v>
      </c>
      <c r="C174">
        <f ca="1"/>
        <v>-3.5156911407486488E-2</v>
      </c>
      <c r="D174">
        <f ca="1"/>
        <v>3.9402489407166048E-3</v>
      </c>
      <c r="E174">
        <f ca="1"/>
        <v>7.5853566576569958E-4</v>
      </c>
    </row>
    <row r="175" spans="1:5" x14ac:dyDescent="0.3">
      <c r="A175">
        <v>1</v>
      </c>
      <c r="B175">
        <f ca="1"/>
        <v>-4.7474562255860067E-2</v>
      </c>
      <c r="C175">
        <f ca="1"/>
        <v>0.10127925702780541</v>
      </c>
      <c r="D175">
        <f ca="1"/>
        <v>1.1807997146098898E-2</v>
      </c>
      <c r="E175">
        <f ca="1"/>
        <v>2.5010535743535709E-2</v>
      </c>
    </row>
    <row r="176" spans="1:5" x14ac:dyDescent="0.3">
      <c r="A176">
        <v>1</v>
      </c>
      <c r="B176">
        <f ca="1"/>
        <v>-9.1816416293468497E-3</v>
      </c>
      <c r="C176">
        <f ca="1"/>
        <v>-2.2261955675397661E-2</v>
      </c>
      <c r="D176">
        <f ca="1"/>
        <v>-1.587466351127359E-3</v>
      </c>
      <c r="E176">
        <f ca="1"/>
        <v>-4.075763880613717E-3</v>
      </c>
    </row>
    <row r="177" spans="1:5" x14ac:dyDescent="0.3">
      <c r="A177">
        <v>1</v>
      </c>
      <c r="B177">
        <f ca="1"/>
        <v>4.6310529978926443E-2</v>
      </c>
      <c r="C177">
        <f ca="1"/>
        <v>-4.5829088540794713E-3</v>
      </c>
      <c r="D177">
        <f ca="1"/>
        <v>1.7872344798157927E-2</v>
      </c>
      <c r="E177">
        <f ca="1"/>
        <v>1.5581868929494872E-3</v>
      </c>
    </row>
    <row r="178" spans="1:5" x14ac:dyDescent="0.3">
      <c r="A178">
        <v>1</v>
      </c>
      <c r="B178">
        <f ca="1"/>
        <v>-7.9125934084716187E-2</v>
      </c>
      <c r="C178">
        <f ca="1"/>
        <v>-3.1589129710729726E-2</v>
      </c>
      <c r="D178">
        <f ca="1"/>
        <v>-9.2505182587881811E-3</v>
      </c>
      <c r="E178">
        <f ca="1"/>
        <v>-1.4487471236221938E-2</v>
      </c>
    </row>
    <row r="179" spans="1:5" x14ac:dyDescent="0.3">
      <c r="A179">
        <v>1</v>
      </c>
      <c r="B179">
        <f ca="1"/>
        <v>-1.8548908306368153E-3</v>
      </c>
      <c r="C179">
        <f ca="1"/>
        <v>-1.0946692527750122E-3</v>
      </c>
      <c r="D179">
        <f ca="1"/>
        <v>1.8097006858684877E-3</v>
      </c>
      <c r="E179">
        <f ca="1"/>
        <v>-6.8688789921940319E-3</v>
      </c>
    </row>
    <row r="180" spans="1:5" x14ac:dyDescent="0.3">
      <c r="A180">
        <v>1</v>
      </c>
      <c r="B180">
        <f ca="1"/>
        <v>0.11748824499416999</v>
      </c>
      <c r="C180">
        <f ca="1"/>
        <v>4.2559424531707468E-2</v>
      </c>
      <c r="D180">
        <f ca="1"/>
        <v>2.6990942035385702E-2</v>
      </c>
      <c r="E180">
        <f ca="1"/>
        <v>1.8088809188400223E-2</v>
      </c>
    </row>
    <row r="181" spans="1:5" x14ac:dyDescent="0.3">
      <c r="A181">
        <v>1</v>
      </c>
      <c r="B181">
        <f ca="1"/>
        <v>-2.1214268557261214E-2</v>
      </c>
      <c r="C181">
        <f ca="1"/>
        <v>7.4191964001529545E-3</v>
      </c>
      <c r="D181">
        <f ca="1"/>
        <v>5.2661730613990047E-3</v>
      </c>
      <c r="E181">
        <f ca="1"/>
        <v>1.5206834558733518E-2</v>
      </c>
    </row>
    <row r="182" spans="1:5" x14ac:dyDescent="0.3">
      <c r="A182">
        <v>1</v>
      </c>
      <c r="B182">
        <f ca="1"/>
        <v>4.0600474489669712E-2</v>
      </c>
      <c r="C182">
        <f ca="1"/>
        <v>2.4611238223109862E-3</v>
      </c>
      <c r="D182">
        <f ca="1"/>
        <v>6.0879542904875147E-4</v>
      </c>
      <c r="E182">
        <f ca="1"/>
        <v>2.2683532971880835E-3</v>
      </c>
    </row>
    <row r="183" spans="1:5" x14ac:dyDescent="0.3">
      <c r="A183">
        <v>1</v>
      </c>
      <c r="B183">
        <f ca="1"/>
        <v>-6.0798132160015707E-2</v>
      </c>
      <c r="C183">
        <f ca="1"/>
        <v>-3.4289337472144056E-2</v>
      </c>
      <c r="D183">
        <f ca="1"/>
        <v>-1.3094051249874212E-2</v>
      </c>
      <c r="E183">
        <f ca="1"/>
        <v>-2.4150169673405196E-3</v>
      </c>
    </row>
    <row r="184" spans="1:5" x14ac:dyDescent="0.3">
      <c r="A184">
        <v>1</v>
      </c>
      <c r="B184">
        <f ca="1"/>
        <v>7.458208473675236E-2</v>
      </c>
      <c r="C184">
        <f ca="1"/>
        <v>7.8252441518418703E-2</v>
      </c>
      <c r="D184">
        <f ca="1"/>
        <v>4.0334735966850624E-2</v>
      </c>
      <c r="E184">
        <f ca="1"/>
        <v>3.3857500494300537E-2</v>
      </c>
    </row>
    <row r="185" spans="1:5" x14ac:dyDescent="0.3">
      <c r="A185">
        <v>1</v>
      </c>
      <c r="B185">
        <f ca="1"/>
        <v>8.3773822329766351E-2</v>
      </c>
      <c r="C185">
        <f ca="1"/>
        <v>2.2263573177909113E-2</v>
      </c>
      <c r="D185">
        <f ca="1"/>
        <v>1.6273954122873805E-3</v>
      </c>
      <c r="E185">
        <f ca="1"/>
        <v>-1.4885296351215946E-3</v>
      </c>
    </row>
    <row r="186" spans="1:5" x14ac:dyDescent="0.3">
      <c r="A186">
        <v>1</v>
      </c>
      <c r="B186">
        <f ca="1"/>
        <v>1.1681503147468141E-2</v>
      </c>
      <c r="C186">
        <f ca="1"/>
        <v>-2.6322132530848799E-3</v>
      </c>
      <c r="D186">
        <f ca="1"/>
        <v>-1.032665201226521E-2</v>
      </c>
      <c r="E186">
        <f ca="1"/>
        <v>7.0852466456731698E-5</v>
      </c>
    </row>
    <row r="187" spans="1:5" x14ac:dyDescent="0.3">
      <c r="A187">
        <v>1</v>
      </c>
      <c r="B187">
        <f ca="1"/>
        <v>2.0322749285221733E-2</v>
      </c>
      <c r="C187">
        <f ca="1"/>
        <v>1.1791445744298471E-2</v>
      </c>
      <c r="D187">
        <f ca="1"/>
        <v>-7.2700324913074982E-3</v>
      </c>
      <c r="E187">
        <f ca="1"/>
        <v>-3.4817276184528133E-3</v>
      </c>
    </row>
    <row r="188" spans="1:5" x14ac:dyDescent="0.3">
      <c r="A188">
        <v>1</v>
      </c>
      <c r="B188">
        <f ca="1"/>
        <v>-1.103381069703597E-2</v>
      </c>
      <c r="C188">
        <f ca="1"/>
        <v>-3.9181411556027231E-2</v>
      </c>
      <c r="D188">
        <f ca="1"/>
        <v>1.353089431740812E-3</v>
      </c>
      <c r="E188">
        <f ca="1"/>
        <v>8.8582127900631805E-3</v>
      </c>
    </row>
    <row r="189" spans="1:5" x14ac:dyDescent="0.3">
      <c r="A189">
        <v>1</v>
      </c>
      <c r="B189">
        <f ca="1"/>
        <v>-2.707369387393764E-2</v>
      </c>
      <c r="C189">
        <f ca="1"/>
        <v>1.2117244260926282E-2</v>
      </c>
      <c r="D189">
        <f ca="1"/>
        <v>-4.3666474833815019E-3</v>
      </c>
      <c r="E189">
        <f ca="1"/>
        <v>-6.1570175342816605E-3</v>
      </c>
    </row>
    <row r="190" spans="1:5" x14ac:dyDescent="0.3">
      <c r="A190">
        <v>1</v>
      </c>
      <c r="B190">
        <f ca="1"/>
        <v>-1.267354279893823E-3</v>
      </c>
      <c r="C190">
        <f ca="1"/>
        <v>-6.6945660933486427E-4</v>
      </c>
      <c r="D190">
        <f ca="1"/>
        <v>9.7606932653315059E-3</v>
      </c>
      <c r="E190">
        <f ca="1"/>
        <v>1.1995796366412282E-2</v>
      </c>
    </row>
    <row r="191" spans="1:5" x14ac:dyDescent="0.3">
      <c r="A191">
        <v>1</v>
      </c>
      <c r="B191">
        <f ca="1"/>
        <v>-1.4477750926155185E-2</v>
      </c>
      <c r="C191">
        <f ca="1"/>
        <v>-3.1629819009575087E-2</v>
      </c>
      <c r="D191">
        <f ca="1"/>
        <v>-5.9198912459552206E-3</v>
      </c>
      <c r="E191">
        <f ca="1"/>
        <v>1.2615602727912293E-2</v>
      </c>
    </row>
    <row r="192" spans="1:5" x14ac:dyDescent="0.3">
      <c r="A192">
        <v>1</v>
      </c>
      <c r="B192">
        <f ca="1"/>
        <v>5.6896267765714395E-2</v>
      </c>
      <c r="C192">
        <f ca="1"/>
        <v>2.9954730371418842E-2</v>
      </c>
      <c r="D192">
        <f ca="1"/>
        <v>1.4845912150009525E-2</v>
      </c>
      <c r="E192">
        <f ca="1"/>
        <v>8.5517692765504239E-3</v>
      </c>
    </row>
    <row r="193" spans="1:5" x14ac:dyDescent="0.3">
      <c r="A193">
        <v>1</v>
      </c>
      <c r="B193">
        <f ca="1"/>
        <v>-1.7370418565572261E-2</v>
      </c>
      <c r="C193">
        <f ca="1"/>
        <v>-5.0428593735764235E-3</v>
      </c>
      <c r="D193">
        <f ca="1"/>
        <v>1.0606986420592658E-2</v>
      </c>
      <c r="E193">
        <f ca="1"/>
        <v>5.6835064023946632E-3</v>
      </c>
    </row>
    <row r="194" spans="1:5" x14ac:dyDescent="0.3">
      <c r="A194">
        <v>1</v>
      </c>
      <c r="B194">
        <f ca="1"/>
        <v>-1.2863278654612247E-2</v>
      </c>
      <c r="C194">
        <f ca="1"/>
        <v>-1.1184626571625614E-2</v>
      </c>
      <c r="D194">
        <f ca="1"/>
        <v>1.9032526720697521E-3</v>
      </c>
      <c r="E194">
        <f ca="1"/>
        <v>1.841915165890908E-3</v>
      </c>
    </row>
    <row r="195" spans="1:5" x14ac:dyDescent="0.3">
      <c r="A195">
        <v>1</v>
      </c>
      <c r="B195">
        <f ca="1"/>
        <v>-3.0960777068690368E-2</v>
      </c>
      <c r="C195">
        <f ca="1"/>
        <v>-2.1010071036302432E-2</v>
      </c>
      <c r="D195">
        <f ca="1"/>
        <v>-1.7633002139417101E-2</v>
      </c>
      <c r="E195">
        <f ca="1"/>
        <v>-8.1818668330940661E-4</v>
      </c>
    </row>
    <row r="196" spans="1:5" x14ac:dyDescent="0.3">
      <c r="A196">
        <v>1</v>
      </c>
      <c r="B196">
        <f ca="1"/>
        <v>2.6985512614021597E-2</v>
      </c>
      <c r="C196">
        <f ca="1"/>
        <v>5.8998229938888296E-3</v>
      </c>
      <c r="D196">
        <f ca="1"/>
        <v>1.6315833295171271E-2</v>
      </c>
      <c r="E196">
        <f ca="1"/>
        <v>-7.6691956149022135E-3</v>
      </c>
    </row>
    <row r="197" spans="1:5" x14ac:dyDescent="0.3">
      <c r="A197">
        <v>1</v>
      </c>
      <c r="B197">
        <f ca="1"/>
        <v>4.968837353948883E-2</v>
      </c>
      <c r="C197">
        <f ca="1"/>
        <v>3.9686282125904908E-2</v>
      </c>
      <c r="D197">
        <f ca="1"/>
        <v>1.1793049191464738E-2</v>
      </c>
      <c r="E197">
        <f ca="1"/>
        <v>2.4980881705680337E-2</v>
      </c>
    </row>
    <row r="198" spans="1:5" x14ac:dyDescent="0.3">
      <c r="A198">
        <v>1</v>
      </c>
      <c r="B198">
        <f ca="1"/>
        <v>-2.0760795825653884E-2</v>
      </c>
      <c r="C198">
        <f ca="1"/>
        <v>-8.0133746742822379E-3</v>
      </c>
      <c r="D198">
        <f ca="1"/>
        <v>-1.4139144075316312E-2</v>
      </c>
      <c r="E198">
        <f ca="1"/>
        <v>6.031904266621895E-4</v>
      </c>
    </row>
    <row r="199" spans="1:5" x14ac:dyDescent="0.3">
      <c r="A199">
        <v>1</v>
      </c>
      <c r="B199">
        <f ca="1"/>
        <v>2.5933743760975892E-2</v>
      </c>
      <c r="C199">
        <f ca="1"/>
        <v>-1.4179803376970442E-2</v>
      </c>
      <c r="D199">
        <f ca="1"/>
        <v>-7.9587627367550332E-3</v>
      </c>
      <c r="E199">
        <f ca="1"/>
        <v>9.0709935561706038E-3</v>
      </c>
    </row>
    <row r="200" spans="1:5" x14ac:dyDescent="0.3">
      <c r="A200">
        <v>1</v>
      </c>
      <c r="B200">
        <f ca="1"/>
        <v>-7.9910311093779843E-2</v>
      </c>
      <c r="C200">
        <f ca="1"/>
        <v>-8.1939438021127013E-3</v>
      </c>
      <c r="D200">
        <f ca="1"/>
        <v>-2.8441559800295085E-2</v>
      </c>
      <c r="E200">
        <f ca="1"/>
        <v>-1.0143599144732677E-2</v>
      </c>
    </row>
    <row r="201" spans="1:5" x14ac:dyDescent="0.3">
      <c r="A201">
        <v>1</v>
      </c>
      <c r="B201">
        <f ca="1"/>
        <v>3.7756037850498067E-2</v>
      </c>
      <c r="C201">
        <f ca="1"/>
        <v>-1.9734005280135671E-2</v>
      </c>
      <c r="D201">
        <f ca="1"/>
        <v>1.6732373544512539E-3</v>
      </c>
      <c r="E201">
        <f ca="1"/>
        <v>1.273565197290146E-3</v>
      </c>
    </row>
    <row r="202" spans="1:5" x14ac:dyDescent="0.3">
      <c r="A202">
        <v>1</v>
      </c>
      <c r="B202">
        <f ca="1"/>
        <v>-3.6037995587013955E-2</v>
      </c>
      <c r="C202">
        <f ca="1"/>
        <v>-9.4853743422806079E-3</v>
      </c>
      <c r="D202">
        <f ca="1"/>
        <v>-6.8418215493188078E-4</v>
      </c>
      <c r="E202">
        <f ca="1"/>
        <v>6.4104382483417995E-3</v>
      </c>
    </row>
    <row r="203" spans="1:5" x14ac:dyDescent="0.3">
      <c r="A203">
        <v>1</v>
      </c>
      <c r="B203">
        <f ca="1"/>
        <v>1.4487005208220213E-2</v>
      </c>
      <c r="C203">
        <f ca="1"/>
        <v>3.8750383627112329E-3</v>
      </c>
      <c r="D203">
        <f ca="1"/>
        <v>1.0439828844470972E-2</v>
      </c>
      <c r="E203">
        <f ca="1"/>
        <v>7.16270603803778E-3</v>
      </c>
    </row>
    <row r="204" spans="1:5" x14ac:dyDescent="0.3">
      <c r="A204">
        <v>1</v>
      </c>
      <c r="B204">
        <f ca="1"/>
        <v>-4.7648642716217694E-2</v>
      </c>
      <c r="C204">
        <f ca="1"/>
        <v>-7.0569295737745322E-3</v>
      </c>
      <c r="D204">
        <f ca="1"/>
        <v>-5.4331990522246331E-3</v>
      </c>
      <c r="E204">
        <f ca="1"/>
        <v>-2.6467770528314362E-3</v>
      </c>
    </row>
    <row r="205" spans="1:5" x14ac:dyDescent="0.3">
      <c r="A205">
        <v>1</v>
      </c>
      <c r="B205">
        <f ca="1"/>
        <v>1.6063647382333585E-2</v>
      </c>
      <c r="C205">
        <f ca="1"/>
        <v>1.5809167964421361E-2</v>
      </c>
      <c r="D205">
        <f ca="1"/>
        <v>1.539241306777909E-2</v>
      </c>
      <c r="E205">
        <f ca="1"/>
        <v>1.0217833266648315E-2</v>
      </c>
    </row>
    <row r="206" spans="1:5" x14ac:dyDescent="0.3">
      <c r="A206">
        <v>1</v>
      </c>
      <c r="B206">
        <f ca="1"/>
        <v>7.8278182860104326E-3</v>
      </c>
      <c r="C206">
        <f ca="1"/>
        <v>1.3931196026299793E-3</v>
      </c>
      <c r="D206">
        <f ca="1"/>
        <v>-9.6915141033992091E-4</v>
      </c>
      <c r="E206">
        <f ca="1"/>
        <v>-1.5094427339629002E-3</v>
      </c>
    </row>
    <row r="207" spans="1:5" x14ac:dyDescent="0.3">
      <c r="A207">
        <v>1</v>
      </c>
      <c r="B207">
        <f ca="1"/>
        <v>-1.4617915908824539E-2</v>
      </c>
      <c r="C207">
        <f ca="1"/>
        <v>-1.6494567283197599E-2</v>
      </c>
      <c r="D207">
        <f ca="1"/>
        <v>-5.0095496890105746E-3</v>
      </c>
      <c r="E207">
        <f ca="1"/>
        <v>3.9332435810769777E-3</v>
      </c>
    </row>
    <row r="208" spans="1:5" x14ac:dyDescent="0.3">
      <c r="A208">
        <v>1</v>
      </c>
      <c r="B208">
        <f ca="1"/>
        <v>-5.0252808161319523E-2</v>
      </c>
      <c r="C208">
        <f ca="1"/>
        <v>-4.0070212091293578E-2</v>
      </c>
      <c r="D208">
        <f ca="1"/>
        <v>-2.5123692604454503E-2</v>
      </c>
      <c r="E208">
        <f ca="1"/>
        <v>-1.1383502221829701E-2</v>
      </c>
    </row>
    <row r="209" spans="1:5" x14ac:dyDescent="0.3">
      <c r="A209">
        <v>1</v>
      </c>
      <c r="B209">
        <f ca="1"/>
        <v>-1.2792290554235716E-2</v>
      </c>
      <c r="C209">
        <f ca="1"/>
        <v>-8.5076428502680462E-3</v>
      </c>
      <c r="D209">
        <f ca="1"/>
        <v>-6.2454929245384875E-3</v>
      </c>
      <c r="E209">
        <f ca="1"/>
        <v>-4.4438411453480596E-3</v>
      </c>
    </row>
    <row r="210" spans="1:5" x14ac:dyDescent="0.3">
      <c r="A210">
        <v>1</v>
      </c>
      <c r="B210">
        <f ca="1"/>
        <v>-9.4074209828579249E-3</v>
      </c>
      <c r="C210">
        <f ca="1"/>
        <v>-4.8406793343420008E-3</v>
      </c>
      <c r="D210">
        <f ca="1"/>
        <v>5.937943099700263E-3</v>
      </c>
      <c r="E210">
        <f ca="1"/>
        <v>-2.6582009582874251E-4</v>
      </c>
    </row>
    <row r="211" spans="1:5" x14ac:dyDescent="0.3">
      <c r="A211">
        <v>1</v>
      </c>
      <c r="B211">
        <f ca="1"/>
        <v>4.0973081987360931E-2</v>
      </c>
      <c r="C211">
        <f ca="1"/>
        <v>-1.3150757394395689E-2</v>
      </c>
      <c r="D211">
        <f ca="1"/>
        <v>4.8322633830682462E-3</v>
      </c>
      <c r="E211">
        <f ca="1"/>
        <v>3.9887510206212815E-4</v>
      </c>
    </row>
    <row r="212" spans="1:5" x14ac:dyDescent="0.3">
      <c r="A212">
        <v>1</v>
      </c>
      <c r="B212">
        <f ca="1"/>
        <v>1.7536550130748948E-2</v>
      </c>
      <c r="C212">
        <f ca="1"/>
        <v>1.4642606194674211E-2</v>
      </c>
      <c r="D212">
        <f ca="1"/>
        <v>1.1185267077795824E-2</v>
      </c>
      <c r="E212">
        <f ca="1"/>
        <v>9.1299442114611048E-3</v>
      </c>
    </row>
    <row r="213" spans="1:5" x14ac:dyDescent="0.3">
      <c r="A213">
        <v>1</v>
      </c>
      <c r="B213">
        <f ca="1"/>
        <v>-2.2994747199828278E-2</v>
      </c>
      <c r="C213">
        <f ca="1"/>
        <v>-3.2578673378041247E-2</v>
      </c>
      <c r="D213">
        <f ca="1"/>
        <v>-1.1414819698984564E-2</v>
      </c>
      <c r="E213">
        <f ca="1"/>
        <v>2.3024557312023692E-3</v>
      </c>
    </row>
    <row r="214" spans="1:5" x14ac:dyDescent="0.3">
      <c r="A214">
        <v>1</v>
      </c>
      <c r="B214">
        <f ca="1"/>
        <v>7.9501109891909616E-3</v>
      </c>
      <c r="C214">
        <f ca="1"/>
        <v>4.6100601440512388E-3</v>
      </c>
      <c r="D214">
        <f ca="1"/>
        <v>4.7338853295275356E-3</v>
      </c>
      <c r="E214">
        <f ca="1"/>
        <v>2.8212806642126443E-3</v>
      </c>
    </row>
    <row r="215" spans="1:5" x14ac:dyDescent="0.3">
      <c r="A215">
        <v>1</v>
      </c>
      <c r="B215">
        <f ca="1"/>
        <v>1.4821795738006292E-2</v>
      </c>
      <c r="C215">
        <f ca="1"/>
        <v>-5.7659035786579394E-3</v>
      </c>
      <c r="D215">
        <f ca="1"/>
        <v>3.4978559858151199E-3</v>
      </c>
      <c r="E215">
        <f ca="1"/>
        <v>8.6767584546220897E-3</v>
      </c>
    </row>
    <row r="216" spans="1:5" x14ac:dyDescent="0.3">
      <c r="A216">
        <v>1</v>
      </c>
      <c r="B216">
        <f ca="1"/>
        <v>-2.3912781029330914E-2</v>
      </c>
      <c r="C216">
        <f ca="1"/>
        <v>-1.5540148889524022E-2</v>
      </c>
      <c r="D216">
        <f ca="1"/>
        <v>5.4504737838254646E-3</v>
      </c>
      <c r="E216">
        <f ca="1"/>
        <v>-1.3010464703568137E-2</v>
      </c>
    </row>
    <row r="217" spans="1:5" x14ac:dyDescent="0.3">
      <c r="A217">
        <v>1</v>
      </c>
      <c r="B217">
        <f ca="1"/>
        <v>6.1108053325650426E-2</v>
      </c>
      <c r="C217">
        <f ca="1"/>
        <v>2.5894957446990712E-2</v>
      </c>
      <c r="D217">
        <f ca="1"/>
        <v>5.7211174475646576E-3</v>
      </c>
      <c r="E217">
        <f ca="1"/>
        <v>4.1374154413552433E-3</v>
      </c>
    </row>
    <row r="218" spans="1:5" x14ac:dyDescent="0.3">
      <c r="A218">
        <v>1</v>
      </c>
      <c r="B218">
        <f ca="1"/>
        <v>-2.3688953135260347E-2</v>
      </c>
      <c r="C218">
        <f ca="1"/>
        <v>8.3589462604719816E-3</v>
      </c>
      <c r="D218">
        <f ca="1"/>
        <v>6.5839636681977506E-3</v>
      </c>
      <c r="E218">
        <f ca="1"/>
        <v>-6.7731666606011412E-3</v>
      </c>
    </row>
    <row r="219" spans="1:5" x14ac:dyDescent="0.3">
      <c r="A219">
        <v>1</v>
      </c>
      <c r="B219">
        <f ca="1"/>
        <v>-1.9767688184255058E-2</v>
      </c>
      <c r="C219">
        <f ca="1"/>
        <v>1.1286766668301432E-2</v>
      </c>
      <c r="D219">
        <f ca="1"/>
        <v>7.5774406273970626E-3</v>
      </c>
      <c r="E219">
        <f ca="1"/>
        <v>6.6106166732204385E-5</v>
      </c>
    </row>
    <row r="220" spans="1:5" x14ac:dyDescent="0.3">
      <c r="A220">
        <v>1</v>
      </c>
      <c r="B220">
        <f ca="1"/>
        <v>1.2262045522888624E-2</v>
      </c>
      <c r="C220">
        <f ca="1"/>
        <v>3.4923618770416144E-2</v>
      </c>
      <c r="D220">
        <f ca="1"/>
        <v>9.281909219316575E-3</v>
      </c>
      <c r="E220">
        <f ca="1"/>
        <v>4.3449002507020473E-3</v>
      </c>
    </row>
    <row r="221" spans="1:5" x14ac:dyDescent="0.3">
      <c r="A221">
        <v>1</v>
      </c>
      <c r="B221">
        <f ca="1"/>
        <v>7.9452968990856576E-3</v>
      </c>
      <c r="C221">
        <f ca="1"/>
        <v>-4.3446711501853039E-3</v>
      </c>
      <c r="D221">
        <f ca="1"/>
        <v>-2.2164606830617364E-4</v>
      </c>
      <c r="E221">
        <f ca="1"/>
        <v>-1.2493276195557788E-2</v>
      </c>
    </row>
    <row r="222" spans="1:5" x14ac:dyDescent="0.3">
      <c r="A222">
        <v>1</v>
      </c>
      <c r="B222">
        <f ca="1"/>
        <v>1.894461689457028E-2</v>
      </c>
      <c r="C222">
        <f ca="1"/>
        <v>4.1576300465000042E-2</v>
      </c>
      <c r="D222">
        <f ca="1"/>
        <v>1.8954706705868143E-2</v>
      </c>
      <c r="E222">
        <f ca="1"/>
        <v>2.3533689742049665E-2</v>
      </c>
    </row>
    <row r="223" spans="1:5" x14ac:dyDescent="0.3">
      <c r="A223">
        <v>1</v>
      </c>
      <c r="B223">
        <f ca="1"/>
        <v>8.0971165234302755E-2</v>
      </c>
      <c r="C223">
        <f ca="1"/>
        <v>1.9987056266663944E-2</v>
      </c>
      <c r="D223">
        <f ca="1"/>
        <v>-4.1407753395334866E-3</v>
      </c>
      <c r="E223">
        <f ca="1"/>
        <v>-1.2289351138727218E-2</v>
      </c>
    </row>
    <row r="224" spans="1:5" x14ac:dyDescent="0.3">
      <c r="A224">
        <v>1</v>
      </c>
      <c r="B224">
        <f ca="1"/>
        <v>5.2506094059376174E-2</v>
      </c>
      <c r="C224">
        <f ca="1"/>
        <v>4.4254090146559275E-3</v>
      </c>
      <c r="D224">
        <f ca="1"/>
        <v>8.9140303021430535E-3</v>
      </c>
      <c r="E224">
        <f ca="1"/>
        <v>-9.8694547799457245E-4</v>
      </c>
    </row>
    <row r="225" spans="1:5" x14ac:dyDescent="0.3">
      <c r="A225">
        <v>1</v>
      </c>
      <c r="B225">
        <f ca="1"/>
        <v>-1.963256790894026E-2</v>
      </c>
      <c r="C225">
        <f ca="1"/>
        <v>1.3830619089032908E-2</v>
      </c>
      <c r="D225">
        <f ca="1"/>
        <v>7.4040607124148993E-3</v>
      </c>
      <c r="E225">
        <f ca="1"/>
        <v>-8.1310705163942301E-3</v>
      </c>
    </row>
    <row r="226" spans="1:5" x14ac:dyDescent="0.3">
      <c r="A226">
        <v>1</v>
      </c>
      <c r="B226">
        <f ca="1"/>
        <v>2.6029655603492623E-2</v>
      </c>
      <c r="C226">
        <f ca="1"/>
        <v>1.4632853195114624E-2</v>
      </c>
      <c r="D226">
        <f ca="1"/>
        <v>-1.0031343720799638E-3</v>
      </c>
      <c r="E226">
        <f ca="1"/>
        <v>-5.6578632246385464E-3</v>
      </c>
    </row>
    <row r="227" spans="1:5" x14ac:dyDescent="0.3">
      <c r="A227">
        <v>1</v>
      </c>
      <c r="B227">
        <f ca="1"/>
        <v>2.3905550740458231E-2</v>
      </c>
      <c r="C227">
        <f ca="1"/>
        <v>-5.9602636399099761E-3</v>
      </c>
      <c r="D227">
        <f ca="1"/>
        <v>2.4921518962057649E-2</v>
      </c>
      <c r="E227">
        <f ca="1"/>
        <v>7.1171302174578427E-3</v>
      </c>
    </row>
    <row r="228" spans="1:5" x14ac:dyDescent="0.3">
      <c r="A228">
        <v>1</v>
      </c>
      <c r="B228">
        <f ca="1"/>
        <v>4.5673605845180021E-3</v>
      </c>
      <c r="C228">
        <f ca="1"/>
        <v>-1.7083273085488172E-2</v>
      </c>
      <c r="D228">
        <f ca="1"/>
        <v>-1.5574019921222329E-2</v>
      </c>
      <c r="E228">
        <f ca="1"/>
        <v>-2.9205979685465642E-3</v>
      </c>
    </row>
    <row r="229" spans="1:5" x14ac:dyDescent="0.3">
      <c r="A229">
        <v>1</v>
      </c>
      <c r="B229">
        <f ca="1"/>
        <v>-2.6037751411217423E-2</v>
      </c>
      <c r="C229">
        <f ca="1"/>
        <v>-2.7051614253233623E-2</v>
      </c>
      <c r="D229">
        <f ca="1"/>
        <v>-3.0503048956305442E-2</v>
      </c>
      <c r="E229">
        <f ca="1"/>
        <v>-2.7153356354459209E-2</v>
      </c>
    </row>
    <row r="230" spans="1:5" x14ac:dyDescent="0.3">
      <c r="A230">
        <v>1</v>
      </c>
      <c r="B230">
        <f ca="1"/>
        <v>-7.6370036812239112E-2</v>
      </c>
      <c r="C230">
        <f ca="1"/>
        <v>-1.3629384059239325E-2</v>
      </c>
      <c r="D230">
        <f ca="1"/>
        <v>-1.3416149496519078E-2</v>
      </c>
      <c r="E230">
        <f ca="1"/>
        <v>-2.1375032080781654E-2</v>
      </c>
    </row>
    <row r="231" spans="1:5" x14ac:dyDescent="0.3">
      <c r="A231">
        <v>1</v>
      </c>
      <c r="B231">
        <f ca="1"/>
        <v>2.9448987519567288E-2</v>
      </c>
      <c r="C231">
        <f ca="1"/>
        <v>2.7759963800077444E-2</v>
      </c>
      <c r="D231">
        <f ca="1"/>
        <v>2.445935255286412E-3</v>
      </c>
      <c r="E231">
        <f ca="1"/>
        <v>3.8542959643852416E-3</v>
      </c>
    </row>
    <row r="232" spans="1:5" x14ac:dyDescent="0.3">
      <c r="A232">
        <v>1</v>
      </c>
      <c r="B232">
        <f ca="1"/>
        <v>1.4598845430440859E-2</v>
      </c>
      <c r="C232">
        <f ca="1"/>
        <v>3.5303958301243818E-2</v>
      </c>
      <c r="D232">
        <f ca="1"/>
        <v>1.6082605528169487E-2</v>
      </c>
      <c r="E232">
        <f ca="1"/>
        <v>-1.352031089869429E-2</v>
      </c>
    </row>
    <row r="233" spans="1:5" x14ac:dyDescent="0.3">
      <c r="A233">
        <v>1</v>
      </c>
      <c r="B233">
        <f ca="1"/>
        <v>2.1411630372024308E-2</v>
      </c>
      <c r="C233">
        <f ca="1"/>
        <v>-1.1630048573342239E-2</v>
      </c>
      <c r="D233">
        <f ca="1"/>
        <v>8.5593566369618554E-3</v>
      </c>
      <c r="E233">
        <f ca="1"/>
        <v>5.444164927812147E-3</v>
      </c>
    </row>
    <row r="234" spans="1:5" x14ac:dyDescent="0.3">
      <c r="A234">
        <v>1</v>
      </c>
      <c r="B234">
        <f ca="1"/>
        <v>-1.2945319206039065E-2</v>
      </c>
      <c r="C234">
        <f ca="1"/>
        <v>-7.3799700864357574E-3</v>
      </c>
      <c r="D234">
        <f ca="1"/>
        <v>4.8276537991982687E-3</v>
      </c>
      <c r="E234">
        <f ca="1"/>
        <v>-7.0529340028545524E-4</v>
      </c>
    </row>
    <row r="235" spans="1:5" x14ac:dyDescent="0.3">
      <c r="A235">
        <v>1</v>
      </c>
      <c r="B235">
        <f ca="1"/>
        <v>-1.5338838464806573E-3</v>
      </c>
      <c r="C235">
        <f ca="1"/>
        <v>1.3045804522670706E-2</v>
      </c>
      <c r="D235">
        <f ca="1"/>
        <v>6.1626880991792659E-3</v>
      </c>
      <c r="E235">
        <f ca="1"/>
        <v>-4.030229087327474E-3</v>
      </c>
    </row>
    <row r="236" spans="1:5" x14ac:dyDescent="0.3">
      <c r="A236">
        <v>1</v>
      </c>
      <c r="B236">
        <f ca="1"/>
        <v>1.2206844313366655E-2</v>
      </c>
      <c r="C236">
        <f ca="1"/>
        <v>-6.6290391934923601E-2</v>
      </c>
      <c r="D236">
        <f ca="1"/>
        <v>2.4260546126401877E-3</v>
      </c>
      <c r="E236">
        <f ca="1"/>
        <v>-4.1174403495481664E-3</v>
      </c>
    </row>
    <row r="237" spans="1:5" x14ac:dyDescent="0.3">
      <c r="A237">
        <v>1</v>
      </c>
      <c r="B237">
        <f ca="1"/>
        <v>-4.6763809743357046E-2</v>
      </c>
      <c r="C237">
        <f ca="1"/>
        <v>-7.4853088687828213E-3</v>
      </c>
      <c r="D237">
        <f ca="1"/>
        <v>-8.5168081348444905E-3</v>
      </c>
      <c r="E237">
        <f ca="1"/>
        <v>3.1251566325885527E-3</v>
      </c>
    </row>
    <row r="238" spans="1:5" x14ac:dyDescent="0.3">
      <c r="A238">
        <v>1</v>
      </c>
      <c r="B238">
        <f ca="1"/>
        <v>3.7048599617171878E-2</v>
      </c>
      <c r="C238">
        <f ca="1"/>
        <v>1.1030023028698438E-2</v>
      </c>
      <c r="D238">
        <f ca="1"/>
        <v>5.9478998748614311E-3</v>
      </c>
      <c r="E238">
        <f ca="1"/>
        <v>9.6687437904197961E-3</v>
      </c>
    </row>
    <row r="239" spans="1:5" x14ac:dyDescent="0.3">
      <c r="A239">
        <v>1</v>
      </c>
      <c r="B239">
        <f ca="1"/>
        <v>4.3818971256371249E-2</v>
      </c>
      <c r="C239">
        <f ca="1"/>
        <v>2.8259609416447361E-2</v>
      </c>
      <c r="D239">
        <f ca="1"/>
        <v>-2.646995883131437E-3</v>
      </c>
      <c r="E239">
        <f ca="1"/>
        <v>5.6728484135227641E-3</v>
      </c>
    </row>
    <row r="240" spans="1:5" x14ac:dyDescent="0.3">
      <c r="A240">
        <v>1</v>
      </c>
      <c r="B240">
        <f ca="1"/>
        <v>-1.6999752444994003E-2</v>
      </c>
      <c r="C240">
        <f ca="1"/>
        <v>3.7803797947002164E-2</v>
      </c>
      <c r="D240">
        <f ca="1"/>
        <v>-4.6674361560960064E-3</v>
      </c>
      <c r="E240">
        <f ca="1"/>
        <v>-7.1489887594087262E-3</v>
      </c>
    </row>
    <row r="241" spans="1:5" x14ac:dyDescent="0.3">
      <c r="A241">
        <v>1</v>
      </c>
      <c r="B241">
        <f ca="1"/>
        <v>-1.7293557232154397E-2</v>
      </c>
      <c r="C241">
        <f ca="1"/>
        <v>4.2970300911318845E-3</v>
      </c>
      <c r="D241">
        <f ca="1"/>
        <v>1.5355732283389672E-2</v>
      </c>
      <c r="E241">
        <f ca="1"/>
        <v>3.0902562556372813E-3</v>
      </c>
    </row>
    <row r="242" spans="1:5" x14ac:dyDescent="0.3">
      <c r="A242">
        <v>1</v>
      </c>
      <c r="B242">
        <f ca="1"/>
        <v>-1.374590231525713E-2</v>
      </c>
      <c r="C242">
        <f ca="1"/>
        <v>-4.3147839805630354E-2</v>
      </c>
      <c r="D242">
        <f ca="1"/>
        <v>5.8654421780599186E-3</v>
      </c>
      <c r="E242">
        <f ca="1"/>
        <v>-8.5209824864524719E-3</v>
      </c>
    </row>
    <row r="243" spans="1:5" x14ac:dyDescent="0.3">
      <c r="A243">
        <v>1</v>
      </c>
      <c r="B243">
        <f ca="1"/>
        <v>2.3181681184996802E-2</v>
      </c>
      <c r="C243">
        <f ca="1"/>
        <v>1.2470026551180504E-2</v>
      </c>
      <c r="D243">
        <f ca="1"/>
        <v>1.2116399931922154E-2</v>
      </c>
      <c r="E243">
        <f ca="1"/>
        <v>-9.8074839030622956E-3</v>
      </c>
    </row>
    <row r="244" spans="1:5" x14ac:dyDescent="0.3">
      <c r="A244">
        <v>1</v>
      </c>
      <c r="B244">
        <f ca="1"/>
        <v>-5.0463326121624151E-2</v>
      </c>
      <c r="C244">
        <f ca="1"/>
        <v>-2.8279107629442413E-2</v>
      </c>
      <c r="D244">
        <f ca="1"/>
        <v>-7.0557795431519374E-3</v>
      </c>
      <c r="E244">
        <f ca="1"/>
        <v>-1.0409551324890586E-2</v>
      </c>
    </row>
    <row r="245" spans="1:5" x14ac:dyDescent="0.3">
      <c r="A245">
        <v>1</v>
      </c>
      <c r="B245">
        <f ca="1"/>
        <v>-1.2123642372428382E-2</v>
      </c>
      <c r="C245">
        <f ca="1"/>
        <v>-1.8224685718634243E-2</v>
      </c>
      <c r="D245">
        <f ca="1"/>
        <v>-1.5686148408787386E-2</v>
      </c>
      <c r="E245">
        <f ca="1"/>
        <v>-1.1029801112312035E-2</v>
      </c>
    </row>
    <row r="246" spans="1:5" x14ac:dyDescent="0.3">
      <c r="A246">
        <v>1</v>
      </c>
      <c r="B246">
        <f ca="1"/>
        <v>-2.6749417218020842E-2</v>
      </c>
      <c r="C246">
        <f ca="1"/>
        <v>2.5213583692460005E-3</v>
      </c>
      <c r="D246">
        <f ca="1"/>
        <v>4.40557809215553E-3</v>
      </c>
      <c r="E246">
        <f ca="1"/>
        <v>8.7901060878256051E-3</v>
      </c>
    </row>
    <row r="247" spans="1:5" x14ac:dyDescent="0.3">
      <c r="A247">
        <v>1</v>
      </c>
      <c r="B247">
        <f ca="1"/>
        <v>-1.5314755827278256E-2</v>
      </c>
      <c r="C247">
        <f ca="1"/>
        <v>2.6620685445138539E-2</v>
      </c>
      <c r="D247">
        <f ca="1"/>
        <v>1.0789749043074226E-2</v>
      </c>
      <c r="E247">
        <f ca="1"/>
        <v>1.3006346598137392E-2</v>
      </c>
    </row>
    <row r="248" spans="1:5" x14ac:dyDescent="0.3">
      <c r="A248">
        <v>1</v>
      </c>
      <c r="B248">
        <f ca="1"/>
        <v>2.0231922690069883E-2</v>
      </c>
      <c r="C248">
        <f ca="1"/>
        <v>3.1474500135152033E-3</v>
      </c>
      <c r="D248">
        <f ca="1"/>
        <v>4.4089583900320892E-3</v>
      </c>
      <c r="E248">
        <f ca="1"/>
        <v>-5.6560732652323493E-3</v>
      </c>
    </row>
    <row r="249" spans="1:5" x14ac:dyDescent="0.3">
      <c r="A249">
        <v>1</v>
      </c>
      <c r="B249">
        <f ca="1"/>
        <v>-1.0684379442175429E-2</v>
      </c>
      <c r="C249">
        <f ca="1"/>
        <v>7.3055182022198472E-3</v>
      </c>
      <c r="D249">
        <f ca="1"/>
        <v>4.1813393091823265E-3</v>
      </c>
      <c r="E249">
        <f ca="1"/>
        <v>-2.3000633673967881E-3</v>
      </c>
    </row>
    <row r="250" spans="1:5" x14ac:dyDescent="0.3">
      <c r="A250">
        <v>1</v>
      </c>
      <c r="B250">
        <f ca="1"/>
        <v>7.4089561696116931E-3</v>
      </c>
      <c r="C250">
        <f ca="1"/>
        <v>-2.2787820581073759E-2</v>
      </c>
      <c r="D250">
        <f ca="1"/>
        <v>-1.3864799216675491E-2</v>
      </c>
      <c r="E250">
        <f ca="1"/>
        <v>-1.3183898776970099E-2</v>
      </c>
    </row>
    <row r="251" spans="1:5" x14ac:dyDescent="0.3">
      <c r="A251">
        <v>1</v>
      </c>
      <c r="B251">
        <f ca="1"/>
        <v>-3.9310932814978862E-2</v>
      </c>
      <c r="C251">
        <f ca="1"/>
        <v>-2.1143841044850609E-2</v>
      </c>
      <c r="D251">
        <f ca="1"/>
        <v>2.9570694953933302E-3</v>
      </c>
      <c r="E251">
        <f ca="1"/>
        <v>2.0711529101905869E-2</v>
      </c>
    </row>
    <row r="252" spans="1:5" x14ac:dyDescent="0.3">
      <c r="A252">
        <v>1</v>
      </c>
      <c r="B252">
        <f ca="1"/>
        <v>2.4853770239479725E-2</v>
      </c>
      <c r="C252">
        <f ca="1"/>
        <v>-5.7776712562316861E-2</v>
      </c>
      <c r="D252">
        <f ca="1"/>
        <v>-1.8519661402750107E-2</v>
      </c>
      <c r="E252">
        <f ca="1"/>
        <v>-7.1448774885532701E-4</v>
      </c>
    </row>
    <row r="253" spans="1:5" x14ac:dyDescent="0.3">
      <c r="A253">
        <v>1</v>
      </c>
      <c r="B253">
        <f ca="1"/>
        <v>1.8753907708285663E-2</v>
      </c>
      <c r="C253">
        <f ca="1"/>
        <v>-2.2900165839012651E-2</v>
      </c>
      <c r="D253">
        <f ca="1"/>
        <v>-7.6928564314577676E-3</v>
      </c>
      <c r="E253">
        <f ca="1"/>
        <v>4.2081320682606539E-3</v>
      </c>
    </row>
    <row r="254" spans="1:5" x14ac:dyDescent="0.3">
      <c r="A254">
        <v>1</v>
      </c>
      <c r="B254">
        <f ca="1"/>
        <v>-2.1044762891070032E-2</v>
      </c>
      <c r="C254">
        <f ca="1"/>
        <v>5.4816433983671123E-3</v>
      </c>
      <c r="D254">
        <f ca="1"/>
        <v>7.9790711160775459E-3</v>
      </c>
      <c r="E254">
        <f ca="1"/>
        <v>-3.2080506715276035E-3</v>
      </c>
    </row>
    <row r="255" spans="1:5" x14ac:dyDescent="0.3">
      <c r="A255">
        <v>1</v>
      </c>
      <c r="B255">
        <f ca="1"/>
        <v>-3.1990919044195557E-2</v>
      </c>
      <c r="C255">
        <f ca="1"/>
        <v>-1.8522777684850403E-2</v>
      </c>
      <c r="D255">
        <f ca="1"/>
        <v>8.9810181314513206E-3</v>
      </c>
      <c r="E255">
        <f ca="1"/>
        <v>-5.656810304203768E-3</v>
      </c>
    </row>
    <row r="256" spans="1:5" x14ac:dyDescent="0.3">
      <c r="A256">
        <v>1</v>
      </c>
      <c r="B256">
        <f ca="1"/>
        <v>3.3657630719415563E-2</v>
      </c>
      <c r="C256">
        <f ca="1"/>
        <v>-9.5923987195476613E-3</v>
      </c>
      <c r="D256">
        <f ca="1"/>
        <v>8.6898303314311091E-3</v>
      </c>
      <c r="E256">
        <f ca="1"/>
        <v>-8.6196331484566754E-4</v>
      </c>
    </row>
    <row r="257" spans="1:5" x14ac:dyDescent="0.3">
      <c r="A257">
        <v>1</v>
      </c>
      <c r="B257">
        <f ca="1"/>
        <v>1.8561035839222556E-2</v>
      </c>
      <c r="C257">
        <f ca="1"/>
        <v>1.2042464670172764E-3</v>
      </c>
      <c r="D257">
        <f ca="1"/>
        <v>8.3360354756817096E-3</v>
      </c>
      <c r="E257">
        <f ca="1"/>
        <v>-1.1420504417990134E-2</v>
      </c>
    </row>
    <row r="258" spans="1:5" x14ac:dyDescent="0.3">
      <c r="A258">
        <v>1</v>
      </c>
      <c r="B258">
        <f ca="1"/>
        <v>5.3895024099584403E-2</v>
      </c>
      <c r="C258">
        <f ca="1"/>
        <v>1.5917429027229989E-2</v>
      </c>
      <c r="D258">
        <f ca="1"/>
        <v>-5.5964078005327697E-3</v>
      </c>
      <c r="E258">
        <f ca="1"/>
        <v>7.2668925094986048E-4</v>
      </c>
    </row>
    <row r="259" spans="1:5" x14ac:dyDescent="0.3">
      <c r="A259">
        <v>1</v>
      </c>
      <c r="B259">
        <f ca="1"/>
        <v>3.8736648199413935E-2</v>
      </c>
      <c r="C259">
        <f ca="1"/>
        <v>3.3769894499301623E-2</v>
      </c>
      <c r="D259">
        <f ca="1"/>
        <v>-1.0436568381183339E-2</v>
      </c>
      <c r="E259">
        <f ca="1"/>
        <v>1.6355416471794226E-2</v>
      </c>
    </row>
    <row r="260" spans="1:5" x14ac:dyDescent="0.3">
      <c r="A260">
        <v>1</v>
      </c>
      <c r="B260">
        <f ca="1"/>
        <v>3.3516569722056709E-2</v>
      </c>
      <c r="C260">
        <f ca="1"/>
        <v>7.6045348823883738E-3</v>
      </c>
      <c r="D260">
        <f ca="1"/>
        <v>1.8193237996263125E-2</v>
      </c>
      <c r="E260">
        <f ca="1"/>
        <v>7.2629422186997316E-3</v>
      </c>
    </row>
    <row r="261" spans="1:5" x14ac:dyDescent="0.3">
      <c r="A261">
        <v>1</v>
      </c>
      <c r="B261">
        <f ca="1"/>
        <v>-3.1713933974369501E-2</v>
      </c>
      <c r="C261">
        <f ca="1"/>
        <v>-1.5651950170835514E-2</v>
      </c>
      <c r="D261">
        <f ca="1"/>
        <v>-5.864408116536146E-3</v>
      </c>
      <c r="E261">
        <f ca="1"/>
        <v>-4.2657558763535717E-3</v>
      </c>
    </row>
    <row r="262" spans="1:5" x14ac:dyDescent="0.3">
      <c r="A262">
        <v>1</v>
      </c>
      <c r="B262">
        <f ca="1"/>
        <v>-6.7809466614250802E-2</v>
      </c>
      <c r="C262">
        <f ca="1"/>
        <v>-1.7857779081327331E-2</v>
      </c>
      <c r="D262">
        <f ca="1"/>
        <v>-2.9848609344163925E-2</v>
      </c>
      <c r="E262">
        <f ca="1"/>
        <v>-2.0079292065090175E-2</v>
      </c>
    </row>
    <row r="263" spans="1:5" x14ac:dyDescent="0.3">
      <c r="A263">
        <v>1</v>
      </c>
      <c r="B263">
        <f ca="1"/>
        <v>1.6800561507096575E-2</v>
      </c>
      <c r="C263">
        <f ca="1"/>
        <v>1.7473023063012131E-2</v>
      </c>
      <c r="D263">
        <f ca="1"/>
        <v>-5.9330894287759704E-3</v>
      </c>
      <c r="E263">
        <f ca="1"/>
        <v>1.453502892345809E-4</v>
      </c>
    </row>
    <row r="264" spans="1:5" x14ac:dyDescent="0.3">
      <c r="A264">
        <v>1</v>
      </c>
      <c r="B264">
        <f ca="1"/>
        <v>-6.3102191598687324E-2</v>
      </c>
      <c r="C264">
        <f ca="1"/>
        <v>1.7550774937694406E-2</v>
      </c>
      <c r="D264">
        <f ca="1"/>
        <v>-5.5657002192128387E-2</v>
      </c>
      <c r="E264">
        <f ca="1"/>
        <v>-7.3680004198755896E-3</v>
      </c>
    </row>
    <row r="265" spans="1:5" x14ac:dyDescent="0.3">
      <c r="A265">
        <v>1</v>
      </c>
      <c r="B265">
        <f ca="1"/>
        <v>-6.445501788068482E-2</v>
      </c>
      <c r="C265">
        <f ca="1"/>
        <v>2.9074259794095132E-2</v>
      </c>
      <c r="D265">
        <f ca="1"/>
        <v>2.5077958555646686E-2</v>
      </c>
      <c r="E265">
        <f ca="1"/>
        <v>4.529328804246808E-3</v>
      </c>
    </row>
    <row r="266" spans="1:5" x14ac:dyDescent="0.3">
      <c r="A266">
        <v>1</v>
      </c>
      <c r="B266">
        <f ca="1"/>
        <v>-4.4632666705495773E-3</v>
      </c>
      <c r="C266">
        <f ca="1"/>
        <v>-9.968837539692495E-3</v>
      </c>
      <c r="D266">
        <f ca="1"/>
        <v>-1.8120487373615771E-2</v>
      </c>
      <c r="E266">
        <f ca="1"/>
        <v>6.9007424277858324E-3</v>
      </c>
    </row>
    <row r="267" spans="1:5" x14ac:dyDescent="0.3">
      <c r="A267">
        <v>1</v>
      </c>
      <c r="B267">
        <f ca="1"/>
        <v>-2.6875533666138682E-3</v>
      </c>
      <c r="C267">
        <f ca="1"/>
        <v>3.8578254037140734E-2</v>
      </c>
      <c r="D267">
        <f ca="1"/>
        <v>2.5352077090572914E-2</v>
      </c>
      <c r="E267">
        <f ca="1"/>
        <v>1.2302925712689912E-2</v>
      </c>
    </row>
    <row r="268" spans="1:5" x14ac:dyDescent="0.3">
      <c r="A268">
        <v>1</v>
      </c>
      <c r="B268">
        <f ca="1"/>
        <v>-0.11439669773227688</v>
      </c>
      <c r="C268">
        <f ca="1"/>
        <v>1.4179485287629863E-2</v>
      </c>
      <c r="D268">
        <f ca="1"/>
        <v>-4.8396493503522417E-2</v>
      </c>
      <c r="E268">
        <f ca="1"/>
        <v>1.4058651286565076E-2</v>
      </c>
    </row>
    <row r="269" spans="1:5" x14ac:dyDescent="0.3">
      <c r="A269">
        <v>1</v>
      </c>
      <c r="B269">
        <f ca="1"/>
        <v>2.434281554910565E-2</v>
      </c>
      <c r="C269">
        <f ca="1"/>
        <v>6.0438296854454718E-2</v>
      </c>
      <c r="D269">
        <f ca="1"/>
        <v>1.9227665385668606E-2</v>
      </c>
      <c r="E269">
        <f ca="1"/>
        <v>7.4459096171623418E-3</v>
      </c>
    </row>
    <row r="270" spans="1:5" x14ac:dyDescent="0.3">
      <c r="A270">
        <v>1</v>
      </c>
      <c r="B270">
        <f ca="1"/>
        <v>-4.0055401738030828E-2</v>
      </c>
      <c r="C270">
        <f ca="1"/>
        <v>-1.2335643817342493E-2</v>
      </c>
      <c r="D270">
        <f ca="1"/>
        <v>-3.8514215932693809E-2</v>
      </c>
      <c r="E270">
        <f ca="1"/>
        <v>2.7998170471616065E-4</v>
      </c>
    </row>
    <row r="271" spans="1:5" x14ac:dyDescent="0.3">
      <c r="A271">
        <v>1</v>
      </c>
      <c r="B271">
        <f ca="1"/>
        <v>2.8454707993499674E-2</v>
      </c>
      <c r="C271">
        <f ca="1"/>
        <v>-2.2045812510996136E-2</v>
      </c>
      <c r="D271">
        <f ca="1"/>
        <v>1.0515938006581507E-2</v>
      </c>
      <c r="E271">
        <f ca="1"/>
        <v>1.5274846449355313E-2</v>
      </c>
    </row>
    <row r="272" spans="1:5" x14ac:dyDescent="0.3">
      <c r="A272">
        <v>1</v>
      </c>
      <c r="B272">
        <f ca="1"/>
        <v>3.9669371768191741E-2</v>
      </c>
      <c r="C272">
        <f ca="1"/>
        <v>-2.4298458654056436E-2</v>
      </c>
      <c r="D272">
        <f ca="1"/>
        <v>2.6467441955813405E-2</v>
      </c>
      <c r="E272">
        <f ca="1"/>
        <v>-7.26109861157514E-3</v>
      </c>
    </row>
    <row r="273" spans="1:5" x14ac:dyDescent="0.3">
      <c r="A273">
        <v>1</v>
      </c>
      <c r="B273">
        <f ca="1"/>
        <v>-4.5146072197584229E-2</v>
      </c>
      <c r="C273">
        <f ca="1"/>
        <v>-1.1663014869604806E-2</v>
      </c>
      <c r="D273">
        <f ca="1"/>
        <v>-2.6152871836256152E-2</v>
      </c>
      <c r="E273">
        <f ca="1"/>
        <v>-6.2486045992005991E-4</v>
      </c>
    </row>
    <row r="274" spans="1:5" x14ac:dyDescent="0.3">
      <c r="A274">
        <v>1</v>
      </c>
      <c r="B274">
        <f ca="1"/>
        <v>4.2346269557667991E-3</v>
      </c>
      <c r="C274">
        <f ca="1"/>
        <v>3.149324332253247E-2</v>
      </c>
      <c r="D274">
        <f ca="1"/>
        <v>-2.6769649426261356E-3</v>
      </c>
      <c r="E274">
        <f ca="1"/>
        <v>-1.3900179156245542E-3</v>
      </c>
    </row>
    <row r="275" spans="1:5" x14ac:dyDescent="0.3">
      <c r="A275">
        <v>1</v>
      </c>
      <c r="B275">
        <f ca="1"/>
        <v>-3.7355038139970176E-3</v>
      </c>
      <c r="C275">
        <f ca="1"/>
        <v>1.1303468062193551E-2</v>
      </c>
      <c r="D275">
        <f ca="1"/>
        <v>-1.5332823805230102E-2</v>
      </c>
      <c r="E275">
        <f ca="1"/>
        <v>2.0172074525570245E-2</v>
      </c>
    </row>
    <row r="276" spans="1:5" x14ac:dyDescent="0.3">
      <c r="A276">
        <v>1</v>
      </c>
      <c r="B276">
        <f ca="1"/>
        <v>9.9724776468849822E-4</v>
      </c>
      <c r="C276">
        <f ca="1"/>
        <v>-6.1497468147801793E-3</v>
      </c>
      <c r="D276">
        <f ca="1"/>
        <v>2.8257510700163656E-2</v>
      </c>
      <c r="E276">
        <f ca="1"/>
        <v>-5.2618673968242869E-3</v>
      </c>
    </row>
    <row r="277" spans="1:5" x14ac:dyDescent="0.3">
      <c r="A277">
        <v>1</v>
      </c>
      <c r="B277">
        <f ca="1"/>
        <v>1.0167660549030694E-2</v>
      </c>
      <c r="C277">
        <f ca="1"/>
        <v>3.7628628526851825E-3</v>
      </c>
      <c r="D277">
        <f ca="1"/>
        <v>3.0306542503378635E-3</v>
      </c>
      <c r="E277">
        <f ca="1"/>
        <v>2.8052203753541091E-3</v>
      </c>
    </row>
    <row r="278" spans="1:5" x14ac:dyDescent="0.3">
      <c r="A278">
        <v>1</v>
      </c>
      <c r="B278">
        <f ca="1"/>
        <v>1.0065072204537034E-2</v>
      </c>
      <c r="C278">
        <f ca="1"/>
        <v>7.337593731646648E-2</v>
      </c>
      <c r="D278">
        <f ca="1"/>
        <v>2.0152658151438201E-3</v>
      </c>
      <c r="E278">
        <f ca="1"/>
        <v>3.0698844089292955E-3</v>
      </c>
    </row>
    <row r="279" spans="1:5" x14ac:dyDescent="0.3">
      <c r="A279">
        <v>1</v>
      </c>
      <c r="B279">
        <f ca="1"/>
        <v>1.983123253416633E-2</v>
      </c>
      <c r="C279">
        <f ca="1"/>
        <v>1.792222772505549E-2</v>
      </c>
      <c r="D279">
        <f ca="1"/>
        <v>-3.0245435901600408E-3</v>
      </c>
      <c r="E279">
        <f ca="1"/>
        <v>4.3500415312791212E-3</v>
      </c>
    </row>
    <row r="280" spans="1:5" x14ac:dyDescent="0.3">
      <c r="A280">
        <v>1</v>
      </c>
      <c r="B280">
        <f ca="1"/>
        <v>1.8976016034136869E-2</v>
      </c>
      <c r="C280">
        <f ca="1"/>
        <v>1.7912742055786371E-2</v>
      </c>
      <c r="D280">
        <f ca="1"/>
        <v>1.2043750433527654E-2</v>
      </c>
      <c r="E280">
        <f ca="1"/>
        <v>8.3743851782254793E-3</v>
      </c>
    </row>
    <row r="281" spans="1:5" x14ac:dyDescent="0.3">
      <c r="A281">
        <v>1</v>
      </c>
      <c r="B281">
        <f ca="1"/>
        <v>-1.8736340840036968E-2</v>
      </c>
      <c r="C281">
        <f ca="1"/>
        <v>6.7112539703124193E-3</v>
      </c>
      <c r="D281">
        <f ca="1"/>
        <v>-1.1516471278139671E-3</v>
      </c>
      <c r="E281">
        <f ca="1"/>
        <v>5.4997029500508769E-3</v>
      </c>
    </row>
    <row r="282" spans="1:5" x14ac:dyDescent="0.3">
      <c r="A282">
        <v>1</v>
      </c>
      <c r="B282">
        <f ca="1"/>
        <v>-3.4834856353707117E-2</v>
      </c>
      <c r="C282">
        <f ca="1"/>
        <v>6.3648140518730257E-3</v>
      </c>
      <c r="D282">
        <f ca="1"/>
        <v>-1.3458447737020122E-2</v>
      </c>
      <c r="E282">
        <f ca="1"/>
        <v>4.8040625623174751E-3</v>
      </c>
    </row>
    <row r="283" spans="1:5" x14ac:dyDescent="0.3">
      <c r="A283">
        <v>1</v>
      </c>
      <c r="B283">
        <f ca="1"/>
        <v>-2.2816428607890692E-2</v>
      </c>
      <c r="C283">
        <f ca="1"/>
        <v>-8.1906656419353675E-3</v>
      </c>
      <c r="D283">
        <f ca="1"/>
        <v>1.4899904222899804E-3</v>
      </c>
      <c r="E283">
        <f ca="1"/>
        <v>6.8327642984011127E-3</v>
      </c>
    </row>
    <row r="284" spans="1:5" x14ac:dyDescent="0.3">
      <c r="A284">
        <v>1</v>
      </c>
      <c r="B284">
        <f ca="1"/>
        <v>-6.8713404783178776E-3</v>
      </c>
      <c r="C284">
        <f ca="1"/>
        <v>-6.092557629040873E-4</v>
      </c>
      <c r="D284">
        <f ca="1"/>
        <v>-1.0976091796451467E-3</v>
      </c>
      <c r="E284">
        <f ca="1"/>
        <v>6.3266675768249014E-3</v>
      </c>
    </row>
    <row r="285" spans="1:5" x14ac:dyDescent="0.3">
      <c r="A285">
        <v>1</v>
      </c>
      <c r="B285">
        <f ca="1"/>
        <v>1.5708351238681528E-2</v>
      </c>
      <c r="C285">
        <f ca="1"/>
        <v>-8.8780480384484887E-3</v>
      </c>
      <c r="D285">
        <f ca="1"/>
        <v>3.2893794978669727E-3</v>
      </c>
      <c r="E285">
        <f ca="1"/>
        <v>-8.3119031164595996E-3</v>
      </c>
    </row>
    <row r="286" spans="1:5" x14ac:dyDescent="0.3">
      <c r="A286">
        <v>1</v>
      </c>
      <c r="B286">
        <f ca="1"/>
        <v>2.1142547066251707E-2</v>
      </c>
      <c r="C286">
        <f ca="1"/>
        <v>-5.2414065742907127E-3</v>
      </c>
      <c r="D286">
        <f ca="1"/>
        <v>4.9140687842218582E-3</v>
      </c>
      <c r="E286">
        <f ca="1"/>
        <v>-1.9891845407797536E-3</v>
      </c>
    </row>
    <row r="287" spans="1:5" x14ac:dyDescent="0.3">
      <c r="A287">
        <v>1</v>
      </c>
      <c r="B287">
        <f ca="1"/>
        <v>-2.4668087713708337E-2</v>
      </c>
      <c r="C287">
        <f ca="1"/>
        <v>-1.0253352827774169E-2</v>
      </c>
      <c r="D287">
        <f ca="1"/>
        <v>-1.557312085669687E-4</v>
      </c>
      <c r="E287">
        <f ca="1"/>
        <v>2.7177090000438929E-3</v>
      </c>
    </row>
    <row r="288" spans="1:5" x14ac:dyDescent="0.3">
      <c r="A288">
        <v>1</v>
      </c>
      <c r="B288">
        <f ca="1"/>
        <v>3.226890712042451E-2</v>
      </c>
      <c r="C288">
        <f ca="1"/>
        <v>3.4296891910901503E-3</v>
      </c>
      <c r="D288">
        <f ca="1"/>
        <v>3.8060372362883725E-3</v>
      </c>
      <c r="E288">
        <f ca="1"/>
        <v>4.6228292627771171E-3</v>
      </c>
    </row>
    <row r="289" spans="1:5" x14ac:dyDescent="0.3">
      <c r="A289">
        <v>1</v>
      </c>
      <c r="B289">
        <f ca="1"/>
        <v>-1.3277706225001127E-2</v>
      </c>
      <c r="C289">
        <f ca="1"/>
        <v>-7.4976906213792428E-3</v>
      </c>
      <c r="D289">
        <f ca="1"/>
        <v>7.2794802979014347E-2</v>
      </c>
      <c r="E289">
        <f ca="1"/>
        <v>-5.0864051917181557E-3</v>
      </c>
    </row>
    <row r="290" spans="1:5" x14ac:dyDescent="0.3">
      <c r="A290">
        <v>1</v>
      </c>
      <c r="B290">
        <f ca="1"/>
        <v>9.852230260367266E-3</v>
      </c>
      <c r="C290">
        <f ca="1"/>
        <v>7.8088120145572695E-3</v>
      </c>
      <c r="D290">
        <f ca="1"/>
        <v>7.8978115083303494E-3</v>
      </c>
      <c r="E290">
        <f ca="1"/>
        <v>3.3107000620072351E-4</v>
      </c>
    </row>
    <row r="291" spans="1:5" x14ac:dyDescent="0.3">
      <c r="A291">
        <v>1</v>
      </c>
      <c r="B291">
        <f ca="1"/>
        <v>3.2552628587895781E-2</v>
      </c>
      <c r="C291">
        <f ca="1"/>
        <v>-9.6919717273051351E-3</v>
      </c>
      <c r="D291">
        <f ca="1"/>
        <v>1.1165254357063779E-2</v>
      </c>
      <c r="E291">
        <f ca="1"/>
        <v>1.0586066816538275E-3</v>
      </c>
    </row>
    <row r="292" spans="1:5" x14ac:dyDescent="0.3">
      <c r="A292">
        <v>1</v>
      </c>
      <c r="B292">
        <f ca="1"/>
        <v>-2.2311202645062388E-2</v>
      </c>
      <c r="C292">
        <f ca="1"/>
        <v>-2.1595261239519391E-2</v>
      </c>
      <c r="D292">
        <f ca="1"/>
        <v>-1.2738300459774721E-3</v>
      </c>
      <c r="E292">
        <f ca="1"/>
        <v>1.9840642950732113E-4</v>
      </c>
    </row>
    <row r="293" spans="1:5" x14ac:dyDescent="0.3">
      <c r="A293">
        <v>1</v>
      </c>
      <c r="B293">
        <f ca="1"/>
        <v>-2.4310426682458853E-2</v>
      </c>
      <c r="C293">
        <f ca="1"/>
        <v>-9.3533844803373352E-3</v>
      </c>
      <c r="D293">
        <f ca="1"/>
        <v>-2.9074687750192296E-3</v>
      </c>
      <c r="E293">
        <f ca="1"/>
        <v>3.6593830449291307E-3</v>
      </c>
    </row>
    <row r="294" spans="1:5" x14ac:dyDescent="0.3">
      <c r="A294">
        <v>1</v>
      </c>
      <c r="B294">
        <f ca="1"/>
        <v>-5.2825301043874201E-2</v>
      </c>
      <c r="C294">
        <f ca="1"/>
        <v>-1.8313245463091293E-2</v>
      </c>
      <c r="D294">
        <f ca="1"/>
        <v>-1.9192978257544467E-3</v>
      </c>
      <c r="E294">
        <f ca="1"/>
        <v>3.4018784235576825E-2</v>
      </c>
    </row>
    <row r="295" spans="1:5" x14ac:dyDescent="0.3">
      <c r="A295">
        <v>1</v>
      </c>
      <c r="B295">
        <f ca="1"/>
        <v>-3.1495880275202175E-3</v>
      </c>
      <c r="C295">
        <f ca="1"/>
        <v>-2.1348263654330145E-2</v>
      </c>
      <c r="D295">
        <f ca="1"/>
        <v>1.3509874940313127E-3</v>
      </c>
      <c r="E295">
        <f ca="1"/>
        <v>1.7922218553703283E-3</v>
      </c>
    </row>
    <row r="296" spans="1:5" x14ac:dyDescent="0.3">
      <c r="A296">
        <v>1</v>
      </c>
      <c r="B296">
        <f ca="1"/>
        <v>-6.2087825854018473E-2</v>
      </c>
      <c r="C296">
        <f ca="1"/>
        <v>-2.6649934140054433E-2</v>
      </c>
      <c r="D296">
        <f ca="1"/>
        <v>-2.1983581750152782E-2</v>
      </c>
      <c r="E296">
        <f ca="1"/>
        <v>2.5585346396415871E-4</v>
      </c>
    </row>
    <row r="297" spans="1:5" x14ac:dyDescent="0.3">
      <c r="A297">
        <v>1</v>
      </c>
      <c r="B297">
        <f ca="1"/>
        <v>-8.4269587763949952E-3</v>
      </c>
      <c r="C297">
        <f ca="1"/>
        <v>5.8693285687301203E-3</v>
      </c>
      <c r="D297">
        <f ca="1"/>
        <v>-1.788245469188705E-2</v>
      </c>
      <c r="E297">
        <f ca="1"/>
        <v>-1.1641136134909219E-2</v>
      </c>
    </row>
    <row r="298" spans="1:5" x14ac:dyDescent="0.3">
      <c r="A298">
        <v>1</v>
      </c>
      <c r="B298">
        <f ca="1"/>
        <v>2.2867545711805055E-2</v>
      </c>
      <c r="C298">
        <f ca="1"/>
        <v>2.7501343764674977E-2</v>
      </c>
      <c r="D298">
        <f ca="1"/>
        <v>1.3368720252719655E-2</v>
      </c>
      <c r="E298">
        <f ca="1"/>
        <v>1.2152581636218946E-2</v>
      </c>
    </row>
    <row r="299" spans="1:5" x14ac:dyDescent="0.3">
      <c r="A299">
        <v>1</v>
      </c>
      <c r="B299">
        <f ca="1"/>
        <v>2.3703718031139406E-2</v>
      </c>
      <c r="C299">
        <f ca="1"/>
        <v>3.9400687123296432E-2</v>
      </c>
      <c r="D299">
        <f ca="1"/>
        <v>8.6455113519983071E-3</v>
      </c>
      <c r="E299">
        <f ca="1"/>
        <v>-5.7537014818280626E-4</v>
      </c>
    </row>
    <row r="300" spans="1:5" x14ac:dyDescent="0.3">
      <c r="A300">
        <v>1</v>
      </c>
      <c r="B300">
        <f ca="1"/>
        <v>3.4941338504717455E-3</v>
      </c>
      <c r="C300">
        <f ca="1"/>
        <v>-2.477316166231713E-2</v>
      </c>
      <c r="D300">
        <f ca="1"/>
        <v>2.1186003272603074E-2</v>
      </c>
      <c r="E300">
        <f ca="1"/>
        <v>1.2142605879030186E-3</v>
      </c>
    </row>
    <row r="301" spans="1:5" x14ac:dyDescent="0.3">
      <c r="A301">
        <v>1</v>
      </c>
      <c r="B301">
        <f ca="1"/>
        <v>-4.3598386941596699E-2</v>
      </c>
      <c r="C301">
        <f ca="1"/>
        <v>-1.7646184179037964E-2</v>
      </c>
      <c r="D301">
        <f ca="1"/>
        <v>-1.6278980120714694E-2</v>
      </c>
      <c r="E301">
        <f ca="1"/>
        <v>-8.9474335330887991E-4</v>
      </c>
    </row>
    <row r="302" spans="1:5" x14ac:dyDescent="0.3">
      <c r="A302">
        <v>1</v>
      </c>
      <c r="B302">
        <f ca="1"/>
        <v>-1.8671141238667626E-2</v>
      </c>
      <c r="C302">
        <f ca="1"/>
        <v>2.9131369337026373E-2</v>
      </c>
      <c r="D302">
        <f ca="1"/>
        <v>-2.1390521664500381E-2</v>
      </c>
      <c r="E302">
        <f ca="1"/>
        <v>-1.2792037619951354E-3</v>
      </c>
    </row>
    <row r="303" spans="1:5" x14ac:dyDescent="0.3">
      <c r="A303">
        <v>1</v>
      </c>
      <c r="B303">
        <f ca="1"/>
        <v>-1.8444203408480502E-2</v>
      </c>
      <c r="C303">
        <f ca="1"/>
        <v>2.3153414473748243E-2</v>
      </c>
      <c r="D303">
        <f ca="1"/>
        <v>-1.377301775457733E-2</v>
      </c>
      <c r="E303">
        <f ca="1"/>
        <v>-4.6192282063771536E-3</v>
      </c>
    </row>
    <row r="304" spans="1:5" x14ac:dyDescent="0.3">
      <c r="A304">
        <v>1</v>
      </c>
      <c r="B304">
        <f ca="1"/>
        <v>5.020189720409346E-2</v>
      </c>
      <c r="C304">
        <f ca="1"/>
        <v>-8.0350210386277068E-3</v>
      </c>
      <c r="D304">
        <f ca="1"/>
        <v>1.9346549093539254E-2</v>
      </c>
      <c r="E304">
        <f ca="1"/>
        <v>3.3382553639846814E-3</v>
      </c>
    </row>
    <row r="305" spans="1:5" x14ac:dyDescent="0.3">
      <c r="A305">
        <v>1</v>
      </c>
      <c r="B305">
        <f ca="1"/>
        <v>1.8364379506205186E-2</v>
      </c>
      <c r="C305">
        <f ca="1"/>
        <v>-7.1242410854740522E-3</v>
      </c>
      <c r="D305">
        <f ca="1"/>
        <v>2.4103978299182096E-3</v>
      </c>
      <c r="E305">
        <f ca="1"/>
        <v>-4.6895319986112608E-3</v>
      </c>
    </row>
    <row r="306" spans="1:5" x14ac:dyDescent="0.3">
      <c r="A306">
        <v>1</v>
      </c>
      <c r="B306">
        <f ca="1"/>
        <v>-8.4551985668849926E-3</v>
      </c>
      <c r="C306">
        <f ca="1"/>
        <v>-2.2014833529520512E-2</v>
      </c>
      <c r="D306">
        <f ca="1"/>
        <v>-4.8268441637111751E-3</v>
      </c>
      <c r="E306">
        <f ca="1"/>
        <v>-1.0290949531393622E-2</v>
      </c>
    </row>
    <row r="307" spans="1:5" x14ac:dyDescent="0.3">
      <c r="A307">
        <v>1</v>
      </c>
      <c r="B307">
        <f ca="1"/>
        <v>-1.0185842524444193E-2</v>
      </c>
      <c r="C307">
        <f ca="1"/>
        <v>-4.3285555111060416E-3</v>
      </c>
      <c r="D307">
        <f ca="1"/>
        <v>5.1317419328247296E-4</v>
      </c>
      <c r="E307">
        <f ca="1"/>
        <v>2.079686586010163E-3</v>
      </c>
    </row>
    <row r="308" spans="1:5" x14ac:dyDescent="0.3">
      <c r="A308">
        <v>1</v>
      </c>
      <c r="B308">
        <f ca="1"/>
        <v>-2.266767000365311E-2</v>
      </c>
      <c r="C308">
        <f ca="1"/>
        <v>-3.7740185425676913E-2</v>
      </c>
      <c r="D308">
        <f ca="1"/>
        <v>-3.1556127540311686E-3</v>
      </c>
      <c r="E308">
        <f ca="1"/>
        <v>2.3344066807565868E-3</v>
      </c>
    </row>
    <row r="309" spans="1:5" x14ac:dyDescent="0.3">
      <c r="A309">
        <v>1</v>
      </c>
      <c r="B309">
        <f ca="1"/>
        <v>1.1312485070971749E-3</v>
      </c>
      <c r="C309">
        <f ca="1"/>
        <v>3.113572713378658E-3</v>
      </c>
      <c r="D309">
        <f ca="1"/>
        <v>-1.4436740389191988E-2</v>
      </c>
      <c r="E309">
        <f ca="1"/>
        <v>1.0117731700541538E-2</v>
      </c>
    </row>
    <row r="310" spans="1:5" x14ac:dyDescent="0.3">
      <c r="A310">
        <v>1</v>
      </c>
      <c r="B310">
        <f ca="1"/>
        <v>4.7614885684202732E-2</v>
      </c>
      <c r="C310">
        <f ca="1"/>
        <v>2.8938191833463637E-2</v>
      </c>
      <c r="D310">
        <f ca="1"/>
        <v>8.3913608526660494E-3</v>
      </c>
      <c r="E310">
        <f ca="1"/>
        <v>3.2037753604353681E-4</v>
      </c>
    </row>
    <row r="311" spans="1:5" x14ac:dyDescent="0.3">
      <c r="A311">
        <v>1</v>
      </c>
      <c r="B311">
        <f ca="1"/>
        <v>-2.4354629397987566E-2</v>
      </c>
      <c r="C311">
        <f ca="1"/>
        <v>-1.9654874926144691E-2</v>
      </c>
      <c r="D311">
        <f ca="1"/>
        <v>-6.751983999110844E-3</v>
      </c>
      <c r="E311">
        <f ca="1"/>
        <v>-1.7320052879266784E-3</v>
      </c>
    </row>
    <row r="312" spans="1:5" x14ac:dyDescent="0.3">
      <c r="A312">
        <v>1</v>
      </c>
      <c r="B312">
        <f ca="1"/>
        <v>1.7573195614358557E-2</v>
      </c>
      <c r="C312">
        <f ca="1"/>
        <v>-1.2050535709313578E-2</v>
      </c>
      <c r="D312">
        <f ca="1"/>
        <v>3.0284152230706841E-2</v>
      </c>
      <c r="E312">
        <f ca="1"/>
        <v>-4.2468132287024661E-3</v>
      </c>
    </row>
    <row r="313" spans="1:5" x14ac:dyDescent="0.3">
      <c r="A313">
        <v>1</v>
      </c>
      <c r="B313">
        <f ca="1"/>
        <v>1.9035510936554856E-3</v>
      </c>
      <c r="C313">
        <f ca="1"/>
        <v>2.7670423092228762E-2</v>
      </c>
      <c r="D313">
        <f ca="1"/>
        <v>7.555312331036599E-3</v>
      </c>
      <c r="E313">
        <f ca="1"/>
        <v>-1.6580035476396734E-2</v>
      </c>
    </row>
    <row r="314" spans="1:5" x14ac:dyDescent="0.3">
      <c r="A314">
        <v>1</v>
      </c>
      <c r="B314">
        <f ca="1"/>
        <v>-1.9476746708014015E-2</v>
      </c>
      <c r="C314">
        <f ca="1"/>
        <v>8.387844792622395E-3</v>
      </c>
      <c r="D314">
        <f ca="1"/>
        <v>-2.2964985008879315E-3</v>
      </c>
      <c r="E314">
        <f ca="1"/>
        <v>4.1872016597521294E-3</v>
      </c>
    </row>
    <row r="315" spans="1:5" x14ac:dyDescent="0.3">
      <c r="A315">
        <v>1</v>
      </c>
      <c r="B315">
        <f ca="1"/>
        <v>8.2760733392085398E-3</v>
      </c>
      <c r="C315">
        <f ca="1"/>
        <v>1.1626226155334166E-2</v>
      </c>
      <c r="D315">
        <f ca="1"/>
        <v>-8.2970686557380744E-3</v>
      </c>
      <c r="E315">
        <f ca="1"/>
        <v>-2.6528744169426008E-2</v>
      </c>
    </row>
    <row r="316" spans="1:5" x14ac:dyDescent="0.3">
      <c r="A316">
        <v>1</v>
      </c>
      <c r="B316">
        <f ca="1"/>
        <v>-2.0258943922267982E-2</v>
      </c>
      <c r="C316">
        <f ca="1"/>
        <v>-2.5758232381518538E-2</v>
      </c>
      <c r="D316">
        <f ca="1"/>
        <v>-1.0487377779954557E-2</v>
      </c>
      <c r="E316">
        <f ca="1"/>
        <v>-1.0852475762479115E-2</v>
      </c>
    </row>
    <row r="317" spans="1:5" x14ac:dyDescent="0.3">
      <c r="A317">
        <v>1</v>
      </c>
      <c r="B317">
        <f ca="1"/>
        <v>-3.7707866025361372E-2</v>
      </c>
      <c r="C317">
        <f ca="1"/>
        <v>-1.7433498682711254E-2</v>
      </c>
      <c r="D317">
        <f ca="1"/>
        <v>-9.1935493157020987E-3</v>
      </c>
      <c r="E317">
        <f ca="1"/>
        <v>-8.3027809407480099E-3</v>
      </c>
    </row>
    <row r="318" spans="1:5" x14ac:dyDescent="0.3">
      <c r="A318">
        <v>1</v>
      </c>
      <c r="B318">
        <f ca="1"/>
        <v>-1.6437247243673514E-2</v>
      </c>
      <c r="C318">
        <f ca="1"/>
        <v>-5.6752631042532246E-2</v>
      </c>
      <c r="D318">
        <f ca="1"/>
        <v>2.4353768729710769E-3</v>
      </c>
      <c r="E318">
        <f ca="1"/>
        <v>-6.4444878165218558E-3</v>
      </c>
    </row>
    <row r="319" spans="1:5" x14ac:dyDescent="0.3">
      <c r="A319">
        <v>1</v>
      </c>
      <c r="B319">
        <f ca="1"/>
        <v>-2.9638027840858654E-3</v>
      </c>
      <c r="C319">
        <f ca="1"/>
        <v>5.6752631042532316E-2</v>
      </c>
      <c r="D319">
        <f ca="1"/>
        <v>9.317444131586276E-3</v>
      </c>
      <c r="E319">
        <f ca="1"/>
        <v>6.8616354738605903E-5</v>
      </c>
    </row>
    <row r="320" spans="1:5" x14ac:dyDescent="0.3">
      <c r="A320">
        <v>1</v>
      </c>
      <c r="B320">
        <f ca="1"/>
        <v>-2.6772416150002035E-2</v>
      </c>
      <c r="C320">
        <f ca="1"/>
        <v>3.3568350413552744E-2</v>
      </c>
      <c r="D320">
        <f ca="1"/>
        <v>3.7900297604536943E-3</v>
      </c>
      <c r="E320">
        <f ca="1"/>
        <v>-1.5385951111522607E-2</v>
      </c>
    </row>
    <row r="321" spans="1:5" x14ac:dyDescent="0.3">
      <c r="A321">
        <v>1</v>
      </c>
      <c r="B321">
        <f ca="1"/>
        <v>-3.3481473726671908E-2</v>
      </c>
      <c r="C321">
        <f ca="1"/>
        <v>4.7217030386004652E-2</v>
      </c>
      <c r="D321">
        <f ca="1"/>
        <v>-1.281264285704266E-2</v>
      </c>
      <c r="E321">
        <f ca="1"/>
        <v>-4.760510355476779E-3</v>
      </c>
    </row>
    <row r="322" spans="1:5" x14ac:dyDescent="0.3">
      <c r="A322">
        <v>1</v>
      </c>
      <c r="B322">
        <f ca="1"/>
        <v>3.042777047518485E-2</v>
      </c>
      <c r="C322">
        <f ca="1"/>
        <v>-9.9090929939984057E-3</v>
      </c>
      <c r="D322">
        <f ca="1"/>
        <v>1.3685291731827136E-2</v>
      </c>
      <c r="E322">
        <f ca="1"/>
        <v>1.01934799652662E-2</v>
      </c>
    </row>
    <row r="323" spans="1:5" x14ac:dyDescent="0.3">
      <c r="A323">
        <v>1</v>
      </c>
      <c r="B323">
        <f ca="1"/>
        <v>6.6257165092105982E-2</v>
      </c>
      <c r="C323">
        <f ca="1"/>
        <v>5.7654068693442804E-3</v>
      </c>
      <c r="D323">
        <f ca="1"/>
        <v>2.0788362671736265E-2</v>
      </c>
      <c r="E323">
        <f ca="1"/>
        <v>1.7626455337502955E-2</v>
      </c>
    </row>
    <row r="324" spans="1:5" x14ac:dyDescent="0.3">
      <c r="A324">
        <v>1</v>
      </c>
      <c r="B324">
        <f ca="1"/>
        <v>-3.3763287846705084E-2</v>
      </c>
      <c r="C324">
        <f ca="1"/>
        <v>-4.7417473190071516E-2</v>
      </c>
      <c r="D324">
        <f ca="1"/>
        <v>-9.8728113128634925E-3</v>
      </c>
      <c r="E324">
        <f ca="1"/>
        <v>-3.9663668074133539E-3</v>
      </c>
    </row>
    <row r="325" spans="1:5" x14ac:dyDescent="0.3">
      <c r="A325">
        <v>1</v>
      </c>
      <c r="B325">
        <f ca="1"/>
        <v>2.2538743950767659E-2</v>
      </c>
      <c r="C325">
        <f ca="1"/>
        <v>3.6176195656812835E-2</v>
      </c>
      <c r="D325">
        <f ca="1"/>
        <v>1.7958166202816242E-3</v>
      </c>
      <c r="E325">
        <f ca="1"/>
        <v>-9.9852251445357969E-3</v>
      </c>
    </row>
    <row r="326" spans="1:5" x14ac:dyDescent="0.3">
      <c r="A326">
        <v>1</v>
      </c>
      <c r="B326">
        <f ca="1"/>
        <v>2.2890816975620985E-2</v>
      </c>
      <c r="C326">
        <f ca="1"/>
        <v>1.0282896987373377E-2</v>
      </c>
      <c r="D326">
        <f ca="1"/>
        <v>9.6420149932783025E-3</v>
      </c>
      <c r="E326">
        <f ca="1"/>
        <v>2.1432094413137899E-3</v>
      </c>
    </row>
    <row r="327" spans="1:5" x14ac:dyDescent="0.3">
      <c r="A327">
        <v>1</v>
      </c>
      <c r="B327">
        <f ca="1"/>
        <v>6.4853713388765737E-3</v>
      </c>
      <c r="C327">
        <f ca="1"/>
        <v>1.7115997859996152E-2</v>
      </c>
      <c r="D327">
        <f ca="1"/>
        <v>2.8416751946153617E-4</v>
      </c>
      <c r="E327">
        <f ca="1"/>
        <v>1.1262195863811473E-2</v>
      </c>
    </row>
    <row r="328" spans="1:5" x14ac:dyDescent="0.3">
      <c r="A328">
        <v>1</v>
      </c>
      <c r="B328">
        <f ca="1"/>
        <v>-9.8858391040514224E-3</v>
      </c>
      <c r="C328">
        <f ca="1"/>
        <v>-1.5199832158386375E-2</v>
      </c>
      <c r="D328">
        <f ca="1"/>
        <v>1.9875661806721904E-3</v>
      </c>
      <c r="E328">
        <f ca="1"/>
        <v>8.1906384439097541E-4</v>
      </c>
    </row>
    <row r="329" spans="1:5" x14ac:dyDescent="0.3">
      <c r="A329">
        <v>1</v>
      </c>
      <c r="B329">
        <f ca="1"/>
        <v>-6.8355350550086055E-3</v>
      </c>
      <c r="C329">
        <f ca="1"/>
        <v>5.3731373861525017E-2</v>
      </c>
      <c r="D329">
        <f ca="1"/>
        <v>-7.0784690299656051E-5</v>
      </c>
      <c r="E329">
        <f ca="1"/>
        <v>-7.8774590625427278E-3</v>
      </c>
    </row>
    <row r="330" spans="1:5" x14ac:dyDescent="0.3">
      <c r="A330">
        <v>1</v>
      </c>
      <c r="B330">
        <f ca="1"/>
        <v>4.7714411344805779E-2</v>
      </c>
      <c r="C330">
        <f ca="1"/>
        <v>2.5083205093880179E-2</v>
      </c>
      <c r="D330">
        <f ca="1"/>
        <v>7.2079340020279959E-3</v>
      </c>
      <c r="E330">
        <f ca="1"/>
        <v>-2.4099026295125122E-3</v>
      </c>
    </row>
    <row r="331" spans="1:5" x14ac:dyDescent="0.3">
      <c r="A331">
        <v>1</v>
      </c>
      <c r="B331">
        <f ca="1"/>
        <v>-1.5653383702789219E-2</v>
      </c>
      <c r="C331">
        <f ca="1"/>
        <v>4.807394731786644E-2</v>
      </c>
      <c r="D331">
        <f ca="1"/>
        <v>-3.7387271626370816E-3</v>
      </c>
      <c r="E331">
        <f ca="1"/>
        <v>9.331617563791042E-3</v>
      </c>
    </row>
    <row r="332" spans="1:5" x14ac:dyDescent="0.3">
      <c r="A332">
        <v>1</v>
      </c>
      <c r="B332">
        <f ca="1"/>
        <v>-4.4382831892979535E-3</v>
      </c>
      <c r="C332">
        <f ca="1"/>
        <v>6.722734362457591E-3</v>
      </c>
      <c r="D332">
        <f ca="1"/>
        <v>1.1244619092472218E-2</v>
      </c>
      <c r="E332">
        <f ca="1"/>
        <v>1.3769160996792634E-2</v>
      </c>
    </row>
    <row r="333" spans="1:5" x14ac:dyDescent="0.3">
      <c r="A333">
        <v>1</v>
      </c>
      <c r="B333">
        <f ca="1"/>
        <v>-9.7778466744931417E-3</v>
      </c>
      <c r="C333">
        <f ca="1"/>
        <v>1.5237698886505715E-2</v>
      </c>
      <c r="D333">
        <f ca="1"/>
        <v>1.1873826923091656E-3</v>
      </c>
      <c r="E333">
        <f ca="1"/>
        <v>7.3156028641535899E-3</v>
      </c>
    </row>
    <row r="334" spans="1:5" x14ac:dyDescent="0.3">
      <c r="A334">
        <v>1</v>
      </c>
      <c r="B334">
        <f ca="1"/>
        <v>-4.009703815407336E-2</v>
      </c>
      <c r="C334">
        <f ca="1"/>
        <v>-3.8395959118632507E-2</v>
      </c>
      <c r="D334">
        <f ca="1"/>
        <v>-5.1085183225920055E-3</v>
      </c>
      <c r="E334">
        <f ca="1"/>
        <v>-9.2711054589720773E-3</v>
      </c>
    </row>
    <row r="335" spans="1:5" x14ac:dyDescent="0.3">
      <c r="A335">
        <v>1</v>
      </c>
      <c r="B335">
        <f ca="1"/>
        <v>1.9963013530952482E-2</v>
      </c>
      <c r="C335">
        <f ca="1"/>
        <v>-6.1875741357598393E-2</v>
      </c>
      <c r="D335">
        <f ca="1"/>
        <v>-1.4745243841726068E-3</v>
      </c>
      <c r="E335">
        <f ca="1"/>
        <v>8.6021701498866388E-3</v>
      </c>
    </row>
    <row r="336" spans="1:5" x14ac:dyDescent="0.3">
      <c r="A336">
        <v>1</v>
      </c>
      <c r="B336">
        <f ca="1"/>
        <v>-4.3918056285129001E-2</v>
      </c>
      <c r="C336">
        <f ca="1"/>
        <v>-5.7916033958042169E-3</v>
      </c>
      <c r="D336">
        <f ca="1"/>
        <v>-1.9440110369642598E-2</v>
      </c>
      <c r="E336">
        <f ca="1"/>
        <v>3.407016836704435E-3</v>
      </c>
    </row>
    <row r="337" spans="1:5" x14ac:dyDescent="0.3">
      <c r="A337">
        <v>1</v>
      </c>
      <c r="B337">
        <f ca="1"/>
        <v>-1.7207857949820868E-2</v>
      </c>
      <c r="C337">
        <f ca="1"/>
        <v>8.8266698648414542E-3</v>
      </c>
      <c r="D337">
        <f ca="1"/>
        <v>-5.2437036591812518E-3</v>
      </c>
      <c r="E337">
        <f ca="1"/>
        <v>-9.9863450940468491E-3</v>
      </c>
    </row>
    <row r="338" spans="1:5" x14ac:dyDescent="0.3">
      <c r="A338">
        <v>1</v>
      </c>
      <c r="B338">
        <f ca="1"/>
        <v>4.55713817984981E-3</v>
      </c>
      <c r="C338">
        <f ca="1"/>
        <v>1.0250498510500637E-2</v>
      </c>
      <c r="D338">
        <f ca="1"/>
        <v>2.4457424829628072E-3</v>
      </c>
      <c r="E338">
        <f ca="1"/>
        <v>1.0099571261403424E-3</v>
      </c>
    </row>
    <row r="339" spans="1:5" x14ac:dyDescent="0.3">
      <c r="A339">
        <v>1</v>
      </c>
      <c r="B339">
        <f ca="1"/>
        <v>4.2723746618434831E-2</v>
      </c>
      <c r="C339">
        <f ca="1"/>
        <v>2.2539274955251001E-2</v>
      </c>
      <c r="D339">
        <f ca="1"/>
        <v>7.1705122173708317E-5</v>
      </c>
      <c r="E339">
        <f ca="1"/>
        <v>9.4430904468941895E-3</v>
      </c>
    </row>
    <row r="340" spans="1:5" x14ac:dyDescent="0.3">
      <c r="A340">
        <v>1</v>
      </c>
      <c r="B340">
        <f ca="1"/>
        <v>-2.2618195663715309E-2</v>
      </c>
      <c r="C340">
        <f ca="1"/>
        <v>-1.5664246366512209E-2</v>
      </c>
      <c r="D340">
        <f ca="1"/>
        <v>-4.3918436451908091E-3</v>
      </c>
      <c r="E340">
        <f ca="1"/>
        <v>-1.999304428068961E-4</v>
      </c>
    </row>
    <row r="341" spans="1:5" x14ac:dyDescent="0.3">
      <c r="A341">
        <v>1</v>
      </c>
      <c r="B341">
        <f ca="1"/>
        <v>2.966440901101678E-3</v>
      </c>
      <c r="C341">
        <f ca="1"/>
        <v>-1.9856457266221428E-2</v>
      </c>
      <c r="D341">
        <f ca="1"/>
        <v>3.4327227262208083E-2</v>
      </c>
      <c r="E341">
        <f ca="1"/>
        <v>-4.0752421582477836E-3</v>
      </c>
    </row>
    <row r="342" spans="1:5" x14ac:dyDescent="0.3">
      <c r="A342">
        <v>1</v>
      </c>
      <c r="B342">
        <f ca="1"/>
        <v>5.0232571024771888E-3</v>
      </c>
      <c r="C342">
        <f ca="1"/>
        <v>1.5976197182116982E-2</v>
      </c>
      <c r="D342">
        <f ca="1"/>
        <v>1.3916567629980879E-2</v>
      </c>
      <c r="E342">
        <f ca="1"/>
        <v>1.5675011968373034E-2</v>
      </c>
    </row>
    <row r="343" spans="1:5" x14ac:dyDescent="0.3">
      <c r="A343">
        <v>1</v>
      </c>
      <c r="B343">
        <f ca="1"/>
        <v>9.970561062041498E-3</v>
      </c>
      <c r="C343">
        <f ca="1"/>
        <v>5.3685061180379313E-3</v>
      </c>
      <c r="D343">
        <f ca="1"/>
        <v>8.0122381838922084E-3</v>
      </c>
      <c r="E343">
        <f ca="1"/>
        <v>4.9962368628362281E-3</v>
      </c>
    </row>
    <row r="344" spans="1:5" x14ac:dyDescent="0.3">
      <c r="A344">
        <v>1</v>
      </c>
      <c r="B344">
        <f ca="1"/>
        <v>-1.7366146861456301E-2</v>
      </c>
      <c r="C344">
        <f ca="1"/>
        <v>-3.3573568750470684E-2</v>
      </c>
      <c r="D344">
        <f ca="1"/>
        <v>-6.6838216096638181E-3</v>
      </c>
      <c r="E344">
        <f ca="1"/>
        <v>-1.7064383197599707E-3</v>
      </c>
    </row>
    <row r="345" spans="1:5" x14ac:dyDescent="0.3">
      <c r="A345">
        <v>1</v>
      </c>
      <c r="B345">
        <f ca="1"/>
        <v>-3.4434166989804157E-2</v>
      </c>
      <c r="C345">
        <f ca="1"/>
        <v>-1.674966446292999E-2</v>
      </c>
      <c r="D345">
        <f ca="1"/>
        <v>-9.9358404805029964E-3</v>
      </c>
      <c r="E345">
        <f ca="1"/>
        <v>-1.6435129018375855E-3</v>
      </c>
    </row>
    <row r="346" spans="1:5" x14ac:dyDescent="0.3">
      <c r="A346">
        <v>1</v>
      </c>
      <c r="B346">
        <f ca="1"/>
        <v>4.6534254308492451E-2</v>
      </c>
      <c r="C346">
        <f ca="1"/>
        <v>-3.7605920620569343E-3</v>
      </c>
      <c r="D346">
        <f ca="1"/>
        <v>7.8595537989252888E-3</v>
      </c>
      <c r="E346">
        <f ca="1"/>
        <v>-2.1211577034740411E-2</v>
      </c>
    </row>
    <row r="347" spans="1:5" x14ac:dyDescent="0.3">
      <c r="A347">
        <v>1</v>
      </c>
      <c r="B347">
        <f ca="1"/>
        <v>1.4653159331971721E-3</v>
      </c>
      <c r="C347">
        <f ca="1"/>
        <v>2.7560192539577821E-2</v>
      </c>
      <c r="D347">
        <f ca="1"/>
        <v>5.5960685013941086E-3</v>
      </c>
      <c r="E347">
        <f ca="1"/>
        <v>4.0308623410596111E-4</v>
      </c>
    </row>
    <row r="348" spans="1:5" x14ac:dyDescent="0.3">
      <c r="A348">
        <v>1</v>
      </c>
      <c r="B348">
        <f ca="1"/>
        <v>1.5981819733398173E-2</v>
      </c>
      <c r="C348">
        <f ca="1"/>
        <v>1.6959571062532278E-2</v>
      </c>
      <c r="D348">
        <f ca="1"/>
        <v>1.5517945211019232E-2</v>
      </c>
      <c r="E348">
        <f ca="1"/>
        <v>-5.2535252724352655E-3</v>
      </c>
    </row>
    <row r="349" spans="1:5" x14ac:dyDescent="0.3">
      <c r="A349">
        <v>1</v>
      </c>
      <c r="B349">
        <f ca="1"/>
        <v>1.0324357776400735E-2</v>
      </c>
      <c r="C349">
        <f ca="1"/>
        <v>2.0214782979053776E-2</v>
      </c>
      <c r="D349">
        <f ca="1"/>
        <v>4.9396056026295484E-3</v>
      </c>
      <c r="E349">
        <f ca="1"/>
        <v>5.1863669258650135E-3</v>
      </c>
    </row>
    <row r="350" spans="1:5" x14ac:dyDescent="0.3">
      <c r="A350">
        <v>1</v>
      </c>
      <c r="B350">
        <f ca="1"/>
        <v>4.5728502465707706E-2</v>
      </c>
      <c r="C350">
        <f ca="1"/>
        <v>-3.2422359327285545E-3</v>
      </c>
      <c r="D350">
        <f ca="1"/>
        <v>4.8481956137652821E-3</v>
      </c>
      <c r="E350">
        <f ca="1"/>
        <v>6.7158583726788376E-4</v>
      </c>
    </row>
    <row r="351" spans="1:5" x14ac:dyDescent="0.3">
      <c r="A351">
        <v>1</v>
      </c>
      <c r="B351">
        <f ca="1"/>
        <v>-6.0965504802762513E-2</v>
      </c>
      <c r="C351">
        <f ca="1"/>
        <v>-2.1487013336388538E-2</v>
      </c>
      <c r="D351">
        <f ca="1"/>
        <v>6.0273933397997316E-3</v>
      </c>
      <c r="E351">
        <f ca="1"/>
        <v>7.3577608661280084E-3</v>
      </c>
    </row>
    <row r="352" spans="1:5" x14ac:dyDescent="0.3">
      <c r="A352">
        <v>1</v>
      </c>
      <c r="B352">
        <f ca="1"/>
        <v>2.996388643199718E-2</v>
      </c>
      <c r="C352">
        <f ca="1"/>
        <v>3.6141332749824416E-2</v>
      </c>
      <c r="D352">
        <f ca="1"/>
        <v>2.3817745940422162E-2</v>
      </c>
      <c r="E352">
        <f ca="1"/>
        <v>-7.0893348445127931E-3</v>
      </c>
    </row>
    <row r="353" spans="1:5" x14ac:dyDescent="0.3">
      <c r="A353">
        <v>1</v>
      </c>
      <c r="B353">
        <f ca="1"/>
        <v>-1.5012285061523183E-2</v>
      </c>
      <c r="C353">
        <f ca="1"/>
        <v>3.7754640560943688E-3</v>
      </c>
      <c r="D353">
        <f ca="1"/>
        <v>1.8238297216202953E-3</v>
      </c>
      <c r="E353">
        <f ca="1"/>
        <v>1.87758180299963E-3</v>
      </c>
    </row>
    <row r="354" spans="1:5" x14ac:dyDescent="0.3">
      <c r="A354">
        <v>1</v>
      </c>
      <c r="B354">
        <f ca="1"/>
        <v>-5.7243243113712155E-3</v>
      </c>
      <c r="C354">
        <f ca="1"/>
        <v>-1.1603892149333415E-3</v>
      </c>
      <c r="D354">
        <f ca="1"/>
        <v>3.8322995082758155E-3</v>
      </c>
      <c r="E354">
        <f ca="1"/>
        <v>6.8099826262287668E-3</v>
      </c>
    </row>
    <row r="355" spans="1:5" x14ac:dyDescent="0.3">
      <c r="A355">
        <v>1</v>
      </c>
      <c r="B355">
        <f ca="1"/>
        <v>-6.4002665783725071E-2</v>
      </c>
      <c r="C355">
        <f ca="1"/>
        <v>-3.2141963189079116E-2</v>
      </c>
      <c r="D355">
        <f ca="1"/>
        <v>1.2242329352316327E-2</v>
      </c>
      <c r="E355">
        <f ca="1"/>
        <v>8.0758802812686478E-3</v>
      </c>
    </row>
    <row r="356" spans="1:5" x14ac:dyDescent="0.3">
      <c r="A356">
        <v>1</v>
      </c>
      <c r="B356">
        <f ca="1"/>
        <v>2.1193661722720289E-2</v>
      </c>
      <c r="C356">
        <f ca="1"/>
        <v>1.9291279260143974E-2</v>
      </c>
      <c r="D356">
        <f ca="1"/>
        <v>-7.7144696098071681E-3</v>
      </c>
      <c r="E356">
        <f ca="1"/>
        <v>1.5618593441641418E-2</v>
      </c>
    </row>
    <row r="357" spans="1:5" x14ac:dyDescent="0.3">
      <c r="A357">
        <v>1</v>
      </c>
      <c r="B357">
        <f ca="1"/>
        <v>1.1023467613540179E-2</v>
      </c>
      <c r="C357">
        <f ca="1"/>
        <v>-1.1529872148964894E-2</v>
      </c>
      <c r="D357">
        <f ca="1"/>
        <v>1.9492455081382677E-2</v>
      </c>
      <c r="E357">
        <f ca="1"/>
        <v>3.1989529788441018E-3</v>
      </c>
    </row>
    <row r="358" spans="1:5" x14ac:dyDescent="0.3">
      <c r="A358">
        <v>1</v>
      </c>
      <c r="B358">
        <f ca="1"/>
        <v>5.3645985184067629E-2</v>
      </c>
      <c r="C358">
        <f ca="1"/>
        <v>1.3878676782904092E-2</v>
      </c>
      <c r="D358">
        <f ca="1"/>
        <v>-7.4963300833585681E-3</v>
      </c>
      <c r="E358">
        <f ca="1"/>
        <v>2.3437714696484791E-3</v>
      </c>
    </row>
    <row r="359" spans="1:5" x14ac:dyDescent="0.3">
      <c r="A359">
        <v>1</v>
      </c>
      <c r="B359">
        <f ca="1"/>
        <v>-2.186044873660288E-2</v>
      </c>
      <c r="C359">
        <f ca="1"/>
        <v>7.5958833072817629E-3</v>
      </c>
      <c r="D359">
        <f ca="1"/>
        <v>5.9761363814711975E-3</v>
      </c>
      <c r="E359">
        <f ca="1"/>
        <v>1.0400471031919573E-3</v>
      </c>
    </row>
    <row r="360" spans="1:5" x14ac:dyDescent="0.3">
      <c r="A360">
        <v>1</v>
      </c>
      <c r="B360">
        <f ca="1"/>
        <v>-2.705600299704998E-2</v>
      </c>
      <c r="C360">
        <f ca="1"/>
        <v>5.5145423316912117E-3</v>
      </c>
      <c r="D360">
        <f ca="1"/>
        <v>-1.1090626505596266E-2</v>
      </c>
      <c r="E360">
        <f ca="1"/>
        <v>-1.1959108954788999E-2</v>
      </c>
    </row>
    <row r="361" spans="1:5" x14ac:dyDescent="0.3">
      <c r="A361">
        <v>1</v>
      </c>
      <c r="B361">
        <f ca="1"/>
        <v>2.4757298457108983E-2</v>
      </c>
      <c r="C361">
        <f ca="1"/>
        <v>6.390508247065417E-2</v>
      </c>
      <c r="D361">
        <f ca="1"/>
        <v>5.68821091747448E-3</v>
      </c>
      <c r="E361">
        <f ca="1"/>
        <v>2.7876930722669356E-2</v>
      </c>
    </row>
    <row r="362" spans="1:5" x14ac:dyDescent="0.3">
      <c r="A362">
        <v>1</v>
      </c>
      <c r="B362">
        <f ca="1"/>
        <v>4.0315442056585077E-2</v>
      </c>
      <c r="C362">
        <f ca="1"/>
        <v>-2.92031233748235E-2</v>
      </c>
      <c r="D362">
        <f ca="1"/>
        <v>6.6695645230251156E-3</v>
      </c>
      <c r="E362">
        <f ca="1"/>
        <v>-7.0350090116888422E-4</v>
      </c>
    </row>
    <row r="363" spans="1:5" x14ac:dyDescent="0.3">
      <c r="A363">
        <v>1</v>
      </c>
      <c r="B363">
        <f ca="1"/>
        <v>-2.8305051906015621E-2</v>
      </c>
      <c r="C363">
        <f ca="1"/>
        <v>8.381310001102575E-4</v>
      </c>
      <c r="D363">
        <f ca="1"/>
        <v>-4.9503744364106008E-3</v>
      </c>
      <c r="E363">
        <f ca="1"/>
        <v>-3.2011357436312083E-4</v>
      </c>
    </row>
    <row r="364" spans="1:5" x14ac:dyDescent="0.3">
      <c r="A364">
        <v>1</v>
      </c>
      <c r="B364">
        <f ca="1"/>
        <v>-3.6177955294945857E-2</v>
      </c>
      <c r="C364">
        <f ca="1"/>
        <v>-4.0181829124139375E-2</v>
      </c>
      <c r="D364">
        <f ca="1"/>
        <v>-1.1389188191884666E-2</v>
      </c>
      <c r="E364">
        <f ca="1"/>
        <v>2.1737195378961354E-3</v>
      </c>
    </row>
    <row r="365" spans="1:5" x14ac:dyDescent="0.3">
      <c r="A365">
        <v>1</v>
      </c>
      <c r="B365">
        <f ca="1"/>
        <v>1.665934151457938E-2</v>
      </c>
      <c r="C365">
        <f ca="1"/>
        <v>1.3860786050488242E-2</v>
      </c>
      <c r="D365">
        <f ca="1"/>
        <v>6.094697887183898E-3</v>
      </c>
      <c r="E365">
        <f ca="1"/>
        <v>2.6148710863427424E-3</v>
      </c>
    </row>
    <row r="366" spans="1:5" x14ac:dyDescent="0.3">
      <c r="A366">
        <v>1</v>
      </c>
      <c r="B366">
        <f ca="1"/>
        <v>-1.6070252465120061E-2</v>
      </c>
      <c r="C366">
        <f ca="1"/>
        <v>1.1304556604859373E-2</v>
      </c>
      <c r="D366">
        <f ca="1"/>
        <v>-2.1129106993881034E-3</v>
      </c>
      <c r="E366">
        <f ca="1"/>
        <v>-1.1015962225639218E-2</v>
      </c>
    </row>
    <row r="367" spans="1:5" x14ac:dyDescent="0.3">
      <c r="A367">
        <v>1</v>
      </c>
      <c r="B367">
        <f ca="1"/>
        <v>6.1847710830702715E-3</v>
      </c>
      <c r="C367">
        <f ca="1"/>
        <v>2.5578277454752119E-3</v>
      </c>
      <c r="D367">
        <f ca="1"/>
        <v>4.7317835435594612E-3</v>
      </c>
      <c r="E367">
        <f ca="1"/>
        <v>1.0506209278320073E-2</v>
      </c>
    </row>
    <row r="368" spans="1:5" x14ac:dyDescent="0.3">
      <c r="A368">
        <v>1</v>
      </c>
      <c r="B368">
        <f ca="1"/>
        <v>-2.4670602007349173E-2</v>
      </c>
      <c r="C368">
        <f ca="1"/>
        <v>-5.9786654138822368E-3</v>
      </c>
      <c r="D368">
        <f ca="1"/>
        <v>-5.62948887885888E-3</v>
      </c>
      <c r="E368">
        <f ca="1"/>
        <v>1.0828098306258501E-3</v>
      </c>
    </row>
    <row r="369" spans="1:5" x14ac:dyDescent="0.3">
      <c r="A369">
        <v>1</v>
      </c>
      <c r="B369">
        <f ca="1"/>
        <v>1.1668010376134196E-2</v>
      </c>
      <c r="C369">
        <f ca="1"/>
        <v>-2.135726078823209E-2</v>
      </c>
      <c r="D369">
        <f ca="1"/>
        <v>-1.3498534239807661E-2</v>
      </c>
      <c r="E369">
        <f ca="1"/>
        <v>-1.2739131735508306E-3</v>
      </c>
    </row>
    <row r="370" spans="1:5" x14ac:dyDescent="0.3">
      <c r="A370">
        <v>1</v>
      </c>
      <c r="B370">
        <f ca="1"/>
        <v>-2.2256482387561331E-2</v>
      </c>
      <c r="C370">
        <f ca="1"/>
        <v>1.1601237958641784E-2</v>
      </c>
      <c r="D370">
        <f ca="1"/>
        <v>-1.4965593806079544E-3</v>
      </c>
      <c r="E370">
        <f ca="1"/>
        <v>-4.9840789305886403E-3</v>
      </c>
    </row>
    <row r="371" spans="1:5" x14ac:dyDescent="0.3">
      <c r="A371">
        <v>1</v>
      </c>
      <c r="B371">
        <f ca="1"/>
        <v>-2.8379546004740845E-2</v>
      </c>
      <c r="C371">
        <f ca="1"/>
        <v>6.0371022884165727E-3</v>
      </c>
      <c r="D371">
        <f ca="1"/>
        <v>5.7790062692261402E-3</v>
      </c>
      <c r="E371">
        <f ca="1"/>
        <v>5.8123167435315407E-3</v>
      </c>
    </row>
    <row r="372" spans="1:5" x14ac:dyDescent="0.3">
      <c r="A372">
        <v>1</v>
      </c>
      <c r="B372">
        <f ca="1"/>
        <v>-7.2224612316493476E-3</v>
      </c>
      <c r="C372">
        <f ca="1"/>
        <v>2.2390062293519433E-2</v>
      </c>
      <c r="D372">
        <f ca="1"/>
        <v>2.0697291013479632E-3</v>
      </c>
      <c r="E372">
        <f ca="1"/>
        <v>-7.8642749757893999E-3</v>
      </c>
    </row>
    <row r="373" spans="1:5" x14ac:dyDescent="0.3">
      <c r="A373">
        <v>1</v>
      </c>
      <c r="B373">
        <f ca="1"/>
        <v>-4.4795704802693077E-2</v>
      </c>
      <c r="C373">
        <f ca="1"/>
        <v>-2.583545358815606E-2</v>
      </c>
      <c r="D373">
        <f ca="1"/>
        <v>-2.5786830600930892E-2</v>
      </c>
      <c r="E373">
        <f ca="1"/>
        <v>-6.4396430001479356E-3</v>
      </c>
    </row>
    <row r="374" spans="1:5" x14ac:dyDescent="0.3">
      <c r="A374">
        <v>1</v>
      </c>
      <c r="B374">
        <f ca="1"/>
        <v>-3.4538255674855287E-2</v>
      </c>
      <c r="C374">
        <f ca="1"/>
        <v>-3.6314568258846477E-2</v>
      </c>
      <c r="D374">
        <f ca="1"/>
        <v>-4.2521576774853164E-3</v>
      </c>
      <c r="E374">
        <f ca="1"/>
        <v>-1.0259655940396724E-2</v>
      </c>
    </row>
    <row r="375" spans="1:5" x14ac:dyDescent="0.3">
      <c r="A375">
        <v>1</v>
      </c>
      <c r="B375">
        <f ca="1"/>
        <v>-6.8470210946985953E-3</v>
      </c>
      <c r="C375">
        <f ca="1"/>
        <v>-2.874168078657123E-2</v>
      </c>
      <c r="D375">
        <f ca="1"/>
        <v>-1.0441211673098652E-2</v>
      </c>
      <c r="E375">
        <f ca="1"/>
        <v>-7.2057144777409382E-3</v>
      </c>
    </row>
    <row r="376" spans="1:5" x14ac:dyDescent="0.3">
      <c r="A376">
        <v>1</v>
      </c>
      <c r="B376">
        <f ca="1"/>
        <v>-4.820789735520685E-3</v>
      </c>
      <c r="C376">
        <f ca="1"/>
        <v>5.2041238994554265E-3</v>
      </c>
      <c r="D376">
        <f ca="1"/>
        <v>2.285007634837302E-3</v>
      </c>
      <c r="E376">
        <f ca="1"/>
        <v>2.8228383228301925E-3</v>
      </c>
    </row>
    <row r="377" spans="1:5" x14ac:dyDescent="0.3">
      <c r="A377">
        <v>1</v>
      </c>
      <c r="B377">
        <f ca="1"/>
        <v>-1.3204026004243441E-2</v>
      </c>
      <c r="C377">
        <f ca="1"/>
        <v>1.1838180732909551E-2</v>
      </c>
      <c r="D377">
        <f ca="1"/>
        <v>3.4176496051025835E-3</v>
      </c>
      <c r="E377">
        <f ca="1"/>
        <v>-5.06051741385134E-3</v>
      </c>
    </row>
    <row r="378" spans="1:5" x14ac:dyDescent="0.3">
      <c r="A378">
        <v>1</v>
      </c>
      <c r="B378">
        <f ca="1"/>
        <v>6.6239806055109745E-3</v>
      </c>
      <c r="C378">
        <f ca="1"/>
        <v>-7.5722784056495079E-3</v>
      </c>
      <c r="D378">
        <f ca="1"/>
        <v>-2.0956666607502762E-2</v>
      </c>
      <c r="E378">
        <f ca="1"/>
        <v>3.9519363935055282E-4</v>
      </c>
    </row>
    <row r="379" spans="1:5" x14ac:dyDescent="0.3">
      <c r="A379">
        <v>1</v>
      </c>
      <c r="B379">
        <f ca="1"/>
        <v>1.0417639430579174E-3</v>
      </c>
      <c r="C379">
        <f ca="1"/>
        <v>3.2603380863910125E-2</v>
      </c>
      <c r="D379">
        <f ca="1"/>
        <v>6.7404811280580542E-3</v>
      </c>
      <c r="E379">
        <f ca="1"/>
        <v>9.3090494139649246E-3</v>
      </c>
    </row>
    <row r="380" spans="1:5" x14ac:dyDescent="0.3">
      <c r="A380">
        <v>1</v>
      </c>
      <c r="B380">
        <f ca="1"/>
        <v>-2.0849636019504504E-3</v>
      </c>
      <c r="C380">
        <f ca="1"/>
        <v>-4.1766767412847197E-2</v>
      </c>
      <c r="D380">
        <f ca="1"/>
        <v>-9.5042193306272768E-4</v>
      </c>
      <c r="E380">
        <f ca="1"/>
        <v>-4.6437256394641548E-3</v>
      </c>
    </row>
    <row r="381" spans="1:5" x14ac:dyDescent="0.3">
      <c r="A381">
        <v>1</v>
      </c>
      <c r="B381">
        <f ca="1"/>
        <v>-1.8252590930229681E-2</v>
      </c>
      <c r="C381">
        <f ca="1"/>
        <v>2.0049448640320929E-2</v>
      </c>
      <c r="D381">
        <f ca="1"/>
        <v>-1.2233490956174336E-3</v>
      </c>
      <c r="E381">
        <f ca="1"/>
        <v>6.5343197372696371E-3</v>
      </c>
    </row>
    <row r="382" spans="1:5" x14ac:dyDescent="0.3">
      <c r="A382">
        <v>1</v>
      </c>
      <c r="B382">
        <f ca="1"/>
        <v>8.8169644426744961E-3</v>
      </c>
      <c r="C382">
        <f ca="1"/>
        <v>1.1066374020571024E-2</v>
      </c>
      <c r="D382">
        <f ca="1"/>
        <v>3.4621960551295024E-3</v>
      </c>
      <c r="E382">
        <f ca="1"/>
        <v>1.5619037914975274E-3</v>
      </c>
    </row>
    <row r="383" spans="1:5" x14ac:dyDescent="0.3">
      <c r="A383">
        <v>1</v>
      </c>
      <c r="B383">
        <f ca="1"/>
        <v>3.8910274932232522E-2</v>
      </c>
      <c r="C383">
        <f ca="1"/>
        <v>2.0315768493447663E-2</v>
      </c>
      <c r="D383">
        <f ca="1"/>
        <v>8.0994653693928376E-3</v>
      </c>
      <c r="E383">
        <f ca="1"/>
        <v>5.8505264295187975E-4</v>
      </c>
    </row>
    <row r="384" spans="1:5" x14ac:dyDescent="0.3">
      <c r="A384">
        <v>1</v>
      </c>
      <c r="B384">
        <f ca="1"/>
        <v>-3.3831345224250354E-3</v>
      </c>
      <c r="C384">
        <f ca="1"/>
        <v>6.3914176517312826E-3</v>
      </c>
      <c r="D384">
        <f ca="1"/>
        <v>-4.0414641278089898E-3</v>
      </c>
      <c r="E384">
        <f ca="1"/>
        <v>1.1041956309011209E-3</v>
      </c>
    </row>
    <row r="385" spans="1:5" x14ac:dyDescent="0.3">
      <c r="A385">
        <v>1</v>
      </c>
      <c r="B385">
        <f ca="1"/>
        <v>1.9131459693721521E-2</v>
      </c>
      <c r="C385">
        <f ca="1"/>
        <v>1.7511750065785626E-2</v>
      </c>
      <c r="D385">
        <f ca="1"/>
        <v>-1.2428545393963692E-2</v>
      </c>
      <c r="E385">
        <f ca="1"/>
        <v>1.9456690779998235E-3</v>
      </c>
    </row>
    <row r="386" spans="1:5" x14ac:dyDescent="0.3">
      <c r="A386">
        <v>1</v>
      </c>
      <c r="B386">
        <f ca="1"/>
        <v>3.3347268144848091E-2</v>
      </c>
      <c r="C386">
        <f ca="1"/>
        <v>4.0981340540612324E-2</v>
      </c>
      <c r="D386">
        <f ca="1"/>
        <v>3.343071619481454E-3</v>
      </c>
      <c r="E386">
        <f ca="1"/>
        <v>1.1009005044916897E-3</v>
      </c>
    </row>
    <row r="387" spans="1:5" x14ac:dyDescent="0.3">
      <c r="A387">
        <v>1</v>
      </c>
      <c r="B387">
        <f ca="1"/>
        <v>-2.6390367704560651E-2</v>
      </c>
      <c r="C387">
        <f ca="1"/>
        <v>2.7277440220628592E-3</v>
      </c>
      <c r="D387">
        <f ca="1"/>
        <v>-1.1095255417620761E-2</v>
      </c>
      <c r="E387">
        <f ca="1"/>
        <v>-1.3487761433555175E-2</v>
      </c>
    </row>
    <row r="388" spans="1:5" x14ac:dyDescent="0.3">
      <c r="A388">
        <v>1</v>
      </c>
      <c r="B388">
        <f ca="1"/>
        <v>-2.9754618748702461E-3</v>
      </c>
      <c r="C388">
        <f ca="1"/>
        <v>7.3280668452892685E-3</v>
      </c>
      <c r="D388">
        <f ca="1"/>
        <v>-1.6541763050943628E-3</v>
      </c>
      <c r="E388">
        <f ca="1"/>
        <v>-1.9698770349643041E-3</v>
      </c>
    </row>
    <row r="389" spans="1:5" x14ac:dyDescent="0.3">
      <c r="A389">
        <v>1</v>
      </c>
      <c r="B389">
        <f ca="1"/>
        <v>-5.9693880109905013E-2</v>
      </c>
      <c r="C389">
        <f ca="1"/>
        <v>3.1934551430846565E-2</v>
      </c>
      <c r="D389">
        <f ca="1"/>
        <v>-8.5909951201315268E-3</v>
      </c>
      <c r="E389">
        <f ca="1"/>
        <v>9.4856135823332393E-3</v>
      </c>
    </row>
    <row r="390" spans="1:5" x14ac:dyDescent="0.3">
      <c r="A390">
        <v>1</v>
      </c>
      <c r="B390">
        <f ca="1"/>
        <v>-1.2378537752834288E-2</v>
      </c>
      <c r="C390">
        <f ca="1"/>
        <v>-4.4625980461388678E-3</v>
      </c>
      <c r="D390">
        <f ca="1"/>
        <v>7.6511909624534631E-4</v>
      </c>
      <c r="E390">
        <f ca="1"/>
        <v>-4.3065174186506837E-3</v>
      </c>
    </row>
    <row r="391" spans="1:5" x14ac:dyDescent="0.3">
      <c r="A391">
        <v>1</v>
      </c>
      <c r="B391">
        <f ca="1"/>
        <v>2.0430332971638255E-2</v>
      </c>
      <c r="C391">
        <f ca="1"/>
        <v>1.5143904964972145E-2</v>
      </c>
      <c r="D391">
        <f ca="1"/>
        <v>4.3706571652792616E-3</v>
      </c>
      <c r="E391">
        <f ca="1"/>
        <v>1.1830648175321794E-2</v>
      </c>
    </row>
    <row r="392" spans="1:5" x14ac:dyDescent="0.3">
      <c r="A392">
        <v>1</v>
      </c>
      <c r="B392">
        <f ca="1"/>
        <v>-1.6878097389813818E-2</v>
      </c>
      <c r="C392">
        <f ca="1"/>
        <v>6.9723053044893381E-3</v>
      </c>
      <c r="D392">
        <f ca="1"/>
        <v>1.2929943604463767E-2</v>
      </c>
      <c r="E392">
        <f ca="1"/>
        <v>-1.7732997071376658E-2</v>
      </c>
    </row>
    <row r="393" spans="1:5" x14ac:dyDescent="0.3">
      <c r="A393">
        <v>1</v>
      </c>
      <c r="B393">
        <f ca="1"/>
        <v>1.5831608785275491E-2</v>
      </c>
      <c r="C393">
        <f ca="1"/>
        <v>-3.8674420342875195E-3</v>
      </c>
      <c r="D393">
        <f ca="1"/>
        <v>4.7828321960050849E-4</v>
      </c>
      <c r="E393">
        <f ca="1"/>
        <v>6.9480413806729284E-3</v>
      </c>
    </row>
    <row r="394" spans="1:5" x14ac:dyDescent="0.3">
      <c r="A394">
        <v>1</v>
      </c>
      <c r="B394">
        <f ca="1"/>
        <v>5.2357308569474417E-2</v>
      </c>
      <c r="C394">
        <f ca="1"/>
        <v>-1.0340571353671284E-3</v>
      </c>
      <c r="D394">
        <f ca="1"/>
        <v>1.9211845583000764E-2</v>
      </c>
      <c r="E394">
        <f ca="1"/>
        <v>1.0914254601566765E-2</v>
      </c>
    </row>
    <row r="395" spans="1:5" x14ac:dyDescent="0.3">
      <c r="A395">
        <v>1</v>
      </c>
      <c r="B395">
        <f ca="1"/>
        <v>-4.5400735083372189E-2</v>
      </c>
      <c r="C395">
        <f ca="1"/>
        <v>-2.0640586640447871E-2</v>
      </c>
      <c r="D395">
        <f ca="1"/>
        <v>-2.9524256858183481E-3</v>
      </c>
      <c r="E395">
        <f ca="1"/>
        <v>-8.4350426358503136E-3</v>
      </c>
    </row>
    <row r="396" spans="1:5" x14ac:dyDescent="0.3">
      <c r="A396">
        <v>1</v>
      </c>
      <c r="B396">
        <f ca="1"/>
        <v>0</v>
      </c>
      <c r="C396">
        <f ca="1"/>
        <v>2.8997237041765646E-3</v>
      </c>
      <c r="D396">
        <f ca="1"/>
        <v>2.0809353840376653E-3</v>
      </c>
      <c r="E396">
        <f ca="1"/>
        <v>3.7720835399395066E-3</v>
      </c>
    </row>
    <row r="397" spans="1:5" x14ac:dyDescent="0.3">
      <c r="A397">
        <v>1</v>
      </c>
      <c r="B397">
        <f ca="1"/>
        <v>-1.7835731177588441E-2</v>
      </c>
      <c r="C397">
        <f ca="1"/>
        <v>-4.4404015455152004E-2</v>
      </c>
      <c r="D397">
        <f ca="1"/>
        <v>-1.2749377597584925E-3</v>
      </c>
      <c r="E397">
        <f ca="1"/>
        <v>-2.9254626186751074E-3</v>
      </c>
    </row>
    <row r="398" spans="1:5" x14ac:dyDescent="0.3">
      <c r="A398">
        <v>1</v>
      </c>
      <c r="B398">
        <f ca="1"/>
        <v>3.6039713828810903E-2</v>
      </c>
      <c r="C398">
        <f ca="1"/>
        <v>-4.6467723790537617E-2</v>
      </c>
      <c r="D398">
        <f ca="1"/>
        <v>-4.2390611001637928E-3</v>
      </c>
      <c r="E398">
        <f ca="1"/>
        <v>-8.4662092126433811E-4</v>
      </c>
    </row>
    <row r="399" spans="1:5" x14ac:dyDescent="0.3">
      <c r="A399">
        <v>1</v>
      </c>
      <c r="B399">
        <f ca="1"/>
        <v>-5.2763073284344764E-2</v>
      </c>
      <c r="C399">
        <f ca="1"/>
        <v>-1.1536662830911914E-3</v>
      </c>
      <c r="D399">
        <f ca="1"/>
        <v>-7.852829008667777E-3</v>
      </c>
      <c r="E399">
        <f ca="1"/>
        <v>-8.7040006140170004E-3</v>
      </c>
    </row>
    <row r="400" spans="1:5" x14ac:dyDescent="0.3">
      <c r="A400">
        <v>1</v>
      </c>
      <c r="B400">
        <f ca="1"/>
        <v>1.7075890873897038E-2</v>
      </c>
      <c r="C400">
        <f ca="1"/>
        <v>-1.3657033929840032E-2</v>
      </c>
      <c r="D400">
        <f ca="1"/>
        <v>-9.628891587236366E-3</v>
      </c>
      <c r="E400">
        <f ca="1"/>
        <v>-3.6875763456425269E-3</v>
      </c>
    </row>
    <row r="401" spans="1:5" x14ac:dyDescent="0.3">
      <c r="A401">
        <v>1</v>
      </c>
      <c r="B401">
        <f ca="1"/>
        <v>-6.2588487747177859E-2</v>
      </c>
      <c r="C401">
        <f ca="1"/>
        <v>3.2131166897258127E-3</v>
      </c>
      <c r="D401">
        <f ca="1"/>
        <v>4.9285068768913348E-3</v>
      </c>
      <c r="E401">
        <f ca="1"/>
        <v>-6.0878813974303793E-3</v>
      </c>
    </row>
    <row r="402" spans="1:5" x14ac:dyDescent="0.3">
      <c r="A402">
        <v>1</v>
      </c>
      <c r="B402">
        <f ca="1"/>
        <v>-2.934083908859611E-2</v>
      </c>
      <c r="C402">
        <f ca="1"/>
        <v>-1.3505712293891581E-2</v>
      </c>
      <c r="D402">
        <f ca="1"/>
        <v>-1.0433141460817853E-2</v>
      </c>
      <c r="E402">
        <f ca="1"/>
        <v>-8.9339299225808556E-3</v>
      </c>
    </row>
    <row r="403" spans="1:5" x14ac:dyDescent="0.3">
      <c r="A403">
        <v>1</v>
      </c>
      <c r="B403">
        <f ca="1"/>
        <v>1.3061888605480841E-2</v>
      </c>
      <c r="C403">
        <f ca="1"/>
        <v>2.2794630767633248E-2</v>
      </c>
      <c r="D403">
        <f ca="1"/>
        <v>5.8476789218244061E-3</v>
      </c>
      <c r="E403">
        <f ca="1"/>
        <v>-1.3348996353871231E-2</v>
      </c>
    </row>
    <row r="404" spans="1:5" x14ac:dyDescent="0.3">
      <c r="A404">
        <v>1</v>
      </c>
      <c r="B404">
        <f ca="1"/>
        <v>7.1432700309048219E-2</v>
      </c>
      <c r="C404">
        <f ca="1"/>
        <v>1.6335039680161485E-2</v>
      </c>
      <c r="D404">
        <f ca="1"/>
        <v>1.2339518067003842E-2</v>
      </c>
      <c r="E404">
        <f ca="1"/>
        <v>-6.8101502459126453E-3</v>
      </c>
    </row>
    <row r="405" spans="1:5" x14ac:dyDescent="0.3">
      <c r="A405">
        <v>1</v>
      </c>
      <c r="B405">
        <f ca="1"/>
        <v>3.2170368205714631E-2</v>
      </c>
      <c r="C405">
        <f ca="1"/>
        <v>1.0462430134711445E-2</v>
      </c>
      <c r="D405">
        <f ca="1"/>
        <v>-1.7566422993997442E-2</v>
      </c>
      <c r="E405">
        <f ca="1"/>
        <v>-3.2853137383545596E-3</v>
      </c>
    </row>
    <row r="406" spans="1:5" x14ac:dyDescent="0.3">
      <c r="A406">
        <v>1</v>
      </c>
      <c r="B406">
        <f ca="1"/>
        <v>-7.5991992948805376E-3</v>
      </c>
      <c r="C406">
        <f ca="1"/>
        <v>-2.5347744249861427E-3</v>
      </c>
      <c r="D406">
        <f ca="1"/>
        <v>-8.6569371600125535E-3</v>
      </c>
      <c r="E406">
        <f ca="1"/>
        <v>-4.6040329140434981E-3</v>
      </c>
    </row>
    <row r="407" spans="1:5" x14ac:dyDescent="0.3">
      <c r="A407">
        <v>1</v>
      </c>
      <c r="B407">
        <f ca="1"/>
        <v>-4.2137643513874105E-2</v>
      </c>
      <c r="C407">
        <f ca="1"/>
        <v>6.4650615405753417E-3</v>
      </c>
      <c r="D407">
        <f ca="1"/>
        <v>-7.40015115006402E-3</v>
      </c>
      <c r="E407">
        <f ca="1"/>
        <v>2.064143993420019E-3</v>
      </c>
    </row>
    <row r="408" spans="1:5" x14ac:dyDescent="0.3">
      <c r="A408">
        <v>1</v>
      </c>
      <c r="B408">
        <f ca="1"/>
        <v>-1.7880211846031134E-2</v>
      </c>
      <c r="C408">
        <f ca="1"/>
        <v>6.7022240121297205E-3</v>
      </c>
      <c r="D408">
        <f ca="1"/>
        <v>4.4746735661710755E-3</v>
      </c>
      <c r="E408">
        <f ca="1"/>
        <v>3.2937936820816699E-3</v>
      </c>
    </row>
    <row r="409" spans="1:5" x14ac:dyDescent="0.3">
      <c r="A409">
        <v>1</v>
      </c>
      <c r="B409">
        <f ca="1"/>
        <v>-2.3469497472772972E-2</v>
      </c>
      <c r="C409">
        <f ca="1"/>
        <v>-1.1141094582346914E-3</v>
      </c>
      <c r="D409">
        <f ca="1"/>
        <v>4.2074888456776465E-3</v>
      </c>
      <c r="E409">
        <f ca="1"/>
        <v>-1.4977769936345369E-2</v>
      </c>
    </row>
    <row r="410" spans="1:5" x14ac:dyDescent="0.3">
      <c r="A410">
        <v>1</v>
      </c>
      <c r="B410">
        <f ca="1"/>
        <v>2.3101147462136089E-2</v>
      </c>
      <c r="C410">
        <f ca="1"/>
        <v>8.3243319019600422E-3</v>
      </c>
      <c r="D410">
        <f ca="1"/>
        <v>1.5278094461576788E-2</v>
      </c>
      <c r="E410">
        <f ca="1"/>
        <v>2.0146413510072742E-3</v>
      </c>
    </row>
    <row r="411" spans="1:5" x14ac:dyDescent="0.3">
      <c r="A411">
        <v>1</v>
      </c>
      <c r="B411">
        <f ca="1"/>
        <v>3.6763030154320308E-3</v>
      </c>
      <c r="C411">
        <f ca="1"/>
        <v>-3.5987523439709145E-3</v>
      </c>
      <c r="D411">
        <f ca="1"/>
        <v>-2.276900512686874E-3</v>
      </c>
      <c r="E411">
        <f ca="1"/>
        <v>-5.0791639963889256E-3</v>
      </c>
    </row>
    <row r="412" spans="1:5" x14ac:dyDescent="0.3">
      <c r="A412">
        <v>1</v>
      </c>
      <c r="B412">
        <f ca="1"/>
        <v>3.4268488853368327E-2</v>
      </c>
      <c r="C412">
        <f ca="1"/>
        <v>1.0208406802976563E-2</v>
      </c>
      <c r="D412">
        <f ca="1"/>
        <v>6.0601597316149993E-3</v>
      </c>
      <c r="E412">
        <f ca="1"/>
        <v>9.8564149096197554E-3</v>
      </c>
    </row>
    <row r="413" spans="1:5" x14ac:dyDescent="0.3">
      <c r="A413">
        <v>1</v>
      </c>
      <c r="B413">
        <f ca="1"/>
        <v>-5.6899360986330067E-3</v>
      </c>
      <c r="C413">
        <f ca="1"/>
        <v>1.2276943896701442E-2</v>
      </c>
      <c r="D413">
        <f ca="1"/>
        <v>3.4269688963448606E-3</v>
      </c>
      <c r="E413">
        <f ca="1"/>
        <v>-1.2370755749428601E-2</v>
      </c>
    </row>
    <row r="414" spans="1:5" x14ac:dyDescent="0.3">
      <c r="A414">
        <v>1</v>
      </c>
      <c r="B414">
        <f ca="1"/>
        <v>-4.150574067492064E-2</v>
      </c>
      <c r="C414">
        <f ca="1"/>
        <v>-1.0853952630085293E-3</v>
      </c>
      <c r="D414">
        <f ca="1"/>
        <v>-2.3289749980565729E-3</v>
      </c>
      <c r="E414">
        <f ca="1"/>
        <v>2.2352816250239423E-3</v>
      </c>
    </row>
    <row r="415" spans="1:5" x14ac:dyDescent="0.3">
      <c r="A415">
        <v>1</v>
      </c>
      <c r="B415">
        <f ca="1"/>
        <v>-1.1967276021680101E-2</v>
      </c>
      <c r="C415">
        <f ca="1"/>
        <v>-2.3898835677997093E-2</v>
      </c>
      <c r="D415">
        <f ca="1"/>
        <v>1.4907811420177712E-2</v>
      </c>
      <c r="E415">
        <f ca="1"/>
        <v>9.5136776078623524E-3</v>
      </c>
    </row>
    <row r="416" spans="1:5" x14ac:dyDescent="0.3">
      <c r="A416">
        <v>1</v>
      </c>
      <c r="B416">
        <f ca="1"/>
        <v>8.6158361085654396E-3</v>
      </c>
      <c r="C416">
        <f ca="1"/>
        <v>1.6269553763675677E-2</v>
      </c>
      <c r="D416">
        <f ca="1"/>
        <v>-1.0140226145402052E-3</v>
      </c>
      <c r="E416">
        <f ca="1"/>
        <v>9.4923791194109E-3</v>
      </c>
    </row>
    <row r="417" spans="1:5" x14ac:dyDescent="0.3">
      <c r="A417">
        <v>1</v>
      </c>
      <c r="B417">
        <f ca="1"/>
        <v>3.5181475327529903E-2</v>
      </c>
      <c r="C417">
        <f ca="1"/>
        <v>-1.377067352234798E-2</v>
      </c>
      <c r="D417">
        <f ca="1"/>
        <v>-2.1667091739311327E-3</v>
      </c>
      <c r="E417">
        <f ca="1"/>
        <v>1.2999469013880998E-3</v>
      </c>
    </row>
    <row r="418" spans="1:5" x14ac:dyDescent="0.3">
      <c r="A418">
        <v>1</v>
      </c>
      <c r="B418">
        <f ca="1"/>
        <v>-4.6057018181991746E-2</v>
      </c>
      <c r="C418">
        <f ca="1"/>
        <v>-1.1715615642331987E-2</v>
      </c>
      <c r="D418">
        <f ca="1"/>
        <v>-1.1041471014786289E-2</v>
      </c>
      <c r="E418">
        <f ca="1"/>
        <v>2.5449462989536022E-2</v>
      </c>
    </row>
    <row r="419" spans="1:5" x14ac:dyDescent="0.3">
      <c r="A419">
        <v>1</v>
      </c>
      <c r="B419">
        <f ca="1"/>
        <v>-8.9895324686237052E-2</v>
      </c>
      <c r="C419">
        <f ca="1"/>
        <v>8.4127590470407375E-4</v>
      </c>
      <c r="D419">
        <f ca="1"/>
        <v>-4.2583151762613626E-3</v>
      </c>
      <c r="E419">
        <f ca="1"/>
        <v>-5.6434417063065991E-3</v>
      </c>
    </row>
    <row r="420" spans="1:5" x14ac:dyDescent="0.3">
      <c r="A420">
        <v>1</v>
      </c>
      <c r="B420">
        <f ca="1"/>
        <v>-9.5336821186708578E-3</v>
      </c>
      <c r="C420">
        <f ca="1"/>
        <v>-2.1250066038193165E-2</v>
      </c>
      <c r="D420">
        <f ca="1"/>
        <v>-1.6236902717706007E-2</v>
      </c>
      <c r="E420">
        <f ca="1"/>
        <v>-1.3499504564143821E-3</v>
      </c>
    </row>
    <row r="421" spans="1:5" x14ac:dyDescent="0.3">
      <c r="A421">
        <v>1</v>
      </c>
      <c r="B421">
        <f ca="1"/>
        <v>-2.5306793540798983E-2</v>
      </c>
      <c r="C421">
        <f ca="1"/>
        <v>-3.1120843554250197E-2</v>
      </c>
      <c r="D421">
        <f ca="1"/>
        <v>-1.3734891811564924E-2</v>
      </c>
      <c r="E421">
        <f ca="1"/>
        <v>6.7513509852401034E-4</v>
      </c>
    </row>
    <row r="422" spans="1:5" x14ac:dyDescent="0.3">
      <c r="A422">
        <v>1</v>
      </c>
      <c r="B422">
        <f ca="1"/>
        <v>1.280580350273181E-3</v>
      </c>
      <c r="C422">
        <f ca="1"/>
        <v>2.1625652809874225E-2</v>
      </c>
      <c r="D422">
        <f ca="1"/>
        <v>1.204889407387237E-3</v>
      </c>
      <c r="E422">
        <f ca="1"/>
        <v>1.1743082557853059E-2</v>
      </c>
    </row>
    <row r="423" spans="1:5" x14ac:dyDescent="0.3">
      <c r="A423">
        <v>1</v>
      </c>
      <c r="B423">
        <f ca="1"/>
        <v>1.6920934997531199E-2</v>
      </c>
      <c r="C423">
        <f ca="1"/>
        <v>-5.2221747712588029E-2</v>
      </c>
      <c r="D423">
        <f ca="1"/>
        <v>-5.4693391212183246E-3</v>
      </c>
      <c r="E423">
        <f ca="1"/>
        <v>4.658998073268741E-3</v>
      </c>
    </row>
    <row r="424" spans="1:5" x14ac:dyDescent="0.3">
      <c r="A424">
        <v>1</v>
      </c>
      <c r="B424">
        <f ca="1"/>
        <v>-1.393913374095361E-2</v>
      </c>
      <c r="C424">
        <f ca="1"/>
        <v>-9.4874163915610443E-3</v>
      </c>
      <c r="D424">
        <f ca="1"/>
        <v>2.5607942854095501E-3</v>
      </c>
      <c r="E424">
        <f ca="1"/>
        <v>-5.3262487433161131E-3</v>
      </c>
    </row>
    <row r="425" spans="1:5" x14ac:dyDescent="0.3">
      <c r="A425">
        <v>1</v>
      </c>
      <c r="B425">
        <f ca="1"/>
        <v>0</v>
      </c>
      <c r="C425">
        <f ca="1"/>
        <v>8.8803391956785535E-2</v>
      </c>
      <c r="D425">
        <f ca="1"/>
        <v>-3.668345467706164E-2</v>
      </c>
      <c r="E425">
        <f ca="1"/>
        <v>-1.7780628557798366E-2</v>
      </c>
    </row>
    <row r="426" spans="1:5" x14ac:dyDescent="0.3">
      <c r="A426">
        <v>1</v>
      </c>
      <c r="B426">
        <f ca="1"/>
        <v>7.8431315773155999E-2</v>
      </c>
      <c r="C426">
        <f ca="1"/>
        <v>4.2116745556765737E-3</v>
      </c>
      <c r="D426">
        <f ca="1"/>
        <v>1.2669148831737212E-2</v>
      </c>
      <c r="E426">
        <f ca="1"/>
        <v>1.4169248832695389E-2</v>
      </c>
    </row>
    <row r="427" spans="1:5" x14ac:dyDescent="0.3">
      <c r="A427">
        <v>1</v>
      </c>
      <c r="B427">
        <f ca="1"/>
        <v>1.2559034776493835E-2</v>
      </c>
      <c r="C427">
        <f ca="1"/>
        <v>2.2441842426344113E-2</v>
      </c>
      <c r="D427">
        <f ca="1"/>
        <v>1.1863498199479971E-2</v>
      </c>
      <c r="E427">
        <f ca="1"/>
        <v>5.1456058273543839E-3</v>
      </c>
    </row>
    <row r="428" spans="1:5" x14ac:dyDescent="0.3">
      <c r="A428">
        <v>1</v>
      </c>
      <c r="B428">
        <f ca="1"/>
        <v>-2.4078526608786472E-2</v>
      </c>
      <c r="C428">
        <f ca="1"/>
        <v>2.1412945061192453E-2</v>
      </c>
      <c r="D428">
        <f ca="1"/>
        <v>-8.6327630642913733E-4</v>
      </c>
      <c r="E428">
        <f ca="1"/>
        <v>-2.8034051597232885E-3</v>
      </c>
    </row>
    <row r="429" spans="1:5" x14ac:dyDescent="0.3">
      <c r="A429">
        <v>1</v>
      </c>
      <c r="B429">
        <f ca="1"/>
        <v>4.0710122501727508E-2</v>
      </c>
      <c r="C429">
        <f ca="1"/>
        <v>1.093484858587951E-2</v>
      </c>
      <c r="D429">
        <f ca="1"/>
        <v>1.7691992308537765E-2</v>
      </c>
      <c r="E429">
        <f ca="1"/>
        <v>1.2157630613992705E-2</v>
      </c>
    </row>
    <row r="430" spans="1:5" x14ac:dyDescent="0.3">
      <c r="A430">
        <v>1</v>
      </c>
      <c r="B430">
        <f ca="1"/>
        <v>1.749094020423805E-2</v>
      </c>
      <c r="C430">
        <f ca="1"/>
        <v>1.1603605929860742E-2</v>
      </c>
      <c r="D430">
        <f ca="1"/>
        <v>1.1110395633933692E-2</v>
      </c>
      <c r="E430">
        <f ca="1"/>
        <v>-9.0876407219866433E-3</v>
      </c>
    </row>
    <row r="431" spans="1:5" x14ac:dyDescent="0.3">
      <c r="A431">
        <v>1</v>
      </c>
      <c r="B431">
        <f ca="1"/>
        <v>-2.1334142474991286E-2</v>
      </c>
      <c r="C431">
        <f ca="1"/>
        <v>-1.71131390025288E-3</v>
      </c>
      <c r="D431">
        <f ca="1"/>
        <v>7.5242025205457868E-3</v>
      </c>
      <c r="E431">
        <f ca="1"/>
        <v>5.7804879457300186E-3</v>
      </c>
    </row>
    <row r="432" spans="1:5" x14ac:dyDescent="0.3">
      <c r="A432">
        <v>1</v>
      </c>
      <c r="B432">
        <f ca="1"/>
        <v>-1.6696175070263799E-2</v>
      </c>
      <c r="C432">
        <f ca="1"/>
        <v>2.1377156635988635E-2</v>
      </c>
      <c r="D432">
        <f ca="1"/>
        <v>-4.8602208997366325E-4</v>
      </c>
      <c r="E432">
        <f ca="1"/>
        <v>-2.3215385611702784E-3</v>
      </c>
    </row>
    <row r="433" spans="1:5" x14ac:dyDescent="0.3">
      <c r="A433">
        <v>1</v>
      </c>
      <c r="B433">
        <f ca="1"/>
        <v>-3.9161935100074589E-4</v>
      </c>
      <c r="C433">
        <f ca="1"/>
        <v>-2.2168186107390655E-2</v>
      </c>
      <c r="D433">
        <f ca="1"/>
        <v>4.918108225707798E-3</v>
      </c>
      <c r="E433">
        <f ca="1"/>
        <v>-3.8588866796161877E-3</v>
      </c>
    </row>
    <row r="434" spans="1:5" x14ac:dyDescent="0.3">
      <c r="A434">
        <v>1</v>
      </c>
      <c r="B434">
        <f ca="1"/>
        <v>-3.7921127115503842E-2</v>
      </c>
      <c r="C434">
        <f ca="1"/>
        <v>-3.1693287472525063E-3</v>
      </c>
      <c r="D434">
        <f ca="1"/>
        <v>-2.9757842264973504E-3</v>
      </c>
      <c r="E434">
        <f ca="1"/>
        <v>2.2639762501723603E-3</v>
      </c>
    </row>
    <row r="435" spans="1:5" x14ac:dyDescent="0.3">
      <c r="A435">
        <v>1</v>
      </c>
      <c r="B435">
        <f ca="1"/>
        <v>2.4380345274302557E-3</v>
      </c>
      <c r="C435">
        <f ca="1"/>
        <v>2.7656285472900576E-2</v>
      </c>
      <c r="D435">
        <f ca="1"/>
        <v>1.472237145514067E-2</v>
      </c>
      <c r="E435">
        <f ca="1"/>
        <v>7.0254953538386638E-3</v>
      </c>
    </row>
    <row r="436" spans="1:5" x14ac:dyDescent="0.3">
      <c r="A436">
        <v>1</v>
      </c>
      <c r="B436">
        <f ca="1"/>
        <v>-1.624695727001922E-3</v>
      </c>
      <c r="C436">
        <f ca="1"/>
        <v>-1.6344927767845352E-2</v>
      </c>
      <c r="D436">
        <f ca="1"/>
        <v>-4.448818344082681E-3</v>
      </c>
      <c r="E436">
        <f ca="1"/>
        <v>6.9108748849909946E-3</v>
      </c>
    </row>
    <row r="437" spans="1:5" x14ac:dyDescent="0.3">
      <c r="A437">
        <v>1</v>
      </c>
      <c r="B437">
        <f ca="1"/>
        <v>6.1867273603737283E-2</v>
      </c>
      <c r="C437">
        <f ca="1"/>
        <v>3.0399008817071551E-2</v>
      </c>
      <c r="D437">
        <f ca="1"/>
        <v>1.8082145623460156E-2</v>
      </c>
      <c r="E437">
        <f ca="1"/>
        <v>-2.2326746282241967E-3</v>
      </c>
    </row>
    <row r="438" spans="1:5" x14ac:dyDescent="0.3">
      <c r="A438">
        <v>1</v>
      </c>
      <c r="B438">
        <f ca="1"/>
        <v>2.9369580812951563E-2</v>
      </c>
      <c r="C438">
        <f ca="1"/>
        <v>2.9994679616089183E-2</v>
      </c>
      <c r="D438">
        <f ca="1"/>
        <v>8.719668891847842E-3</v>
      </c>
      <c r="E438">
        <f ca="1"/>
        <v>-4.6122047306813591E-3</v>
      </c>
    </row>
    <row r="439" spans="1:5" x14ac:dyDescent="0.3">
      <c r="A439">
        <v>1</v>
      </c>
      <c r="B439">
        <f ca="1"/>
        <v>-3.588675933352406E-2</v>
      </c>
      <c r="C439">
        <f ca="1"/>
        <v>6.5292549872383074E-2</v>
      </c>
      <c r="D439">
        <f ca="1"/>
        <v>1.1355145983759427E-2</v>
      </c>
      <c r="E439">
        <f ca="1"/>
        <v>9.2688188349752364E-3</v>
      </c>
    </row>
    <row r="440" spans="1:5" x14ac:dyDescent="0.3">
      <c r="A440">
        <v>1</v>
      </c>
      <c r="B440">
        <f ca="1"/>
        <v>8.4259403140717962E-3</v>
      </c>
      <c r="C440">
        <f ca="1"/>
        <v>1.0555269164156028E-2</v>
      </c>
      <c r="D440">
        <f ca="1"/>
        <v>9.0051946275550958E-3</v>
      </c>
      <c r="E440">
        <f ca="1"/>
        <v>-1.1582856356210329E-2</v>
      </c>
    </row>
    <row r="441" spans="1:5" x14ac:dyDescent="0.3">
      <c r="A441">
        <v>1</v>
      </c>
      <c r="B441">
        <f ca="1"/>
        <v>9.4895379034560315E-3</v>
      </c>
      <c r="C441">
        <f ca="1"/>
        <v>2.1006034400124211E-2</v>
      </c>
      <c r="D441">
        <f ca="1"/>
        <v>3.0707966043919377E-3</v>
      </c>
      <c r="E441">
        <f ca="1"/>
        <v>-5.3096336228227944E-3</v>
      </c>
    </row>
    <row r="442" spans="1:5" x14ac:dyDescent="0.3">
      <c r="A442">
        <v>1</v>
      </c>
      <c r="B442">
        <f ca="1"/>
        <v>-3.0268657237771165E-3</v>
      </c>
      <c r="C442">
        <f ca="1"/>
        <v>-2.4893902763872156E-2</v>
      </c>
      <c r="D442">
        <f ca="1"/>
        <v>-2.0897358403754152E-3</v>
      </c>
      <c r="E442">
        <f ca="1"/>
        <v>-4.4018485829882591E-3</v>
      </c>
    </row>
    <row r="443" spans="1:5" x14ac:dyDescent="0.3">
      <c r="A443">
        <v>1</v>
      </c>
      <c r="B443">
        <f ca="1"/>
        <v>-3.7900322606426241E-4</v>
      </c>
      <c r="C443">
        <f ca="1"/>
        <v>6.8715316948884855E-4</v>
      </c>
      <c r="D443">
        <f ca="1"/>
        <v>2.3506132226934298E-3</v>
      </c>
      <c r="E443">
        <f ca="1"/>
        <v>9.3804964167900715E-3</v>
      </c>
    </row>
    <row r="444" spans="1:5" x14ac:dyDescent="0.3">
      <c r="A444">
        <v>1</v>
      </c>
      <c r="B444">
        <f ca="1"/>
        <v>-5.3211832132802721E-3</v>
      </c>
      <c r="C444">
        <f ca="1"/>
        <v>6.6187062421499947E-3</v>
      </c>
      <c r="D444">
        <f ca="1"/>
        <v>1.3685727262477683E-3</v>
      </c>
      <c r="E444">
        <f ca="1"/>
        <v>2.3808156410934866E-3</v>
      </c>
    </row>
    <row r="445" spans="1:5" x14ac:dyDescent="0.3">
      <c r="A445">
        <v>1</v>
      </c>
      <c r="B445">
        <f ca="1"/>
        <v>2.2839751078307154E-3</v>
      </c>
      <c r="C445">
        <f ca="1"/>
        <v>2.7262791897581244E-3</v>
      </c>
      <c r="D445">
        <f ca="1"/>
        <v>-2.2819743096830817E-3</v>
      </c>
      <c r="E445">
        <f ca="1"/>
        <v>-9.2517714302927756E-4</v>
      </c>
    </row>
    <row r="446" spans="1:5" x14ac:dyDescent="0.3">
      <c r="A446">
        <v>1</v>
      </c>
      <c r="B446">
        <f ca="1"/>
        <v>-8.4002021252667803E-3</v>
      </c>
      <c r="C446">
        <f ca="1"/>
        <v>3.3970898949069223E-3</v>
      </c>
      <c r="D446">
        <f ca="1"/>
        <v>2.2819743096831593E-3</v>
      </c>
      <c r="E446">
        <f ca="1"/>
        <v>6.9184838824580654E-3</v>
      </c>
    </row>
    <row r="447" spans="1:5" x14ac:dyDescent="0.3">
      <c r="A447">
        <v>1</v>
      </c>
      <c r="B447">
        <f ca="1"/>
        <v>1.3709277925033363E-2</v>
      </c>
      <c r="C447">
        <f ca="1"/>
        <v>1.5924861954271695E-2</v>
      </c>
      <c r="D447">
        <f ca="1"/>
        <v>5.0673817634049982E-3</v>
      </c>
      <c r="E447">
        <f ca="1"/>
        <v>-7.6461381502052131E-3</v>
      </c>
    </row>
    <row r="448" spans="1:5" x14ac:dyDescent="0.3">
      <c r="A448">
        <v>1</v>
      </c>
      <c r="B448">
        <f ca="1"/>
        <v>1.5760176111605913E-2</v>
      </c>
      <c r="C448">
        <f ca="1"/>
        <v>-5.3547968908704618E-3</v>
      </c>
      <c r="D448">
        <f ca="1"/>
        <v>1.1340302954083654E-2</v>
      </c>
      <c r="E448">
        <f ca="1"/>
        <v>1.5690453489526194E-2</v>
      </c>
    </row>
    <row r="449" spans="1:5" x14ac:dyDescent="0.3">
      <c r="A449">
        <v>1</v>
      </c>
      <c r="B449">
        <f ca="1"/>
        <v>3.2237223791593883E-2</v>
      </c>
      <c r="C449">
        <f ca="1"/>
        <v>-2.1710387574509386E-2</v>
      </c>
      <c r="D449">
        <f ca="1"/>
        <v>4.8574662138168448E-3</v>
      </c>
      <c r="E449">
        <f ca="1"/>
        <v>-5.6175412131694328E-3</v>
      </c>
    </row>
    <row r="450" spans="1:5" x14ac:dyDescent="0.3">
      <c r="A450">
        <v>1</v>
      </c>
      <c r="B450">
        <f ca="1"/>
        <v>-3.4100462638817573E-2</v>
      </c>
      <c r="C450">
        <f ca="1"/>
        <v>-3.2294647914134611E-2</v>
      </c>
      <c r="D450">
        <f ca="1"/>
        <v>7.3056122590368809E-3</v>
      </c>
      <c r="E450">
        <f ca="1"/>
        <v>-3.9380827416722487E-3</v>
      </c>
    </row>
    <row r="451" spans="1:5" x14ac:dyDescent="0.3">
      <c r="A451">
        <v>1</v>
      </c>
      <c r="B451">
        <f ca="1"/>
        <v>-6.0344914574855475E-2</v>
      </c>
      <c r="C451">
        <f ca="1"/>
        <v>-1.020554130009387E-2</v>
      </c>
      <c r="D451">
        <f ca="1"/>
        <v>-1.2661467159962023E-4</v>
      </c>
      <c r="E451">
        <f ca="1"/>
        <v>-3.547659268679481E-2</v>
      </c>
    </row>
    <row r="452" spans="1:5" x14ac:dyDescent="0.3">
      <c r="A452">
        <v>1</v>
      </c>
      <c r="B452">
        <f ca="1"/>
        <v>-4.7656960730143453E-3</v>
      </c>
      <c r="C452">
        <f ca="1"/>
        <v>-1.5627190451134334E-2</v>
      </c>
      <c r="D452">
        <f ca="1"/>
        <v>-1.056394803790528E-2</v>
      </c>
      <c r="E452">
        <f ca="1"/>
        <v>-7.4980640145904537E-4</v>
      </c>
    </row>
    <row r="453" spans="1:5" x14ac:dyDescent="0.3">
      <c r="A453">
        <v>1</v>
      </c>
      <c r="B453">
        <f ca="1"/>
        <v>-7.191401348107561E-3</v>
      </c>
      <c r="C453">
        <f ca="1"/>
        <v>2.1098887787740842E-2</v>
      </c>
      <c r="D453">
        <f ca="1"/>
        <v>3.0660621552330261E-3</v>
      </c>
      <c r="E453">
        <f ca="1"/>
        <v>-1.0233077140716601E-3</v>
      </c>
    </row>
    <row r="454" spans="1:5" x14ac:dyDescent="0.3">
      <c r="A454">
        <v>1</v>
      </c>
      <c r="B454">
        <f ca="1"/>
        <v>3.2025647868746338E-3</v>
      </c>
      <c r="C454">
        <f ca="1"/>
        <v>1.29644110400571E-2</v>
      </c>
      <c r="D454">
        <f ca="1"/>
        <v>1.0973516927190266E-2</v>
      </c>
      <c r="E454">
        <f ca="1"/>
        <v>-9.2578231692963513E-3</v>
      </c>
    </row>
    <row r="455" spans="1:5" x14ac:dyDescent="0.3">
      <c r="A455">
        <v>1</v>
      </c>
      <c r="B455">
        <f ca="1"/>
        <v>-3.6036075032985443E-3</v>
      </c>
      <c r="C455">
        <f ca="1"/>
        <v>4.2188682321314577E-2</v>
      </c>
      <c r="D455">
        <f ca="1"/>
        <v>3.6521324327763753E-3</v>
      </c>
      <c r="E455">
        <f ca="1"/>
        <v>4.605327179265992E-3</v>
      </c>
    </row>
    <row r="456" spans="1:5" x14ac:dyDescent="0.3">
      <c r="A456">
        <v>1</v>
      </c>
      <c r="B456">
        <f ca="1"/>
        <v>-3.5936900983696299E-2</v>
      </c>
      <c r="C456">
        <f ca="1"/>
        <v>-1.128937891417519E-2</v>
      </c>
      <c r="D456">
        <f ca="1"/>
        <v>8.885688535113876E-3</v>
      </c>
      <c r="E456">
        <f ca="1"/>
        <v>8.2261532350259208E-4</v>
      </c>
    </row>
    <row r="457" spans="1:5" x14ac:dyDescent="0.3">
      <c r="A457">
        <v>1</v>
      </c>
      <c r="B457">
        <f ca="1"/>
        <v>7.757685210162861E-2</v>
      </c>
      <c r="C457">
        <f ca="1"/>
        <v>1.1962651753421219E-2</v>
      </c>
      <c r="D457">
        <f ca="1"/>
        <v>3.3583545430733762E-3</v>
      </c>
      <c r="E457">
        <f ca="1"/>
        <v>1.7927942568101946E-2</v>
      </c>
    </row>
    <row r="458" spans="1:5" x14ac:dyDescent="0.3">
      <c r="A458">
        <v>1</v>
      </c>
      <c r="B458">
        <f ca="1"/>
        <v>0.14014663174324185</v>
      </c>
      <c r="C458">
        <f ca="1"/>
        <v>1.3593585840916269E-2</v>
      </c>
      <c r="D458">
        <f ca="1"/>
        <v>1.8028524322637383E-2</v>
      </c>
      <c r="E458">
        <f ca="1"/>
        <v>-2.673738050527449E-2</v>
      </c>
    </row>
    <row r="459" spans="1:5" x14ac:dyDescent="0.3">
      <c r="A459">
        <v>1</v>
      </c>
      <c r="B459">
        <f ca="1"/>
        <v>3.9349338788547898E-2</v>
      </c>
      <c r="C459">
        <f ca="1"/>
        <v>2.1458982566047162E-2</v>
      </c>
      <c r="D459">
        <f ca="1"/>
        <v>7.5329272685767616E-3</v>
      </c>
      <c r="E459">
        <f ca="1"/>
        <v>-4.8506996942137091E-3</v>
      </c>
    </row>
    <row r="460" spans="1:5" x14ac:dyDescent="0.3">
      <c r="A460">
        <v>1</v>
      </c>
      <c r="B460">
        <f ca="1"/>
        <v>-1.8825612768932274E-2</v>
      </c>
      <c r="C460">
        <f ca="1"/>
        <v>-1.0234027244816927E-2</v>
      </c>
      <c r="D460">
        <f ca="1"/>
        <v>6.0338595676648525E-3</v>
      </c>
      <c r="E460">
        <f ca="1"/>
        <v>1.5234841988388778E-2</v>
      </c>
    </row>
    <row r="461" spans="1:5" x14ac:dyDescent="0.3">
      <c r="A461">
        <v>1</v>
      </c>
      <c r="B461">
        <f ca="1"/>
        <v>6.0393309891273811E-2</v>
      </c>
      <c r="C461">
        <f ca="1"/>
        <v>2.1007700229232869E-2</v>
      </c>
      <c r="D461">
        <f ca="1"/>
        <v>1.326669106535699E-2</v>
      </c>
      <c r="E461">
        <f ca="1"/>
        <v>0</v>
      </c>
    </row>
    <row r="462" spans="1:5" x14ac:dyDescent="0.3">
      <c r="A462">
        <v>1</v>
      </c>
      <c r="B462">
        <f ca="1"/>
        <v>-5.614285392530971E-2</v>
      </c>
      <c r="C462">
        <f ca="1"/>
        <v>-1.9476927600950319E-2</v>
      </c>
      <c r="D462">
        <f ca="1"/>
        <v>-1.1343370156185473E-2</v>
      </c>
      <c r="E462">
        <f ca="1"/>
        <v>-1.5582177606806618E-2</v>
      </c>
    </row>
    <row r="463" spans="1:5" x14ac:dyDescent="0.3">
      <c r="A463">
        <v>1</v>
      </c>
      <c r="B463">
        <f ca="1"/>
        <v>4.3728045186348395E-2</v>
      </c>
      <c r="C463">
        <f ca="1"/>
        <v>2.8438103284130687E-2</v>
      </c>
      <c r="D463">
        <f ca="1"/>
        <v>5.6877389628587826E-3</v>
      </c>
      <c r="E463">
        <f ca="1"/>
        <v>2.4290986813292111E-3</v>
      </c>
    </row>
    <row r="464" spans="1:5" x14ac:dyDescent="0.3">
      <c r="A464">
        <v>1</v>
      </c>
      <c r="B464">
        <f ca="1"/>
        <v>5.3212126828907746E-2</v>
      </c>
      <c r="C464">
        <f ca="1"/>
        <v>1.9352700822306786E-2</v>
      </c>
      <c r="D464">
        <f ca="1"/>
        <v>-5.9727046776388351E-4</v>
      </c>
      <c r="E464">
        <f ca="1"/>
        <v>7.045627777157659E-3</v>
      </c>
    </row>
    <row r="465" spans="1:5" x14ac:dyDescent="0.3">
      <c r="A465">
        <v>1</v>
      </c>
      <c r="B465">
        <f ca="1"/>
        <v>2.9568324322038915E-3</v>
      </c>
      <c r="C465">
        <f ca="1"/>
        <v>5.0772250898341219E-2</v>
      </c>
      <c r="D465">
        <f ca="1"/>
        <v>5.8966631051010319E-3</v>
      </c>
      <c r="E465">
        <f ca="1"/>
        <v>4.5327467913170291E-3</v>
      </c>
    </row>
    <row r="466" spans="1:5" x14ac:dyDescent="0.3">
      <c r="A466">
        <v>1</v>
      </c>
      <c r="B466">
        <f ca="1"/>
        <v>2.7375034993667335E-2</v>
      </c>
      <c r="C466">
        <f ca="1"/>
        <v>5.1353039826003231E-3</v>
      </c>
      <c r="D466">
        <f ca="1"/>
        <v>5.9800039899915161E-3</v>
      </c>
      <c r="E466">
        <f ca="1"/>
        <v>8.2193918369705826E-4</v>
      </c>
    </row>
    <row r="467" spans="1:5" x14ac:dyDescent="0.3">
      <c r="A467">
        <v>1</v>
      </c>
      <c r="B467">
        <f ca="1"/>
        <v>-7.4971516096688203E-3</v>
      </c>
      <c r="C467">
        <f ca="1"/>
        <v>-7.315927091465506E-3</v>
      </c>
      <c r="D467">
        <f ca="1"/>
        <v>5.2988982938181085E-3</v>
      </c>
      <c r="E467">
        <f ca="1"/>
        <v>-2.2620467029803226E-3</v>
      </c>
    </row>
    <row r="468" spans="1:5" x14ac:dyDescent="0.3">
      <c r="A468">
        <v>1</v>
      </c>
      <c r="B468">
        <f ca="1"/>
        <v>-1.6047025597517445E-2</v>
      </c>
      <c r="C468">
        <f ca="1"/>
        <v>-2.7821790780545308E-3</v>
      </c>
      <c r="D468">
        <f ca="1"/>
        <v>-1.1751219584961558E-3</v>
      </c>
      <c r="E468">
        <f ca="1"/>
        <v>5.5428581951651561E-3</v>
      </c>
    </row>
    <row r="469" spans="1:5" x14ac:dyDescent="0.3">
      <c r="A469">
        <v>1</v>
      </c>
      <c r="B469">
        <f ca="1"/>
        <v>-2.0502872410573077E-2</v>
      </c>
      <c r="C469">
        <f ca="1"/>
        <v>-4.998491454010319E-2</v>
      </c>
      <c r="D469">
        <f ca="1"/>
        <v>1.1573011606574471E-2</v>
      </c>
      <c r="E469">
        <f ca="1"/>
        <v>1.4901433728025593E-2</v>
      </c>
    </row>
    <row r="470" spans="1:5" x14ac:dyDescent="0.3">
      <c r="A470">
        <v>1</v>
      </c>
      <c r="B470">
        <f ca="1"/>
        <v>-5.6187617092655073E-2</v>
      </c>
      <c r="C470">
        <f ca="1"/>
        <v>-1.5814814939127345E-2</v>
      </c>
      <c r="D470">
        <f ca="1"/>
        <v>-4.3680009945712486E-3</v>
      </c>
      <c r="E470">
        <f ca="1"/>
        <v>-6.0692636428058477E-3</v>
      </c>
    </row>
    <row r="471" spans="1:5" x14ac:dyDescent="0.3">
      <c r="A471">
        <v>1</v>
      </c>
      <c r="B471">
        <f ca="1"/>
        <v>-1.1498050659416477E-2</v>
      </c>
      <c r="C471">
        <f ca="1"/>
        <v>-3.8329700959705906E-3</v>
      </c>
      <c r="D471">
        <f ca="1"/>
        <v>6.614206559013929E-3</v>
      </c>
      <c r="E471">
        <f ca="1"/>
        <v>5.4639651375236915E-3</v>
      </c>
    </row>
    <row r="472" spans="1:5" x14ac:dyDescent="0.3">
      <c r="A472">
        <v>1</v>
      </c>
      <c r="B472">
        <f ca="1"/>
        <v>3.1618188674250314E-2</v>
      </c>
      <c r="C472">
        <f ca="1"/>
        <v>4.2658803603251989E-4</v>
      </c>
      <c r="D472">
        <f ca="1"/>
        <v>5.0046659393121898E-3</v>
      </c>
      <c r="E472">
        <f ca="1"/>
        <v>-8.3088891505455082E-3</v>
      </c>
    </row>
    <row r="473" spans="1:5" x14ac:dyDescent="0.3">
      <c r="A473">
        <v>1</v>
      </c>
      <c r="B473">
        <f ca="1"/>
        <v>-1.2527567532662997E-2</v>
      </c>
      <c r="C473">
        <f ca="1"/>
        <v>3.2727889342509822E-2</v>
      </c>
      <c r="D473">
        <f ca="1"/>
        <v>-1.4522643349442826E-3</v>
      </c>
      <c r="E473">
        <f ca="1"/>
        <v>8.5780161012333437E-3</v>
      </c>
    </row>
    <row r="474" spans="1:5" x14ac:dyDescent="0.3">
      <c r="A474">
        <v>1</v>
      </c>
      <c r="B474">
        <f ca="1"/>
        <v>6.5965371917621873E-3</v>
      </c>
      <c r="C474">
        <f ca="1"/>
        <v>-8.2901828878928861E-3</v>
      </c>
      <c r="D474">
        <f ca="1"/>
        <v>-7.9374760148947648E-3</v>
      </c>
      <c r="E474">
        <f ca="1"/>
        <v>4.094090995630152E-3</v>
      </c>
    </row>
    <row r="475" spans="1:5" x14ac:dyDescent="0.3">
      <c r="A475">
        <v>1</v>
      </c>
      <c r="B475">
        <f ca="1"/>
        <v>-9.1209941966813174E-3</v>
      </c>
      <c r="C475">
        <f ca="1"/>
        <v>-1.2144310536113936E-2</v>
      </c>
      <c r="D475">
        <f ca="1"/>
        <v>2.1072356193704354E-3</v>
      </c>
      <c r="E475">
        <f ca="1"/>
        <v>4.277553322796248E-3</v>
      </c>
    </row>
    <row r="476" spans="1:5" x14ac:dyDescent="0.3">
      <c r="A476">
        <v>1</v>
      </c>
      <c r="B476">
        <f ca="1"/>
        <v>-2.4629423433609725E-2</v>
      </c>
      <c r="C476">
        <f ca="1"/>
        <v>3.5749562786439575E-3</v>
      </c>
      <c r="D476">
        <f ca="1"/>
        <v>-4.2189210591666269E-3</v>
      </c>
      <c r="E476">
        <f ca="1"/>
        <v>3.7941606000792766E-3</v>
      </c>
    </row>
    <row r="477" spans="1:5" x14ac:dyDescent="0.3">
      <c r="A477">
        <v>1</v>
      </c>
      <c r="B477">
        <f ca="1"/>
        <v>-2.7911843161336498E-2</v>
      </c>
      <c r="C477">
        <f ca="1"/>
        <v>-1.0975199246267456E-2</v>
      </c>
      <c r="D477">
        <f ca="1"/>
        <v>-7.3670585147475884E-3</v>
      </c>
      <c r="E477">
        <f ca="1"/>
        <v>5.9788732003101717E-4</v>
      </c>
    </row>
    <row r="478" spans="1:5" x14ac:dyDescent="0.3">
      <c r="A478">
        <v>1</v>
      </c>
      <c r="B478">
        <f ca="1"/>
        <v>-7.4646040501382072E-2</v>
      </c>
      <c r="C478">
        <f ca="1"/>
        <v>-1.2742701108477816E-3</v>
      </c>
      <c r="D478">
        <f ca="1"/>
        <v>-6.2900158044210449E-3</v>
      </c>
      <c r="E478">
        <f ca="1"/>
        <v>-5.3930923586051876E-3</v>
      </c>
    </row>
    <row r="479" spans="1:5" x14ac:dyDescent="0.3">
      <c r="A479">
        <v>1</v>
      </c>
      <c r="B479">
        <f ca="1"/>
        <v>-2.5069432770859216E-2</v>
      </c>
      <c r="C479">
        <f ca="1"/>
        <v>-2.1478328906579604E-2</v>
      </c>
      <c r="D479">
        <f ca="1"/>
        <v>-5.3719239434219038E-3</v>
      </c>
      <c r="E479">
        <f ca="1"/>
        <v>1.0010444384947769E-3</v>
      </c>
    </row>
    <row r="480" spans="1:5" x14ac:dyDescent="0.3">
      <c r="A480">
        <v>1</v>
      </c>
      <c r="B480">
        <f ca="1"/>
        <v>-1.5946935380982144E-2</v>
      </c>
      <c r="C480">
        <f ca="1"/>
        <v>1.4655376671611943E-2</v>
      </c>
      <c r="D480">
        <f ca="1"/>
        <v>1.9730358258581702E-3</v>
      </c>
      <c r="E480">
        <f ca="1"/>
        <v>-5.7818890429406763E-3</v>
      </c>
    </row>
    <row r="481" spans="1:5" x14ac:dyDescent="0.3">
      <c r="A481">
        <v>1</v>
      </c>
      <c r="B481">
        <f ca="1"/>
        <v>2.254761941233421E-2</v>
      </c>
      <c r="C481">
        <f ca="1"/>
        <v>2.9720825711304546E-2</v>
      </c>
      <c r="D481">
        <f ca="1"/>
        <v>1.7114680618834397E-2</v>
      </c>
      <c r="E481">
        <f ca="1"/>
        <v>-3.8550653453365029E-3</v>
      </c>
    </row>
    <row r="482" spans="1:5" x14ac:dyDescent="0.3">
      <c r="A482">
        <v>1</v>
      </c>
      <c r="B482">
        <f ca="1"/>
        <v>9.4580552267963941E-3</v>
      </c>
      <c r="C482">
        <f ca="1"/>
        <v>1.4528297137619043E-3</v>
      </c>
      <c r="D482">
        <f ca="1"/>
        <v>-1.175019229252989E-3</v>
      </c>
      <c r="E482">
        <f ca="1"/>
        <v>1.9631728891474423E-3</v>
      </c>
    </row>
    <row r="483" spans="1:5" x14ac:dyDescent="0.3">
      <c r="A483">
        <v>1</v>
      </c>
      <c r="B483">
        <f ca="1"/>
        <v>6.6189040973702054E-2</v>
      </c>
      <c r="C483">
        <f ca="1"/>
        <v>1.3798758366818389E-2</v>
      </c>
      <c r="D483">
        <f ca="1"/>
        <v>-6.6056858716617923E-3</v>
      </c>
      <c r="E483">
        <f ca="1"/>
        <v>4.0556843720949323E-2</v>
      </c>
    </row>
    <row r="484" spans="1:5" x14ac:dyDescent="0.3">
      <c r="A484">
        <v>1</v>
      </c>
      <c r="B484">
        <f ca="1"/>
        <v>8.436021010043173E-3</v>
      </c>
      <c r="C484">
        <f ca="1"/>
        <v>4.0825641665757344E-3</v>
      </c>
      <c r="D484">
        <f ca="1"/>
        <v>8.895695973741782E-3</v>
      </c>
      <c r="E484">
        <f ca="1"/>
        <v>-1.2153040789844529E-2</v>
      </c>
    </row>
    <row r="485" spans="1:5" x14ac:dyDescent="0.3">
      <c r="A485">
        <v>1</v>
      </c>
      <c r="B485">
        <f ca="1"/>
        <v>4.0241502997253268E-3</v>
      </c>
      <c r="C485">
        <f ca="1"/>
        <v>9.327001602230248E-3</v>
      </c>
      <c r="D485">
        <f ca="1"/>
        <v>1.4209416808712771E-2</v>
      </c>
      <c r="E485">
        <f ca="1"/>
        <v>2.2747455128725062E-2</v>
      </c>
    </row>
    <row r="486" spans="1:5" x14ac:dyDescent="0.3">
      <c r="A486">
        <v>1</v>
      </c>
      <c r="B486">
        <f ca="1"/>
        <v>2.4137392692704662E-2</v>
      </c>
      <c r="C486">
        <f ca="1"/>
        <v>-0.12677904201817744</v>
      </c>
      <c r="D486">
        <f ca="1"/>
        <v>-3.8236533463743209E-3</v>
      </c>
      <c r="E486">
        <f ca="1"/>
        <v>3.3359025033605836E-3</v>
      </c>
    </row>
    <row r="487" spans="1:5" x14ac:dyDescent="0.3">
      <c r="A487">
        <v>1</v>
      </c>
      <c r="B487">
        <f ca="1"/>
        <v>9.7530031867037632E-3</v>
      </c>
      <c r="C487">
        <f ca="1"/>
        <v>4.3432525462369954E-3</v>
      </c>
      <c r="D487">
        <f ca="1"/>
        <v>2.608621519283275E-3</v>
      </c>
      <c r="E487">
        <f ca="1"/>
        <v>1.2808197263758689E-4</v>
      </c>
    </row>
    <row r="488" spans="1:5" x14ac:dyDescent="0.3">
      <c r="A488">
        <v>1</v>
      </c>
      <c r="B488">
        <f ca="1"/>
        <v>-9.7530031867038326E-3</v>
      </c>
      <c r="C488">
        <f ca="1"/>
        <v>-2.12086982264225E-2</v>
      </c>
      <c r="D488">
        <f ca="1"/>
        <v>2.0287228726669056E-2</v>
      </c>
      <c r="E488">
        <f ca="1"/>
        <v>8.4809050177999147E-3</v>
      </c>
    </row>
    <row r="489" spans="1:5" x14ac:dyDescent="0.3">
      <c r="A489">
        <v>1</v>
      </c>
      <c r="B489">
        <f ca="1"/>
        <v>-2.8497620965682407E-2</v>
      </c>
      <c r="C489">
        <f ca="1"/>
        <v>3.7211120055169506E-3</v>
      </c>
      <c r="D489">
        <f ca="1"/>
        <v>-1.0894783061670256E-2</v>
      </c>
      <c r="E489">
        <f ca="1"/>
        <v>-2.2248999349068787E-3</v>
      </c>
    </row>
    <row r="490" spans="1:5" x14ac:dyDescent="0.3">
      <c r="A490">
        <v>1</v>
      </c>
      <c r="B490">
        <f ca="1"/>
        <v>-2.0188432159702579E-3</v>
      </c>
      <c r="C490">
        <f ca="1"/>
        <v>6.4784653262067908E-3</v>
      </c>
      <c r="D490">
        <f ca="1"/>
        <v>-3.6197574643838564E-3</v>
      </c>
      <c r="E490">
        <f ca="1"/>
        <v>1.2898446808063348E-2</v>
      </c>
    </row>
    <row r="491" spans="1:5" x14ac:dyDescent="0.3">
      <c r="A491">
        <v>1</v>
      </c>
      <c r="B491">
        <f ca="1"/>
        <v>-6.7590659484836882E-3</v>
      </c>
      <c r="C491">
        <f ca="1"/>
        <v>-1.7683365348272924E-2</v>
      </c>
      <c r="D491">
        <f ca="1"/>
        <v>5.7395554451388298E-3</v>
      </c>
      <c r="E491">
        <f ca="1"/>
        <v>-6.8710834476424397E-3</v>
      </c>
    </row>
    <row r="492" spans="1:5" x14ac:dyDescent="0.3">
      <c r="A492">
        <v>1</v>
      </c>
      <c r="B492">
        <f ca="1"/>
        <v>-9.4157910723703789E-2</v>
      </c>
      <c r="C492">
        <f ca="1"/>
        <v>3.9828300818551717E-3</v>
      </c>
      <c r="D492">
        <f ca="1"/>
        <v>-1.3171837084650724E-3</v>
      </c>
      <c r="E492">
        <f ca="1"/>
        <v>7.5883656000409153E-4</v>
      </c>
    </row>
    <row r="493" spans="1:5" x14ac:dyDescent="0.3">
      <c r="A493">
        <v>1</v>
      </c>
      <c r="B493">
        <f ca="1"/>
        <v>2.8646835877664961E-2</v>
      </c>
      <c r="C493">
        <f ca="1"/>
        <v>2.2252161199288103E-3</v>
      </c>
      <c r="D493">
        <f ca="1"/>
        <v>3.4325547595453762E-3</v>
      </c>
      <c r="E493">
        <f ca="1"/>
        <v>4.7293334843670903E-3</v>
      </c>
    </row>
    <row r="494" spans="1:5" x14ac:dyDescent="0.3">
      <c r="A494">
        <v>1</v>
      </c>
      <c r="B494">
        <f ca="1"/>
        <v>-3.2638288266300694E-3</v>
      </c>
      <c r="C494">
        <f ca="1"/>
        <v>9.3545376325799223E-4</v>
      </c>
      <c r="D494">
        <f ca="1"/>
        <v>1.8827495362714686E-3</v>
      </c>
      <c r="E494">
        <f ca="1"/>
        <v>1.0059733932494216E-3</v>
      </c>
    </row>
    <row r="495" spans="1:5" x14ac:dyDescent="0.3">
      <c r="A495">
        <v>1</v>
      </c>
      <c r="B495">
        <f ca="1"/>
        <v>6.5170397203709865E-3</v>
      </c>
      <c r="C495">
        <f ca="1"/>
        <v>-6.5666277238884425E-3</v>
      </c>
      <c r="D495">
        <f ca="1"/>
        <v>-3.5975827168634499E-3</v>
      </c>
      <c r="E495">
        <f ca="1"/>
        <v>-3.0211503341763223E-3</v>
      </c>
    </row>
    <row r="496" spans="1:5" x14ac:dyDescent="0.3">
      <c r="A496">
        <v>1</v>
      </c>
      <c r="B496">
        <f ca="1"/>
        <v>-3.0038888594113758E-2</v>
      </c>
      <c r="C496">
        <f ca="1"/>
        <v>1.8879479296164185E-2</v>
      </c>
      <c r="D496">
        <f ca="1"/>
        <v>1.2006519266309016E-3</v>
      </c>
      <c r="E496">
        <f ca="1"/>
        <v>-7.7200914972364058E-3</v>
      </c>
    </row>
    <row r="497" spans="1:5" x14ac:dyDescent="0.3">
      <c r="A497">
        <v>1</v>
      </c>
      <c r="B497">
        <f ca="1"/>
        <v>3.6872218546546605E-2</v>
      </c>
      <c r="C497">
        <f ca="1"/>
        <v>1.648766454112716E-2</v>
      </c>
      <c r="D497">
        <f ca="1"/>
        <v>4.4469287776748388E-3</v>
      </c>
      <c r="E497">
        <f ca="1"/>
        <v>-1.9711957547979349E-3</v>
      </c>
    </row>
    <row r="498" spans="1:5" x14ac:dyDescent="0.3">
      <c r="A498">
        <v>1</v>
      </c>
      <c r="B498">
        <f ca="1"/>
        <v>-7.6316087872881661E-2</v>
      </c>
      <c r="C498">
        <f ca="1"/>
        <v>-1.9957079377728691E-2</v>
      </c>
      <c r="D498">
        <f ca="1"/>
        <v>-8.7416071226000102E-3</v>
      </c>
      <c r="E498">
        <f ca="1"/>
        <v>-5.360916534296138E-3</v>
      </c>
    </row>
    <row r="499" spans="1:5" x14ac:dyDescent="0.3">
      <c r="A499">
        <v>1</v>
      </c>
      <c r="B499">
        <f ca="1"/>
        <v>3.5718082602079246E-2</v>
      </c>
      <c r="C499">
        <f ca="1"/>
        <v>2.3584378752714772E-2</v>
      </c>
      <c r="D499">
        <f ca="1"/>
        <v>1.0105998254740171E-2</v>
      </c>
      <c r="E499">
        <f ca="1"/>
        <v>-4.1038209533297088E-3</v>
      </c>
    </row>
    <row r="500" spans="1:5" x14ac:dyDescent="0.3">
      <c r="A500">
        <v>1</v>
      </c>
      <c r="B500">
        <f ca="1"/>
        <v>2.2149299718469496E-2</v>
      </c>
      <c r="C500">
        <f ca="1"/>
        <v>-3.1731667604600797E-3</v>
      </c>
      <c r="D500">
        <f ca="1"/>
        <v>2.1579932681998468E-2</v>
      </c>
      <c r="E500">
        <f ca="1"/>
        <v>8.8280381155500087E-3</v>
      </c>
    </row>
    <row r="501" spans="1:5" x14ac:dyDescent="0.3">
      <c r="A501">
        <v>1</v>
      </c>
      <c r="B501">
        <f ca="1"/>
        <v>3.6503011903761312E-4</v>
      </c>
      <c r="C501">
        <f ca="1"/>
        <v>-1.2334555649599786E-2</v>
      </c>
      <c r="D501">
        <f ca="1"/>
        <v>-4.6809781766977924E-3</v>
      </c>
      <c r="E501">
        <f ca="1"/>
        <v>3.1794507262139118E-3</v>
      </c>
    </row>
    <row r="502" spans="1:5" x14ac:dyDescent="0.3">
      <c r="A502">
        <v>1</v>
      </c>
      <c r="B502">
        <f ca="1"/>
        <v>-2.6254049977591721E-2</v>
      </c>
      <c r="C502">
        <f ca="1"/>
        <v>2.2947729674755526E-2</v>
      </c>
      <c r="D502">
        <f ca="1"/>
        <v>3.9023352007615548E-3</v>
      </c>
      <c r="E502">
        <f ca="1"/>
        <v>6.3287344961571101E-3</v>
      </c>
    </row>
    <row r="503" spans="1:5" x14ac:dyDescent="0.3">
      <c r="A503">
        <v>1</v>
      </c>
      <c r="B503">
        <f ca="1"/>
        <v>4.6485953949176775E-2</v>
      </c>
      <c r="C503">
        <f ca="1"/>
        <v>-2.386748140664343E-2</v>
      </c>
      <c r="D503">
        <f ca="1"/>
        <v>6.4886123581449984E-3</v>
      </c>
      <c r="E503">
        <f ca="1"/>
        <v>1.1852950278471365E-2</v>
      </c>
    </row>
    <row r="504" spans="1:5" x14ac:dyDescent="0.3">
      <c r="A504">
        <v>1</v>
      </c>
      <c r="B504">
        <f ca="1"/>
        <v>-7.5390771731659754E-3</v>
      </c>
      <c r="C504">
        <f ca="1"/>
        <v>-1.1336153786336352E-2</v>
      </c>
      <c r="D504">
        <f ca="1"/>
        <v>1.1924310864747984E-2</v>
      </c>
      <c r="E504">
        <f ca="1"/>
        <v>9.9707139981018321E-4</v>
      </c>
    </row>
    <row r="505" spans="1:5" x14ac:dyDescent="0.3">
      <c r="A505">
        <v>1</v>
      </c>
      <c r="B505">
        <f ca="1"/>
        <v>-4.5336674874781747E-2</v>
      </c>
      <c r="C505">
        <f ca="1"/>
        <v>2.3263929382583688E-4</v>
      </c>
      <c r="D505">
        <f ca="1"/>
        <v>5.0128146699444766E-3</v>
      </c>
      <c r="E505">
        <f ca="1"/>
        <v>2.9229785418219789E-3</v>
      </c>
    </row>
    <row r="506" spans="1:5" x14ac:dyDescent="0.3">
      <c r="A506">
        <v>1</v>
      </c>
      <c r="B506">
        <f ca="1"/>
        <v>-4.5514990424668715E-2</v>
      </c>
      <c r="C506">
        <f ca="1"/>
        <v>0</v>
      </c>
      <c r="D506">
        <f ca="1"/>
        <v>-3.4300291304058027E-3</v>
      </c>
      <c r="E506">
        <f ca="1"/>
        <v>-5.042812242933902E-3</v>
      </c>
    </row>
    <row r="507" spans="1:5" x14ac:dyDescent="0.3">
      <c r="A507">
        <v>1</v>
      </c>
      <c r="B507">
        <f ca="1"/>
        <v>5.2279390513210872E-2</v>
      </c>
      <c r="C507">
        <f ca="1"/>
        <v>-6.0662808522566657E-3</v>
      </c>
      <c r="D507">
        <f ca="1"/>
        <v>4.9071727491607634E-4</v>
      </c>
      <c r="E507">
        <f ca="1"/>
        <v>-5.7586538709678038E-3</v>
      </c>
    </row>
    <row r="508" spans="1:5" x14ac:dyDescent="0.3">
      <c r="A508">
        <v>1</v>
      </c>
      <c r="B508">
        <f ca="1"/>
        <v>-1.4334458949087362E-2</v>
      </c>
      <c r="C508">
        <f ca="1"/>
        <v>-1.7469754959831586E-2</v>
      </c>
      <c r="D508">
        <f ca="1"/>
        <v>5.0567488049731912E-3</v>
      </c>
      <c r="E508">
        <f ca="1"/>
        <v>4.6970494998691617E-3</v>
      </c>
    </row>
    <row r="509" spans="1:5" x14ac:dyDescent="0.3">
      <c r="A509">
        <v>1</v>
      </c>
      <c r="B509">
        <f ca="1"/>
        <v>3.3255446338038411E-2</v>
      </c>
      <c r="C509">
        <f ca="1"/>
        <v>2.4930736177637799E-2</v>
      </c>
      <c r="D509">
        <f ca="1"/>
        <v>9.0703027341484752E-3</v>
      </c>
      <c r="E509">
        <f ca="1"/>
        <v>-6.9594939038387831E-3</v>
      </c>
    </row>
    <row r="510" spans="1:5" x14ac:dyDescent="0.3">
      <c r="A510">
        <v>1</v>
      </c>
      <c r="B510">
        <f ca="1"/>
        <v>1.7125577954313909E-2</v>
      </c>
      <c r="C510">
        <f ca="1"/>
        <v>1.7728103293580818E-2</v>
      </c>
      <c r="D510">
        <f ca="1"/>
        <v>-4.1470910155442147E-3</v>
      </c>
      <c r="E510">
        <f ca="1"/>
        <v>-5.6634884403932936E-4</v>
      </c>
    </row>
    <row r="511" spans="1:5" x14ac:dyDescent="0.3">
      <c r="A511">
        <v>1</v>
      </c>
      <c r="B511">
        <f ca="1"/>
        <v>-1.4299732449436223E-2</v>
      </c>
      <c r="C511">
        <f ca="1"/>
        <v>6.0292543716699148E-3</v>
      </c>
      <c r="D511">
        <f ca="1"/>
        <v>3.07159080432488E-3</v>
      </c>
      <c r="E511">
        <f ca="1"/>
        <v>-1.0393185611464498E-3</v>
      </c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</vt:i4>
      </vt:variant>
    </vt:vector>
  </HeadingPairs>
  <TitlesOfParts>
    <vt:vector size="15" baseType="lpstr">
      <vt:lpstr>Outputs -&gt;</vt:lpstr>
      <vt:lpstr>1. Option Portfolio Overview</vt:lpstr>
      <vt:lpstr>2. Mean &amp; Cov</vt:lpstr>
      <vt:lpstr>3. Black-Scholes &amp; Volatility</vt:lpstr>
      <vt:lpstr>4. Matlab Outputs</vt:lpstr>
      <vt:lpstr>Inputs -&gt;</vt:lpstr>
      <vt:lpstr>AA</vt:lpstr>
      <vt:lpstr>INTC</vt:lpstr>
      <vt:lpstr>JPM</vt:lpstr>
      <vt:lpstr>PG</vt:lpstr>
      <vt:lpstr>Log-returns</vt:lpstr>
      <vt:lpstr>Tickers</vt:lpstr>
      <vt:lpstr>ExtractReturns</vt:lpstr>
      <vt:lpstr>ExtractReturns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Gianluca Fusai</dc:creator>
  <cp:lastModifiedBy>fluke sarun</cp:lastModifiedBy>
  <dcterms:created xsi:type="dcterms:W3CDTF">2022-02-16T12:47:43Z</dcterms:created>
  <dcterms:modified xsi:type="dcterms:W3CDTF">2024-03-17T22:07:38Z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6c24981-b6df-48f8-949b-0896357b9b03_Enabled">
    <vt:lpwstr>true</vt:lpwstr>
  </property>
  <property fmtid="{D5CDD505-2E9C-101B-9397-08002B2CF9AE}" pid="3" name="MSIP_Label_06c24981-b6df-48f8-949b-0896357b9b03_SetDate">
    <vt:lpwstr>2024-02-22T10:36:04Z</vt:lpwstr>
  </property>
  <property fmtid="{D5CDD505-2E9C-101B-9397-08002B2CF9AE}" pid="4" name="MSIP_Label_06c24981-b6df-48f8-949b-0896357b9b03_Method">
    <vt:lpwstr>Standard</vt:lpwstr>
  </property>
  <property fmtid="{D5CDD505-2E9C-101B-9397-08002B2CF9AE}" pid="5" name="MSIP_Label_06c24981-b6df-48f8-949b-0896357b9b03_Name">
    <vt:lpwstr>Official</vt:lpwstr>
  </property>
  <property fmtid="{D5CDD505-2E9C-101B-9397-08002B2CF9AE}" pid="6" name="MSIP_Label_06c24981-b6df-48f8-949b-0896357b9b03_SiteId">
    <vt:lpwstr>dd615949-5bd0-4da0-ac52-28ef8d336373</vt:lpwstr>
  </property>
  <property fmtid="{D5CDD505-2E9C-101B-9397-08002B2CF9AE}" pid="7" name="MSIP_Label_06c24981-b6df-48f8-949b-0896357b9b03_ActionId">
    <vt:lpwstr>1743c571-c253-4530-9d5f-de9bd89f234c</vt:lpwstr>
  </property>
  <property fmtid="{D5CDD505-2E9C-101B-9397-08002B2CF9AE}" pid="8" name="MSIP_Label_06c24981-b6df-48f8-949b-0896357b9b03_ContentBits">
    <vt:lpwstr>0</vt:lpwstr>
  </property>
</Properties>
</file>